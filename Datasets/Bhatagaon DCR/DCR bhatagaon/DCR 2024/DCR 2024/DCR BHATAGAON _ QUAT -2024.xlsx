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890" yWindow="300" windowWidth="20730" windowHeight="11760" tabRatio="814" firstSheet="15" activeTab="31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0" r:id="rId29"/>
    <sheet name="30" sheetId="41" r:id="rId30"/>
    <sheet name="31" sheetId="44" r:id="rId31"/>
    <sheet name="MONTHLY 31" sheetId="39" r:id="rId32"/>
    <sheet name="CALIBRATION REPORT" sheetId="6" r:id="rId33"/>
    <sheet name="POWER OFF" sheetId="5" r:id="rId34"/>
    <sheet name="MUX SIGNALS" sheetId="43" r:id="rId35"/>
  </sheets>
  <calcPr calcId="144525"/>
</workbook>
</file>

<file path=xl/calcChain.xml><?xml version="1.0" encoding="utf-8"?>
<calcChain xmlns="http://schemas.openxmlformats.org/spreadsheetml/2006/main">
  <c r="Q45" i="39" l="1"/>
  <c r="P45" i="39"/>
  <c r="C45" i="39"/>
  <c r="D45" i="39"/>
  <c r="B45" i="39"/>
  <c r="I45" i="39"/>
  <c r="C38" i="39"/>
  <c r="D38" i="39"/>
  <c r="E38" i="39"/>
  <c r="F38" i="39"/>
  <c r="G38" i="39"/>
  <c r="H38" i="39"/>
  <c r="J38" i="39"/>
  <c r="K38" i="39"/>
  <c r="L38" i="39"/>
  <c r="M38" i="39"/>
  <c r="N38" i="39"/>
  <c r="O38" i="39"/>
  <c r="P38" i="39"/>
  <c r="Q38" i="39"/>
  <c r="B38" i="39"/>
  <c r="I110" i="44"/>
  <c r="I112" i="44" s="1"/>
  <c r="I110" i="41"/>
  <c r="A38" i="39"/>
  <c r="Q110" i="44"/>
  <c r="Q112" i="44" s="1"/>
  <c r="P110" i="44"/>
  <c r="P111" i="44" s="1"/>
  <c r="O110" i="44"/>
  <c r="O112" i="44" s="1"/>
  <c r="N110" i="44"/>
  <c r="N112" i="44" s="1"/>
  <c r="M110" i="44"/>
  <c r="M112" i="44" s="1"/>
  <c r="L110" i="44"/>
  <c r="L112" i="44" s="1"/>
  <c r="K110" i="44"/>
  <c r="K112" i="44" s="1"/>
  <c r="J110" i="44"/>
  <c r="J112" i="44" s="1"/>
  <c r="H110" i="44"/>
  <c r="H112" i="44" s="1"/>
  <c r="G110" i="44"/>
  <c r="G111" i="44" s="1"/>
  <c r="F110" i="44"/>
  <c r="F112" i="44" s="1"/>
  <c r="E110" i="44"/>
  <c r="E112" i="44" s="1"/>
  <c r="D110" i="44"/>
  <c r="D112" i="44" s="1"/>
  <c r="C110" i="44"/>
  <c r="C112" i="44" s="1"/>
  <c r="B110" i="44"/>
  <c r="B112" i="44" s="1"/>
  <c r="Q109" i="44"/>
  <c r="P109" i="44"/>
  <c r="O109" i="44"/>
  <c r="N109" i="44"/>
  <c r="M109" i="44"/>
  <c r="L109" i="44"/>
  <c r="K109" i="44"/>
  <c r="J109" i="44"/>
  <c r="I109" i="44"/>
  <c r="H109" i="44"/>
  <c r="G109" i="44"/>
  <c r="F109" i="44"/>
  <c r="E109" i="44"/>
  <c r="D109" i="44"/>
  <c r="C109" i="44"/>
  <c r="B109" i="44"/>
  <c r="Q108" i="44"/>
  <c r="P108" i="44"/>
  <c r="O108" i="44"/>
  <c r="N108" i="44"/>
  <c r="M108" i="44"/>
  <c r="L108" i="44"/>
  <c r="K108" i="44"/>
  <c r="J108" i="44"/>
  <c r="I108" i="44"/>
  <c r="H108" i="44"/>
  <c r="G108" i="44"/>
  <c r="F108" i="44"/>
  <c r="E108" i="44"/>
  <c r="D108" i="44"/>
  <c r="C108" i="44"/>
  <c r="B108" i="44"/>
  <c r="Q107" i="44"/>
  <c r="P107" i="44"/>
  <c r="O107" i="44"/>
  <c r="N107" i="44"/>
  <c r="M107" i="44"/>
  <c r="L107" i="44"/>
  <c r="K107" i="44"/>
  <c r="J107" i="44"/>
  <c r="I107" i="44"/>
  <c r="H107" i="44"/>
  <c r="G107" i="44"/>
  <c r="F107" i="44"/>
  <c r="E107" i="44"/>
  <c r="D107" i="44"/>
  <c r="C107" i="44"/>
  <c r="B107" i="44"/>
  <c r="Q106" i="44"/>
  <c r="P106" i="44"/>
  <c r="O106" i="44"/>
  <c r="N106" i="44"/>
  <c r="M106" i="44"/>
  <c r="L106" i="44"/>
  <c r="K106" i="44"/>
  <c r="J106" i="44"/>
  <c r="I106" i="44"/>
  <c r="H106" i="44"/>
  <c r="G106" i="44"/>
  <c r="F106" i="44"/>
  <c r="E106" i="44"/>
  <c r="D106" i="44"/>
  <c r="C106" i="44"/>
  <c r="B106" i="44"/>
  <c r="B2" i="44"/>
  <c r="A39" i="39" s="1"/>
  <c r="I110" i="40"/>
  <c r="J110" i="33"/>
  <c r="G110" i="33"/>
  <c r="H110" i="33"/>
  <c r="I110" i="32"/>
  <c r="I110" i="31"/>
  <c r="I110" i="30"/>
  <c r="J110" i="29"/>
  <c r="G110" i="28"/>
  <c r="H110" i="28"/>
  <c r="J110" i="28"/>
  <c r="Q110" i="28"/>
  <c r="P110" i="28"/>
  <c r="I110" i="27"/>
  <c r="G110" i="22"/>
  <c r="H110" i="22"/>
  <c r="H110" i="21"/>
  <c r="H110" i="20"/>
  <c r="Q110" i="19"/>
  <c r="H110" i="19"/>
  <c r="J110" i="18"/>
  <c r="I110" i="18"/>
  <c r="G110" i="18"/>
  <c r="H110" i="18"/>
  <c r="Q110" i="17"/>
  <c r="H110" i="17"/>
  <c r="Q110" i="16"/>
  <c r="H110" i="16"/>
  <c r="Q110" i="15"/>
  <c r="F110" i="12"/>
  <c r="G110" i="12"/>
  <c r="H110" i="12"/>
  <c r="I110" i="12"/>
  <c r="I110" i="11"/>
  <c r="H110" i="11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B110" i="8"/>
  <c r="C110" i="2"/>
  <c r="D110" i="2"/>
  <c r="B110" i="2"/>
  <c r="I110" i="3"/>
  <c r="C110" i="3"/>
  <c r="D110" i="3"/>
  <c r="B110" i="3"/>
  <c r="I110" i="2"/>
  <c r="O111" i="44" l="1"/>
  <c r="P112" i="44"/>
  <c r="Q111" i="44"/>
  <c r="B111" i="44"/>
  <c r="C111" i="44"/>
  <c r="D111" i="44"/>
  <c r="E111" i="44"/>
  <c r="F111" i="44"/>
  <c r="G112" i="44"/>
  <c r="H111" i="44"/>
  <c r="I111" i="44"/>
  <c r="J111" i="44"/>
  <c r="K111" i="44"/>
  <c r="L111" i="44"/>
  <c r="M111" i="44"/>
  <c r="N111" i="44"/>
  <c r="C110" i="26"/>
  <c r="C112" i="26" s="1"/>
  <c r="D110" i="26"/>
  <c r="D112" i="26" s="1"/>
  <c r="B110" i="26"/>
  <c r="B112" i="26" s="1"/>
  <c r="E110" i="26"/>
  <c r="E112" i="26"/>
  <c r="F110" i="26"/>
  <c r="F111" i="26" s="1"/>
  <c r="G110" i="26"/>
  <c r="G112" i="26" s="1"/>
  <c r="H110" i="26"/>
  <c r="H112" i="26"/>
  <c r="I110" i="26"/>
  <c r="I112" i="26" s="1"/>
  <c r="J110" i="26"/>
  <c r="J111" i="26" s="1"/>
  <c r="K110" i="26"/>
  <c r="K112" i="26" s="1"/>
  <c r="L110" i="26"/>
  <c r="M110" i="26"/>
  <c r="N110" i="26"/>
  <c r="N111" i="26" s="1"/>
  <c r="O110" i="26"/>
  <c r="P110" i="26"/>
  <c r="P112" i="26" s="1"/>
  <c r="Q110" i="26"/>
  <c r="C110" i="25"/>
  <c r="C111" i="25" s="1"/>
  <c r="D110" i="25"/>
  <c r="D112" i="25" s="1"/>
  <c r="E110" i="25"/>
  <c r="E112" i="25" s="1"/>
  <c r="F110" i="25"/>
  <c r="G110" i="25"/>
  <c r="G112" i="25" s="1"/>
  <c r="H110" i="25"/>
  <c r="H111" i="25"/>
  <c r="I110" i="25"/>
  <c r="I111" i="25" s="1"/>
  <c r="J110" i="25"/>
  <c r="K110" i="25"/>
  <c r="K111" i="25" s="1"/>
  <c r="L110" i="25"/>
  <c r="L112" i="25" s="1"/>
  <c r="M110" i="25"/>
  <c r="M111" i="25" s="1"/>
  <c r="N110" i="25"/>
  <c r="O110" i="25"/>
  <c r="P110" i="25"/>
  <c r="P111" i="25" s="1"/>
  <c r="Q110" i="25"/>
  <c r="Q111" i="25" s="1"/>
  <c r="B110" i="25"/>
  <c r="B112" i="25" s="1"/>
  <c r="Q110" i="14"/>
  <c r="Q112" i="14"/>
  <c r="I110" i="14"/>
  <c r="I111" i="14" s="1"/>
  <c r="I110" i="13"/>
  <c r="I111" i="13" s="1"/>
  <c r="I112" i="41"/>
  <c r="J110" i="41"/>
  <c r="J112" i="41" s="1"/>
  <c r="H110" i="41"/>
  <c r="H112" i="41" s="1"/>
  <c r="J110" i="40"/>
  <c r="J111" i="40" s="1"/>
  <c r="H110" i="40"/>
  <c r="H111" i="40" s="1"/>
  <c r="I111" i="40"/>
  <c r="G112" i="33"/>
  <c r="H111" i="33"/>
  <c r="I110" i="33"/>
  <c r="I111" i="33" s="1"/>
  <c r="J112" i="33"/>
  <c r="J110" i="32"/>
  <c r="J111" i="32" s="1"/>
  <c r="I112" i="32"/>
  <c r="H110" i="32"/>
  <c r="H111" i="32" s="1"/>
  <c r="Q110" i="31"/>
  <c r="H110" i="31"/>
  <c r="H112" i="31" s="1"/>
  <c r="I111" i="31"/>
  <c r="J110" i="31"/>
  <c r="J111" i="31" s="1"/>
  <c r="G110" i="31"/>
  <c r="G112" i="31"/>
  <c r="J110" i="30"/>
  <c r="J111" i="30" s="1"/>
  <c r="I112" i="30"/>
  <c r="H110" i="30"/>
  <c r="H112" i="30"/>
  <c r="J112" i="29"/>
  <c r="I110" i="29"/>
  <c r="I112" i="29" s="1"/>
  <c r="H110" i="29"/>
  <c r="H112" i="29" s="1"/>
  <c r="J111" i="28"/>
  <c r="I110" i="28"/>
  <c r="I112" i="28" s="1"/>
  <c r="H111" i="28"/>
  <c r="I112" i="27"/>
  <c r="C110" i="27"/>
  <c r="C111" i="27" s="1"/>
  <c r="D110" i="27"/>
  <c r="D111" i="27" s="1"/>
  <c r="E110" i="27"/>
  <c r="F110" i="27"/>
  <c r="F112" i="27" s="1"/>
  <c r="G110" i="27"/>
  <c r="G112" i="27" s="1"/>
  <c r="H110" i="27"/>
  <c r="H111" i="27" s="1"/>
  <c r="J110" i="27"/>
  <c r="J112" i="27" s="1"/>
  <c r="K110" i="27"/>
  <c r="L110" i="27"/>
  <c r="L112" i="27"/>
  <c r="M110" i="27"/>
  <c r="N110" i="27"/>
  <c r="O110" i="27"/>
  <c r="P110" i="27"/>
  <c r="Q110" i="27"/>
  <c r="Q111" i="26"/>
  <c r="O112" i="25"/>
  <c r="N111" i="25"/>
  <c r="J112" i="25"/>
  <c r="F112" i="25"/>
  <c r="J110" i="24"/>
  <c r="J111" i="24" s="1"/>
  <c r="I110" i="24"/>
  <c r="I112" i="24" s="1"/>
  <c r="H110" i="24"/>
  <c r="H112" i="24" s="1"/>
  <c r="J110" i="23"/>
  <c r="J112" i="23" s="1"/>
  <c r="I110" i="23"/>
  <c r="I112" i="23" s="1"/>
  <c r="H110" i="23"/>
  <c r="H112" i="23" s="1"/>
  <c r="J110" i="22"/>
  <c r="J112" i="22" s="1"/>
  <c r="I110" i="22"/>
  <c r="I112" i="22" s="1"/>
  <c r="H112" i="22"/>
  <c r="G111" i="22"/>
  <c r="J110" i="21"/>
  <c r="J111" i="21" s="1"/>
  <c r="I110" i="21"/>
  <c r="I111" i="21" s="1"/>
  <c r="H111" i="21"/>
  <c r="H112" i="20"/>
  <c r="I110" i="20"/>
  <c r="I111" i="20" s="1"/>
  <c r="J110" i="20"/>
  <c r="J112" i="20" s="1"/>
  <c r="Q112" i="19"/>
  <c r="J110" i="19"/>
  <c r="J111" i="19" s="1"/>
  <c r="I110" i="19"/>
  <c r="I112" i="19" s="1"/>
  <c r="H112" i="19"/>
  <c r="Q112" i="17"/>
  <c r="J110" i="17"/>
  <c r="J112" i="17" s="1"/>
  <c r="I110" i="17"/>
  <c r="I111" i="17" s="1"/>
  <c r="H112" i="17"/>
  <c r="H111" i="16"/>
  <c r="I110" i="16"/>
  <c r="I111" i="16" s="1"/>
  <c r="J110" i="16"/>
  <c r="J111" i="16" s="1"/>
  <c r="H110" i="15"/>
  <c r="H112" i="15" s="1"/>
  <c r="I110" i="15"/>
  <c r="I111" i="15" s="1"/>
  <c r="J110" i="15"/>
  <c r="J112" i="15" s="1"/>
  <c r="Q111" i="15"/>
  <c r="J110" i="14"/>
  <c r="J111" i="14"/>
  <c r="H110" i="14"/>
  <c r="H112" i="14" s="1"/>
  <c r="D110" i="11"/>
  <c r="D112" i="11"/>
  <c r="C110" i="11"/>
  <c r="C112" i="11" s="1"/>
  <c r="B110" i="11"/>
  <c r="B111" i="11" s="1"/>
  <c r="J110" i="13"/>
  <c r="J112" i="13" s="1"/>
  <c r="H110" i="13"/>
  <c r="H112" i="13" s="1"/>
  <c r="F111" i="12"/>
  <c r="J110" i="12"/>
  <c r="J112" i="12"/>
  <c r="H111" i="12"/>
  <c r="I112" i="12"/>
  <c r="J110" i="11"/>
  <c r="J111" i="11" s="1"/>
  <c r="I111" i="11"/>
  <c r="H111" i="11"/>
  <c r="G110" i="11"/>
  <c r="G112" i="11" s="1"/>
  <c r="J110" i="10"/>
  <c r="J112" i="10" s="1"/>
  <c r="I110" i="10"/>
  <c r="I111" i="10"/>
  <c r="H110" i="10"/>
  <c r="H112" i="10" s="1"/>
  <c r="J110" i="9"/>
  <c r="J111" i="9" s="1"/>
  <c r="I110" i="9"/>
  <c r="I111" i="9" s="1"/>
  <c r="H110" i="9"/>
  <c r="H111" i="9" s="1"/>
  <c r="Q111" i="8"/>
  <c r="J111" i="8"/>
  <c r="I111" i="8"/>
  <c r="H111" i="8"/>
  <c r="P112" i="8"/>
  <c r="O111" i="8"/>
  <c r="L112" i="8"/>
  <c r="K111" i="8"/>
  <c r="G111" i="8"/>
  <c r="F111" i="8"/>
  <c r="E112" i="8"/>
  <c r="B112" i="8"/>
  <c r="I112" i="3"/>
  <c r="I111" i="2"/>
  <c r="B2" i="23"/>
  <c r="C111" i="2"/>
  <c r="E110" i="2"/>
  <c r="E111" i="2" s="1"/>
  <c r="F110" i="2"/>
  <c r="F112" i="2" s="1"/>
  <c r="G110" i="2"/>
  <c r="G112" i="2" s="1"/>
  <c r="H110" i="2"/>
  <c r="H112" i="2" s="1"/>
  <c r="J110" i="2"/>
  <c r="J111" i="2" s="1"/>
  <c r="K110" i="2"/>
  <c r="K111" i="2" s="1"/>
  <c r="L110" i="2"/>
  <c r="L112" i="2" s="1"/>
  <c r="M110" i="2"/>
  <c r="M112" i="2" s="1"/>
  <c r="N110" i="2"/>
  <c r="N112" i="2" s="1"/>
  <c r="O110" i="2"/>
  <c r="O111" i="2" s="1"/>
  <c r="P110" i="2"/>
  <c r="P112" i="2" s="1"/>
  <c r="Q110" i="2"/>
  <c r="Q111" i="2" s="1"/>
  <c r="C111" i="3"/>
  <c r="D111" i="3"/>
  <c r="E110" i="3"/>
  <c r="E111" i="3" s="1"/>
  <c r="F110" i="3"/>
  <c r="F111" i="3" s="1"/>
  <c r="G110" i="3"/>
  <c r="G112" i="3" s="1"/>
  <c r="H110" i="3"/>
  <c r="H112" i="3" s="1"/>
  <c r="J110" i="3"/>
  <c r="J111" i="3" s="1"/>
  <c r="K110" i="3"/>
  <c r="K112" i="3" s="1"/>
  <c r="L110" i="3"/>
  <c r="L111" i="3" s="1"/>
  <c r="M110" i="3"/>
  <c r="M112" i="3" s="1"/>
  <c r="N110" i="3"/>
  <c r="N111" i="3" s="1"/>
  <c r="O110" i="3"/>
  <c r="P110" i="3"/>
  <c r="Q110" i="3"/>
  <c r="Q110" i="41"/>
  <c r="Q111" i="41" s="1"/>
  <c r="P110" i="41"/>
  <c r="P112" i="41" s="1"/>
  <c r="O110" i="41"/>
  <c r="O112" i="41" s="1"/>
  <c r="N110" i="41"/>
  <c r="N111" i="41" s="1"/>
  <c r="M110" i="41"/>
  <c r="M112" i="41" s="1"/>
  <c r="L110" i="41"/>
  <c r="L111" i="41" s="1"/>
  <c r="K110" i="41"/>
  <c r="K112" i="41" s="1"/>
  <c r="G110" i="41"/>
  <c r="G112" i="41" s="1"/>
  <c r="F110" i="41"/>
  <c r="F112" i="41" s="1"/>
  <c r="E110" i="41"/>
  <c r="E111" i="41" s="1"/>
  <c r="D110" i="41"/>
  <c r="D112" i="41" s="1"/>
  <c r="C110" i="41"/>
  <c r="C112" i="41"/>
  <c r="B110" i="41"/>
  <c r="B112" i="41" s="1"/>
  <c r="Q109" i="41"/>
  <c r="P109" i="41"/>
  <c r="O109" i="41"/>
  <c r="N109" i="41"/>
  <c r="M109" i="41"/>
  <c r="L109" i="41"/>
  <c r="K109" i="41"/>
  <c r="J109" i="41"/>
  <c r="I109" i="41"/>
  <c r="H109" i="41"/>
  <c r="G109" i="41"/>
  <c r="F109" i="41"/>
  <c r="E109" i="41"/>
  <c r="D109" i="41"/>
  <c r="C109" i="41"/>
  <c r="B109" i="41"/>
  <c r="Q108" i="41"/>
  <c r="Q39" i="39" s="1"/>
  <c r="P108" i="41"/>
  <c r="O108" i="41"/>
  <c r="N108" i="41"/>
  <c r="N39" i="39" s="1"/>
  <c r="M108" i="41"/>
  <c r="L108" i="41"/>
  <c r="K108" i="41"/>
  <c r="K39" i="39" s="1"/>
  <c r="J108" i="41"/>
  <c r="I108" i="41"/>
  <c r="H108" i="41"/>
  <c r="G108" i="41"/>
  <c r="F108" i="41"/>
  <c r="E108" i="41"/>
  <c r="D108" i="41"/>
  <c r="D39" i="39" s="1"/>
  <c r="C108" i="41"/>
  <c r="B108" i="41"/>
  <c r="B39" i="39" s="1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C107" i="41"/>
  <c r="B107" i="41"/>
  <c r="Q106" i="41"/>
  <c r="P106" i="41"/>
  <c r="O106" i="41"/>
  <c r="N106" i="41"/>
  <c r="M106" i="41"/>
  <c r="L106" i="41"/>
  <c r="K106" i="41"/>
  <c r="J106" i="41"/>
  <c r="I106" i="41"/>
  <c r="H106" i="41"/>
  <c r="G106" i="41"/>
  <c r="F106" i="41"/>
  <c r="E106" i="41"/>
  <c r="D106" i="41"/>
  <c r="C106" i="41"/>
  <c r="B106" i="41"/>
  <c r="B2" i="41"/>
  <c r="Q110" i="40"/>
  <c r="Q112" i="40" s="1"/>
  <c r="P110" i="40"/>
  <c r="P111" i="40" s="1"/>
  <c r="O110" i="40"/>
  <c r="O112" i="40" s="1"/>
  <c r="N110" i="40"/>
  <c r="N111" i="40" s="1"/>
  <c r="M110" i="40"/>
  <c r="M112" i="40" s="1"/>
  <c r="L110" i="40"/>
  <c r="L112" i="40" s="1"/>
  <c r="K110" i="40"/>
  <c r="K111" i="40" s="1"/>
  <c r="K112" i="40"/>
  <c r="G110" i="40"/>
  <c r="G112" i="40" s="1"/>
  <c r="F110" i="40"/>
  <c r="F112" i="40" s="1"/>
  <c r="E110" i="40"/>
  <c r="E112" i="40" s="1"/>
  <c r="D110" i="40"/>
  <c r="D112" i="40" s="1"/>
  <c r="C110" i="40"/>
  <c r="C111" i="40" s="1"/>
  <c r="B110" i="40"/>
  <c r="B112" i="40" s="1"/>
  <c r="Q109" i="40"/>
  <c r="P109" i="40"/>
  <c r="O109" i="40"/>
  <c r="N109" i="40"/>
  <c r="M109" i="40"/>
  <c r="L109" i="40"/>
  <c r="K109" i="40"/>
  <c r="J109" i="40"/>
  <c r="I109" i="40"/>
  <c r="H109" i="40"/>
  <c r="G109" i="40"/>
  <c r="F109" i="40"/>
  <c r="E109" i="40"/>
  <c r="D109" i="40"/>
  <c r="C109" i="40"/>
  <c r="B109" i="40"/>
  <c r="Q108" i="40"/>
  <c r="Q37" i="39" s="1"/>
  <c r="P108" i="40"/>
  <c r="P37" i="39"/>
  <c r="O108" i="40"/>
  <c r="N108" i="40"/>
  <c r="M108" i="40"/>
  <c r="M37" i="39" s="1"/>
  <c r="L108" i="40"/>
  <c r="L37" i="39" s="1"/>
  <c r="K108" i="40"/>
  <c r="K37" i="39" s="1"/>
  <c r="J108" i="40"/>
  <c r="I108" i="40"/>
  <c r="H108" i="40"/>
  <c r="H37" i="39" s="1"/>
  <c r="G108" i="40"/>
  <c r="G37" i="39" s="1"/>
  <c r="F108" i="40"/>
  <c r="F37" i="39" s="1"/>
  <c r="E108" i="40"/>
  <c r="E37" i="39" s="1"/>
  <c r="D108" i="40"/>
  <c r="D37" i="39" s="1"/>
  <c r="C108" i="40"/>
  <c r="B108" i="40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C107" i="40"/>
  <c r="B107" i="40"/>
  <c r="Q106" i="40"/>
  <c r="P106" i="40"/>
  <c r="O106" i="40"/>
  <c r="N106" i="40"/>
  <c r="M106" i="40"/>
  <c r="L106" i="40"/>
  <c r="K106" i="40"/>
  <c r="J106" i="40"/>
  <c r="I106" i="40"/>
  <c r="H106" i="40"/>
  <c r="G106" i="40"/>
  <c r="F106" i="40"/>
  <c r="E106" i="40"/>
  <c r="D106" i="40"/>
  <c r="C106" i="40"/>
  <c r="B106" i="40"/>
  <c r="B2" i="40"/>
  <c r="Q110" i="33"/>
  <c r="Q111" i="33" s="1"/>
  <c r="P110" i="33"/>
  <c r="P112" i="33" s="1"/>
  <c r="O110" i="33"/>
  <c r="O112" i="33" s="1"/>
  <c r="N110" i="33"/>
  <c r="N111" i="33" s="1"/>
  <c r="M110" i="33"/>
  <c r="M112" i="33" s="1"/>
  <c r="L110" i="33"/>
  <c r="L112" i="33" s="1"/>
  <c r="K110" i="33"/>
  <c r="K111" i="33" s="1"/>
  <c r="F110" i="33"/>
  <c r="F112" i="33" s="1"/>
  <c r="E110" i="33"/>
  <c r="E112" i="33" s="1"/>
  <c r="D110" i="33"/>
  <c r="D112" i="33" s="1"/>
  <c r="C110" i="33"/>
  <c r="C112" i="33" s="1"/>
  <c r="B110" i="33"/>
  <c r="B111" i="33" s="1"/>
  <c r="Q109" i="33"/>
  <c r="P109" i="33"/>
  <c r="O109" i="33"/>
  <c r="N109" i="33"/>
  <c r="M109" i="33"/>
  <c r="L109" i="33"/>
  <c r="K109" i="33"/>
  <c r="J109" i="33"/>
  <c r="I109" i="33"/>
  <c r="H109" i="33"/>
  <c r="G109" i="33"/>
  <c r="F109" i="33"/>
  <c r="E109" i="33"/>
  <c r="D109" i="33"/>
  <c r="C109" i="33"/>
  <c r="B109" i="33"/>
  <c r="Q108" i="33"/>
  <c r="P108" i="33"/>
  <c r="O108" i="33"/>
  <c r="O36" i="39" s="1"/>
  <c r="N108" i="33"/>
  <c r="M108" i="33"/>
  <c r="M36" i="39" s="1"/>
  <c r="L108" i="33"/>
  <c r="L36" i="39" s="1"/>
  <c r="K108" i="33"/>
  <c r="J108" i="33"/>
  <c r="I108" i="33"/>
  <c r="H108" i="33"/>
  <c r="G108" i="33"/>
  <c r="G36" i="39" s="1"/>
  <c r="F108" i="33"/>
  <c r="F36" i="39"/>
  <c r="E108" i="33"/>
  <c r="D108" i="33"/>
  <c r="C108" i="33"/>
  <c r="B108" i="33"/>
  <c r="Q107" i="33"/>
  <c r="P107" i="33"/>
  <c r="O107" i="33"/>
  <c r="N107" i="33"/>
  <c r="M107" i="33"/>
  <c r="L107" i="33"/>
  <c r="K107" i="33"/>
  <c r="J107" i="33"/>
  <c r="I107" i="33"/>
  <c r="H107" i="33"/>
  <c r="G107" i="33"/>
  <c r="F107" i="33"/>
  <c r="E107" i="33"/>
  <c r="D107" i="33"/>
  <c r="C107" i="33"/>
  <c r="B107" i="33"/>
  <c r="Q106" i="33"/>
  <c r="P106" i="33"/>
  <c r="O106" i="33"/>
  <c r="N106" i="33"/>
  <c r="M106" i="33"/>
  <c r="L106" i="33"/>
  <c r="K106" i="33"/>
  <c r="J106" i="33"/>
  <c r="I106" i="33"/>
  <c r="H106" i="33"/>
  <c r="G106" i="33"/>
  <c r="F106" i="33"/>
  <c r="E106" i="33"/>
  <c r="D106" i="33"/>
  <c r="C106" i="33"/>
  <c r="B106" i="33"/>
  <c r="B2" i="33"/>
  <c r="Q110" i="32"/>
  <c r="Q112" i="32" s="1"/>
  <c r="P110" i="32"/>
  <c r="P112" i="32" s="1"/>
  <c r="O110" i="32"/>
  <c r="O112" i="32" s="1"/>
  <c r="N110" i="32"/>
  <c r="N111" i="32" s="1"/>
  <c r="M110" i="32"/>
  <c r="M112" i="32" s="1"/>
  <c r="L110" i="32"/>
  <c r="L111" i="32" s="1"/>
  <c r="K110" i="32"/>
  <c r="K112" i="32" s="1"/>
  <c r="G110" i="32"/>
  <c r="G111" i="32" s="1"/>
  <c r="F110" i="32"/>
  <c r="F112" i="32" s="1"/>
  <c r="E110" i="32"/>
  <c r="E111" i="32" s="1"/>
  <c r="D110" i="32"/>
  <c r="D112" i="32" s="1"/>
  <c r="C110" i="32"/>
  <c r="C111" i="32"/>
  <c r="B110" i="32"/>
  <c r="B111" i="32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Q108" i="32"/>
  <c r="Q35" i="39" s="1"/>
  <c r="P108" i="32"/>
  <c r="O108" i="32"/>
  <c r="O35" i="39" s="1"/>
  <c r="N108" i="32"/>
  <c r="N35" i="39" s="1"/>
  <c r="M108" i="32"/>
  <c r="M35" i="39" s="1"/>
  <c r="L108" i="32"/>
  <c r="L35" i="39" s="1"/>
  <c r="K108" i="32"/>
  <c r="J108" i="32"/>
  <c r="J35" i="39" s="1"/>
  <c r="I108" i="32"/>
  <c r="H108" i="32"/>
  <c r="H35" i="39" s="1"/>
  <c r="G108" i="32"/>
  <c r="F108" i="32"/>
  <c r="F35" i="39" s="1"/>
  <c r="E108" i="32"/>
  <c r="E35" i="39" s="1"/>
  <c r="D108" i="32"/>
  <c r="C108" i="32"/>
  <c r="B108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B2" i="32"/>
  <c r="A35" i="39" s="1"/>
  <c r="P110" i="31"/>
  <c r="P112" i="31" s="1"/>
  <c r="O110" i="31"/>
  <c r="O112" i="31" s="1"/>
  <c r="N110" i="31"/>
  <c r="N112" i="31" s="1"/>
  <c r="M110" i="31"/>
  <c r="M111" i="31" s="1"/>
  <c r="L110" i="31"/>
  <c r="L112" i="31" s="1"/>
  <c r="K110" i="31"/>
  <c r="K111" i="31" s="1"/>
  <c r="F110" i="31"/>
  <c r="F112" i="31" s="1"/>
  <c r="E110" i="31"/>
  <c r="E112" i="31"/>
  <c r="D110" i="31"/>
  <c r="D112" i="31" s="1"/>
  <c r="C110" i="31"/>
  <c r="C112" i="31" s="1"/>
  <c r="B110" i="31"/>
  <c r="B112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Q108" i="31"/>
  <c r="Q34" i="39" s="1"/>
  <c r="P108" i="31"/>
  <c r="P34" i="39" s="1"/>
  <c r="O108" i="31"/>
  <c r="O34" i="39" s="1"/>
  <c r="N108" i="31"/>
  <c r="N34" i="39" s="1"/>
  <c r="M108" i="31"/>
  <c r="L108" i="31"/>
  <c r="L34" i="39" s="1"/>
  <c r="K108" i="31"/>
  <c r="J108" i="31"/>
  <c r="I108" i="31"/>
  <c r="H108" i="31"/>
  <c r="G108" i="31"/>
  <c r="F108" i="31"/>
  <c r="E108" i="31"/>
  <c r="D108" i="31"/>
  <c r="D34" i="39" s="1"/>
  <c r="C108" i="31"/>
  <c r="C34" i="39" s="1"/>
  <c r="B108" i="31"/>
  <c r="B34" i="39" s="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B2" i="31"/>
  <c r="Q110" i="30"/>
  <c r="Q111" i="30" s="1"/>
  <c r="P110" i="30"/>
  <c r="P111" i="30" s="1"/>
  <c r="O110" i="30"/>
  <c r="O112" i="30"/>
  <c r="N110" i="30"/>
  <c r="N112" i="30" s="1"/>
  <c r="M110" i="30"/>
  <c r="M112" i="30" s="1"/>
  <c r="L110" i="30"/>
  <c r="L112" i="30" s="1"/>
  <c r="K110" i="30"/>
  <c r="K112" i="30"/>
  <c r="G110" i="30"/>
  <c r="G112" i="30" s="1"/>
  <c r="F110" i="30"/>
  <c r="F112" i="30" s="1"/>
  <c r="E110" i="30"/>
  <c r="E111" i="30"/>
  <c r="D110" i="30"/>
  <c r="D112" i="30" s="1"/>
  <c r="C110" i="30"/>
  <c r="C111" i="30" s="1"/>
  <c r="B110" i="30"/>
  <c r="B112" i="30" s="1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Q108" i="30"/>
  <c r="Q33" i="39" s="1"/>
  <c r="P108" i="30"/>
  <c r="P33" i="39" s="1"/>
  <c r="O108" i="30"/>
  <c r="O33" i="39" s="1"/>
  <c r="N108" i="30"/>
  <c r="N33" i="39" s="1"/>
  <c r="M108" i="30"/>
  <c r="M33" i="39"/>
  <c r="L108" i="30"/>
  <c r="K108" i="30"/>
  <c r="K33" i="39" s="1"/>
  <c r="J108" i="30"/>
  <c r="I108" i="30"/>
  <c r="H108" i="30"/>
  <c r="G108" i="30"/>
  <c r="F108" i="30"/>
  <c r="E108" i="30"/>
  <c r="E33" i="39" s="1"/>
  <c r="D108" i="30"/>
  <c r="D33" i="39" s="1"/>
  <c r="C108" i="30"/>
  <c r="C33" i="39" s="1"/>
  <c r="B108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2" i="30"/>
  <c r="A33" i="39" s="1"/>
  <c r="Q110" i="29"/>
  <c r="Q111" i="29" s="1"/>
  <c r="P110" i="29"/>
  <c r="P112" i="29" s="1"/>
  <c r="O110" i="29"/>
  <c r="O112" i="29" s="1"/>
  <c r="N110" i="29"/>
  <c r="N112" i="29" s="1"/>
  <c r="M110" i="29"/>
  <c r="M112" i="29"/>
  <c r="L110" i="29"/>
  <c r="L111" i="29" s="1"/>
  <c r="K110" i="29"/>
  <c r="K112" i="29" s="1"/>
  <c r="G110" i="29"/>
  <c r="G111" i="29" s="1"/>
  <c r="F110" i="29"/>
  <c r="F111" i="29" s="1"/>
  <c r="E110" i="29"/>
  <c r="E112" i="29" s="1"/>
  <c r="D110" i="29"/>
  <c r="D112" i="29"/>
  <c r="C110" i="29"/>
  <c r="C112" i="29" s="1"/>
  <c r="B110" i="29"/>
  <c r="B112" i="29" s="1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Q108" i="29"/>
  <c r="P108" i="29"/>
  <c r="P32" i="39" s="1"/>
  <c r="O108" i="29"/>
  <c r="N108" i="29"/>
  <c r="M108" i="29"/>
  <c r="M32" i="39" s="1"/>
  <c r="L108" i="29"/>
  <c r="L32" i="39" s="1"/>
  <c r="K108" i="29"/>
  <c r="J108" i="29"/>
  <c r="I108" i="29"/>
  <c r="I32" i="39" s="1"/>
  <c r="H108" i="29"/>
  <c r="G108" i="29"/>
  <c r="F108" i="29"/>
  <c r="E108" i="29"/>
  <c r="D108" i="29"/>
  <c r="D32" i="39" s="1"/>
  <c r="C108" i="29"/>
  <c r="C32" i="39" s="1"/>
  <c r="B108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2" i="29"/>
  <c r="A32" i="39" s="1"/>
  <c r="Q111" i="28"/>
  <c r="P111" i="28"/>
  <c r="O110" i="28"/>
  <c r="O112" i="28" s="1"/>
  <c r="N110" i="28"/>
  <c r="N112" i="28" s="1"/>
  <c r="M110" i="28"/>
  <c r="M112" i="28" s="1"/>
  <c r="L110" i="28"/>
  <c r="L112" i="28" s="1"/>
  <c r="K110" i="28"/>
  <c r="K111" i="28" s="1"/>
  <c r="G112" i="28"/>
  <c r="F110" i="28"/>
  <c r="F111" i="28" s="1"/>
  <c r="E110" i="28"/>
  <c r="E112" i="28" s="1"/>
  <c r="D110" i="28"/>
  <c r="D112" i="28" s="1"/>
  <c r="C110" i="28"/>
  <c r="C112" i="28" s="1"/>
  <c r="B110" i="28"/>
  <c r="B112" i="28" s="1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Q108" i="28"/>
  <c r="P108" i="28"/>
  <c r="O108" i="28"/>
  <c r="O31" i="39" s="1"/>
  <c r="N108" i="28"/>
  <c r="M108" i="28"/>
  <c r="L108" i="28"/>
  <c r="L31" i="39" s="1"/>
  <c r="K108" i="28"/>
  <c r="K31" i="39" s="1"/>
  <c r="J108" i="28"/>
  <c r="I108" i="28"/>
  <c r="H108" i="28"/>
  <c r="H31" i="39" s="1"/>
  <c r="G108" i="28"/>
  <c r="G31" i="39" s="1"/>
  <c r="F108" i="28"/>
  <c r="E108" i="28"/>
  <c r="E31" i="39" s="1"/>
  <c r="D108" i="28"/>
  <c r="D31" i="39" s="1"/>
  <c r="C108" i="28"/>
  <c r="C31" i="39" s="1"/>
  <c r="B108" i="28"/>
  <c r="B31" i="39" s="1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2" i="28"/>
  <c r="A31" i="39" s="1"/>
  <c r="Q112" i="27"/>
  <c r="P112" i="27"/>
  <c r="O112" i="27"/>
  <c r="N112" i="27"/>
  <c r="M112" i="27"/>
  <c r="K112" i="27"/>
  <c r="E112" i="27"/>
  <c r="B110" i="27"/>
  <c r="B112" i="27" s="1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Q108" i="27"/>
  <c r="Q30" i="39" s="1"/>
  <c r="P108" i="27"/>
  <c r="O108" i="27"/>
  <c r="O30" i="39" s="1"/>
  <c r="N108" i="27"/>
  <c r="N30" i="39"/>
  <c r="M108" i="27"/>
  <c r="L108" i="27"/>
  <c r="K108" i="27"/>
  <c r="K30" i="39" s="1"/>
  <c r="J108" i="27"/>
  <c r="J30" i="39" s="1"/>
  <c r="I108" i="27"/>
  <c r="H108" i="27"/>
  <c r="H30" i="39" s="1"/>
  <c r="G108" i="27"/>
  <c r="G30" i="39" s="1"/>
  <c r="F108" i="27"/>
  <c r="E108" i="27"/>
  <c r="E30" i="39" s="1"/>
  <c r="D108" i="27"/>
  <c r="D30" i="39" s="1"/>
  <c r="C108" i="27"/>
  <c r="B108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2" i="27"/>
  <c r="A30" i="39" s="1"/>
  <c r="P111" i="26"/>
  <c r="O111" i="26"/>
  <c r="M111" i="26"/>
  <c r="L112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Q108" i="26"/>
  <c r="P108" i="26"/>
  <c r="P29" i="39" s="1"/>
  <c r="O108" i="26"/>
  <c r="O29" i="39" s="1"/>
  <c r="N108" i="26"/>
  <c r="M108" i="26"/>
  <c r="L108" i="26"/>
  <c r="L29" i="39" s="1"/>
  <c r="K108" i="26"/>
  <c r="J108" i="26"/>
  <c r="J29" i="39" s="1"/>
  <c r="I108" i="26"/>
  <c r="H108" i="26"/>
  <c r="G108" i="26"/>
  <c r="F108" i="26"/>
  <c r="E108" i="26"/>
  <c r="D108" i="26"/>
  <c r="D29" i="39" s="1"/>
  <c r="C108" i="26"/>
  <c r="C29" i="39"/>
  <c r="B108" i="26"/>
  <c r="B29" i="39" s="1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2" i="26"/>
  <c r="A29" i="39" s="1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Q108" i="25"/>
  <c r="Q28" i="39" s="1"/>
  <c r="P108" i="25"/>
  <c r="O108" i="25"/>
  <c r="O28" i="39" s="1"/>
  <c r="N108" i="25"/>
  <c r="M108" i="25"/>
  <c r="L108" i="25"/>
  <c r="K108" i="25"/>
  <c r="K28" i="39" s="1"/>
  <c r="J108" i="25"/>
  <c r="I108" i="25"/>
  <c r="H108" i="25"/>
  <c r="H28" i="39" s="1"/>
  <c r="G108" i="25"/>
  <c r="F108" i="25"/>
  <c r="F28" i="39" s="1"/>
  <c r="E108" i="25"/>
  <c r="E28" i="39" s="1"/>
  <c r="D108" i="25"/>
  <c r="D28" i="39" s="1"/>
  <c r="C108" i="25"/>
  <c r="C28" i="39"/>
  <c r="B108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2" i="25"/>
  <c r="A28" i="39"/>
  <c r="Q110" i="24"/>
  <c r="Q112" i="24" s="1"/>
  <c r="P110" i="24"/>
  <c r="P112" i="24" s="1"/>
  <c r="O110" i="24"/>
  <c r="O112" i="24"/>
  <c r="N110" i="24"/>
  <c r="N111" i="24"/>
  <c r="M110" i="24"/>
  <c r="M112" i="24" s="1"/>
  <c r="L110" i="24"/>
  <c r="L112" i="24" s="1"/>
  <c r="K110" i="24"/>
  <c r="K111" i="24" s="1"/>
  <c r="G110" i="24"/>
  <c r="G112" i="24" s="1"/>
  <c r="F110" i="24"/>
  <c r="F112" i="24" s="1"/>
  <c r="E110" i="24"/>
  <c r="E112" i="24"/>
  <c r="D110" i="24"/>
  <c r="D112" i="24"/>
  <c r="C110" i="24"/>
  <c r="C111" i="24" s="1"/>
  <c r="B110" i="24"/>
  <c r="B112" i="24" s="1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Q108" i="24"/>
  <c r="Q27" i="39"/>
  <c r="P108" i="24"/>
  <c r="P27" i="39" s="1"/>
  <c r="O108" i="24"/>
  <c r="N108" i="24"/>
  <c r="N27" i="39" s="1"/>
  <c r="M108" i="24"/>
  <c r="L108" i="24"/>
  <c r="K108" i="24"/>
  <c r="K27" i="39"/>
  <c r="J108" i="24"/>
  <c r="I108" i="24"/>
  <c r="H108" i="24"/>
  <c r="H27" i="39" s="1"/>
  <c r="G108" i="24"/>
  <c r="F108" i="24"/>
  <c r="E108" i="24"/>
  <c r="E27" i="39"/>
  <c r="D108" i="24"/>
  <c r="D27" i="39" s="1"/>
  <c r="C108" i="24"/>
  <c r="B108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2" i="24"/>
  <c r="A27" i="39"/>
  <c r="Q110" i="23"/>
  <c r="Q112" i="23" s="1"/>
  <c r="P110" i="23"/>
  <c r="P112" i="23" s="1"/>
  <c r="O110" i="23"/>
  <c r="O112" i="23"/>
  <c r="N110" i="23"/>
  <c r="N111" i="23" s="1"/>
  <c r="M110" i="23"/>
  <c r="M112" i="23" s="1"/>
  <c r="L110" i="23"/>
  <c r="L112" i="23" s="1"/>
  <c r="K110" i="23"/>
  <c r="K112" i="23" s="1"/>
  <c r="G110" i="23"/>
  <c r="G111" i="23" s="1"/>
  <c r="F110" i="23"/>
  <c r="F111" i="23"/>
  <c r="E110" i="23"/>
  <c r="E112" i="23" s="1"/>
  <c r="D110" i="23"/>
  <c r="D112" i="23" s="1"/>
  <c r="C110" i="23"/>
  <c r="C112" i="23" s="1"/>
  <c r="B110" i="23"/>
  <c r="B112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Q108" i="23"/>
  <c r="Q26" i="39" s="1"/>
  <c r="P108" i="23"/>
  <c r="P26" i="39" s="1"/>
  <c r="O108" i="23"/>
  <c r="N108" i="23"/>
  <c r="N26" i="39" s="1"/>
  <c r="M108" i="23"/>
  <c r="M26" i="39"/>
  <c r="L108" i="23"/>
  <c r="K108" i="23"/>
  <c r="K26" i="39" s="1"/>
  <c r="J108" i="23"/>
  <c r="J26" i="39" s="1"/>
  <c r="I108" i="23"/>
  <c r="H108" i="23"/>
  <c r="H26" i="39" s="1"/>
  <c r="G108" i="23"/>
  <c r="F108" i="23"/>
  <c r="F26" i="39"/>
  <c r="E108" i="23"/>
  <c r="D108" i="23"/>
  <c r="C108" i="23"/>
  <c r="B108" i="23"/>
  <c r="B26" i="39" s="1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Q110" i="22"/>
  <c r="Q111" i="22" s="1"/>
  <c r="P110" i="22"/>
  <c r="P112" i="22" s="1"/>
  <c r="O110" i="22"/>
  <c r="O111" i="22" s="1"/>
  <c r="N110" i="22"/>
  <c r="N111" i="22" s="1"/>
  <c r="M110" i="22"/>
  <c r="M112" i="22" s="1"/>
  <c r="L110" i="22"/>
  <c r="L111" i="22" s="1"/>
  <c r="K110" i="22"/>
  <c r="K112" i="22" s="1"/>
  <c r="F110" i="22"/>
  <c r="F111" i="22" s="1"/>
  <c r="E110" i="22"/>
  <c r="E112" i="22" s="1"/>
  <c r="D110" i="22"/>
  <c r="D112" i="22" s="1"/>
  <c r="C110" i="22"/>
  <c r="C112" i="22" s="1"/>
  <c r="B110" i="22"/>
  <c r="B111" i="22" s="1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Q108" i="22"/>
  <c r="Q25" i="39" s="1"/>
  <c r="P108" i="22"/>
  <c r="P25" i="39" s="1"/>
  <c r="O108" i="22"/>
  <c r="N108" i="22"/>
  <c r="M108" i="22"/>
  <c r="M25" i="39" s="1"/>
  <c r="L108" i="22"/>
  <c r="K108" i="22"/>
  <c r="J108" i="22"/>
  <c r="I108" i="22"/>
  <c r="H108" i="22"/>
  <c r="H25" i="39" s="1"/>
  <c r="G108" i="22"/>
  <c r="G25" i="39" s="1"/>
  <c r="F108" i="22"/>
  <c r="F25" i="39" s="1"/>
  <c r="E108" i="22"/>
  <c r="D108" i="22"/>
  <c r="C108" i="22"/>
  <c r="B108" i="22"/>
  <c r="B25" i="39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2" i="22"/>
  <c r="A25" i="39" s="1"/>
  <c r="Q110" i="21"/>
  <c r="Q112" i="21" s="1"/>
  <c r="P110" i="21"/>
  <c r="P111" i="21" s="1"/>
  <c r="O110" i="21"/>
  <c r="O112" i="21"/>
  <c r="N110" i="21"/>
  <c r="N112" i="21" s="1"/>
  <c r="M110" i="21"/>
  <c r="M111" i="21" s="1"/>
  <c r="L110" i="21"/>
  <c r="L112" i="21" s="1"/>
  <c r="K110" i="21"/>
  <c r="K111" i="21" s="1"/>
  <c r="G110" i="21"/>
  <c r="G112" i="21" s="1"/>
  <c r="F110" i="21"/>
  <c r="F112" i="21"/>
  <c r="E110" i="21"/>
  <c r="E112" i="21"/>
  <c r="D110" i="21"/>
  <c r="D111" i="21"/>
  <c r="C110" i="21"/>
  <c r="C111" i="21" s="1"/>
  <c r="C112" i="21"/>
  <c r="B110" i="21"/>
  <c r="B111" i="21" s="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Q108" i="21"/>
  <c r="P108" i="21"/>
  <c r="O108" i="21"/>
  <c r="O24" i="39" s="1"/>
  <c r="N108" i="21"/>
  <c r="N24" i="39" s="1"/>
  <c r="M108" i="21"/>
  <c r="M24" i="39" s="1"/>
  <c r="L108" i="21"/>
  <c r="L24" i="39" s="1"/>
  <c r="K108" i="21"/>
  <c r="K24" i="39" s="1"/>
  <c r="J108" i="21"/>
  <c r="J24" i="39"/>
  <c r="I108" i="21"/>
  <c r="I24" i="39" s="1"/>
  <c r="H108" i="21"/>
  <c r="G108" i="21"/>
  <c r="F108" i="21"/>
  <c r="F24" i="39" s="1"/>
  <c r="E108" i="21"/>
  <c r="D108" i="21"/>
  <c r="D24" i="39" s="1"/>
  <c r="C108" i="21"/>
  <c r="C24" i="39" s="1"/>
  <c r="B108" i="21"/>
  <c r="B24" i="39" s="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2" i="21"/>
  <c r="Q110" i="20"/>
  <c r="Q111" i="20" s="1"/>
  <c r="P110" i="20"/>
  <c r="P111" i="20" s="1"/>
  <c r="O110" i="20"/>
  <c r="O112" i="20" s="1"/>
  <c r="N110" i="20"/>
  <c r="N111" i="20"/>
  <c r="M110" i="20"/>
  <c r="M112" i="20" s="1"/>
  <c r="L110" i="20"/>
  <c r="L112" i="20" s="1"/>
  <c r="K110" i="20"/>
  <c r="K112" i="20" s="1"/>
  <c r="G110" i="20"/>
  <c r="G112" i="20" s="1"/>
  <c r="F110" i="20"/>
  <c r="F112" i="20" s="1"/>
  <c r="E110" i="20"/>
  <c r="E111" i="20" s="1"/>
  <c r="D110" i="20"/>
  <c r="D112" i="20" s="1"/>
  <c r="C110" i="20"/>
  <c r="C112" i="20" s="1"/>
  <c r="B110" i="20"/>
  <c r="B112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Q108" i="20"/>
  <c r="P108" i="20"/>
  <c r="O108" i="20"/>
  <c r="N108" i="20"/>
  <c r="M108" i="20"/>
  <c r="L108" i="20"/>
  <c r="K108" i="20"/>
  <c r="J108" i="20"/>
  <c r="J23" i="39" s="1"/>
  <c r="I108" i="20"/>
  <c r="I23" i="39"/>
  <c r="H108" i="20"/>
  <c r="H23" i="39" s="1"/>
  <c r="G108" i="20"/>
  <c r="F108" i="20"/>
  <c r="F23" i="39" s="1"/>
  <c r="E108" i="20"/>
  <c r="D108" i="20"/>
  <c r="D23" i="39" s="1"/>
  <c r="C108" i="20"/>
  <c r="B108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2" i="20"/>
  <c r="A23" i="39" s="1"/>
  <c r="P110" i="19"/>
  <c r="P112" i="19" s="1"/>
  <c r="O110" i="19"/>
  <c r="O112" i="19" s="1"/>
  <c r="N110" i="19"/>
  <c r="N112" i="19" s="1"/>
  <c r="M110" i="19"/>
  <c r="M111" i="19"/>
  <c r="L110" i="19"/>
  <c r="L112" i="19" s="1"/>
  <c r="K110" i="19"/>
  <c r="K111" i="19" s="1"/>
  <c r="G110" i="19"/>
  <c r="G112" i="19" s="1"/>
  <c r="F110" i="19"/>
  <c r="F112" i="19"/>
  <c r="E110" i="19"/>
  <c r="E111" i="19" s="1"/>
  <c r="D110" i="19"/>
  <c r="D112" i="19" s="1"/>
  <c r="C110" i="19"/>
  <c r="C111" i="19"/>
  <c r="B110" i="19"/>
  <c r="B112" i="19" s="1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Q108" i="19"/>
  <c r="P108" i="19"/>
  <c r="P22" i="39" s="1"/>
  <c r="O108" i="19"/>
  <c r="N108" i="19"/>
  <c r="M108" i="19"/>
  <c r="L108" i="19"/>
  <c r="K108" i="19"/>
  <c r="K22" i="39" s="1"/>
  <c r="J108" i="19"/>
  <c r="I108" i="19"/>
  <c r="I22" i="39" s="1"/>
  <c r="H108" i="19"/>
  <c r="G108" i="19"/>
  <c r="F108" i="19"/>
  <c r="F22" i="39" s="1"/>
  <c r="E108" i="19"/>
  <c r="E22" i="39" s="1"/>
  <c r="D108" i="19"/>
  <c r="C108" i="19"/>
  <c r="B108" i="19"/>
  <c r="B22" i="39" s="1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2" i="19"/>
  <c r="A22" i="39" s="1"/>
  <c r="Q110" i="18"/>
  <c r="Q112" i="18" s="1"/>
  <c r="P110" i="18"/>
  <c r="P111" i="18" s="1"/>
  <c r="O110" i="18"/>
  <c r="O111" i="18" s="1"/>
  <c r="N110" i="18"/>
  <c r="N112" i="18" s="1"/>
  <c r="M110" i="18"/>
  <c r="M111" i="18" s="1"/>
  <c r="L110" i="18"/>
  <c r="L112" i="18" s="1"/>
  <c r="K110" i="18"/>
  <c r="K112" i="18" s="1"/>
  <c r="J111" i="18"/>
  <c r="I112" i="18"/>
  <c r="H111" i="18"/>
  <c r="G111" i="18"/>
  <c r="F110" i="18"/>
  <c r="F112" i="18" s="1"/>
  <c r="E110" i="18"/>
  <c r="E112" i="18" s="1"/>
  <c r="D110" i="18"/>
  <c r="D112" i="18" s="1"/>
  <c r="C110" i="18"/>
  <c r="C111" i="18" s="1"/>
  <c r="B110" i="18"/>
  <c r="B111" i="18" s="1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Q108" i="18"/>
  <c r="P108" i="18"/>
  <c r="O108" i="18"/>
  <c r="O21" i="39" s="1"/>
  <c r="N108" i="18"/>
  <c r="M108" i="18"/>
  <c r="M21" i="39"/>
  <c r="L108" i="18"/>
  <c r="L21" i="39" s="1"/>
  <c r="K108" i="18"/>
  <c r="J108" i="18"/>
  <c r="I108" i="18"/>
  <c r="I21" i="39" s="1"/>
  <c r="H108" i="18"/>
  <c r="H21" i="39" s="1"/>
  <c r="G108" i="18"/>
  <c r="F108" i="18"/>
  <c r="E108" i="18"/>
  <c r="E21" i="39" s="1"/>
  <c r="D108" i="18"/>
  <c r="D21" i="39" s="1"/>
  <c r="C108" i="18"/>
  <c r="B108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2" i="18"/>
  <c r="P110" i="17"/>
  <c r="P111" i="17" s="1"/>
  <c r="O110" i="17"/>
  <c r="O112" i="17" s="1"/>
  <c r="N110" i="17"/>
  <c r="N111" i="17" s="1"/>
  <c r="M110" i="17"/>
  <c r="M112" i="17"/>
  <c r="L110" i="17"/>
  <c r="L111" i="17" s="1"/>
  <c r="K110" i="17"/>
  <c r="K111" i="17" s="1"/>
  <c r="G110" i="17"/>
  <c r="G112" i="17" s="1"/>
  <c r="F110" i="17"/>
  <c r="F111" i="17" s="1"/>
  <c r="E110" i="17"/>
  <c r="E112" i="17" s="1"/>
  <c r="D110" i="17"/>
  <c r="D111" i="17" s="1"/>
  <c r="C110" i="17"/>
  <c r="C111" i="17" s="1"/>
  <c r="B110" i="17"/>
  <c r="B112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Q108" i="17"/>
  <c r="Q20" i="39" s="1"/>
  <c r="P108" i="17"/>
  <c r="O108" i="17"/>
  <c r="O20" i="39" s="1"/>
  <c r="N108" i="17"/>
  <c r="N20" i="39" s="1"/>
  <c r="M108" i="17"/>
  <c r="L108" i="17"/>
  <c r="L20" i="39" s="1"/>
  <c r="K108" i="17"/>
  <c r="K20" i="39" s="1"/>
  <c r="J108" i="17"/>
  <c r="J20" i="39"/>
  <c r="I108" i="17"/>
  <c r="I20" i="39" s="1"/>
  <c r="H108" i="17"/>
  <c r="H20" i="39" s="1"/>
  <c r="G108" i="17"/>
  <c r="G20" i="39" s="1"/>
  <c r="F108" i="17"/>
  <c r="F20" i="39" s="1"/>
  <c r="E108" i="17"/>
  <c r="D108" i="17"/>
  <c r="C108" i="17"/>
  <c r="C20" i="39" s="1"/>
  <c r="B108" i="17"/>
  <c r="B20" i="39" s="1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2" i="17"/>
  <c r="Q111" i="16"/>
  <c r="P110" i="16"/>
  <c r="P112" i="16" s="1"/>
  <c r="O110" i="16"/>
  <c r="O112" i="16" s="1"/>
  <c r="N110" i="16"/>
  <c r="N112" i="16" s="1"/>
  <c r="M110" i="16"/>
  <c r="M112" i="16" s="1"/>
  <c r="L110" i="16"/>
  <c r="L112" i="16" s="1"/>
  <c r="K110" i="16"/>
  <c r="K112" i="16" s="1"/>
  <c r="G110" i="16"/>
  <c r="G111" i="16" s="1"/>
  <c r="F110" i="16"/>
  <c r="F112" i="16" s="1"/>
  <c r="E110" i="16"/>
  <c r="E112" i="16" s="1"/>
  <c r="D110" i="16"/>
  <c r="D112" i="16" s="1"/>
  <c r="C110" i="16"/>
  <c r="C112" i="16"/>
  <c r="B110" i="16"/>
  <c r="B112" i="16" s="1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Q108" i="16"/>
  <c r="Q19" i="39" s="1"/>
  <c r="P108" i="16"/>
  <c r="P19" i="39" s="1"/>
  <c r="O108" i="16"/>
  <c r="O19" i="39" s="1"/>
  <c r="N108" i="16"/>
  <c r="M108" i="16"/>
  <c r="M19" i="39"/>
  <c r="L108" i="16"/>
  <c r="K108" i="16"/>
  <c r="J108" i="16"/>
  <c r="J19" i="39" s="1"/>
  <c r="I108" i="16"/>
  <c r="I19" i="39" s="1"/>
  <c r="H108" i="16"/>
  <c r="H19" i="39" s="1"/>
  <c r="G108" i="16"/>
  <c r="F108" i="16"/>
  <c r="E108" i="16"/>
  <c r="E19" i="39" s="1"/>
  <c r="D108" i="16"/>
  <c r="D19" i="39" s="1"/>
  <c r="C108" i="16"/>
  <c r="C19" i="39" s="1"/>
  <c r="B108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2" i="16"/>
  <c r="A19" i="39" s="1"/>
  <c r="P110" i="15"/>
  <c r="P112" i="15" s="1"/>
  <c r="O110" i="15"/>
  <c r="O112" i="15" s="1"/>
  <c r="N110" i="15"/>
  <c r="N111" i="15" s="1"/>
  <c r="M110" i="15"/>
  <c r="M112" i="15"/>
  <c r="L110" i="15"/>
  <c r="L111" i="15" s="1"/>
  <c r="K110" i="15"/>
  <c r="K112" i="15" s="1"/>
  <c r="G110" i="15"/>
  <c r="G111" i="15" s="1"/>
  <c r="F110" i="15"/>
  <c r="F112" i="15" s="1"/>
  <c r="E110" i="15"/>
  <c r="E112" i="15" s="1"/>
  <c r="D110" i="15"/>
  <c r="D112" i="15" s="1"/>
  <c r="C110" i="15"/>
  <c r="C112" i="15" s="1"/>
  <c r="B110" i="15"/>
  <c r="B112" i="15" s="1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Q108" i="15"/>
  <c r="Q18" i="39"/>
  <c r="P108" i="15"/>
  <c r="P18" i="39" s="1"/>
  <c r="O108" i="15"/>
  <c r="N108" i="15"/>
  <c r="N18" i="39" s="1"/>
  <c r="M108" i="15"/>
  <c r="M18" i="39" s="1"/>
  <c r="L108" i="15"/>
  <c r="K108" i="15"/>
  <c r="K18" i="39" s="1"/>
  <c r="J108" i="15"/>
  <c r="J18" i="39" s="1"/>
  <c r="I108" i="15"/>
  <c r="H108" i="15"/>
  <c r="H18" i="39" s="1"/>
  <c r="G108" i="15"/>
  <c r="F108" i="15"/>
  <c r="E108" i="15"/>
  <c r="D108" i="15"/>
  <c r="C108" i="15"/>
  <c r="C18" i="39" s="1"/>
  <c r="B108" i="15"/>
  <c r="B18" i="39" s="1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2" i="15"/>
  <c r="A18" i="39" s="1"/>
  <c r="P110" i="14"/>
  <c r="P112" i="14" s="1"/>
  <c r="O110" i="14"/>
  <c r="O111" i="14" s="1"/>
  <c r="N110" i="14"/>
  <c r="N112" i="14" s="1"/>
  <c r="M110" i="14"/>
  <c r="M112" i="14" s="1"/>
  <c r="L110" i="14"/>
  <c r="L112" i="14" s="1"/>
  <c r="K110" i="14"/>
  <c r="K111" i="14" s="1"/>
  <c r="G110" i="14"/>
  <c r="G112" i="14" s="1"/>
  <c r="F110" i="14"/>
  <c r="F111" i="14" s="1"/>
  <c r="E110" i="14"/>
  <c r="E112" i="14" s="1"/>
  <c r="D110" i="14"/>
  <c r="D112" i="14" s="1"/>
  <c r="C110" i="14"/>
  <c r="C112" i="14"/>
  <c r="B110" i="14"/>
  <c r="B111" i="14" s="1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Q108" i="14"/>
  <c r="P108" i="14"/>
  <c r="O108" i="14"/>
  <c r="O17" i="39" s="1"/>
  <c r="N108" i="14"/>
  <c r="N17" i="39" s="1"/>
  <c r="M108" i="14"/>
  <c r="L108" i="14"/>
  <c r="K108" i="14"/>
  <c r="K17" i="39" s="1"/>
  <c r="J108" i="14"/>
  <c r="I108" i="14"/>
  <c r="I17" i="39" s="1"/>
  <c r="H108" i="14"/>
  <c r="G108" i="14"/>
  <c r="G17" i="39" s="1"/>
  <c r="F108" i="14"/>
  <c r="F17" i="39" s="1"/>
  <c r="E108" i="14"/>
  <c r="D108" i="14"/>
  <c r="D17" i="39" s="1"/>
  <c r="C108" i="14"/>
  <c r="C17" i="39" s="1"/>
  <c r="B108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2" i="14"/>
  <c r="Q110" i="13"/>
  <c r="Q112" i="13" s="1"/>
  <c r="P110" i="13"/>
  <c r="P112" i="13" s="1"/>
  <c r="O110" i="13"/>
  <c r="O111" i="13"/>
  <c r="N110" i="13"/>
  <c r="N112" i="13" s="1"/>
  <c r="M110" i="13"/>
  <c r="M111" i="13" s="1"/>
  <c r="L110" i="13"/>
  <c r="L112" i="13" s="1"/>
  <c r="K110" i="13"/>
  <c r="K112" i="13" s="1"/>
  <c r="G110" i="13"/>
  <c r="G111" i="13" s="1"/>
  <c r="F110" i="13"/>
  <c r="F112" i="13" s="1"/>
  <c r="E110" i="13"/>
  <c r="E112" i="13" s="1"/>
  <c r="D110" i="13"/>
  <c r="D111" i="13"/>
  <c r="C110" i="13"/>
  <c r="C112" i="13" s="1"/>
  <c r="B110" i="13"/>
  <c r="B111" i="13" s="1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Q108" i="13"/>
  <c r="P108" i="13"/>
  <c r="O108" i="13"/>
  <c r="O16" i="39" s="1"/>
  <c r="N108" i="13"/>
  <c r="N16" i="39" s="1"/>
  <c r="M108" i="13"/>
  <c r="L108" i="13"/>
  <c r="K108" i="13"/>
  <c r="J108" i="13"/>
  <c r="J16" i="39" s="1"/>
  <c r="I108" i="13"/>
  <c r="H108" i="13"/>
  <c r="H16" i="39" s="1"/>
  <c r="G108" i="13"/>
  <c r="G16" i="39" s="1"/>
  <c r="F108" i="13"/>
  <c r="E108" i="13"/>
  <c r="D108" i="13"/>
  <c r="C108" i="13"/>
  <c r="B108" i="13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2" i="13"/>
  <c r="A16" i="39"/>
  <c r="Q110" i="12"/>
  <c r="Q112" i="12" s="1"/>
  <c r="P110" i="12"/>
  <c r="P112" i="12" s="1"/>
  <c r="O110" i="12"/>
  <c r="O111" i="12" s="1"/>
  <c r="N110" i="12"/>
  <c r="N112" i="12" s="1"/>
  <c r="M110" i="12"/>
  <c r="M111" i="12" s="1"/>
  <c r="L110" i="12"/>
  <c r="L112" i="12" s="1"/>
  <c r="K110" i="12"/>
  <c r="K111" i="12" s="1"/>
  <c r="G111" i="12"/>
  <c r="E110" i="12"/>
  <c r="E112" i="12" s="1"/>
  <c r="D110" i="12"/>
  <c r="D112" i="12" s="1"/>
  <c r="C110" i="12"/>
  <c r="C112" i="12" s="1"/>
  <c r="B110" i="12"/>
  <c r="B112" i="12" s="1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Q108" i="12"/>
  <c r="Q15" i="39" s="1"/>
  <c r="P108" i="12"/>
  <c r="O108" i="12"/>
  <c r="O15" i="39" s="1"/>
  <c r="N108" i="12"/>
  <c r="M108" i="12"/>
  <c r="M15" i="39" s="1"/>
  <c r="L108" i="12"/>
  <c r="L15" i="39" s="1"/>
  <c r="K108" i="12"/>
  <c r="K15" i="39" s="1"/>
  <c r="J108" i="12"/>
  <c r="I108" i="12"/>
  <c r="I15" i="39" s="1"/>
  <c r="H108" i="12"/>
  <c r="H15" i="39" s="1"/>
  <c r="G108" i="12"/>
  <c r="G15" i="39" s="1"/>
  <c r="F108" i="12"/>
  <c r="E108" i="12"/>
  <c r="E15" i="39"/>
  <c r="D108" i="12"/>
  <c r="D15" i="39" s="1"/>
  <c r="C108" i="12"/>
  <c r="B108" i="12"/>
  <c r="B15" i="39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B2" i="12"/>
  <c r="A15" i="39" s="1"/>
  <c r="Q110" i="11"/>
  <c r="Q111" i="11" s="1"/>
  <c r="P110" i="11"/>
  <c r="P112" i="11" s="1"/>
  <c r="O110" i="11"/>
  <c r="O112" i="11" s="1"/>
  <c r="N110" i="11"/>
  <c r="N112" i="11" s="1"/>
  <c r="M110" i="11"/>
  <c r="M112" i="11" s="1"/>
  <c r="L110" i="11"/>
  <c r="L112" i="11" s="1"/>
  <c r="K110" i="11"/>
  <c r="K112" i="11" s="1"/>
  <c r="F110" i="11"/>
  <c r="F111" i="11" s="1"/>
  <c r="E110" i="11"/>
  <c r="E112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Q108" i="11"/>
  <c r="Q14" i="39" s="1"/>
  <c r="P108" i="11"/>
  <c r="P14" i="39" s="1"/>
  <c r="O108" i="11"/>
  <c r="O14" i="39" s="1"/>
  <c r="N108" i="11"/>
  <c r="N14" i="39" s="1"/>
  <c r="M108" i="11"/>
  <c r="M14" i="39" s="1"/>
  <c r="L108" i="11"/>
  <c r="K108" i="11"/>
  <c r="K14" i="39" s="1"/>
  <c r="J108" i="11"/>
  <c r="J14" i="39" s="1"/>
  <c r="I108" i="11"/>
  <c r="I14" i="39" s="1"/>
  <c r="H108" i="11"/>
  <c r="G108" i="11"/>
  <c r="G14" i="39" s="1"/>
  <c r="F108" i="11"/>
  <c r="F14" i="39" s="1"/>
  <c r="E108" i="11"/>
  <c r="D108" i="11"/>
  <c r="C108" i="11"/>
  <c r="C14" i="39" s="1"/>
  <c r="B108" i="11"/>
  <c r="B14" i="39" s="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B2" i="11"/>
  <c r="A14" i="39" s="1"/>
  <c r="Q110" i="10"/>
  <c r="Q111" i="10" s="1"/>
  <c r="P110" i="10"/>
  <c r="P112" i="10" s="1"/>
  <c r="O110" i="10"/>
  <c r="O111" i="10" s="1"/>
  <c r="N110" i="10"/>
  <c r="N112" i="10" s="1"/>
  <c r="M110" i="10"/>
  <c r="M111" i="10" s="1"/>
  <c r="L110" i="10"/>
  <c r="L111" i="10" s="1"/>
  <c r="K110" i="10"/>
  <c r="K112" i="10" s="1"/>
  <c r="G110" i="10"/>
  <c r="G112" i="10"/>
  <c r="F110" i="10"/>
  <c r="F111" i="10" s="1"/>
  <c r="E110" i="10"/>
  <c r="E112" i="10" s="1"/>
  <c r="D110" i="10"/>
  <c r="D112" i="10" s="1"/>
  <c r="C110" i="10"/>
  <c r="C112" i="10" s="1"/>
  <c r="B110" i="10"/>
  <c r="B112" i="10" s="1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Q108" i="10"/>
  <c r="Q13" i="39" s="1"/>
  <c r="P108" i="10"/>
  <c r="O108" i="10"/>
  <c r="O13" i="39" s="1"/>
  <c r="N108" i="10"/>
  <c r="N13" i="39" s="1"/>
  <c r="M108" i="10"/>
  <c r="M13" i="39" s="1"/>
  <c r="L108" i="10"/>
  <c r="L13" i="39" s="1"/>
  <c r="K108" i="10"/>
  <c r="K13" i="39" s="1"/>
  <c r="J108" i="10"/>
  <c r="I108" i="10"/>
  <c r="I13" i="39" s="1"/>
  <c r="H108" i="10"/>
  <c r="H13" i="39" s="1"/>
  <c r="G108" i="10"/>
  <c r="G13" i="39"/>
  <c r="F108" i="10"/>
  <c r="F13" i="39" s="1"/>
  <c r="E108" i="10"/>
  <c r="E13" i="39" s="1"/>
  <c r="D108" i="10"/>
  <c r="C108" i="10"/>
  <c r="C13" i="39" s="1"/>
  <c r="B108" i="10"/>
  <c r="B13" i="39" s="1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B2" i="10"/>
  <c r="A13" i="39" s="1"/>
  <c r="Q110" i="9"/>
  <c r="Q111" i="9" s="1"/>
  <c r="P110" i="9"/>
  <c r="P112" i="9" s="1"/>
  <c r="O110" i="9"/>
  <c r="O112" i="9" s="1"/>
  <c r="N110" i="9"/>
  <c r="N112" i="9" s="1"/>
  <c r="M110" i="9"/>
  <c r="M112" i="9" s="1"/>
  <c r="L110" i="9"/>
  <c r="L112" i="9" s="1"/>
  <c r="K110" i="9"/>
  <c r="K112" i="9" s="1"/>
  <c r="G110" i="9"/>
  <c r="G112" i="9" s="1"/>
  <c r="F110" i="9"/>
  <c r="F111" i="9" s="1"/>
  <c r="E110" i="9"/>
  <c r="E112" i="9" s="1"/>
  <c r="D110" i="9"/>
  <c r="D111" i="9"/>
  <c r="C110" i="9"/>
  <c r="C112" i="9" s="1"/>
  <c r="B110" i="9"/>
  <c r="B111" i="9" s="1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Q108" i="9"/>
  <c r="P108" i="9"/>
  <c r="P12" i="39" s="1"/>
  <c r="O108" i="9"/>
  <c r="O12" i="39" s="1"/>
  <c r="N108" i="9"/>
  <c r="N12" i="39" s="1"/>
  <c r="M108" i="9"/>
  <c r="M12" i="39" s="1"/>
  <c r="L108" i="9"/>
  <c r="K108" i="9"/>
  <c r="J108" i="9"/>
  <c r="J12" i="39" s="1"/>
  <c r="I108" i="9"/>
  <c r="I12" i="39" s="1"/>
  <c r="H108" i="9"/>
  <c r="H12" i="39" s="1"/>
  <c r="G108" i="9"/>
  <c r="G12" i="39" s="1"/>
  <c r="F108" i="9"/>
  <c r="F12" i="39" s="1"/>
  <c r="E108" i="9"/>
  <c r="E12" i="39" s="1"/>
  <c r="D108" i="9"/>
  <c r="C108" i="9"/>
  <c r="C12" i="39" s="1"/>
  <c r="B108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B2" i="9"/>
  <c r="A12" i="39" s="1"/>
  <c r="N112" i="8"/>
  <c r="M112" i="8"/>
  <c r="D112" i="8"/>
  <c r="C112" i="8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Q108" i="8"/>
  <c r="Q11" i="39" s="1"/>
  <c r="P108" i="8"/>
  <c r="P11" i="39" s="1"/>
  <c r="O108" i="8"/>
  <c r="O11" i="39" s="1"/>
  <c r="N108" i="8"/>
  <c r="M108" i="8"/>
  <c r="M11" i="39"/>
  <c r="L108" i="8"/>
  <c r="L11" i="39" s="1"/>
  <c r="K108" i="8"/>
  <c r="K11" i="39" s="1"/>
  <c r="J108" i="8"/>
  <c r="J11" i="39" s="1"/>
  <c r="I108" i="8"/>
  <c r="I11" i="39" s="1"/>
  <c r="H108" i="8"/>
  <c r="H11" i="39" s="1"/>
  <c r="G108" i="8"/>
  <c r="G11" i="39" s="1"/>
  <c r="F108" i="8"/>
  <c r="F11" i="39" s="1"/>
  <c r="E108" i="8"/>
  <c r="E11" i="39" s="1"/>
  <c r="D108" i="8"/>
  <c r="D11" i="39" s="1"/>
  <c r="C108" i="8"/>
  <c r="C11" i="39" s="1"/>
  <c r="B108" i="8"/>
  <c r="B11" i="39" s="1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B2" i="8"/>
  <c r="A11" i="39" s="1"/>
  <c r="Q112" i="3"/>
  <c r="P112" i="3"/>
  <c r="O112" i="3"/>
  <c r="B112" i="3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Q108" i="3"/>
  <c r="Q10" i="39" s="1"/>
  <c r="P108" i="3"/>
  <c r="O108" i="3"/>
  <c r="N108" i="3"/>
  <c r="N10" i="39" s="1"/>
  <c r="M108" i="3"/>
  <c r="M10" i="39" s="1"/>
  <c r="L108" i="3"/>
  <c r="L10" i="39" s="1"/>
  <c r="K108" i="3"/>
  <c r="K10" i="39" s="1"/>
  <c r="J108" i="3"/>
  <c r="J10" i="39" s="1"/>
  <c r="I108" i="3"/>
  <c r="I10" i="39" s="1"/>
  <c r="H108" i="3"/>
  <c r="H10" i="39" s="1"/>
  <c r="G108" i="3"/>
  <c r="G10" i="39" s="1"/>
  <c r="F108" i="3"/>
  <c r="F10" i="39" s="1"/>
  <c r="E108" i="3"/>
  <c r="E10" i="39" s="1"/>
  <c r="D108" i="3"/>
  <c r="D10" i="39" s="1"/>
  <c r="C108" i="3"/>
  <c r="C10" i="39" s="1"/>
  <c r="B108" i="3"/>
  <c r="B10" i="39" s="1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B2" i="3"/>
  <c r="A10" i="39" s="1"/>
  <c r="A34" i="39"/>
  <c r="J27" i="39"/>
  <c r="I27" i="39"/>
  <c r="F27" i="39"/>
  <c r="C27" i="39"/>
  <c r="N109" i="2"/>
  <c r="O109" i="2"/>
  <c r="P109" i="2"/>
  <c r="N108" i="2"/>
  <c r="N9" i="39" s="1"/>
  <c r="O108" i="2"/>
  <c r="O9" i="39" s="1"/>
  <c r="P108" i="2"/>
  <c r="P9" i="39" s="1"/>
  <c r="N107" i="2"/>
  <c r="O107" i="2"/>
  <c r="P107" i="2"/>
  <c r="N106" i="2"/>
  <c r="O106" i="2"/>
  <c r="P106" i="2"/>
  <c r="K107" i="6"/>
  <c r="J107" i="6"/>
  <c r="I107" i="6"/>
  <c r="K87" i="6"/>
  <c r="J87" i="6"/>
  <c r="K67" i="6"/>
  <c r="J67" i="6"/>
  <c r="K47" i="6"/>
  <c r="J47" i="6"/>
  <c r="K27" i="6"/>
  <c r="J27" i="6"/>
  <c r="K8" i="6"/>
  <c r="J8" i="6"/>
  <c r="N21" i="39"/>
  <c r="K35" i="39"/>
  <c r="D35" i="39"/>
  <c r="B35" i="39"/>
  <c r="K92" i="6"/>
  <c r="J92" i="6"/>
  <c r="K51" i="6"/>
  <c r="J51" i="6"/>
  <c r="K50" i="6"/>
  <c r="J50" i="6"/>
  <c r="K91" i="6"/>
  <c r="J91" i="6"/>
  <c r="K90" i="6"/>
  <c r="J90" i="6"/>
  <c r="B112" i="2"/>
  <c r="D112" i="2"/>
  <c r="O112" i="2"/>
  <c r="Q112" i="2"/>
  <c r="T40" i="6"/>
  <c r="T21" i="6"/>
  <c r="K88" i="6"/>
  <c r="J88" i="6"/>
  <c r="K115" i="6"/>
  <c r="J115" i="6"/>
  <c r="I115" i="6"/>
  <c r="L12" i="39"/>
  <c r="D12" i="39"/>
  <c r="J9" i="6"/>
  <c r="K9" i="6"/>
  <c r="J10" i="6"/>
  <c r="K10" i="6"/>
  <c r="J11" i="6"/>
  <c r="K11" i="6"/>
  <c r="J12" i="6"/>
  <c r="K12" i="6"/>
  <c r="J13" i="6"/>
  <c r="K13" i="6"/>
  <c r="J14" i="6"/>
  <c r="K14" i="6"/>
  <c r="P39" i="39"/>
  <c r="O39" i="39"/>
  <c r="M39" i="39"/>
  <c r="L39" i="39"/>
  <c r="J39" i="39"/>
  <c r="H39" i="39"/>
  <c r="G39" i="39"/>
  <c r="F39" i="39"/>
  <c r="E39" i="39"/>
  <c r="C39" i="39"/>
  <c r="O37" i="39"/>
  <c r="N37" i="39"/>
  <c r="J37" i="39"/>
  <c r="C37" i="39"/>
  <c r="B37" i="39"/>
  <c r="A37" i="39"/>
  <c r="A26" i="39"/>
  <c r="C26" i="39"/>
  <c r="D26" i="39"/>
  <c r="I26" i="39"/>
  <c r="L26" i="39"/>
  <c r="O25" i="39"/>
  <c r="N25" i="39"/>
  <c r="L25" i="39"/>
  <c r="K25" i="39"/>
  <c r="J25" i="39"/>
  <c r="E25" i="39"/>
  <c r="D25" i="39"/>
  <c r="C25" i="39"/>
  <c r="Q24" i="39"/>
  <c r="G24" i="39"/>
  <c r="E24" i="39"/>
  <c r="A24" i="39"/>
  <c r="Q23" i="39"/>
  <c r="M23" i="39"/>
  <c r="L23" i="39"/>
  <c r="K23" i="39"/>
  <c r="E23" i="39"/>
  <c r="B23" i="39"/>
  <c r="Q22" i="39"/>
  <c r="N22" i="39"/>
  <c r="M22" i="39"/>
  <c r="L22" i="39"/>
  <c r="G22" i="39"/>
  <c r="C22" i="39"/>
  <c r="Q21" i="39"/>
  <c r="P21" i="39"/>
  <c r="K21" i="39"/>
  <c r="J21" i="39"/>
  <c r="G21" i="39"/>
  <c r="F21" i="39"/>
  <c r="C21" i="39"/>
  <c r="B21" i="39"/>
  <c r="A21" i="39"/>
  <c r="M20" i="39"/>
  <c r="E20" i="39"/>
  <c r="A20" i="39"/>
  <c r="L19" i="39"/>
  <c r="K19" i="39"/>
  <c r="G19" i="39"/>
  <c r="B19" i="39"/>
  <c r="L18" i="39"/>
  <c r="I18" i="39"/>
  <c r="G18" i="39"/>
  <c r="E18" i="39"/>
  <c r="D18" i="39"/>
  <c r="P17" i="39"/>
  <c r="M17" i="39"/>
  <c r="L17" i="39"/>
  <c r="A17" i="39"/>
  <c r="Q16" i="39"/>
  <c r="P16" i="39"/>
  <c r="L16" i="39"/>
  <c r="I16" i="39"/>
  <c r="F16" i="39"/>
  <c r="E16" i="39"/>
  <c r="D16" i="39"/>
  <c r="C16" i="39"/>
  <c r="B16" i="39"/>
  <c r="N15" i="39"/>
  <c r="F15" i="39"/>
  <c r="C15" i="39"/>
  <c r="L14" i="39"/>
  <c r="H14" i="39"/>
  <c r="E14" i="39"/>
  <c r="D14" i="39"/>
  <c r="P13" i="39"/>
  <c r="D13" i="39"/>
  <c r="K12" i="39"/>
  <c r="O10" i="39"/>
  <c r="B106" i="2"/>
  <c r="C106" i="2"/>
  <c r="D106" i="2"/>
  <c r="E106" i="2"/>
  <c r="F106" i="2"/>
  <c r="G106" i="2"/>
  <c r="H106" i="2"/>
  <c r="I106" i="2"/>
  <c r="J106" i="2"/>
  <c r="K106" i="2"/>
  <c r="L106" i="2"/>
  <c r="M106" i="2"/>
  <c r="Q106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Q107" i="2"/>
  <c r="B108" i="2"/>
  <c r="C108" i="2"/>
  <c r="D108" i="2"/>
  <c r="E108" i="2"/>
  <c r="E9" i="39" s="1"/>
  <c r="F108" i="2"/>
  <c r="F9" i="39" s="1"/>
  <c r="G108" i="2"/>
  <c r="G9" i="39" s="1"/>
  <c r="H108" i="2"/>
  <c r="H9" i="39" s="1"/>
  <c r="I108" i="2"/>
  <c r="I9" i="39" s="1"/>
  <c r="J108" i="2"/>
  <c r="J9" i="39" s="1"/>
  <c r="K108" i="2"/>
  <c r="K9" i="39" s="1"/>
  <c r="L108" i="2"/>
  <c r="L9" i="39" s="1"/>
  <c r="M108" i="2"/>
  <c r="M9" i="39" s="1"/>
  <c r="Q108" i="2"/>
  <c r="Q9" i="39" s="1"/>
  <c r="B109" i="2"/>
  <c r="C109" i="2"/>
  <c r="D109" i="2"/>
  <c r="E109" i="2"/>
  <c r="F109" i="2"/>
  <c r="G109" i="2"/>
  <c r="H109" i="2"/>
  <c r="I109" i="2"/>
  <c r="J109" i="2"/>
  <c r="K109" i="2"/>
  <c r="L109" i="2"/>
  <c r="M109" i="2"/>
  <c r="Q109" i="2"/>
  <c r="Q36" i="39"/>
  <c r="N36" i="39"/>
  <c r="K36" i="39"/>
  <c r="H36" i="39"/>
  <c r="E36" i="39"/>
  <c r="D36" i="39"/>
  <c r="C36" i="39"/>
  <c r="A36" i="39"/>
  <c r="P35" i="39"/>
  <c r="G35" i="39"/>
  <c r="C35" i="39"/>
  <c r="M34" i="39"/>
  <c r="K34" i="39"/>
  <c r="J34" i="39"/>
  <c r="H34" i="39"/>
  <c r="F34" i="39"/>
  <c r="L33" i="39"/>
  <c r="J33" i="39"/>
  <c r="I33" i="39"/>
  <c r="H33" i="39"/>
  <c r="F33" i="39"/>
  <c r="B33" i="39"/>
  <c r="Q32" i="39"/>
  <c r="O32" i="39"/>
  <c r="N32" i="39"/>
  <c r="K32" i="39"/>
  <c r="G32" i="39"/>
  <c r="F32" i="39"/>
  <c r="E32" i="39"/>
  <c r="B32" i="39"/>
  <c r="M31" i="39"/>
  <c r="J31" i="39"/>
  <c r="I31" i="39"/>
  <c r="F31" i="39"/>
  <c r="P30" i="39"/>
  <c r="M30" i="39"/>
  <c r="L30" i="39"/>
  <c r="I30" i="39"/>
  <c r="F30" i="39"/>
  <c r="C30" i="39"/>
  <c r="B30" i="39"/>
  <c r="Q29" i="39"/>
  <c r="M29" i="39"/>
  <c r="K29" i="39"/>
  <c r="I29" i="39"/>
  <c r="H29" i="39"/>
  <c r="G29" i="39"/>
  <c r="F29" i="39"/>
  <c r="E29" i="39"/>
  <c r="P28" i="39"/>
  <c r="N28" i="39"/>
  <c r="M28" i="39"/>
  <c r="L28" i="39"/>
  <c r="I28" i="39"/>
  <c r="G28" i="39"/>
  <c r="B28" i="39"/>
  <c r="O27" i="39"/>
  <c r="M27" i="39"/>
  <c r="L27" i="39"/>
  <c r="G27" i="39"/>
  <c r="B27" i="39"/>
  <c r="O26" i="39"/>
  <c r="G26" i="39"/>
  <c r="I25" i="39"/>
  <c r="P24" i="39"/>
  <c r="H24" i="39"/>
  <c r="N23" i="39"/>
  <c r="C23" i="39"/>
  <c r="O22" i="39"/>
  <c r="D22" i="39"/>
  <c r="P20" i="39"/>
  <c r="D20" i="39"/>
  <c r="F18" i="39"/>
  <c r="E17" i="39"/>
  <c r="M16" i="39"/>
  <c r="K16" i="39"/>
  <c r="J15" i="39"/>
  <c r="Q12" i="39"/>
  <c r="B12" i="39"/>
  <c r="N11" i="39"/>
  <c r="P10" i="39"/>
  <c r="P36" i="39"/>
  <c r="E34" i="39"/>
  <c r="E26" i="39"/>
  <c r="P23" i="39"/>
  <c r="Q17" i="39"/>
  <c r="P15" i="39"/>
  <c r="B2" i="2"/>
  <c r="A9" i="39" s="1"/>
  <c r="B2" i="39" s="1"/>
  <c r="K49" i="6"/>
  <c r="J49" i="6"/>
  <c r="K48" i="6"/>
  <c r="J48" i="6"/>
  <c r="I108" i="6"/>
  <c r="J108" i="6"/>
  <c r="K108" i="6"/>
  <c r="I109" i="6"/>
  <c r="J109" i="6"/>
  <c r="K109" i="6"/>
  <c r="I110" i="6"/>
  <c r="J110" i="6"/>
  <c r="K110" i="6"/>
  <c r="I111" i="6"/>
  <c r="J111" i="6"/>
  <c r="K111" i="6"/>
  <c r="I112" i="6"/>
  <c r="J112" i="6"/>
  <c r="K112" i="6"/>
  <c r="J89" i="6"/>
  <c r="K89" i="6"/>
  <c r="J68" i="6"/>
  <c r="K68" i="6"/>
  <c r="J69" i="6"/>
  <c r="K69" i="6"/>
  <c r="J70" i="6"/>
  <c r="K70" i="6"/>
  <c r="J71" i="6"/>
  <c r="K71" i="6"/>
  <c r="J36" i="39"/>
  <c r="B36" i="39"/>
  <c r="G34" i="39"/>
  <c r="J32" i="39"/>
  <c r="H32" i="39"/>
  <c r="N29" i="39"/>
  <c r="J28" i="39"/>
  <c r="O23" i="39"/>
  <c r="G23" i="39"/>
  <c r="J41" i="6"/>
  <c r="I113" i="6"/>
  <c r="I114" i="6"/>
  <c r="J113" i="6"/>
  <c r="K113" i="6"/>
  <c r="J114" i="6"/>
  <c r="K114" i="6"/>
  <c r="J72" i="6"/>
  <c r="K72" i="6"/>
  <c r="J73" i="6"/>
  <c r="K73" i="6"/>
  <c r="J29" i="6"/>
  <c r="K29" i="6"/>
  <c r="J30" i="6"/>
  <c r="K30" i="6"/>
  <c r="J31" i="6"/>
  <c r="K31" i="6"/>
  <c r="J32" i="6"/>
  <c r="K32" i="6"/>
  <c r="J33" i="6"/>
  <c r="K33" i="6"/>
  <c r="G33" i="39"/>
  <c r="N31" i="39"/>
  <c r="J22" i="39"/>
  <c r="N19" i="39"/>
  <c r="F19" i="39"/>
  <c r="O18" i="39"/>
  <c r="J17" i="39"/>
  <c r="H17" i="39"/>
  <c r="B17" i="39"/>
  <c r="K28" i="6"/>
  <c r="J28" i="6"/>
  <c r="J13" i="39"/>
  <c r="D9" i="5"/>
  <c r="D10" i="5"/>
  <c r="I119" i="6"/>
  <c r="J101" i="6"/>
  <c r="J81" i="6"/>
  <c r="J61" i="6"/>
  <c r="I21" i="6"/>
  <c r="D8" i="5"/>
  <c r="D24" i="5" s="1"/>
  <c r="D20" i="5"/>
  <c r="D21" i="5"/>
  <c r="D22" i="5"/>
  <c r="D23" i="5"/>
  <c r="D11" i="5"/>
  <c r="D12" i="5"/>
  <c r="D13" i="5"/>
  <c r="D14" i="5"/>
  <c r="D44" i="5" s="1"/>
  <c r="D15" i="5"/>
  <c r="D16" i="5"/>
  <c r="D17" i="5"/>
  <c r="D18" i="5"/>
  <c r="D19" i="5"/>
  <c r="H22" i="39"/>
  <c r="O111" i="41"/>
  <c r="M111" i="41"/>
  <c r="K111" i="41"/>
  <c r="G111" i="41"/>
  <c r="F111" i="41"/>
  <c r="D111" i="41"/>
  <c r="C111" i="41"/>
  <c r="B111" i="41"/>
  <c r="Q111" i="40"/>
  <c r="O111" i="40"/>
  <c r="M111" i="40"/>
  <c r="G111" i="40"/>
  <c r="F111" i="40"/>
  <c r="B111" i="40"/>
  <c r="P111" i="33"/>
  <c r="O111" i="33"/>
  <c r="M111" i="33"/>
  <c r="L111" i="33"/>
  <c r="F111" i="33"/>
  <c r="D111" i="33"/>
  <c r="C111" i="33"/>
  <c r="Q111" i="32"/>
  <c r="O111" i="32"/>
  <c r="M111" i="32"/>
  <c r="F111" i="32"/>
  <c r="D111" i="32"/>
  <c r="N111" i="31"/>
  <c r="L111" i="31"/>
  <c r="F111" i="31"/>
  <c r="E111" i="31"/>
  <c r="D111" i="31"/>
  <c r="C111" i="31"/>
  <c r="B111" i="31"/>
  <c r="O111" i="30"/>
  <c r="N111" i="30"/>
  <c r="M111" i="30"/>
  <c r="L111" i="30"/>
  <c r="D111" i="30"/>
  <c r="B111" i="30"/>
  <c r="P111" i="29"/>
  <c r="N111" i="29"/>
  <c r="M111" i="29"/>
  <c r="D111" i="29"/>
  <c r="C111" i="29"/>
  <c r="B111" i="29"/>
  <c r="N111" i="28"/>
  <c r="M111" i="28"/>
  <c r="L111" i="28"/>
  <c r="G111" i="28"/>
  <c r="E111" i="28"/>
  <c r="D111" i="28"/>
  <c r="C111" i="28"/>
  <c r="P111" i="27"/>
  <c r="N111" i="27"/>
  <c r="M111" i="27"/>
  <c r="E111" i="27"/>
  <c r="L111" i="26"/>
  <c r="K111" i="26"/>
  <c r="P111" i="24"/>
  <c r="O111" i="24"/>
  <c r="M111" i="24"/>
  <c r="L111" i="24"/>
  <c r="Q111" i="24"/>
  <c r="F111" i="24"/>
  <c r="E111" i="24"/>
  <c r="D111" i="24"/>
  <c r="B111" i="24"/>
  <c r="P111" i="23"/>
  <c r="M111" i="23"/>
  <c r="K111" i="23"/>
  <c r="H111" i="23"/>
  <c r="E111" i="23"/>
  <c r="D111" i="23"/>
  <c r="C111" i="23"/>
  <c r="B111" i="23"/>
  <c r="P111" i="22"/>
  <c r="M111" i="22"/>
  <c r="K111" i="22"/>
  <c r="D111" i="22"/>
  <c r="C111" i="22"/>
  <c r="Q111" i="21"/>
  <c r="L111" i="21"/>
  <c r="G111" i="21"/>
  <c r="E111" i="21"/>
  <c r="O111" i="20"/>
  <c r="Q112" i="20"/>
  <c r="M111" i="20"/>
  <c r="L111" i="20"/>
  <c r="K111" i="20"/>
  <c r="G111" i="20"/>
  <c r="F111" i="20"/>
  <c r="D111" i="20"/>
  <c r="B111" i="20"/>
  <c r="P111" i="19"/>
  <c r="N111" i="19"/>
  <c r="L111" i="19"/>
  <c r="H111" i="19"/>
  <c r="F111" i="19"/>
  <c r="B111" i="19"/>
  <c r="Q111" i="18"/>
  <c r="N111" i="18"/>
  <c r="L111" i="18"/>
  <c r="I111" i="18"/>
  <c r="F111" i="18"/>
  <c r="E111" i="18"/>
  <c r="D111" i="18"/>
  <c r="O111" i="17"/>
  <c r="B111" i="17"/>
  <c r="O111" i="16"/>
  <c r="L111" i="16"/>
  <c r="F111" i="16"/>
  <c r="E111" i="16"/>
  <c r="D111" i="16"/>
  <c r="P111" i="15"/>
  <c r="O111" i="15"/>
  <c r="M111" i="15"/>
  <c r="K111" i="15"/>
  <c r="J111" i="15"/>
  <c r="E111" i="15"/>
  <c r="D111" i="15"/>
  <c r="B111" i="15"/>
  <c r="P111" i="14"/>
  <c r="N111" i="14"/>
  <c r="M111" i="14"/>
  <c r="L111" i="14"/>
  <c r="G111" i="14"/>
  <c r="E111" i="14"/>
  <c r="C111" i="14"/>
  <c r="Q111" i="13"/>
  <c r="L111" i="13"/>
  <c r="K111" i="13"/>
  <c r="F111" i="13"/>
  <c r="C111" i="13"/>
  <c r="Q111" i="12"/>
  <c r="N111" i="12"/>
  <c r="L111" i="12"/>
  <c r="E111" i="12"/>
  <c r="C111" i="12"/>
  <c r="B111" i="12"/>
  <c r="O111" i="11"/>
  <c r="N111" i="11"/>
  <c r="M111" i="11"/>
  <c r="L111" i="11"/>
  <c r="K111" i="11"/>
  <c r="E111" i="11"/>
  <c r="P111" i="10"/>
  <c r="K111" i="10"/>
  <c r="G111" i="10"/>
  <c r="C111" i="10"/>
  <c r="B111" i="10"/>
  <c r="P111" i="9"/>
  <c r="N111" i="9"/>
  <c r="M111" i="9"/>
  <c r="K111" i="9"/>
  <c r="E111" i="9"/>
  <c r="M111" i="8"/>
  <c r="E111" i="8"/>
  <c r="D111" i="8"/>
  <c r="C111" i="8"/>
  <c r="Q111" i="3"/>
  <c r="P111" i="3"/>
  <c r="O111" i="3"/>
  <c r="H111" i="3"/>
  <c r="G111" i="3"/>
  <c r="C112" i="30"/>
  <c r="D112" i="3"/>
  <c r="K112" i="2"/>
  <c r="G111" i="2"/>
  <c r="D111" i="2"/>
  <c r="L112" i="10"/>
  <c r="M112" i="10"/>
  <c r="E111" i="10"/>
  <c r="L111" i="9"/>
  <c r="G111" i="9"/>
  <c r="E112" i="2"/>
  <c r="C112" i="2"/>
  <c r="N111" i="2"/>
  <c r="N112" i="3"/>
  <c r="I112" i="2"/>
  <c r="L111" i="2"/>
  <c r="I111" i="3"/>
  <c r="F112" i="3"/>
  <c r="M111" i="3"/>
  <c r="E112" i="3"/>
  <c r="J111" i="10"/>
  <c r="I112" i="9"/>
  <c r="H112" i="9"/>
  <c r="J112" i="8"/>
  <c r="P111" i="8"/>
  <c r="L111" i="8"/>
  <c r="B111" i="8"/>
  <c r="I112" i="8"/>
  <c r="H112" i="8"/>
  <c r="G112" i="8"/>
  <c r="F112" i="8"/>
  <c r="N111" i="8"/>
  <c r="I112" i="13"/>
  <c r="F112" i="12"/>
  <c r="O112" i="12"/>
  <c r="J112" i="11"/>
  <c r="Q112" i="11"/>
  <c r="P111" i="11"/>
  <c r="G111" i="11"/>
  <c r="I112" i="11"/>
  <c r="D111" i="11"/>
  <c r="C111" i="11"/>
  <c r="C111" i="16"/>
  <c r="I112" i="16"/>
  <c r="P111" i="16"/>
  <c r="Q112" i="16"/>
  <c r="Q112" i="15"/>
  <c r="B112" i="14"/>
  <c r="J112" i="14"/>
  <c r="Q111" i="17"/>
  <c r="B112" i="18"/>
  <c r="J112" i="18"/>
  <c r="J111" i="17"/>
  <c r="I112" i="17"/>
  <c r="N112" i="17"/>
  <c r="L112" i="17"/>
  <c r="M111" i="17"/>
  <c r="K112" i="17"/>
  <c r="F112" i="17"/>
  <c r="D112" i="17"/>
  <c r="I112" i="20"/>
  <c r="Q111" i="19"/>
  <c r="J112" i="19"/>
  <c r="E112" i="19"/>
  <c r="M112" i="19"/>
  <c r="C112" i="19"/>
  <c r="P112" i="25"/>
  <c r="N112" i="25"/>
  <c r="J111" i="25"/>
  <c r="H112" i="25"/>
  <c r="F111" i="25"/>
  <c r="B111" i="25"/>
  <c r="Q112" i="25"/>
  <c r="D111" i="25"/>
  <c r="K112" i="25"/>
  <c r="I112" i="25"/>
  <c r="J112" i="24"/>
  <c r="I111" i="24"/>
  <c r="J111" i="23"/>
  <c r="Q111" i="23"/>
  <c r="O111" i="23"/>
  <c r="G112" i="23"/>
  <c r="J111" i="22"/>
  <c r="H111" i="22"/>
  <c r="Q112" i="22"/>
  <c r="O112" i="22"/>
  <c r="J112" i="21"/>
  <c r="P112" i="21"/>
  <c r="D112" i="27"/>
  <c r="C112" i="27"/>
  <c r="Q111" i="27"/>
  <c r="Q112" i="26"/>
  <c r="G111" i="26"/>
  <c r="O111" i="27"/>
  <c r="K111" i="27"/>
  <c r="J111" i="27"/>
  <c r="I111" i="32"/>
  <c r="B112" i="32"/>
  <c r="J112" i="32"/>
  <c r="H112" i="32"/>
  <c r="I112" i="31"/>
  <c r="Q112" i="31"/>
  <c r="G111" i="31"/>
  <c r="P111" i="31"/>
  <c r="H111" i="30"/>
  <c r="I111" i="30"/>
  <c r="J111" i="29"/>
  <c r="I111" i="29"/>
  <c r="H111" i="29"/>
  <c r="O111" i="29"/>
  <c r="G112" i="29"/>
  <c r="I111" i="28"/>
  <c r="B111" i="28"/>
  <c r="J112" i="40"/>
  <c r="H112" i="40"/>
  <c r="I112" i="40"/>
  <c r="D111" i="40"/>
  <c r="G111" i="33"/>
  <c r="J111" i="33"/>
  <c r="J111" i="41"/>
  <c r="H111" i="41"/>
  <c r="Q112" i="41"/>
  <c r="P111" i="2"/>
  <c r="B111" i="2"/>
  <c r="J112" i="3"/>
  <c r="L112" i="3"/>
  <c r="C112" i="3"/>
  <c r="K112" i="8"/>
  <c r="Q112" i="8"/>
  <c r="F112" i="9"/>
  <c r="Q112" i="9"/>
  <c r="D112" i="9"/>
  <c r="O111" i="9"/>
  <c r="D111" i="10"/>
  <c r="O112" i="10"/>
  <c r="H111" i="10"/>
  <c r="M112" i="12"/>
  <c r="K112" i="12"/>
  <c r="D112" i="13"/>
  <c r="O112" i="13"/>
  <c r="B112" i="13"/>
  <c r="M112" i="13"/>
  <c r="H111" i="13"/>
  <c r="F112" i="14"/>
  <c r="O112" i="14"/>
  <c r="G112" i="15"/>
  <c r="H112" i="16"/>
  <c r="B111" i="16"/>
  <c r="M111" i="16"/>
  <c r="K111" i="16"/>
  <c r="M112" i="18"/>
  <c r="C112" i="18"/>
  <c r="K111" i="18"/>
  <c r="K112" i="19"/>
  <c r="C111" i="20"/>
  <c r="H111" i="20"/>
  <c r="N112" i="20"/>
  <c r="F111" i="21"/>
  <c r="D112" i="21"/>
  <c r="O111" i="21"/>
  <c r="I112" i="21"/>
  <c r="L112" i="22"/>
  <c r="F112" i="23"/>
  <c r="G111" i="24"/>
  <c r="O112" i="26"/>
  <c r="M112" i="26"/>
  <c r="F111" i="27"/>
  <c r="P112" i="28"/>
  <c r="F112" i="29"/>
  <c r="Q112" i="29"/>
  <c r="K111" i="30"/>
  <c r="M112" i="31"/>
  <c r="H111" i="31"/>
  <c r="K112" i="31"/>
  <c r="J112" i="31"/>
  <c r="E112" i="32"/>
  <c r="P111" i="32"/>
  <c r="C112" i="32"/>
  <c r="N112" i="32"/>
  <c r="K112" i="33"/>
  <c r="L111" i="40"/>
  <c r="C111" i="26"/>
  <c r="D111" i="26"/>
  <c r="B111" i="26"/>
  <c r="J112" i="26"/>
  <c r="I111" i="26"/>
  <c r="E111" i="26"/>
  <c r="C112" i="25"/>
  <c r="Q111" i="14"/>
  <c r="I112" i="14"/>
  <c r="B112" i="9"/>
  <c r="Q112" i="10"/>
  <c r="F112" i="11"/>
  <c r="K112" i="14"/>
  <c r="L112" i="29"/>
  <c r="C112" i="40"/>
  <c r="K111" i="3"/>
  <c r="J112" i="16"/>
  <c r="I111" i="19"/>
  <c r="G111" i="27"/>
  <c r="H112" i="33"/>
  <c r="G112" i="13"/>
  <c r="B112" i="21"/>
  <c r="B112" i="22"/>
  <c r="N112" i="22"/>
  <c r="N112" i="23"/>
  <c r="K112" i="28"/>
  <c r="G111" i="30"/>
  <c r="L112" i="32"/>
  <c r="B112" i="33"/>
  <c r="N112" i="33"/>
  <c r="I112" i="10"/>
  <c r="J111" i="12"/>
  <c r="H111" i="14"/>
  <c r="H111" i="24"/>
  <c r="G111" i="25"/>
  <c r="O111" i="25"/>
  <c r="H111" i="26"/>
  <c r="J112" i="28"/>
  <c r="F112" i="10"/>
  <c r="G112" i="12"/>
  <c r="G112" i="16"/>
  <c r="O112" i="18"/>
  <c r="N112" i="24"/>
  <c r="F111" i="15"/>
  <c r="E111" i="17"/>
  <c r="G112" i="18"/>
  <c r="N112" i="40"/>
  <c r="J112" i="2"/>
  <c r="E111" i="13"/>
  <c r="L111" i="27"/>
  <c r="P111" i="13"/>
  <c r="K112" i="21"/>
  <c r="F112" i="28"/>
  <c r="E112" i="30"/>
  <c r="P112" i="30"/>
  <c r="G112" i="32"/>
  <c r="L112" i="41"/>
  <c r="O112" i="8"/>
  <c r="J112" i="9"/>
  <c r="I111" i="12"/>
  <c r="I112" i="15"/>
  <c r="I111" i="23"/>
  <c r="E111" i="25"/>
  <c r="M112" i="25"/>
  <c r="F112" i="26"/>
  <c r="J112" i="30"/>
  <c r="N112" i="41" l="1"/>
  <c r="K111" i="32"/>
  <c r="O111" i="31"/>
  <c r="E111" i="29"/>
  <c r="Q112" i="28"/>
  <c r="O111" i="28"/>
  <c r="H112" i="28"/>
  <c r="B111" i="27"/>
  <c r="N112" i="26"/>
  <c r="C112" i="24"/>
  <c r="G112" i="22"/>
  <c r="E111" i="22"/>
  <c r="F112" i="22"/>
  <c r="H112" i="21"/>
  <c r="N111" i="21"/>
  <c r="G111" i="19"/>
  <c r="P112" i="17"/>
  <c r="C112" i="17"/>
  <c r="N111" i="16"/>
  <c r="H111" i="15"/>
  <c r="L112" i="15"/>
  <c r="D111" i="14"/>
  <c r="J111" i="13"/>
  <c r="N111" i="13"/>
  <c r="H112" i="12"/>
  <c r="B112" i="11"/>
  <c r="H112" i="11"/>
  <c r="N111" i="10"/>
  <c r="C111" i="9"/>
  <c r="B111" i="3"/>
  <c r="K44" i="39"/>
  <c r="J42" i="39"/>
  <c r="H111" i="2"/>
  <c r="F111" i="2"/>
  <c r="K45" i="39"/>
  <c r="K47" i="39" s="1"/>
  <c r="J43" i="39"/>
  <c r="K43" i="39"/>
  <c r="M111" i="2"/>
  <c r="K42" i="39"/>
  <c r="K41" i="39"/>
  <c r="E45" i="39"/>
  <c r="E44" i="39"/>
  <c r="E41" i="39"/>
  <c r="E43" i="39"/>
  <c r="E42" i="39"/>
  <c r="N44" i="39"/>
  <c r="N43" i="39"/>
  <c r="N45" i="39"/>
  <c r="N41" i="39"/>
  <c r="N42" i="39"/>
  <c r="D43" i="39"/>
  <c r="D42" i="39"/>
  <c r="D41" i="39"/>
  <c r="D44" i="39"/>
  <c r="C42" i="39"/>
  <c r="C44" i="39"/>
  <c r="C41" i="39"/>
  <c r="C43" i="39"/>
  <c r="B42" i="39"/>
  <c r="B41" i="39"/>
  <c r="B43" i="39"/>
  <c r="B44" i="39"/>
  <c r="F44" i="39"/>
  <c r="F42" i="39"/>
  <c r="F41" i="39"/>
  <c r="F43" i="39"/>
  <c r="F45" i="39"/>
  <c r="Q43" i="39"/>
  <c r="Q41" i="39"/>
  <c r="Q42" i="39"/>
  <c r="Q44" i="39"/>
  <c r="M45" i="39"/>
  <c r="M43" i="39"/>
  <c r="M44" i="39"/>
  <c r="M41" i="39"/>
  <c r="M42" i="39"/>
  <c r="L45" i="39"/>
  <c r="L42" i="39"/>
  <c r="L43" i="39"/>
  <c r="L44" i="39"/>
  <c r="L41" i="39"/>
  <c r="O42" i="39"/>
  <c r="O41" i="39"/>
  <c r="O44" i="39"/>
  <c r="O45" i="39"/>
  <c r="O43" i="39"/>
  <c r="I43" i="39"/>
  <c r="I44" i="39"/>
  <c r="I41" i="39"/>
  <c r="I42" i="39"/>
  <c r="H45" i="39"/>
  <c r="H42" i="39"/>
  <c r="H44" i="39"/>
  <c r="H43" i="39"/>
  <c r="H41" i="39"/>
  <c r="G41" i="39"/>
  <c r="G43" i="39"/>
  <c r="G45" i="39"/>
  <c r="G42" i="39"/>
  <c r="G44" i="39"/>
  <c r="P44" i="39"/>
  <c r="P43" i="39"/>
  <c r="P42" i="39"/>
  <c r="P41" i="39"/>
  <c r="I111" i="22"/>
  <c r="D111" i="12"/>
  <c r="D111" i="19"/>
  <c r="Q112" i="30"/>
  <c r="Q112" i="33"/>
  <c r="F111" i="30"/>
  <c r="K111" i="29"/>
  <c r="P111" i="12"/>
  <c r="C111" i="15"/>
  <c r="G111" i="17"/>
  <c r="E111" i="40"/>
  <c r="E112" i="20"/>
  <c r="P111" i="41"/>
  <c r="L111" i="25"/>
  <c r="H111" i="17"/>
  <c r="O111" i="19"/>
  <c r="E111" i="33"/>
  <c r="M112" i="21"/>
  <c r="J44" i="39"/>
  <c r="N112" i="15"/>
  <c r="H112" i="18"/>
  <c r="P112" i="18"/>
  <c r="P112" i="20"/>
  <c r="L111" i="23"/>
  <c r="K112" i="24"/>
  <c r="H112" i="27"/>
  <c r="P112" i="40"/>
  <c r="E112" i="41"/>
  <c r="J111" i="20"/>
  <c r="I112" i="33"/>
  <c r="I111" i="41"/>
  <c r="J45" i="39"/>
  <c r="J41" i="39"/>
  <c r="K46" i="39" l="1"/>
  <c r="D47" i="39"/>
  <c r="D46" i="39"/>
  <c r="L47" i="39"/>
  <c r="L46" i="39"/>
  <c r="H46" i="39"/>
  <c r="H47" i="39"/>
  <c r="I47" i="39"/>
  <c r="I46" i="39"/>
  <c r="B47" i="39"/>
  <c r="B46" i="39"/>
  <c r="N46" i="39"/>
  <c r="N47" i="39"/>
  <c r="F47" i="39"/>
  <c r="F46" i="39"/>
  <c r="J46" i="39"/>
  <c r="J47" i="39"/>
  <c r="P47" i="39"/>
  <c r="P46" i="39"/>
  <c r="O47" i="39"/>
  <c r="O46" i="39"/>
  <c r="C46" i="39"/>
  <c r="C47" i="39"/>
  <c r="M46" i="39"/>
  <c r="M47" i="39"/>
  <c r="G47" i="39"/>
  <c r="G46" i="39"/>
  <c r="Q47" i="39"/>
  <c r="Q46" i="39"/>
  <c r="E46" i="39"/>
  <c r="E47" i="39"/>
</calcChain>
</file>

<file path=xl/sharedStrings.xml><?xml version="1.0" encoding="utf-8"?>
<sst xmlns="http://schemas.openxmlformats.org/spreadsheetml/2006/main" count="7393" uniqueCount="3224">
  <si>
    <t>Date:</t>
  </si>
  <si>
    <t>SO2</t>
  </si>
  <si>
    <t>NOX</t>
  </si>
  <si>
    <t>CO</t>
  </si>
  <si>
    <t>O3</t>
  </si>
  <si>
    <t>Status</t>
  </si>
  <si>
    <t>Start Date</t>
  </si>
  <si>
    <t>Stop Date</t>
  </si>
  <si>
    <t>Duration  (HH:MM)</t>
  </si>
  <si>
    <t>Report: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</si>
  <si>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</si>
  <si>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</si>
  <si>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</si>
  <si>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</si>
  <si>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</si>
  <si>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</si>
  <si>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</si>
  <si>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</si>
  <si>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</si>
  <si>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</si>
  <si>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</si>
  <si>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Month of</t>
  </si>
  <si>
    <t>TOTAL</t>
  </si>
  <si>
    <t>NH3</t>
  </si>
  <si>
    <t>VOC</t>
  </si>
  <si>
    <r>
      <t>NO OF VALID CALIBRATION OF SO2</t>
    </r>
    <r>
      <rPr>
        <b/>
        <sz val="10"/>
        <color indexed="9"/>
        <rFont val="Arial"/>
        <family val="2"/>
      </rPr>
      <t xml:space="preserve"> ARE </t>
    </r>
  </si>
  <si>
    <r>
      <t>No. OF VALID CALIBRATION OF NOX</t>
    </r>
    <r>
      <rPr>
        <b/>
        <sz val="10"/>
        <color indexed="9"/>
        <rFont val="Arial"/>
        <family val="2"/>
      </rPr>
      <t xml:space="preserve"> ARE </t>
    </r>
  </si>
  <si>
    <r>
      <t>No. OF VALID CALIBRATION OF NH3</t>
    </r>
    <r>
      <rPr>
        <b/>
        <sz val="10"/>
        <color indexed="9"/>
        <rFont val="Arial"/>
        <family val="2"/>
      </rPr>
      <t xml:space="preserve"> ARE </t>
    </r>
  </si>
  <si>
    <r>
      <t>No. OF VALID CALIBRATION OF CO</t>
    </r>
    <r>
      <rPr>
        <b/>
        <sz val="10"/>
        <color indexed="9"/>
        <rFont val="Arial"/>
        <family val="2"/>
      </rPr>
      <t xml:space="preserve"> ARE </t>
    </r>
  </si>
  <si>
    <r>
      <t>No. OF VALID CALIBRATION OF VOC</t>
    </r>
    <r>
      <rPr>
        <b/>
        <sz val="10"/>
        <color indexed="9"/>
        <rFont val="Arial"/>
        <family val="2"/>
      </rPr>
      <t xml:space="preserve"> ARE </t>
    </r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</si>
  <si>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</si>
  <si>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</si>
  <si>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</si>
  <si>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</si>
  <si>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</si>
  <si>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</si>
  <si>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</si>
  <si>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</si>
  <si>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</si>
  <si>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</si>
  <si>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</si>
  <si>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</si>
  <si>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</si>
  <si>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</si>
  <si>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</si>
  <si>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</si>
  <si>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</si>
  <si>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</si>
  <si>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</si>
  <si>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</si>
  <si>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</si>
  <si>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</si>
  <si>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</si>
  <si>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</si>
  <si>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</si>
  <si>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</si>
  <si>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</si>
  <si>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</si>
  <si>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</si>
  <si>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</si>
  <si>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</si>
  <si>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</si>
  <si>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</si>
  <si>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</si>
  <si>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</si>
  <si>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</si>
  <si>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</si>
  <si>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Valid</t>
  </si>
  <si>
    <t>Nox</t>
  </si>
  <si>
    <r>
      <t>NO OF VALID CALIBRATION OF O3</t>
    </r>
    <r>
      <rPr>
        <b/>
        <sz val="10"/>
        <color indexed="9"/>
        <rFont val="Arial"/>
        <family val="2"/>
      </rPr>
      <t xml:space="preserve"> ARE </t>
    </r>
  </si>
  <si>
    <t>PM 10</t>
  </si>
  <si>
    <t>PM 2.5</t>
  </si>
  <si>
    <t>Referance Gauge</t>
  </si>
  <si>
    <t>Measure</t>
  </si>
  <si>
    <t>Old K</t>
  </si>
  <si>
    <t>New K</t>
  </si>
  <si>
    <t>Blanks Count</t>
  </si>
  <si>
    <t>Stdev</t>
  </si>
  <si>
    <t>DATE</t>
  </si>
  <si>
    <t xml:space="preserve"> Ref .ratio</t>
  </si>
  <si>
    <t xml:space="preserve"> Raw sig</t>
  </si>
  <si>
    <t>Raw trend</t>
  </si>
  <si>
    <t>RPM</t>
  </si>
  <si>
    <t xml:space="preserve"> +24v</t>
  </si>
  <si>
    <r>
      <t>NO OF VALID CALIBRATION OF PM 10</t>
    </r>
    <r>
      <rPr>
        <b/>
        <sz val="10"/>
        <color indexed="9"/>
        <rFont val="Arial"/>
        <family val="2"/>
      </rPr>
      <t xml:space="preserve"> ARE </t>
    </r>
  </si>
  <si>
    <r>
      <t>NO OF VALID CALIBRATION OF PM 2.5</t>
    </r>
    <r>
      <rPr>
        <b/>
        <sz val="10"/>
        <color indexed="9"/>
        <rFont val="Arial"/>
        <family val="2"/>
      </rPr>
      <t xml:space="preserve"> ARE </t>
    </r>
  </si>
  <si>
    <t>Int. T</t>
  </si>
  <si>
    <t>GND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</si>
  <si>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</si>
  <si>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</si>
  <si>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</si>
  <si>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</si>
  <si>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</si>
  <si>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</si>
  <si>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</si>
  <si>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</si>
  <si>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</si>
  <si>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</si>
  <si>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</si>
  <si>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</si>
  <si>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</si>
  <si>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</si>
  <si>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</si>
  <si>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</si>
  <si>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</si>
  <si>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</si>
  <si>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</si>
  <si>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</si>
  <si>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</si>
  <si>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</si>
  <si>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</si>
  <si>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</si>
  <si>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</si>
  <si>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</si>
  <si>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</si>
  <si>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</si>
  <si>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Temp.</t>
  </si>
  <si>
    <t>Column pr.</t>
  </si>
  <si>
    <t>Supply pr.</t>
  </si>
  <si>
    <t>Trap pr.</t>
  </si>
  <si>
    <t>Atmo. Pr.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</si>
  <si>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</si>
  <si>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</si>
  <si>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</si>
  <si>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</si>
  <si>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</si>
  <si>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</si>
  <si>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</si>
  <si>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</si>
  <si>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</si>
  <si>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</si>
  <si>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</si>
  <si>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</si>
  <si>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KK</t>
  </si>
  <si>
    <t>MUX</t>
  </si>
  <si>
    <t>5v</t>
  </si>
  <si>
    <t>4v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</si>
  <si>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</si>
  <si>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</si>
  <si>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</si>
  <si>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</si>
  <si>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</si>
  <si>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</si>
  <si>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</si>
  <si>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</si>
  <si>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</si>
  <si>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</si>
  <si>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</si>
  <si>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</si>
  <si>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</si>
  <si>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</si>
  <si>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</si>
  <si>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</si>
  <si>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</si>
  <si>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</si>
  <si>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</si>
  <si>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</si>
  <si>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</si>
  <si>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</si>
  <si>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</si>
  <si>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</si>
  <si>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</si>
  <si>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</si>
  <si>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K.Karmakar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</si>
  <si>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</si>
  <si>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</si>
  <si>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</si>
  <si>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</si>
  <si>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</si>
  <si>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</si>
  <si>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</si>
  <si>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</si>
  <si>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</si>
  <si>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</si>
  <si>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Mean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</si>
  <si>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</si>
  <si>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</si>
  <si>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</si>
  <si>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</si>
  <si>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</si>
  <si>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</si>
  <si>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</si>
  <si>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</si>
  <si>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</si>
  <si>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</si>
  <si>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</si>
  <si>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</si>
  <si>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</si>
  <si>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</si>
  <si>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</si>
  <si>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</si>
  <si>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</si>
  <si>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</si>
  <si>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</si>
  <si>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</si>
  <si>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</si>
  <si>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</si>
  <si>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</si>
  <si>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</si>
  <si>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</si>
  <si>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</si>
  <si>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</si>
  <si>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</si>
  <si>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</si>
  <si>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</si>
  <si>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>Cooling fan</t>
  </si>
  <si>
    <t xml:space="preserve">Mixing fan </t>
  </si>
  <si>
    <t>Carrier gaz</t>
  </si>
  <si>
    <t>Hot box</t>
  </si>
  <si>
    <t>Vacuum pump</t>
  </si>
  <si>
    <t>Purge value</t>
  </si>
  <si>
    <t>Pilot value</t>
  </si>
  <si>
    <t>Zero valve</t>
  </si>
  <si>
    <t>Span valve</t>
  </si>
  <si>
    <t>Cham. T</t>
  </si>
  <si>
    <t>2.5v Ref</t>
  </si>
  <si>
    <t>SR</t>
  </si>
  <si>
    <t>RK</t>
  </si>
  <si>
    <t>4mv</t>
  </si>
  <si>
    <t>ON</t>
  </si>
  <si>
    <t>OFF</t>
  </si>
  <si>
    <t>MUX signal Report REPORT OF KUNJEMURA, RAIGARH MONTH OF</t>
  </si>
  <si>
    <t>pm 10</t>
  </si>
  <si>
    <t>rahul</t>
  </si>
  <si>
    <t>RAHUL</t>
  </si>
  <si>
    <t>01/04/2023 - 30/04/2023</t>
  </si>
  <si>
    <t>ppb</t>
  </si>
  <si>
    <t>Calibration report Of SILTARA, RAIPUR</t>
  </si>
  <si>
    <t>806 ug/cm2</t>
  </si>
  <si>
    <t>840 ug/cm2</t>
  </si>
  <si>
    <t>POWER OFF REPORT OF SILTARA, RAIPUR</t>
  </si>
  <si>
    <t>NO_BHATAGAON</t>
  </si>
  <si>
    <t>NO2__BHATAGAON</t>
  </si>
  <si>
    <t>NOX_BHATAGAON</t>
  </si>
  <si>
    <t>SO2__BHATAGAON</t>
  </si>
  <si>
    <t>O3__BHATAGAON</t>
  </si>
  <si>
    <t>PM10__BHATAGAON</t>
  </si>
  <si>
    <t>PM2_5__BHATAGAON</t>
  </si>
  <si>
    <t>BENZ__BHATAGAON</t>
  </si>
  <si>
    <t>WS__BHATAGAON</t>
  </si>
  <si>
    <t>WD__BHATAGAON</t>
  </si>
  <si>
    <t>TEMP__BHATAGAON</t>
  </si>
  <si>
    <t>HUM__BHATAGAON</t>
  </si>
  <si>
    <t>SR__BHATAGAON</t>
  </si>
  <si>
    <t>RG__BHATAGAON</t>
  </si>
  <si>
    <t>CO__BHATAGAON</t>
  </si>
  <si>
    <t>NH3__BHATAGAON</t>
  </si>
  <si>
    <t>BHATAGAON RAIPUR</t>
  </si>
  <si>
    <t>01/12/2024 00:15</t>
  </si>
  <si>
    <t>01/12/2024 00:30</t>
  </si>
  <si>
    <t>01/12/2024 00:45</t>
  </si>
  <si>
    <t>01/12/2024 01:00</t>
  </si>
  <si>
    <t>01/12/2024 01:15</t>
  </si>
  <si>
    <t>01/12/2024 01:30</t>
  </si>
  <si>
    <t>01/12/2024 01:45</t>
  </si>
  <si>
    <t>01/12/2024 02:00</t>
  </si>
  <si>
    <t>01/12/2024 02:15</t>
  </si>
  <si>
    <t>01/12/2024 02:30</t>
  </si>
  <si>
    <t>01/12/2024 02:45</t>
  </si>
  <si>
    <t>01/12/2024 03:00</t>
  </si>
  <si>
    <t>01/12/2024 03:15</t>
  </si>
  <si>
    <t>01/12/2024 03:30</t>
  </si>
  <si>
    <t>01/12/2024 03:45</t>
  </si>
  <si>
    <t>01/12/2024 04:00</t>
  </si>
  <si>
    <t>01/12/2024 04:15</t>
  </si>
  <si>
    <t>01/12/2024 04:30</t>
  </si>
  <si>
    <t>01/12/2024 04:45</t>
  </si>
  <si>
    <t>01/12/2024 05:00</t>
  </si>
  <si>
    <t>01/12/2024 05:15</t>
  </si>
  <si>
    <t>01/12/2024 05:30</t>
  </si>
  <si>
    <t>01/12/2024 05:45</t>
  </si>
  <si>
    <t>01/12/2024 06:00</t>
  </si>
  <si>
    <t>01/12/2024 06:15</t>
  </si>
  <si>
    <t>01/12/2024 06:30</t>
  </si>
  <si>
    <t>01/12/2024 06:45</t>
  </si>
  <si>
    <t>01/12/2024 07:00</t>
  </si>
  <si>
    <t>01/12/2024 07:15</t>
  </si>
  <si>
    <t>01/12/2024 07:30</t>
  </si>
  <si>
    <t>01/12/2024 07:45</t>
  </si>
  <si>
    <t>01/12/2024 08:00</t>
  </si>
  <si>
    <t>01/12/2024 08:15</t>
  </si>
  <si>
    <t>01/12/2024 08:30</t>
  </si>
  <si>
    <t>01/12/2024 08:45</t>
  </si>
  <si>
    <t>01/12/2024 09:00</t>
  </si>
  <si>
    <t>01/12/2024 09:15</t>
  </si>
  <si>
    <t>01/12/2024 09:30</t>
  </si>
  <si>
    <t>01/12/2024 09:45</t>
  </si>
  <si>
    <t>01/12/2024 10:00</t>
  </si>
  <si>
    <t>01/12/2024 10:15</t>
  </si>
  <si>
    <t>01/12/2024 10:30</t>
  </si>
  <si>
    <t>01/12/2024 10:45</t>
  </si>
  <si>
    <t>01/12/2024 11:00</t>
  </si>
  <si>
    <t>01/12/2024 11:15</t>
  </si>
  <si>
    <t>01/12/2024 11:30</t>
  </si>
  <si>
    <t>01/12/2024 11:45</t>
  </si>
  <si>
    <t>01/12/2024 12:00</t>
  </si>
  <si>
    <t>01/12/2024 12:15</t>
  </si>
  <si>
    <t>01/12/2024 12:30</t>
  </si>
  <si>
    <t>01/12/2024 12:45</t>
  </si>
  <si>
    <t>01/12/2024 13:00</t>
  </si>
  <si>
    <t>01/12/2024 13:15</t>
  </si>
  <si>
    <t>01/12/2024 13:30</t>
  </si>
  <si>
    <t>01/12/2024 13:45</t>
  </si>
  <si>
    <t>01/12/2024 14:00</t>
  </si>
  <si>
    <t>01/12/2024 14:15</t>
  </si>
  <si>
    <t>01/12/2024 14:30</t>
  </si>
  <si>
    <t>01/12/2024 14:45</t>
  </si>
  <si>
    <t>01/12/2024 15:00</t>
  </si>
  <si>
    <t>01/12/2024 15:15</t>
  </si>
  <si>
    <t>01/12/2024 15:30</t>
  </si>
  <si>
    <t>01/12/2024 15:45</t>
  </si>
  <si>
    <t>01/12/2024 16:00</t>
  </si>
  <si>
    <t>01/12/2024 16:15</t>
  </si>
  <si>
    <t>01/12/2024 16:30</t>
  </si>
  <si>
    <t>01/12/2024 16:45</t>
  </si>
  <si>
    <t>01/12/2024 17:00</t>
  </si>
  <si>
    <t>01/12/2024 17:15</t>
  </si>
  <si>
    <t>01/12/2024 17:30</t>
  </si>
  <si>
    <t>01/12/2024 17:45</t>
  </si>
  <si>
    <t>01/12/2024 18:00</t>
  </si>
  <si>
    <t>01/12/2024 18:15</t>
  </si>
  <si>
    <t>01/12/2024 18:30</t>
  </si>
  <si>
    <t>01/12/2024 18:45</t>
  </si>
  <si>
    <t>01/12/2024 19:00</t>
  </si>
  <si>
    <t>01/12/2024 19:15</t>
  </si>
  <si>
    <t>01/12/2024 19:30</t>
  </si>
  <si>
    <t>01/12/2024 19:45</t>
  </si>
  <si>
    <t>01/12/2024 20:00</t>
  </si>
  <si>
    <t>01/12/2024 20:15</t>
  </si>
  <si>
    <t>01/12/2024 20:30</t>
  </si>
  <si>
    <t>01/12/2024 20:45</t>
  </si>
  <si>
    <t>01/12/2024 21:00</t>
  </si>
  <si>
    <t>01/12/2024 21:15</t>
  </si>
  <si>
    <t>01/12/2024 21:30</t>
  </si>
  <si>
    <t>01/12/2024 21:45</t>
  </si>
  <si>
    <t>01/12/2024 22:00</t>
  </si>
  <si>
    <t>01/12/2024 22:15</t>
  </si>
  <si>
    <t>01/12/2024 22:30</t>
  </si>
  <si>
    <t>01/12/2024 22:45</t>
  </si>
  <si>
    <t>01/12/2024 23:00</t>
  </si>
  <si>
    <t>01/12/2024 23:15</t>
  </si>
  <si>
    <t>01/12/2024 23:30</t>
  </si>
  <si>
    <t>01/12/2024 23:45</t>
  </si>
  <si>
    <t>01/12/2024 24:00</t>
  </si>
  <si>
    <t>02/12/2024 00:15</t>
  </si>
  <si>
    <t>02/12/2024 00:30</t>
  </si>
  <si>
    <t>02/12/2024 00:45</t>
  </si>
  <si>
    <t>02/12/2024 01:00</t>
  </si>
  <si>
    <t>02/12/2024 01:15</t>
  </si>
  <si>
    <t>02/12/2024 01:30</t>
  </si>
  <si>
    <t>02/12/2024 01:45</t>
  </si>
  <si>
    <t>02/12/2024 02:00</t>
  </si>
  <si>
    <t>02/12/2024 02:15</t>
  </si>
  <si>
    <t>02/12/2024 02:30</t>
  </si>
  <si>
    <t>02/12/2024 02:45</t>
  </si>
  <si>
    <t>02/12/2024 03:00</t>
  </si>
  <si>
    <t>02/12/2024 03:15</t>
  </si>
  <si>
    <t>02/12/2024 03:30</t>
  </si>
  <si>
    <t>02/12/2024 03:45</t>
  </si>
  <si>
    <t>02/12/2024 04:00</t>
  </si>
  <si>
    <t>02/12/2024 04:15</t>
  </si>
  <si>
    <t>02/12/2024 04:30</t>
  </si>
  <si>
    <t>02/12/2024 04:45</t>
  </si>
  <si>
    <t>02/12/2024 05:00</t>
  </si>
  <si>
    <t>02/12/2024 05:15</t>
  </si>
  <si>
    <t>02/12/2024 05:30</t>
  </si>
  <si>
    <t>02/12/2024 05:45</t>
  </si>
  <si>
    <t>02/12/2024 06:00</t>
  </si>
  <si>
    <t>02/12/2024 06:15</t>
  </si>
  <si>
    <t>02/12/2024 06:30</t>
  </si>
  <si>
    <t>02/12/2024 06:45</t>
  </si>
  <si>
    <t>02/12/2024 07:00</t>
  </si>
  <si>
    <t>02/12/2024 07:15</t>
  </si>
  <si>
    <t>02/12/2024 07:30</t>
  </si>
  <si>
    <t>02/12/2024 07:45</t>
  </si>
  <si>
    <t>02/12/2024 08:00</t>
  </si>
  <si>
    <t>02/12/2024 08:15</t>
  </si>
  <si>
    <t>02/12/2024 08:30</t>
  </si>
  <si>
    <t>02/12/2024 08:45</t>
  </si>
  <si>
    <t>02/12/2024 09:00</t>
  </si>
  <si>
    <t>02/12/2024 09:15</t>
  </si>
  <si>
    <t>02/12/2024 09:30</t>
  </si>
  <si>
    <t>02/12/2024 09:45</t>
  </si>
  <si>
    <t>02/12/2024 10:00</t>
  </si>
  <si>
    <t>02/12/2024 10:15</t>
  </si>
  <si>
    <t>02/12/2024 10:30</t>
  </si>
  <si>
    <t>02/12/2024 10:45</t>
  </si>
  <si>
    <t>02/12/2024 11:00</t>
  </si>
  <si>
    <t>02/12/2024 11:15</t>
  </si>
  <si>
    <t>02/12/2024 11:30</t>
  </si>
  <si>
    <t>02/12/2024 11:45</t>
  </si>
  <si>
    <t>02/12/2024 12:00</t>
  </si>
  <si>
    <t>02/12/2024 12:15</t>
  </si>
  <si>
    <t>02/12/2024 12:30</t>
  </si>
  <si>
    <t>02/12/2024 12:45</t>
  </si>
  <si>
    <t>02/12/2024 13:00</t>
  </si>
  <si>
    <t>02/12/2024 13:15</t>
  </si>
  <si>
    <t>02/12/2024 13:30</t>
  </si>
  <si>
    <t>02/12/2024 13:45</t>
  </si>
  <si>
    <t>02/12/2024 14:00</t>
  </si>
  <si>
    <t>02/12/2024 14:15</t>
  </si>
  <si>
    <t>02/12/2024 14:30</t>
  </si>
  <si>
    <t>02/12/2024 14:45</t>
  </si>
  <si>
    <t>02/12/2024 15:00</t>
  </si>
  <si>
    <t>02/12/2024 15:15</t>
  </si>
  <si>
    <t>02/12/2024 15:30</t>
  </si>
  <si>
    <t>02/12/2024 15:45</t>
  </si>
  <si>
    <t>02/12/2024 16:00</t>
  </si>
  <si>
    <t>02/12/2024 16:15</t>
  </si>
  <si>
    <t>02/12/2024 16:30</t>
  </si>
  <si>
    <t>02/12/2024 16:45</t>
  </si>
  <si>
    <t>02/12/2024 17:00</t>
  </si>
  <si>
    <t>02/12/2024 17:15</t>
  </si>
  <si>
    <t>02/12/2024 17:30</t>
  </si>
  <si>
    <t>02/12/2024 17:45</t>
  </si>
  <si>
    <t>02/12/2024 18:00</t>
  </si>
  <si>
    <t>02/12/2024 18:15</t>
  </si>
  <si>
    <t>02/12/2024 18:30</t>
  </si>
  <si>
    <t>02/12/2024 18:45</t>
  </si>
  <si>
    <t>02/12/2024 19:00</t>
  </si>
  <si>
    <t>02/12/2024 19:15</t>
  </si>
  <si>
    <t>02/12/2024 19:30</t>
  </si>
  <si>
    <t>02/12/2024 19:45</t>
  </si>
  <si>
    <t>02/12/2024 20:00</t>
  </si>
  <si>
    <t>02/12/2024 20:15</t>
  </si>
  <si>
    <t>02/12/2024 20:30</t>
  </si>
  <si>
    <t>02/12/2024 20:45</t>
  </si>
  <si>
    <t>02/12/2024 21:00</t>
  </si>
  <si>
    <t>02/12/2024 21:15</t>
  </si>
  <si>
    <t>02/12/2024 21:30</t>
  </si>
  <si>
    <t>02/12/2024 21:45</t>
  </si>
  <si>
    <t>02/12/2024 22:00</t>
  </si>
  <si>
    <t>02/12/2024 22:15</t>
  </si>
  <si>
    <t>02/12/2024 22:30</t>
  </si>
  <si>
    <t>02/12/2024 22:45</t>
  </si>
  <si>
    <t>02/12/2024 23:00</t>
  </si>
  <si>
    <t>02/12/2024 23:15</t>
  </si>
  <si>
    <t>02/12/2024 23:30</t>
  </si>
  <si>
    <t>02/12/2024 23:45</t>
  </si>
  <si>
    <t>02/12/2024 24:00</t>
  </si>
  <si>
    <t>03/12/2024 00:15</t>
  </si>
  <si>
    <t>03/12/2024 00:30</t>
  </si>
  <si>
    <t>03/12/2024 00:45</t>
  </si>
  <si>
    <t>03/12/2024 01:00</t>
  </si>
  <si>
    <t>03/12/2024 01:15</t>
  </si>
  <si>
    <t>03/12/2024 01:30</t>
  </si>
  <si>
    <t>03/12/2024 01:45</t>
  </si>
  <si>
    <t>03/12/2024 02:00</t>
  </si>
  <si>
    <t>03/12/2024 02:15</t>
  </si>
  <si>
    <t>03/12/2024 02:30</t>
  </si>
  <si>
    <t>03/12/2024 02:45</t>
  </si>
  <si>
    <t>03/12/2024 03:00</t>
  </si>
  <si>
    <t>03/12/2024 03:15</t>
  </si>
  <si>
    <t>03/12/2024 03:30</t>
  </si>
  <si>
    <t>03/12/2024 03:45</t>
  </si>
  <si>
    <t>03/12/2024 04:00</t>
  </si>
  <si>
    <t>03/12/2024 04:15</t>
  </si>
  <si>
    <t>03/12/2024 04:30</t>
  </si>
  <si>
    <t>03/12/2024 04:45</t>
  </si>
  <si>
    <t>03/12/2024 05:00</t>
  </si>
  <si>
    <t>03/12/2024 05:15</t>
  </si>
  <si>
    <t>03/12/2024 05:30</t>
  </si>
  <si>
    <t>03/12/2024 05:45</t>
  </si>
  <si>
    <t>03/12/2024 06:00</t>
  </si>
  <si>
    <t>03/12/2024 06:15</t>
  </si>
  <si>
    <t>03/12/2024 06:30</t>
  </si>
  <si>
    <t>03/12/2024 06:45</t>
  </si>
  <si>
    <t>03/12/2024 07:00</t>
  </si>
  <si>
    <t>03/12/2024 07:15</t>
  </si>
  <si>
    <t>03/12/2024 07:30</t>
  </si>
  <si>
    <t>03/12/2024 07:45</t>
  </si>
  <si>
    <t>03/12/2024 08:00</t>
  </si>
  <si>
    <t>03/12/2024 08:15</t>
  </si>
  <si>
    <t>03/12/2024 08:30</t>
  </si>
  <si>
    <t>03/12/2024 08:45</t>
  </si>
  <si>
    <t>03/12/2024 09:00</t>
  </si>
  <si>
    <t>03/12/2024 09:15</t>
  </si>
  <si>
    <t>03/12/2024 09:30</t>
  </si>
  <si>
    <t>03/12/2024 09:45</t>
  </si>
  <si>
    <t>03/12/2024 10:00</t>
  </si>
  <si>
    <t>03/12/2024 10:15</t>
  </si>
  <si>
    <t>03/12/2024 10:30</t>
  </si>
  <si>
    <t>03/12/2024 10:45</t>
  </si>
  <si>
    <t>03/12/2024 11:00</t>
  </si>
  <si>
    <t>03/12/2024 11:15</t>
  </si>
  <si>
    <t>03/12/2024 11:30</t>
  </si>
  <si>
    <t>03/12/2024 11:45</t>
  </si>
  <si>
    <t>03/12/2024 12:00</t>
  </si>
  <si>
    <t>03/12/2024 12:15</t>
  </si>
  <si>
    <t>03/12/2024 12:30</t>
  </si>
  <si>
    <t>03/12/2024 12:45</t>
  </si>
  <si>
    <t>03/12/2024 13:00</t>
  </si>
  <si>
    <t>03/12/2024 13:15</t>
  </si>
  <si>
    <t>03/12/2024 13:30</t>
  </si>
  <si>
    <t>03/12/2024 13:45</t>
  </si>
  <si>
    <t>03/12/2024 14:00</t>
  </si>
  <si>
    <t>03/12/2024 14:15</t>
  </si>
  <si>
    <t>03/12/2024 14:30</t>
  </si>
  <si>
    <t>03/12/2024 14:45</t>
  </si>
  <si>
    <t>03/12/2024 15:00</t>
  </si>
  <si>
    <t>03/12/2024 15:15</t>
  </si>
  <si>
    <t>03/12/2024 15:30</t>
  </si>
  <si>
    <t>03/12/2024 15:45</t>
  </si>
  <si>
    <t>03/12/2024 16:00</t>
  </si>
  <si>
    <t>03/12/2024 16:15</t>
  </si>
  <si>
    <t>03/12/2024 16:30</t>
  </si>
  <si>
    <t>03/12/2024 16:45</t>
  </si>
  <si>
    <t>03/12/2024 17:00</t>
  </si>
  <si>
    <t>03/12/2024 17:15</t>
  </si>
  <si>
    <t>03/12/2024 17:30</t>
  </si>
  <si>
    <t>03/12/2024 17:45</t>
  </si>
  <si>
    <t>03/12/2024 18:00</t>
  </si>
  <si>
    <t>03/12/2024 18:15</t>
  </si>
  <si>
    <t>03/12/2024 18:30</t>
  </si>
  <si>
    <t>03/12/2024 18:45</t>
  </si>
  <si>
    <t>03/12/2024 19:00</t>
  </si>
  <si>
    <t>03/12/2024 19:15</t>
  </si>
  <si>
    <t>03/12/2024 19:30</t>
  </si>
  <si>
    <t>03/12/2024 19:45</t>
  </si>
  <si>
    <t>03/12/2024 20:00</t>
  </si>
  <si>
    <t>03/12/2024 20:15</t>
  </si>
  <si>
    <t>03/12/2024 20:30</t>
  </si>
  <si>
    <t>03/12/2024 20:45</t>
  </si>
  <si>
    <t>03/12/2024 21:00</t>
  </si>
  <si>
    <t>03/12/2024 21:15</t>
  </si>
  <si>
    <t>03/12/2024 21:30</t>
  </si>
  <si>
    <t>03/12/2024 21:45</t>
  </si>
  <si>
    <t>03/12/2024 22:00</t>
  </si>
  <si>
    <t>03/12/2024 22:15</t>
  </si>
  <si>
    <t>03/12/2024 22:30</t>
  </si>
  <si>
    <t>03/12/2024 22:45</t>
  </si>
  <si>
    <t>03/12/2024 23:00</t>
  </si>
  <si>
    <t>03/12/2024 23:15</t>
  </si>
  <si>
    <t>03/12/2024 23:30</t>
  </si>
  <si>
    <t>03/12/2024 23:45</t>
  </si>
  <si>
    <t>03/12/2024 24:00</t>
  </si>
  <si>
    <t>04/12/2024 00:15</t>
  </si>
  <si>
    <t>04/12/2024 00:30</t>
  </si>
  <si>
    <t>04/12/2024 00:45</t>
  </si>
  <si>
    <t>04/12/2024 01:00</t>
  </si>
  <si>
    <t>04/12/2024 01:15</t>
  </si>
  <si>
    <t>04/12/2024 01:30</t>
  </si>
  <si>
    <t>04/12/2024 01:45</t>
  </si>
  <si>
    <t>04/12/2024 02:00</t>
  </si>
  <si>
    <t>04/12/2024 02:15</t>
  </si>
  <si>
    <t>04/12/2024 02:30</t>
  </si>
  <si>
    <t>04/12/2024 02:45</t>
  </si>
  <si>
    <t>04/12/2024 03:00</t>
  </si>
  <si>
    <t>04/12/2024 03:15</t>
  </si>
  <si>
    <t>04/12/2024 03:30</t>
  </si>
  <si>
    <t>04/12/2024 03:45</t>
  </si>
  <si>
    <t>04/12/2024 04:00</t>
  </si>
  <si>
    <t>04/12/2024 04:15</t>
  </si>
  <si>
    <t>04/12/2024 04:30</t>
  </si>
  <si>
    <t>04/12/2024 04:45</t>
  </si>
  <si>
    <t>04/12/2024 05:00</t>
  </si>
  <si>
    <t>04/12/2024 05:15</t>
  </si>
  <si>
    <t>04/12/2024 05:30</t>
  </si>
  <si>
    <t>04/12/2024 05:45</t>
  </si>
  <si>
    <t>04/12/2024 06:00</t>
  </si>
  <si>
    <t>04/12/2024 06:15</t>
  </si>
  <si>
    <t>04/12/2024 06:30</t>
  </si>
  <si>
    <t>04/12/2024 06:45</t>
  </si>
  <si>
    <t>04/12/2024 07:00</t>
  </si>
  <si>
    <t>04/12/2024 07:15</t>
  </si>
  <si>
    <t>04/12/2024 07:30</t>
  </si>
  <si>
    <t>04/12/2024 07:45</t>
  </si>
  <si>
    <t>04/12/2024 08:00</t>
  </si>
  <si>
    <t>04/12/2024 08:15</t>
  </si>
  <si>
    <t>04/12/2024 08:30</t>
  </si>
  <si>
    <t>04/12/2024 08:45</t>
  </si>
  <si>
    <t>04/12/2024 09:00</t>
  </si>
  <si>
    <t>04/12/2024 09:15</t>
  </si>
  <si>
    <t>04/12/2024 09:30</t>
  </si>
  <si>
    <t>04/12/2024 09:45</t>
  </si>
  <si>
    <t>04/12/2024 10:00</t>
  </si>
  <si>
    <t>04/12/2024 10:15</t>
  </si>
  <si>
    <t>04/12/2024 10:30</t>
  </si>
  <si>
    <t>04/12/2024 10:45</t>
  </si>
  <si>
    <t>04/12/2024 11:00</t>
  </si>
  <si>
    <t>04/12/2024 11:15</t>
  </si>
  <si>
    <t>04/12/2024 11:30</t>
  </si>
  <si>
    <t>04/12/2024 11:45</t>
  </si>
  <si>
    <t>04/12/2024 12:00</t>
  </si>
  <si>
    <t>04/12/2024 12:15</t>
  </si>
  <si>
    <t>04/12/2024 12:30</t>
  </si>
  <si>
    <t>04/12/2024 12:45</t>
  </si>
  <si>
    <t>04/12/2024 13:00</t>
  </si>
  <si>
    <t>04/12/2024 13:15</t>
  </si>
  <si>
    <t>04/12/2024 13:30</t>
  </si>
  <si>
    <t>04/12/2024 13:45</t>
  </si>
  <si>
    <t>04/12/2024 14:00</t>
  </si>
  <si>
    <t>04/12/2024 14:15</t>
  </si>
  <si>
    <t>04/12/2024 14:30</t>
  </si>
  <si>
    <t>04/12/2024 14:45</t>
  </si>
  <si>
    <t>04/12/2024 15:00</t>
  </si>
  <si>
    <t>04/12/2024 15:15</t>
  </si>
  <si>
    <t>04/12/2024 15:30</t>
  </si>
  <si>
    <t>04/12/2024 15:45</t>
  </si>
  <si>
    <t>04/12/2024 16:00</t>
  </si>
  <si>
    <t>04/12/2024 16:15</t>
  </si>
  <si>
    <t>04/12/2024 16:30</t>
  </si>
  <si>
    <t>04/12/2024 16:45</t>
  </si>
  <si>
    <t>04/12/2024 17:00</t>
  </si>
  <si>
    <t>04/12/2024 17:15</t>
  </si>
  <si>
    <t>04/12/2024 17:30</t>
  </si>
  <si>
    <t>04/12/2024 17:45</t>
  </si>
  <si>
    <t>04/12/2024 18:00</t>
  </si>
  <si>
    <t>04/12/2024 18:15</t>
  </si>
  <si>
    <t>04/12/2024 18:30</t>
  </si>
  <si>
    <t>04/12/2024 18:45</t>
  </si>
  <si>
    <t>04/12/2024 19:00</t>
  </si>
  <si>
    <t>04/12/2024 19:15</t>
  </si>
  <si>
    <t>04/12/2024 19:30</t>
  </si>
  <si>
    <t>04/12/2024 19:45</t>
  </si>
  <si>
    <t>04/12/2024 20:00</t>
  </si>
  <si>
    <t>04/12/2024 20:15</t>
  </si>
  <si>
    <t>04/12/2024 20:30</t>
  </si>
  <si>
    <t>04/12/2024 20:45</t>
  </si>
  <si>
    <t>04/12/2024 21:00</t>
  </si>
  <si>
    <t>04/12/2024 21:15</t>
  </si>
  <si>
    <t>04/12/2024 21:30</t>
  </si>
  <si>
    <t>04/12/2024 21:45</t>
  </si>
  <si>
    <t>04/12/2024 22:00</t>
  </si>
  <si>
    <t>04/12/2024 22:15</t>
  </si>
  <si>
    <t>04/12/2024 22:30</t>
  </si>
  <si>
    <t>04/12/2024 22:45</t>
  </si>
  <si>
    <t>04/12/2024 23:00</t>
  </si>
  <si>
    <t>04/12/2024 23:15</t>
  </si>
  <si>
    <t>04/12/2024 23:30</t>
  </si>
  <si>
    <t>04/12/2024 23:45</t>
  </si>
  <si>
    <t>04/12/2024 24:00</t>
  </si>
  <si>
    <t>05/12/2024 00:15</t>
  </si>
  <si>
    <t>05/12/2024 00:30</t>
  </si>
  <si>
    <t>05/12/2024 00:45</t>
  </si>
  <si>
    <t>05/12/2024 01:00</t>
  </si>
  <si>
    <t>05/12/2024 01:15</t>
  </si>
  <si>
    <t>05/12/2024 01:30</t>
  </si>
  <si>
    <t>05/12/2024 01:45</t>
  </si>
  <si>
    <t>05/12/2024 02:00</t>
  </si>
  <si>
    <t>05/12/2024 02:15</t>
  </si>
  <si>
    <t>05/12/2024 02:30</t>
  </si>
  <si>
    <t>05/12/2024 02:45</t>
  </si>
  <si>
    <t>05/12/2024 03:00</t>
  </si>
  <si>
    <t>05/12/2024 03:15</t>
  </si>
  <si>
    <t>05/12/2024 03:30</t>
  </si>
  <si>
    <t>05/12/2024 03:45</t>
  </si>
  <si>
    <t>05/12/2024 04:00</t>
  </si>
  <si>
    <t>05/12/2024 04:15</t>
  </si>
  <si>
    <t>05/12/2024 04:30</t>
  </si>
  <si>
    <t>05/12/2024 04:45</t>
  </si>
  <si>
    <t>05/12/2024 05:00</t>
  </si>
  <si>
    <t>05/12/2024 05:15</t>
  </si>
  <si>
    <t>05/12/2024 05:30</t>
  </si>
  <si>
    <t>05/12/2024 05:45</t>
  </si>
  <si>
    <t>05/12/2024 06:00</t>
  </si>
  <si>
    <t>05/12/2024 06:15</t>
  </si>
  <si>
    <t>05/12/2024 06:30</t>
  </si>
  <si>
    <t>05/12/2024 06:45</t>
  </si>
  <si>
    <t>05/12/2024 07:00</t>
  </si>
  <si>
    <t>05/12/2024 07:15</t>
  </si>
  <si>
    <t>05/12/2024 07:30</t>
  </si>
  <si>
    <t>05/12/2024 07:45</t>
  </si>
  <si>
    <t>05/12/2024 08:00</t>
  </si>
  <si>
    <t>05/12/2024 08:15</t>
  </si>
  <si>
    <t>05/12/2024 08:30</t>
  </si>
  <si>
    <t>05/12/2024 08:45</t>
  </si>
  <si>
    <t>05/12/2024 09:00</t>
  </si>
  <si>
    <t>05/12/2024 09:15</t>
  </si>
  <si>
    <t>05/12/2024 09:30</t>
  </si>
  <si>
    <t>05/12/2024 09:45</t>
  </si>
  <si>
    <t>05/12/2024 10:00</t>
  </si>
  <si>
    <t>05/12/2024 10:15</t>
  </si>
  <si>
    <t>05/12/2024 10:30</t>
  </si>
  <si>
    <t>05/12/2024 10:45</t>
  </si>
  <si>
    <t>05/12/2024 11:00</t>
  </si>
  <si>
    <t>05/12/2024 11:15</t>
  </si>
  <si>
    <t>05/12/2024 11:30</t>
  </si>
  <si>
    <t>05/12/2024 11:45</t>
  </si>
  <si>
    <t>05/12/2024 12:00</t>
  </si>
  <si>
    <t>05/12/2024 12:15</t>
  </si>
  <si>
    <t>05/12/2024 12:30</t>
  </si>
  <si>
    <t>05/12/2024 12:45</t>
  </si>
  <si>
    <t>05/12/2024 13:00</t>
  </si>
  <si>
    <t>05/12/2024 13:15</t>
  </si>
  <si>
    <t>05/12/2024 13:30</t>
  </si>
  <si>
    <t>05/12/2024 13:45</t>
  </si>
  <si>
    <t>05/12/2024 14:00</t>
  </si>
  <si>
    <t>05/12/2024 14:15</t>
  </si>
  <si>
    <t>05/12/2024 14:30</t>
  </si>
  <si>
    <t>05/12/2024 14:45</t>
  </si>
  <si>
    <t>05/12/2024 15:00</t>
  </si>
  <si>
    <t>05/12/2024 15:15</t>
  </si>
  <si>
    <t>05/12/2024 15:30</t>
  </si>
  <si>
    <t>05/12/2024 15:45</t>
  </si>
  <si>
    <t>05/12/2024 16:00</t>
  </si>
  <si>
    <t>05/12/2024 16:15</t>
  </si>
  <si>
    <t>05/12/2024 16:30</t>
  </si>
  <si>
    <t>05/12/2024 16:45</t>
  </si>
  <si>
    <t>05/12/2024 17:00</t>
  </si>
  <si>
    <t>05/12/2024 17:15</t>
  </si>
  <si>
    <t>05/12/2024 17:30</t>
  </si>
  <si>
    <t>05/12/2024 17:45</t>
  </si>
  <si>
    <t>05/12/2024 18:00</t>
  </si>
  <si>
    <t>05/12/2024 18:15</t>
  </si>
  <si>
    <t>05/12/2024 18:30</t>
  </si>
  <si>
    <t>05/12/2024 18:45</t>
  </si>
  <si>
    <t>05/12/2024 19:00</t>
  </si>
  <si>
    <t>05/12/2024 19:15</t>
  </si>
  <si>
    <t>05/12/2024 19:30</t>
  </si>
  <si>
    <t>05/12/2024 19:45</t>
  </si>
  <si>
    <t>05/12/2024 20:00</t>
  </si>
  <si>
    <t>05/12/2024 20:15</t>
  </si>
  <si>
    <t>05/12/2024 20:30</t>
  </si>
  <si>
    <t>05/12/2024 20:45</t>
  </si>
  <si>
    <t>05/12/2024 21:00</t>
  </si>
  <si>
    <t>05/12/2024 21:15</t>
  </si>
  <si>
    <t>05/12/2024 21:30</t>
  </si>
  <si>
    <t>05/12/2024 21:45</t>
  </si>
  <si>
    <t>05/12/2024 22:00</t>
  </si>
  <si>
    <t>05/12/2024 22:15</t>
  </si>
  <si>
    <t>05/12/2024 22:30</t>
  </si>
  <si>
    <t>05/12/2024 22:45</t>
  </si>
  <si>
    <t>05/12/2024 23:00</t>
  </si>
  <si>
    <t>05/12/2024 23:15</t>
  </si>
  <si>
    <t>05/12/2024 23:30</t>
  </si>
  <si>
    <t>05/12/2024 23:45</t>
  </si>
  <si>
    <t>05/12/2024 24:00</t>
  </si>
  <si>
    <t>06/12/2024 00:15</t>
  </si>
  <si>
    <t>06/12/2024 00:30</t>
  </si>
  <si>
    <t>06/12/2024 00:45</t>
  </si>
  <si>
    <t>06/12/2024 01:00</t>
  </si>
  <si>
    <t>06/12/2024 01:15</t>
  </si>
  <si>
    <t>06/12/2024 01:30</t>
  </si>
  <si>
    <t>06/12/2024 01:45</t>
  </si>
  <si>
    <t>06/12/2024 02:00</t>
  </si>
  <si>
    <t>06/12/2024 02:15</t>
  </si>
  <si>
    <t>06/12/2024 02:30</t>
  </si>
  <si>
    <t>06/12/2024 02:45</t>
  </si>
  <si>
    <t>06/12/2024 03:00</t>
  </si>
  <si>
    <t>06/12/2024 03:15</t>
  </si>
  <si>
    <t>06/12/2024 03:30</t>
  </si>
  <si>
    <t>06/12/2024 03:45</t>
  </si>
  <si>
    <t>06/12/2024 04:00</t>
  </si>
  <si>
    <t>06/12/2024 04:15</t>
  </si>
  <si>
    <t>06/12/2024 04:30</t>
  </si>
  <si>
    <t>06/12/2024 04:45</t>
  </si>
  <si>
    <t>06/12/2024 05:00</t>
  </si>
  <si>
    <t>06/12/2024 05:15</t>
  </si>
  <si>
    <t>06/12/2024 05:30</t>
  </si>
  <si>
    <t>06/12/2024 05:45</t>
  </si>
  <si>
    <t>06/12/2024 06:00</t>
  </si>
  <si>
    <t>06/12/2024 06:15</t>
  </si>
  <si>
    <t>06/12/2024 06:30</t>
  </si>
  <si>
    <t>06/12/2024 06:45</t>
  </si>
  <si>
    <t>06/12/2024 07:00</t>
  </si>
  <si>
    <t>06/12/2024 07:15</t>
  </si>
  <si>
    <t>06/12/2024 07:30</t>
  </si>
  <si>
    <t>06/12/2024 07:45</t>
  </si>
  <si>
    <t>06/12/2024 08:00</t>
  </si>
  <si>
    <t>06/12/2024 08:15</t>
  </si>
  <si>
    <t>06/12/2024 08:30</t>
  </si>
  <si>
    <t>06/12/2024 08:45</t>
  </si>
  <si>
    <t>06/12/2024 09:00</t>
  </si>
  <si>
    <t>06/12/2024 09:15</t>
  </si>
  <si>
    <t>06/12/2024 09:30</t>
  </si>
  <si>
    <t>06/12/2024 09:45</t>
  </si>
  <si>
    <t>06/12/2024 10:00</t>
  </si>
  <si>
    <t>06/12/2024 10:15</t>
  </si>
  <si>
    <t>06/12/2024 10:30</t>
  </si>
  <si>
    <t>06/12/2024 10:45</t>
  </si>
  <si>
    <t>06/12/2024 11:00</t>
  </si>
  <si>
    <t>06/12/2024 11:15</t>
  </si>
  <si>
    <t>06/12/2024 11:30</t>
  </si>
  <si>
    <t>06/12/2024 11:45</t>
  </si>
  <si>
    <t>06/12/2024 12:00</t>
  </si>
  <si>
    <t>06/12/2024 12:15</t>
  </si>
  <si>
    <t>06/12/2024 12:30</t>
  </si>
  <si>
    <t>06/12/2024 12:45</t>
  </si>
  <si>
    <t>06/12/2024 13:00</t>
  </si>
  <si>
    <t>06/12/2024 13:15</t>
  </si>
  <si>
    <t>06/12/2024 13:30</t>
  </si>
  <si>
    <t>06/12/2024 13:45</t>
  </si>
  <si>
    <t>06/12/2024 14:00</t>
  </si>
  <si>
    <t>06/12/2024 14:15</t>
  </si>
  <si>
    <t>06/12/2024 14:30</t>
  </si>
  <si>
    <t>06/12/2024 14:45</t>
  </si>
  <si>
    <t>06/12/2024 15:00</t>
  </si>
  <si>
    <t>06/12/2024 15:15</t>
  </si>
  <si>
    <t>06/12/2024 15:30</t>
  </si>
  <si>
    <t>06/12/2024 15:45</t>
  </si>
  <si>
    <t>06/12/2024 16:00</t>
  </si>
  <si>
    <t>06/12/2024 16:15</t>
  </si>
  <si>
    <t>06/12/2024 16:30</t>
  </si>
  <si>
    <t>06/12/2024 16:45</t>
  </si>
  <si>
    <t>06/12/2024 17:00</t>
  </si>
  <si>
    <t>06/12/2024 17:15</t>
  </si>
  <si>
    <t>06/12/2024 17:30</t>
  </si>
  <si>
    <t>06/12/2024 17:45</t>
  </si>
  <si>
    <t>06/12/2024 18:00</t>
  </si>
  <si>
    <t>06/12/2024 18:15</t>
  </si>
  <si>
    <t>06/12/2024 18:30</t>
  </si>
  <si>
    <t>06/12/2024 18:45</t>
  </si>
  <si>
    <t>06/12/2024 19:00</t>
  </si>
  <si>
    <t>06/12/2024 19:15</t>
  </si>
  <si>
    <t>06/12/2024 19:30</t>
  </si>
  <si>
    <t>06/12/2024 19:45</t>
  </si>
  <si>
    <t>06/12/2024 20:00</t>
  </si>
  <si>
    <t>06/12/2024 20:15</t>
  </si>
  <si>
    <t>06/12/2024 20:30</t>
  </si>
  <si>
    <t>06/12/2024 20:45</t>
  </si>
  <si>
    <t>06/12/2024 21:00</t>
  </si>
  <si>
    <t>06/12/2024 21:15</t>
  </si>
  <si>
    <t>06/12/2024 21:30</t>
  </si>
  <si>
    <t>06/12/2024 21:45</t>
  </si>
  <si>
    <t>06/12/2024 22:00</t>
  </si>
  <si>
    <t>06/12/2024 22:15</t>
  </si>
  <si>
    <t>06/12/2024 22:30</t>
  </si>
  <si>
    <t>06/12/2024 22:45</t>
  </si>
  <si>
    <t>06/12/2024 23:00</t>
  </si>
  <si>
    <t>06/12/2024 23:15</t>
  </si>
  <si>
    <t>06/12/2024 23:30</t>
  </si>
  <si>
    <t>06/12/2024 23:45</t>
  </si>
  <si>
    <t>06/12/2024 24:00</t>
  </si>
  <si>
    <t>07/12/2024 00:15</t>
  </si>
  <si>
    <t>07/12/2024 00:30</t>
  </si>
  <si>
    <t>07/12/2024 00:45</t>
  </si>
  <si>
    <t>07/12/2024 01:00</t>
  </si>
  <si>
    <t>07/12/2024 01:15</t>
  </si>
  <si>
    <t>07/12/2024 01:30</t>
  </si>
  <si>
    <t>07/12/2024 01:45</t>
  </si>
  <si>
    <t>07/12/2024 02:00</t>
  </si>
  <si>
    <t>07/12/2024 02:15</t>
  </si>
  <si>
    <t>07/12/2024 02:30</t>
  </si>
  <si>
    <t>07/12/2024 02:45</t>
  </si>
  <si>
    <t>07/12/2024 03:00</t>
  </si>
  <si>
    <t>07/12/2024 03:15</t>
  </si>
  <si>
    <t>07/12/2024 03:30</t>
  </si>
  <si>
    <t>07/12/2024 03:45</t>
  </si>
  <si>
    <t>07/12/2024 04:00</t>
  </si>
  <si>
    <t>07/12/2024 04:15</t>
  </si>
  <si>
    <t>07/12/2024 04:30</t>
  </si>
  <si>
    <t>07/12/2024 04:45</t>
  </si>
  <si>
    <t>07/12/2024 05:00</t>
  </si>
  <si>
    <t>07/12/2024 05:15</t>
  </si>
  <si>
    <t>07/12/2024 05:30</t>
  </si>
  <si>
    <t>07/12/2024 05:45</t>
  </si>
  <si>
    <t>07/12/2024 06:00</t>
  </si>
  <si>
    <t>07/12/2024 06:15</t>
  </si>
  <si>
    <t>07/12/2024 06:30</t>
  </si>
  <si>
    <t>07/12/2024 06:45</t>
  </si>
  <si>
    <t>07/12/2024 07:00</t>
  </si>
  <si>
    <t>07/12/2024 07:15</t>
  </si>
  <si>
    <t>07/12/2024 07:30</t>
  </si>
  <si>
    <t>07/12/2024 07:45</t>
  </si>
  <si>
    <t>07/12/2024 08:00</t>
  </si>
  <si>
    <t>07/12/2024 08:15</t>
  </si>
  <si>
    <t>07/12/2024 08:30</t>
  </si>
  <si>
    <t>07/12/2024 08:45</t>
  </si>
  <si>
    <t>07/12/2024 09:00</t>
  </si>
  <si>
    <t>07/12/2024 09:15</t>
  </si>
  <si>
    <t>07/12/2024 09:30</t>
  </si>
  <si>
    <t>07/12/2024 09:45</t>
  </si>
  <si>
    <t>07/12/2024 10:00</t>
  </si>
  <si>
    <t>07/12/2024 10:15</t>
  </si>
  <si>
    <t>07/12/2024 10:30</t>
  </si>
  <si>
    <t>07/12/2024 10:45</t>
  </si>
  <si>
    <t>07/12/2024 11:00</t>
  </si>
  <si>
    <t>07/12/2024 11:15</t>
  </si>
  <si>
    <t>07/12/2024 11:30</t>
  </si>
  <si>
    <t>07/12/2024 11:45</t>
  </si>
  <si>
    <t>07/12/2024 12:00</t>
  </si>
  <si>
    <t>07/12/2024 12:15</t>
  </si>
  <si>
    <t>07/12/2024 12:30</t>
  </si>
  <si>
    <t>07/12/2024 12:45</t>
  </si>
  <si>
    <t>07/12/2024 13:00</t>
  </si>
  <si>
    <t>07/12/2024 13:15</t>
  </si>
  <si>
    <t>07/12/2024 13:30</t>
  </si>
  <si>
    <t>07/12/2024 13:45</t>
  </si>
  <si>
    <t>07/12/2024 14:00</t>
  </si>
  <si>
    <t>07/12/2024 14:15</t>
  </si>
  <si>
    <t>07/12/2024 14:30</t>
  </si>
  <si>
    <t>07/12/2024 14:45</t>
  </si>
  <si>
    <t>07/12/2024 15:00</t>
  </si>
  <si>
    <t>07/12/2024 15:15</t>
  </si>
  <si>
    <t>07/12/2024 15:30</t>
  </si>
  <si>
    <t>07/12/2024 15:45</t>
  </si>
  <si>
    <t>07/12/2024 16:00</t>
  </si>
  <si>
    <t>07/12/2024 16:15</t>
  </si>
  <si>
    <t>07/12/2024 16:30</t>
  </si>
  <si>
    <t>07/12/2024 16:45</t>
  </si>
  <si>
    <t>07/12/2024 17:00</t>
  </si>
  <si>
    <t>07/12/2024 17:15</t>
  </si>
  <si>
    <t>07/12/2024 17:30</t>
  </si>
  <si>
    <t>07/12/2024 17:45</t>
  </si>
  <si>
    <t>07/12/2024 18:00</t>
  </si>
  <si>
    <t>07/12/2024 18:15</t>
  </si>
  <si>
    <t>07/12/2024 18:30</t>
  </si>
  <si>
    <t>07/12/2024 18:45</t>
  </si>
  <si>
    <t>07/12/2024 19:00</t>
  </si>
  <si>
    <t>07/12/2024 19:15</t>
  </si>
  <si>
    <t>07/12/2024 19:30</t>
  </si>
  <si>
    <t>07/12/2024 19:45</t>
  </si>
  <si>
    <t>07/12/2024 20:00</t>
  </si>
  <si>
    <t>07/12/2024 20:15</t>
  </si>
  <si>
    <t>07/12/2024 20:30</t>
  </si>
  <si>
    <t>07/12/2024 20:45</t>
  </si>
  <si>
    <t>07/12/2024 21:00</t>
  </si>
  <si>
    <t>07/12/2024 21:15</t>
  </si>
  <si>
    <t>07/12/2024 21:30</t>
  </si>
  <si>
    <t>07/12/2024 21:45</t>
  </si>
  <si>
    <t>07/12/2024 22:00</t>
  </si>
  <si>
    <t>07/12/2024 22:15</t>
  </si>
  <si>
    <t>07/12/2024 22:30</t>
  </si>
  <si>
    <t>07/12/2024 22:45</t>
  </si>
  <si>
    <t>07/12/2024 23:00</t>
  </si>
  <si>
    <t>07/12/2024 23:15</t>
  </si>
  <si>
    <t>07/12/2024 23:30</t>
  </si>
  <si>
    <t>07/12/2024 23:45</t>
  </si>
  <si>
    <t>07/12/2024 24:00</t>
  </si>
  <si>
    <t>08/12/2024 00:15</t>
  </si>
  <si>
    <t>08/12/2024 00:30</t>
  </si>
  <si>
    <t>08/12/2024 00:45</t>
  </si>
  <si>
    <t>08/12/2024 01:00</t>
  </si>
  <si>
    <t>08/12/2024 01:15</t>
  </si>
  <si>
    <t>08/12/2024 01:30</t>
  </si>
  <si>
    <t>08/12/2024 01:45</t>
  </si>
  <si>
    <t>08/12/2024 02:00</t>
  </si>
  <si>
    <t>08/12/2024 02:15</t>
  </si>
  <si>
    <t>08/12/2024 02:30</t>
  </si>
  <si>
    <t>08/12/2024 02:45</t>
  </si>
  <si>
    <t>08/12/2024 03:00</t>
  </si>
  <si>
    <t>08/12/2024 03:15</t>
  </si>
  <si>
    <t>08/12/2024 03:30</t>
  </si>
  <si>
    <t>08/12/2024 03:45</t>
  </si>
  <si>
    <t>08/12/2024 04:00</t>
  </si>
  <si>
    <t>08/12/2024 04:15</t>
  </si>
  <si>
    <t>08/12/2024 04:30</t>
  </si>
  <si>
    <t>08/12/2024 04:45</t>
  </si>
  <si>
    <t>08/12/2024 05:00</t>
  </si>
  <si>
    <t>08/12/2024 05:15</t>
  </si>
  <si>
    <t>08/12/2024 05:30</t>
  </si>
  <si>
    <t>08/12/2024 05:45</t>
  </si>
  <si>
    <t>08/12/2024 06:00</t>
  </si>
  <si>
    <t>08/12/2024 06:15</t>
  </si>
  <si>
    <t>08/12/2024 06:30</t>
  </si>
  <si>
    <t>08/12/2024 06:45</t>
  </si>
  <si>
    <t>08/12/2024 07:00</t>
  </si>
  <si>
    <t>08/12/2024 07:15</t>
  </si>
  <si>
    <t>08/12/2024 07:30</t>
  </si>
  <si>
    <t>08/12/2024 07:45</t>
  </si>
  <si>
    <t>08/12/2024 08:00</t>
  </si>
  <si>
    <t>08/12/2024 08:15</t>
  </si>
  <si>
    <t>08/12/2024 08:30</t>
  </si>
  <si>
    <t>08/12/2024 08:45</t>
  </si>
  <si>
    <t>08/12/2024 09:00</t>
  </si>
  <si>
    <t>08/12/2024 09:15</t>
  </si>
  <si>
    <t>08/12/2024 09:30</t>
  </si>
  <si>
    <t>08/12/2024 09:45</t>
  </si>
  <si>
    <t>08/12/2024 10:00</t>
  </si>
  <si>
    <t>08/12/2024 10:15</t>
  </si>
  <si>
    <t>08/12/2024 10:30</t>
  </si>
  <si>
    <t>08/12/2024 10:45</t>
  </si>
  <si>
    <t>08/12/2024 11:00</t>
  </si>
  <si>
    <t>08/12/2024 11:15</t>
  </si>
  <si>
    <t>08/12/2024 11:30</t>
  </si>
  <si>
    <t>08/12/2024 11:45</t>
  </si>
  <si>
    <t>08/12/2024 12:00</t>
  </si>
  <si>
    <t>08/12/2024 12:15</t>
  </si>
  <si>
    <t>08/12/2024 12:30</t>
  </si>
  <si>
    <t>08/12/2024 12:45</t>
  </si>
  <si>
    <t>08/12/2024 13:00</t>
  </si>
  <si>
    <t>08/12/2024 13:15</t>
  </si>
  <si>
    <t>08/12/2024 13:30</t>
  </si>
  <si>
    <t>08/12/2024 13:45</t>
  </si>
  <si>
    <t>08/12/2024 14:00</t>
  </si>
  <si>
    <t>08/12/2024 14:15</t>
  </si>
  <si>
    <t>08/12/2024 14:30</t>
  </si>
  <si>
    <t>08/12/2024 14:45</t>
  </si>
  <si>
    <t>08/12/2024 15:00</t>
  </si>
  <si>
    <t>08/12/2024 15:15</t>
  </si>
  <si>
    <t>08/12/2024 15:30</t>
  </si>
  <si>
    <t>08/12/2024 15:45</t>
  </si>
  <si>
    <t>08/12/2024 16:00</t>
  </si>
  <si>
    <t>08/12/2024 16:15</t>
  </si>
  <si>
    <t>08/12/2024 16:30</t>
  </si>
  <si>
    <t>08/12/2024 16:45</t>
  </si>
  <si>
    <t>08/12/2024 17:00</t>
  </si>
  <si>
    <t>08/12/2024 17:15</t>
  </si>
  <si>
    <t>08/12/2024 17:30</t>
  </si>
  <si>
    <t>08/12/2024 17:45</t>
  </si>
  <si>
    <t>08/12/2024 18:00</t>
  </si>
  <si>
    <t>08/12/2024 18:15</t>
  </si>
  <si>
    <t>08/12/2024 18:30</t>
  </si>
  <si>
    <t>08/12/2024 18:45</t>
  </si>
  <si>
    <t>08/12/2024 19:00</t>
  </si>
  <si>
    <t>08/12/2024 19:15</t>
  </si>
  <si>
    <t>08/12/2024 19:30</t>
  </si>
  <si>
    <t>08/12/2024 19:45</t>
  </si>
  <si>
    <t>08/12/2024 20:00</t>
  </si>
  <si>
    <t>08/12/2024 20:15</t>
  </si>
  <si>
    <t>08/12/2024 20:30</t>
  </si>
  <si>
    <t>08/12/2024 20:45</t>
  </si>
  <si>
    <t>08/12/2024 21:00</t>
  </si>
  <si>
    <t>08/12/2024 21:15</t>
  </si>
  <si>
    <t>08/12/2024 21:30</t>
  </si>
  <si>
    <t>08/12/2024 21:45</t>
  </si>
  <si>
    <t>08/12/2024 22:00</t>
  </si>
  <si>
    <t>08/12/2024 22:15</t>
  </si>
  <si>
    <t>08/12/2024 22:30</t>
  </si>
  <si>
    <t>08/12/2024 22:45</t>
  </si>
  <si>
    <t>08/12/2024 23:00</t>
  </si>
  <si>
    <t>08/12/2024 23:15</t>
  </si>
  <si>
    <t>08/12/2024 23:30</t>
  </si>
  <si>
    <t>08/12/2024 23:45</t>
  </si>
  <si>
    <t>08/12/2024 24:00</t>
  </si>
  <si>
    <t>09/12/2024 00:15</t>
  </si>
  <si>
    <t>09/12/2024 00:30</t>
  </si>
  <si>
    <t>09/12/2024 00:45</t>
  </si>
  <si>
    <t>09/12/2024 01:00</t>
  </si>
  <si>
    <t>09/12/2024 01:15</t>
  </si>
  <si>
    <t>09/12/2024 01:30</t>
  </si>
  <si>
    <t>09/12/2024 01:45</t>
  </si>
  <si>
    <t>09/12/2024 02:00</t>
  </si>
  <si>
    <t>09/12/2024 02:15</t>
  </si>
  <si>
    <t>09/12/2024 02:30</t>
  </si>
  <si>
    <t>09/12/2024 02:45</t>
  </si>
  <si>
    <t>09/12/2024 03:00</t>
  </si>
  <si>
    <t>09/12/2024 03:15</t>
  </si>
  <si>
    <t>09/12/2024 03:30</t>
  </si>
  <si>
    <t>09/12/2024 03:45</t>
  </si>
  <si>
    <t>09/12/2024 04:00</t>
  </si>
  <si>
    <t>09/12/2024 04:15</t>
  </si>
  <si>
    <t>09/12/2024 04:30</t>
  </si>
  <si>
    <t>09/12/2024 04:45</t>
  </si>
  <si>
    <t>09/12/2024 05:00</t>
  </si>
  <si>
    <t>09/12/2024 05:15</t>
  </si>
  <si>
    <t>09/12/2024 05:30</t>
  </si>
  <si>
    <t>09/12/2024 05:45</t>
  </si>
  <si>
    <t>09/12/2024 06:00</t>
  </si>
  <si>
    <t>09/12/2024 06:15</t>
  </si>
  <si>
    <t>09/12/2024 06:30</t>
  </si>
  <si>
    <t>09/12/2024 06:45</t>
  </si>
  <si>
    <t>09/12/2024 07:00</t>
  </si>
  <si>
    <t>09/12/2024 07:15</t>
  </si>
  <si>
    <t>09/12/2024 07:30</t>
  </si>
  <si>
    <t>09/12/2024 07:45</t>
  </si>
  <si>
    <t>09/12/2024 08:00</t>
  </si>
  <si>
    <t>09/12/2024 08:15</t>
  </si>
  <si>
    <t>09/12/2024 08:30</t>
  </si>
  <si>
    <t>09/12/2024 08:45</t>
  </si>
  <si>
    <t>09/12/2024 09:00</t>
  </si>
  <si>
    <t>09/12/2024 09:15</t>
  </si>
  <si>
    <t>09/12/2024 09:30</t>
  </si>
  <si>
    <t>09/12/2024 09:45</t>
  </si>
  <si>
    <t>09/12/2024 10:00</t>
  </si>
  <si>
    <t>09/12/2024 10:15</t>
  </si>
  <si>
    <t>09/12/2024 10:30</t>
  </si>
  <si>
    <t>09/12/2024 10:45</t>
  </si>
  <si>
    <t>09/12/2024 11:00</t>
  </si>
  <si>
    <t>09/12/2024 11:15</t>
  </si>
  <si>
    <t>09/12/2024 11:30</t>
  </si>
  <si>
    <t>09/12/2024 11:45</t>
  </si>
  <si>
    <t>09/12/2024 12:00</t>
  </si>
  <si>
    <t>09/12/2024 12:15</t>
  </si>
  <si>
    <t>09/12/2024 12:30</t>
  </si>
  <si>
    <t>09/12/2024 12:45</t>
  </si>
  <si>
    <t>09/12/2024 13:00</t>
  </si>
  <si>
    <t>09/12/2024 13:15</t>
  </si>
  <si>
    <t>09/12/2024 13:30</t>
  </si>
  <si>
    <t>09/12/2024 13:45</t>
  </si>
  <si>
    <t>09/12/2024 14:00</t>
  </si>
  <si>
    <t>09/12/2024 14:15</t>
  </si>
  <si>
    <t>09/12/2024 14:30</t>
  </si>
  <si>
    <t>09/12/2024 14:45</t>
  </si>
  <si>
    <t>09/12/2024 15:00</t>
  </si>
  <si>
    <t>09/12/2024 15:15</t>
  </si>
  <si>
    <t>09/12/2024 15:30</t>
  </si>
  <si>
    <t>09/12/2024 15:45</t>
  </si>
  <si>
    <t>09/12/2024 16:00</t>
  </si>
  <si>
    <t>09/12/2024 16:15</t>
  </si>
  <si>
    <t>09/12/2024 16:30</t>
  </si>
  <si>
    <t>09/12/2024 16:45</t>
  </si>
  <si>
    <t>09/12/2024 17:00</t>
  </si>
  <si>
    <t>09/12/2024 17:15</t>
  </si>
  <si>
    <t>09/12/2024 17:30</t>
  </si>
  <si>
    <t>09/12/2024 17:45</t>
  </si>
  <si>
    <t>09/12/2024 18:00</t>
  </si>
  <si>
    <t>09/12/2024 18:15</t>
  </si>
  <si>
    <t>09/12/2024 18:30</t>
  </si>
  <si>
    <t>09/12/2024 18:45</t>
  </si>
  <si>
    <t>09/12/2024 19:00</t>
  </si>
  <si>
    <t>09/12/2024 19:15</t>
  </si>
  <si>
    <t>09/12/2024 19:30</t>
  </si>
  <si>
    <t>09/12/2024 19:45</t>
  </si>
  <si>
    <t>09/12/2024 20:00</t>
  </si>
  <si>
    <t>09/12/2024 20:15</t>
  </si>
  <si>
    <t>09/12/2024 20:30</t>
  </si>
  <si>
    <t>09/12/2024 20:45</t>
  </si>
  <si>
    <t>09/12/2024 21:00</t>
  </si>
  <si>
    <t>09/12/2024 21:15</t>
  </si>
  <si>
    <t>09/12/2024 21:30</t>
  </si>
  <si>
    <t>09/12/2024 21:45</t>
  </si>
  <si>
    <t>09/12/2024 22:00</t>
  </si>
  <si>
    <t>09/12/2024 22:15</t>
  </si>
  <si>
    <t>09/12/2024 22:30</t>
  </si>
  <si>
    <t>09/12/2024 22:45</t>
  </si>
  <si>
    <t>09/12/2024 23:00</t>
  </si>
  <si>
    <t>09/12/2024 23:15</t>
  </si>
  <si>
    <t>09/12/2024 23:30</t>
  </si>
  <si>
    <t>09/12/2024 23:45</t>
  </si>
  <si>
    <t>09/12/2024 24:00</t>
  </si>
  <si>
    <t>10/12/2024 00:15</t>
  </si>
  <si>
    <t>10/12/2024 00:30</t>
  </si>
  <si>
    <t>10/12/2024 00:45</t>
  </si>
  <si>
    <t>10/12/2024 01:00</t>
  </si>
  <si>
    <t>10/12/2024 01:15</t>
  </si>
  <si>
    <t>10/12/2024 01:30</t>
  </si>
  <si>
    <t>10/12/2024 01:45</t>
  </si>
  <si>
    <t>10/12/2024 02:00</t>
  </si>
  <si>
    <t>10/12/2024 02:15</t>
  </si>
  <si>
    <t>10/12/2024 02:30</t>
  </si>
  <si>
    <t>10/12/2024 02:45</t>
  </si>
  <si>
    <t>10/12/2024 03:00</t>
  </si>
  <si>
    <t>10/12/2024 03:15</t>
  </si>
  <si>
    <t>10/12/2024 03:30</t>
  </si>
  <si>
    <t>10/12/2024 03:45</t>
  </si>
  <si>
    <t>10/12/2024 04:00</t>
  </si>
  <si>
    <t>10/12/2024 04:15</t>
  </si>
  <si>
    <t>10/12/2024 04:30</t>
  </si>
  <si>
    <t>10/12/2024 04:45</t>
  </si>
  <si>
    <t>10/12/2024 05:00</t>
  </si>
  <si>
    <t>10/12/2024 05:15</t>
  </si>
  <si>
    <t>10/12/2024 05:30</t>
  </si>
  <si>
    <t>10/12/2024 05:45</t>
  </si>
  <si>
    <t>10/12/2024 06:00</t>
  </si>
  <si>
    <t>10/12/2024 06:15</t>
  </si>
  <si>
    <t>10/12/2024 06:30</t>
  </si>
  <si>
    <t>10/12/2024 06:45</t>
  </si>
  <si>
    <t>10/12/2024 07:00</t>
  </si>
  <si>
    <t>10/12/2024 07:15</t>
  </si>
  <si>
    <t>10/12/2024 07:30</t>
  </si>
  <si>
    <t>10/12/2024 07:45</t>
  </si>
  <si>
    <t>10/12/2024 08:00</t>
  </si>
  <si>
    <t>10/12/2024 08:15</t>
  </si>
  <si>
    <t>10/12/2024 08:30</t>
  </si>
  <si>
    <t>10/12/2024 08:45</t>
  </si>
  <si>
    <t>10/12/2024 09:00</t>
  </si>
  <si>
    <t>10/12/2024 09:15</t>
  </si>
  <si>
    <t>10/12/2024 09:30</t>
  </si>
  <si>
    <t>10/12/2024 09:45</t>
  </si>
  <si>
    <t>10/12/2024 10:00</t>
  </si>
  <si>
    <t>10/12/2024 10:15</t>
  </si>
  <si>
    <t>10/12/2024 10:30</t>
  </si>
  <si>
    <t>10/12/2024 10:45</t>
  </si>
  <si>
    <t>10/12/2024 11:00</t>
  </si>
  <si>
    <t>10/12/2024 11:15</t>
  </si>
  <si>
    <t>10/12/2024 11:30</t>
  </si>
  <si>
    <t>10/12/2024 11:45</t>
  </si>
  <si>
    <t>10/12/2024 12:00</t>
  </si>
  <si>
    <t>10/12/2024 12:15</t>
  </si>
  <si>
    <t>10/12/2024 12:30</t>
  </si>
  <si>
    <t>10/12/2024 12:45</t>
  </si>
  <si>
    <t>10/12/2024 13:00</t>
  </si>
  <si>
    <t>10/12/2024 13:15</t>
  </si>
  <si>
    <t>10/12/2024 13:30</t>
  </si>
  <si>
    <t>10/12/2024 13:45</t>
  </si>
  <si>
    <t>10/12/2024 14:00</t>
  </si>
  <si>
    <t>10/12/2024 14:15</t>
  </si>
  <si>
    <t>10/12/2024 14:30</t>
  </si>
  <si>
    <t>10/12/2024 14:45</t>
  </si>
  <si>
    <t>10/12/2024 15:00</t>
  </si>
  <si>
    <t>10/12/2024 15:15</t>
  </si>
  <si>
    <t>10/12/2024 15:30</t>
  </si>
  <si>
    <t>10/12/2024 15:45</t>
  </si>
  <si>
    <t>10/12/2024 16:00</t>
  </si>
  <si>
    <t>10/12/2024 16:15</t>
  </si>
  <si>
    <t>10/12/2024 16:30</t>
  </si>
  <si>
    <t>10/12/2024 16:45</t>
  </si>
  <si>
    <t>10/12/2024 17:00</t>
  </si>
  <si>
    <t>10/12/2024 17:15</t>
  </si>
  <si>
    <t>10/12/2024 17:30</t>
  </si>
  <si>
    <t>10/12/2024 17:45</t>
  </si>
  <si>
    <t>10/12/2024 18:00</t>
  </si>
  <si>
    <t>10/12/2024 18:15</t>
  </si>
  <si>
    <t>10/12/2024 18:30</t>
  </si>
  <si>
    <t>10/12/2024 18:45</t>
  </si>
  <si>
    <t>10/12/2024 19:00</t>
  </si>
  <si>
    <t>10/12/2024 19:15</t>
  </si>
  <si>
    <t>10/12/2024 19:30</t>
  </si>
  <si>
    <t>10/12/2024 19:45</t>
  </si>
  <si>
    <t>10/12/2024 20:00</t>
  </si>
  <si>
    <t>10/12/2024 20:15</t>
  </si>
  <si>
    <t>10/12/2024 20:30</t>
  </si>
  <si>
    <t>10/12/2024 20:45</t>
  </si>
  <si>
    <t>10/12/2024 21:00</t>
  </si>
  <si>
    <t>10/12/2024 21:15</t>
  </si>
  <si>
    <t>10/12/2024 21:30</t>
  </si>
  <si>
    <t>10/12/2024 21:45</t>
  </si>
  <si>
    <t>10/12/2024 22:00</t>
  </si>
  <si>
    <t>10/12/2024 22:15</t>
  </si>
  <si>
    <t>10/12/2024 22:30</t>
  </si>
  <si>
    <t>10/12/2024 22:45</t>
  </si>
  <si>
    <t>10/12/2024 23:00</t>
  </si>
  <si>
    <t>10/12/2024 23:15</t>
  </si>
  <si>
    <t>10/12/2024 23:30</t>
  </si>
  <si>
    <t>10/12/2024 23:45</t>
  </si>
  <si>
    <t>10/12/2024 24:00</t>
  </si>
  <si>
    <t>11/12/2024 00:15</t>
  </si>
  <si>
    <t>11/12/2024 00:30</t>
  </si>
  <si>
    <t>11/12/2024 00:45</t>
  </si>
  <si>
    <t>11/12/2024 01:00</t>
  </si>
  <si>
    <t>11/12/2024 01:15</t>
  </si>
  <si>
    <t>11/12/2024 01:30</t>
  </si>
  <si>
    <t>11/12/2024 01:45</t>
  </si>
  <si>
    <t>11/12/2024 02:00</t>
  </si>
  <si>
    <t>11/12/2024 02:15</t>
  </si>
  <si>
    <t>11/12/2024 02:30</t>
  </si>
  <si>
    <t>11/12/2024 02:45</t>
  </si>
  <si>
    <t>11/12/2024 03:00</t>
  </si>
  <si>
    <t>11/12/2024 03:15</t>
  </si>
  <si>
    <t>11/12/2024 03:30</t>
  </si>
  <si>
    <t>11/12/2024 03:45</t>
  </si>
  <si>
    <t>11/12/2024 04:00</t>
  </si>
  <si>
    <t>11/12/2024 04:15</t>
  </si>
  <si>
    <t>11/12/2024 04:30</t>
  </si>
  <si>
    <t>11/12/2024 04:45</t>
  </si>
  <si>
    <t>11/12/2024 05:00</t>
  </si>
  <si>
    <t>11/12/2024 05:15</t>
  </si>
  <si>
    <t>11/12/2024 05:30</t>
  </si>
  <si>
    <t>11/12/2024 05:45</t>
  </si>
  <si>
    <t>11/12/2024 06:00</t>
  </si>
  <si>
    <t>11/12/2024 06:15</t>
  </si>
  <si>
    <t>11/12/2024 06:30</t>
  </si>
  <si>
    <t>11/12/2024 06:45</t>
  </si>
  <si>
    <t>11/12/2024 07:00</t>
  </si>
  <si>
    <t>11/12/2024 07:15</t>
  </si>
  <si>
    <t>11/12/2024 07:30</t>
  </si>
  <si>
    <t>11/12/2024 07:45</t>
  </si>
  <si>
    <t>11/12/2024 08:00</t>
  </si>
  <si>
    <t>11/12/2024 08:15</t>
  </si>
  <si>
    <t>11/12/2024 08:30</t>
  </si>
  <si>
    <t>11/12/2024 08:45</t>
  </si>
  <si>
    <t>11/12/2024 09:00</t>
  </si>
  <si>
    <t>11/12/2024 09:15</t>
  </si>
  <si>
    <t>11/12/2024 09:30</t>
  </si>
  <si>
    <t>11/12/2024 09:45</t>
  </si>
  <si>
    <t>11/12/2024 10:00</t>
  </si>
  <si>
    <t>11/12/2024 10:15</t>
  </si>
  <si>
    <t>11/12/2024 10:30</t>
  </si>
  <si>
    <t>11/12/2024 10:45</t>
  </si>
  <si>
    <t>11/12/2024 11:00</t>
  </si>
  <si>
    <t>11/12/2024 11:15</t>
  </si>
  <si>
    <t>11/12/2024 11:30</t>
  </si>
  <si>
    <t>11/12/2024 11:45</t>
  </si>
  <si>
    <t>11/12/2024 12:00</t>
  </si>
  <si>
    <t>11/12/2024 12:15</t>
  </si>
  <si>
    <t>11/12/2024 12:30</t>
  </si>
  <si>
    <t>11/12/2024 12:45</t>
  </si>
  <si>
    <t>11/12/2024 13:00</t>
  </si>
  <si>
    <t>11/12/2024 13:15</t>
  </si>
  <si>
    <t>11/12/2024 13:30</t>
  </si>
  <si>
    <t>11/12/2024 13:45</t>
  </si>
  <si>
    <t>11/12/2024 14:00</t>
  </si>
  <si>
    <t>11/12/2024 14:15</t>
  </si>
  <si>
    <t>11/12/2024 14:30</t>
  </si>
  <si>
    <t>11/12/2024 14:45</t>
  </si>
  <si>
    <t>11/12/2024 15:00</t>
  </si>
  <si>
    <t>11/12/2024 15:15</t>
  </si>
  <si>
    <t>11/12/2024 15:30</t>
  </si>
  <si>
    <t>11/12/2024 15:45</t>
  </si>
  <si>
    <t>11/12/2024 16:00</t>
  </si>
  <si>
    <t>11/12/2024 16:15</t>
  </si>
  <si>
    <t>11/12/2024 16:30</t>
  </si>
  <si>
    <t>11/12/2024 16:45</t>
  </si>
  <si>
    <t>11/12/2024 17:00</t>
  </si>
  <si>
    <t>11/12/2024 17:15</t>
  </si>
  <si>
    <t>11/12/2024 17:30</t>
  </si>
  <si>
    <t>11/12/2024 17:45</t>
  </si>
  <si>
    <t>11/12/2024 18:00</t>
  </si>
  <si>
    <t>11/12/2024 18:15</t>
  </si>
  <si>
    <t>11/12/2024 18:30</t>
  </si>
  <si>
    <t>11/12/2024 18:45</t>
  </si>
  <si>
    <t>11/12/2024 19:00</t>
  </si>
  <si>
    <t>11/12/2024 19:15</t>
  </si>
  <si>
    <t>11/12/2024 19:30</t>
  </si>
  <si>
    <t>11/12/2024 19:45</t>
  </si>
  <si>
    <t>11/12/2024 20:00</t>
  </si>
  <si>
    <t>11/12/2024 20:15</t>
  </si>
  <si>
    <t>11/12/2024 20:30</t>
  </si>
  <si>
    <t>11/12/2024 20:45</t>
  </si>
  <si>
    <t>11/12/2024 21:00</t>
  </si>
  <si>
    <t>11/12/2024 21:15</t>
  </si>
  <si>
    <t>11/12/2024 21:30</t>
  </si>
  <si>
    <t>11/12/2024 21:45</t>
  </si>
  <si>
    <t>11/12/2024 22:00</t>
  </si>
  <si>
    <t>11/12/2024 22:15</t>
  </si>
  <si>
    <t>11/12/2024 22:30</t>
  </si>
  <si>
    <t>11/12/2024 22:45</t>
  </si>
  <si>
    <t>11/12/2024 23:00</t>
  </si>
  <si>
    <t>11/12/2024 23:15</t>
  </si>
  <si>
    <t>11/12/2024 23:30</t>
  </si>
  <si>
    <t>11/12/2024 23:45</t>
  </si>
  <si>
    <t>11/12/2024 24:00</t>
  </si>
  <si>
    <t>12/12/2024 00:15</t>
  </si>
  <si>
    <t>12/12/2024 00:30</t>
  </si>
  <si>
    <t>12/12/2024 00:45</t>
  </si>
  <si>
    <t>12/12/2024 01:00</t>
  </si>
  <si>
    <t>12/12/2024 01:15</t>
  </si>
  <si>
    <t>12/12/2024 01:30</t>
  </si>
  <si>
    <t>12/12/2024 01:45</t>
  </si>
  <si>
    <t>12/12/2024 02:00</t>
  </si>
  <si>
    <t>12/12/2024 02:15</t>
  </si>
  <si>
    <t>12/12/2024 02:30</t>
  </si>
  <si>
    <t>12/12/2024 02:45</t>
  </si>
  <si>
    <t>12/12/2024 03:00</t>
  </si>
  <si>
    <t>12/12/2024 03:15</t>
  </si>
  <si>
    <t>12/12/2024 03:30</t>
  </si>
  <si>
    <t>12/12/2024 03:45</t>
  </si>
  <si>
    <t>12/12/2024 04:00</t>
  </si>
  <si>
    <t>12/12/2024 04:15</t>
  </si>
  <si>
    <t>12/12/2024 04:30</t>
  </si>
  <si>
    <t>12/12/2024 04:45</t>
  </si>
  <si>
    <t>12/12/2024 05:00</t>
  </si>
  <si>
    <t>12/12/2024 05:15</t>
  </si>
  <si>
    <t>12/12/2024 05:30</t>
  </si>
  <si>
    <t>12/12/2024 05:45</t>
  </si>
  <si>
    <t>12/12/2024 06:00</t>
  </si>
  <si>
    <t>12/12/2024 06:15</t>
  </si>
  <si>
    <t>12/12/2024 06:30</t>
  </si>
  <si>
    <t>12/12/2024 06:45</t>
  </si>
  <si>
    <t>12/12/2024 07:00</t>
  </si>
  <si>
    <t>12/12/2024 07:15</t>
  </si>
  <si>
    <t>12/12/2024 07:30</t>
  </si>
  <si>
    <t>12/12/2024 07:45</t>
  </si>
  <si>
    <t>12/12/2024 08:00</t>
  </si>
  <si>
    <t>12/12/2024 08:15</t>
  </si>
  <si>
    <t>12/12/2024 08:30</t>
  </si>
  <si>
    <t>12/12/2024 08:45</t>
  </si>
  <si>
    <t>12/12/2024 09:00</t>
  </si>
  <si>
    <t>12/12/2024 09:15</t>
  </si>
  <si>
    <t>12/12/2024 09:30</t>
  </si>
  <si>
    <t>12/12/2024 09:45</t>
  </si>
  <si>
    <t>12/12/2024 10:00</t>
  </si>
  <si>
    <t>12/12/2024 10:15</t>
  </si>
  <si>
    <t>12/12/2024 10:30</t>
  </si>
  <si>
    <t>12/12/2024 10:45</t>
  </si>
  <si>
    <t>12/12/2024 11:00</t>
  </si>
  <si>
    <t>12/12/2024 11:15</t>
  </si>
  <si>
    <t>12/12/2024 11:30</t>
  </si>
  <si>
    <t>12/12/2024 11:45</t>
  </si>
  <si>
    <t>12/12/2024 12:00</t>
  </si>
  <si>
    <t>12/12/2024 12:15</t>
  </si>
  <si>
    <t>12/12/2024 12:30</t>
  </si>
  <si>
    <t>12/12/2024 12:45</t>
  </si>
  <si>
    <t>12/12/2024 13:00</t>
  </si>
  <si>
    <t>12/12/2024 13:15</t>
  </si>
  <si>
    <t>12/12/2024 13:30</t>
  </si>
  <si>
    <t>12/12/2024 13:45</t>
  </si>
  <si>
    <t>12/12/2024 14:00</t>
  </si>
  <si>
    <t>12/12/2024 14:15</t>
  </si>
  <si>
    <t>12/12/2024 14:30</t>
  </si>
  <si>
    <t>12/12/2024 14:45</t>
  </si>
  <si>
    <t>12/12/2024 15:00</t>
  </si>
  <si>
    <t>12/12/2024 15:15</t>
  </si>
  <si>
    <t>12/12/2024 15:30</t>
  </si>
  <si>
    <t>12/12/2024 15:45</t>
  </si>
  <si>
    <t>12/12/2024 16:00</t>
  </si>
  <si>
    <t>12/12/2024 16:15</t>
  </si>
  <si>
    <t>12/12/2024 16:30</t>
  </si>
  <si>
    <t>12/12/2024 16:45</t>
  </si>
  <si>
    <t>12/12/2024 17:00</t>
  </si>
  <si>
    <t>12/12/2024 17:15</t>
  </si>
  <si>
    <t>12/12/2024 17:30</t>
  </si>
  <si>
    <t>12/12/2024 17:45</t>
  </si>
  <si>
    <t>12/12/2024 18:00</t>
  </si>
  <si>
    <t>12/12/2024 18:15</t>
  </si>
  <si>
    <t>12/12/2024 18:30</t>
  </si>
  <si>
    <t>12/12/2024 18:45</t>
  </si>
  <si>
    <t>12/12/2024 19:00</t>
  </si>
  <si>
    <t>12/12/2024 19:15</t>
  </si>
  <si>
    <t>12/12/2024 19:30</t>
  </si>
  <si>
    <t>12/12/2024 19:45</t>
  </si>
  <si>
    <t>12/12/2024 20:00</t>
  </si>
  <si>
    <t>12/12/2024 20:15</t>
  </si>
  <si>
    <t>12/12/2024 20:30</t>
  </si>
  <si>
    <t>12/12/2024 20:45</t>
  </si>
  <si>
    <t>12/12/2024 21:00</t>
  </si>
  <si>
    <t>12/12/2024 21:15</t>
  </si>
  <si>
    <t>12/12/2024 21:30</t>
  </si>
  <si>
    <t>12/12/2024 21:45</t>
  </si>
  <si>
    <t>12/12/2024 22:00</t>
  </si>
  <si>
    <t>12/12/2024 22:15</t>
  </si>
  <si>
    <t>12/12/2024 22:30</t>
  </si>
  <si>
    <t>12/12/2024 22:45</t>
  </si>
  <si>
    <t>12/12/2024 23:00</t>
  </si>
  <si>
    <t>12/12/2024 23:15</t>
  </si>
  <si>
    <t>12/12/2024 23:30</t>
  </si>
  <si>
    <t>12/12/2024 23:45</t>
  </si>
  <si>
    <t>12/12/2024 24:00</t>
  </si>
  <si>
    <t>13/12/2024 00:15</t>
  </si>
  <si>
    <t>13/12/2024 00:30</t>
  </si>
  <si>
    <t>13/12/2024 00:45</t>
  </si>
  <si>
    <t>13/12/2024 01:00</t>
  </si>
  <si>
    <t>13/12/2024 01:15</t>
  </si>
  <si>
    <t>13/12/2024 01:30</t>
  </si>
  <si>
    <t>13/12/2024 01:45</t>
  </si>
  <si>
    <t>13/12/2024 02:00</t>
  </si>
  <si>
    <t>13/12/2024 02:15</t>
  </si>
  <si>
    <t>13/12/2024 02:30</t>
  </si>
  <si>
    <t>13/12/2024 02:45</t>
  </si>
  <si>
    <t>13/12/2024 03:00</t>
  </si>
  <si>
    <t>13/12/2024 03:15</t>
  </si>
  <si>
    <t>13/12/2024 03:30</t>
  </si>
  <si>
    <t>13/12/2024 03:45</t>
  </si>
  <si>
    <t>13/12/2024 04:00</t>
  </si>
  <si>
    <t>13/12/2024 04:15</t>
  </si>
  <si>
    <t>13/12/2024 04:30</t>
  </si>
  <si>
    <t>13/12/2024 04:45</t>
  </si>
  <si>
    <t>13/12/2024 05:00</t>
  </si>
  <si>
    <t>13/12/2024 05:15</t>
  </si>
  <si>
    <t>13/12/2024 05:30</t>
  </si>
  <si>
    <t>13/12/2024 05:45</t>
  </si>
  <si>
    <t>13/12/2024 06:00</t>
  </si>
  <si>
    <t>13/12/2024 06:15</t>
  </si>
  <si>
    <t>13/12/2024 06:30</t>
  </si>
  <si>
    <t>13/12/2024 06:45</t>
  </si>
  <si>
    <t>13/12/2024 07:00</t>
  </si>
  <si>
    <t>13/12/2024 07:15</t>
  </si>
  <si>
    <t>13/12/2024 07:30</t>
  </si>
  <si>
    <t>13/12/2024 07:45</t>
  </si>
  <si>
    <t>13/12/2024 08:00</t>
  </si>
  <si>
    <t>13/12/2024 08:15</t>
  </si>
  <si>
    <t>13/12/2024 08:30</t>
  </si>
  <si>
    <t>13/12/2024 08:45</t>
  </si>
  <si>
    <t>13/12/2024 09:00</t>
  </si>
  <si>
    <t>13/12/2024 09:15</t>
  </si>
  <si>
    <t>13/12/2024 09:30</t>
  </si>
  <si>
    <t>13/12/2024 09:45</t>
  </si>
  <si>
    <t>13/12/2024 10:00</t>
  </si>
  <si>
    <t>13/12/2024 10:15</t>
  </si>
  <si>
    <t>13/12/2024 10:30</t>
  </si>
  <si>
    <t>13/12/2024 10:45</t>
  </si>
  <si>
    <t>13/12/2024 11:00</t>
  </si>
  <si>
    <t>13/12/2024 11:15</t>
  </si>
  <si>
    <t>13/12/2024 11:30</t>
  </si>
  <si>
    <t>13/12/2024 11:45</t>
  </si>
  <si>
    <t>13/12/2024 12:00</t>
  </si>
  <si>
    <t>13/12/2024 12:15</t>
  </si>
  <si>
    <t>13/12/2024 12:30</t>
  </si>
  <si>
    <t>13/12/2024 12:45</t>
  </si>
  <si>
    <t>13/12/2024 13:00</t>
  </si>
  <si>
    <t>13/12/2024 13:15</t>
  </si>
  <si>
    <t>13/12/2024 13:30</t>
  </si>
  <si>
    <t>13/12/2024 13:45</t>
  </si>
  <si>
    <t>13/12/2024 14:00</t>
  </si>
  <si>
    <t>13/12/2024 14:15</t>
  </si>
  <si>
    <t>13/12/2024 14:30</t>
  </si>
  <si>
    <t>13/12/2024 14:45</t>
  </si>
  <si>
    <t>13/12/2024 15:00</t>
  </si>
  <si>
    <t>13/12/2024 15:15</t>
  </si>
  <si>
    <t>13/12/2024 15:30</t>
  </si>
  <si>
    <t>13/12/2024 15:45</t>
  </si>
  <si>
    <t>13/12/2024 16:00</t>
  </si>
  <si>
    <t>13/12/2024 16:15</t>
  </si>
  <si>
    <t>13/12/2024 16:30</t>
  </si>
  <si>
    <t>13/12/2024 16:45</t>
  </si>
  <si>
    <t>13/12/2024 17:00</t>
  </si>
  <si>
    <t>13/12/2024 17:15</t>
  </si>
  <si>
    <t>13/12/2024 17:30</t>
  </si>
  <si>
    <t>13/12/2024 17:45</t>
  </si>
  <si>
    <t>13/12/2024 18:00</t>
  </si>
  <si>
    <t>13/12/2024 18:15</t>
  </si>
  <si>
    <t>13/12/2024 18:30</t>
  </si>
  <si>
    <t>13/12/2024 18:45</t>
  </si>
  <si>
    <t>13/12/2024 19:00</t>
  </si>
  <si>
    <t>13/12/2024 19:15</t>
  </si>
  <si>
    <t>13/12/2024 19:30</t>
  </si>
  <si>
    <t>13/12/2024 19:45</t>
  </si>
  <si>
    <t>13/12/2024 20:00</t>
  </si>
  <si>
    <t>13/12/2024 20:15</t>
  </si>
  <si>
    <t>13/12/2024 20:30</t>
  </si>
  <si>
    <t>13/12/2024 20:45</t>
  </si>
  <si>
    <t>13/12/2024 21:00</t>
  </si>
  <si>
    <t>13/12/2024 21:15</t>
  </si>
  <si>
    <t>13/12/2024 21:30</t>
  </si>
  <si>
    <t>13/12/2024 21:45</t>
  </si>
  <si>
    <t>13/12/2024 22:00</t>
  </si>
  <si>
    <t>13/12/2024 22:15</t>
  </si>
  <si>
    <t>13/12/2024 22:30</t>
  </si>
  <si>
    <t>13/12/2024 22:45</t>
  </si>
  <si>
    <t>13/12/2024 23:00</t>
  </si>
  <si>
    <t>13/12/2024 23:15</t>
  </si>
  <si>
    <t>13/12/2024 23:30</t>
  </si>
  <si>
    <t>13/12/2024 23:45</t>
  </si>
  <si>
    <t>13/12/2024 24:00</t>
  </si>
  <si>
    <t>14/12/2024 00:15</t>
  </si>
  <si>
    <t>14/12/2024 00:30</t>
  </si>
  <si>
    <t>14/12/2024 00:45</t>
  </si>
  <si>
    <t>14/12/2024 01:00</t>
  </si>
  <si>
    <t>14/12/2024 01:15</t>
  </si>
  <si>
    <t>14/12/2024 01:30</t>
  </si>
  <si>
    <t>14/12/2024 01:45</t>
  </si>
  <si>
    <t>14/12/2024 02:00</t>
  </si>
  <si>
    <t>14/12/2024 02:15</t>
  </si>
  <si>
    <t>14/12/2024 02:30</t>
  </si>
  <si>
    <t>14/12/2024 02:45</t>
  </si>
  <si>
    <t>14/12/2024 03:00</t>
  </si>
  <si>
    <t>14/12/2024 03:15</t>
  </si>
  <si>
    <t>14/12/2024 03:30</t>
  </si>
  <si>
    <t>14/12/2024 03:45</t>
  </si>
  <si>
    <t>14/12/2024 04:00</t>
  </si>
  <si>
    <t>14/12/2024 04:15</t>
  </si>
  <si>
    <t>14/12/2024 04:30</t>
  </si>
  <si>
    <t>14/12/2024 04:45</t>
  </si>
  <si>
    <t>14/12/2024 05:00</t>
  </si>
  <si>
    <t>14/12/2024 05:15</t>
  </si>
  <si>
    <t>14/12/2024 05:30</t>
  </si>
  <si>
    <t>14/12/2024 05:45</t>
  </si>
  <si>
    <t>14/12/2024 06:00</t>
  </si>
  <si>
    <t>14/12/2024 06:15</t>
  </si>
  <si>
    <t>14/12/2024 06:30</t>
  </si>
  <si>
    <t>14/12/2024 06:45</t>
  </si>
  <si>
    <t>14/12/2024 07:00</t>
  </si>
  <si>
    <t>14/12/2024 07:15</t>
  </si>
  <si>
    <t>14/12/2024 07:30</t>
  </si>
  <si>
    <t>14/12/2024 07:45</t>
  </si>
  <si>
    <t>14/12/2024 08:00</t>
  </si>
  <si>
    <t>14/12/2024 08:15</t>
  </si>
  <si>
    <t>14/12/2024 08:30</t>
  </si>
  <si>
    <t>14/12/2024 08:45</t>
  </si>
  <si>
    <t>14/12/2024 09:00</t>
  </si>
  <si>
    <t>14/12/2024 09:15</t>
  </si>
  <si>
    <t>14/12/2024 09:30</t>
  </si>
  <si>
    <t>14/12/2024 09:45</t>
  </si>
  <si>
    <t>14/12/2024 10:00</t>
  </si>
  <si>
    <t>14/12/2024 10:15</t>
  </si>
  <si>
    <t>14/12/2024 10:30</t>
  </si>
  <si>
    <t>14/12/2024 10:45</t>
  </si>
  <si>
    <t>14/12/2024 11:00</t>
  </si>
  <si>
    <t>14/12/2024 11:15</t>
  </si>
  <si>
    <t>14/12/2024 11:30</t>
  </si>
  <si>
    <t>14/12/2024 11:45</t>
  </si>
  <si>
    <t>14/12/2024 12:00</t>
  </si>
  <si>
    <t>14/12/2024 12:15</t>
  </si>
  <si>
    <t>14/12/2024 12:30</t>
  </si>
  <si>
    <t>14/12/2024 12:45</t>
  </si>
  <si>
    <t>14/12/2024 13:00</t>
  </si>
  <si>
    <t>14/12/2024 13:15</t>
  </si>
  <si>
    <t>14/12/2024 13:30</t>
  </si>
  <si>
    <t>14/12/2024 13:45</t>
  </si>
  <si>
    <t>14/12/2024 14:00</t>
  </si>
  <si>
    <t>14/12/2024 14:15</t>
  </si>
  <si>
    <t>14/12/2024 14:30</t>
  </si>
  <si>
    <t>14/12/2024 14:45</t>
  </si>
  <si>
    <t>14/12/2024 15:00</t>
  </si>
  <si>
    <t>14/12/2024 15:15</t>
  </si>
  <si>
    <t>14/12/2024 15:30</t>
  </si>
  <si>
    <t>14/12/2024 15:45</t>
  </si>
  <si>
    <t>14/12/2024 16:00</t>
  </si>
  <si>
    <t>14/12/2024 16:15</t>
  </si>
  <si>
    <t>14/12/2024 16:30</t>
  </si>
  <si>
    <t>14/12/2024 16:45</t>
  </si>
  <si>
    <t>14/12/2024 17:00</t>
  </si>
  <si>
    <t>14/12/2024 17:15</t>
  </si>
  <si>
    <t>14/12/2024 17:30</t>
  </si>
  <si>
    <t>14/12/2024 17:45</t>
  </si>
  <si>
    <t>14/12/2024 18:00</t>
  </si>
  <si>
    <t>14/12/2024 18:15</t>
  </si>
  <si>
    <t>14/12/2024 18:30</t>
  </si>
  <si>
    <t>14/12/2024 18:45</t>
  </si>
  <si>
    <t>14/12/2024 19:00</t>
  </si>
  <si>
    <t>14/12/2024 19:15</t>
  </si>
  <si>
    <t>14/12/2024 19:30</t>
  </si>
  <si>
    <t>14/12/2024 19:45</t>
  </si>
  <si>
    <t>14/12/2024 20:00</t>
  </si>
  <si>
    <t>14/12/2024 20:15</t>
  </si>
  <si>
    <t>14/12/2024 20:30</t>
  </si>
  <si>
    <t>14/12/2024 20:45</t>
  </si>
  <si>
    <t>14/12/2024 21:00</t>
  </si>
  <si>
    <t>14/12/2024 21:15</t>
  </si>
  <si>
    <t>14/12/2024 21:30</t>
  </si>
  <si>
    <t>14/12/2024 21:45</t>
  </si>
  <si>
    <t>14/12/2024 22:00</t>
  </si>
  <si>
    <t>14/12/2024 22:15</t>
  </si>
  <si>
    <t>14/12/2024 22:30</t>
  </si>
  <si>
    <t>14/12/2024 22:45</t>
  </si>
  <si>
    <t>14/12/2024 23:00</t>
  </si>
  <si>
    <t>14/12/2024 23:15</t>
  </si>
  <si>
    <t>14/12/2024 23:30</t>
  </si>
  <si>
    <t>14/12/2024 23:45</t>
  </si>
  <si>
    <t>14/12/2024 24:00</t>
  </si>
  <si>
    <t>15/12/2024 00:15</t>
  </si>
  <si>
    <t>15/12/2024 00:30</t>
  </si>
  <si>
    <t>15/12/2024 00:45</t>
  </si>
  <si>
    <t>15/12/2024 01:00</t>
  </si>
  <si>
    <t>15/12/2024 01:15</t>
  </si>
  <si>
    <t>15/12/2024 01:30</t>
  </si>
  <si>
    <t>15/12/2024 01:45</t>
  </si>
  <si>
    <t>15/12/2024 02:00</t>
  </si>
  <si>
    <t>15/12/2024 02:15</t>
  </si>
  <si>
    <t>15/12/2024 02:30</t>
  </si>
  <si>
    <t>15/12/2024 02:45</t>
  </si>
  <si>
    <t>15/12/2024 03:00</t>
  </si>
  <si>
    <t>15/12/2024 03:15</t>
  </si>
  <si>
    <t>15/12/2024 03:30</t>
  </si>
  <si>
    <t>15/12/2024 03:45</t>
  </si>
  <si>
    <t>15/12/2024 04:00</t>
  </si>
  <si>
    <t>15/12/2024 04:15</t>
  </si>
  <si>
    <t>15/12/2024 04:30</t>
  </si>
  <si>
    <t>15/12/2024 04:45</t>
  </si>
  <si>
    <t>15/12/2024 05:00</t>
  </si>
  <si>
    <t>15/12/2024 05:15</t>
  </si>
  <si>
    <t>15/12/2024 05:30</t>
  </si>
  <si>
    <t>15/12/2024 05:45</t>
  </si>
  <si>
    <t>15/12/2024 06:00</t>
  </si>
  <si>
    <t>15/12/2024 06:15</t>
  </si>
  <si>
    <t>15/12/2024 06:30</t>
  </si>
  <si>
    <t>15/12/2024 06:45</t>
  </si>
  <si>
    <t>15/12/2024 07:00</t>
  </si>
  <si>
    <t>15/12/2024 07:15</t>
  </si>
  <si>
    <t>15/12/2024 07:30</t>
  </si>
  <si>
    <t>15/12/2024 07:45</t>
  </si>
  <si>
    <t>15/12/2024 08:00</t>
  </si>
  <si>
    <t>15/12/2024 08:15</t>
  </si>
  <si>
    <t>15/12/2024 08:30</t>
  </si>
  <si>
    <t>15/12/2024 08:45</t>
  </si>
  <si>
    <t>15/12/2024 09:00</t>
  </si>
  <si>
    <t>15/12/2024 09:15</t>
  </si>
  <si>
    <t>15/12/2024 09:30</t>
  </si>
  <si>
    <t>15/12/2024 09:45</t>
  </si>
  <si>
    <t>15/12/2024 10:00</t>
  </si>
  <si>
    <t>15/12/2024 10:15</t>
  </si>
  <si>
    <t>15/12/2024 10:30</t>
  </si>
  <si>
    <t>15/12/2024 10:45</t>
  </si>
  <si>
    <t>15/12/2024 11:00</t>
  </si>
  <si>
    <t>15/12/2024 11:15</t>
  </si>
  <si>
    <t>15/12/2024 11:30</t>
  </si>
  <si>
    <t>15/12/2024 11:45</t>
  </si>
  <si>
    <t>15/12/2024 12:00</t>
  </si>
  <si>
    <t>15/12/2024 12:15</t>
  </si>
  <si>
    <t>15/12/2024 12:30</t>
  </si>
  <si>
    <t>15/12/2024 12:45</t>
  </si>
  <si>
    <t>15/12/2024 13:00</t>
  </si>
  <si>
    <t>15/12/2024 13:15</t>
  </si>
  <si>
    <t>15/12/2024 13:30</t>
  </si>
  <si>
    <t>15/12/2024 13:45</t>
  </si>
  <si>
    <t>15/12/2024 14:00</t>
  </si>
  <si>
    <t>15/12/2024 14:15</t>
  </si>
  <si>
    <t>15/12/2024 14:30</t>
  </si>
  <si>
    <t>15/12/2024 14:45</t>
  </si>
  <si>
    <t>15/12/2024 15:00</t>
  </si>
  <si>
    <t>15/12/2024 15:15</t>
  </si>
  <si>
    <t>15/12/2024 15:30</t>
  </si>
  <si>
    <t>15/12/2024 15:45</t>
  </si>
  <si>
    <t>15/12/2024 16:00</t>
  </si>
  <si>
    <t>15/12/2024 16:15</t>
  </si>
  <si>
    <t>15/12/2024 16:30</t>
  </si>
  <si>
    <t>15/12/2024 16:45</t>
  </si>
  <si>
    <t>15/12/2024 17:00</t>
  </si>
  <si>
    <t>15/12/2024 17:15</t>
  </si>
  <si>
    <t>15/12/2024 17:30</t>
  </si>
  <si>
    <t>15/12/2024 17:45</t>
  </si>
  <si>
    <t>15/12/2024 18:00</t>
  </si>
  <si>
    <t>15/12/2024 18:15</t>
  </si>
  <si>
    <t>15/12/2024 18:30</t>
  </si>
  <si>
    <t>15/12/2024 18:45</t>
  </si>
  <si>
    <t>15/12/2024 19:00</t>
  </si>
  <si>
    <t>15/12/2024 19:15</t>
  </si>
  <si>
    <t>15/12/2024 19:30</t>
  </si>
  <si>
    <t>15/12/2024 19:45</t>
  </si>
  <si>
    <t>15/12/2024 20:00</t>
  </si>
  <si>
    <t>15/12/2024 20:15</t>
  </si>
  <si>
    <t>15/12/2024 20:30</t>
  </si>
  <si>
    <t>15/12/2024 20:45</t>
  </si>
  <si>
    <t>15/12/2024 21:00</t>
  </si>
  <si>
    <t>15/12/2024 21:15</t>
  </si>
  <si>
    <t>15/12/2024 21:30</t>
  </si>
  <si>
    <t>15/12/2024 21:45</t>
  </si>
  <si>
    <t>15/12/2024 22:00</t>
  </si>
  <si>
    <t>15/12/2024 22:15</t>
  </si>
  <si>
    <t>15/12/2024 22:30</t>
  </si>
  <si>
    <t>15/12/2024 22:45</t>
  </si>
  <si>
    <t>15/12/2024 23:00</t>
  </si>
  <si>
    <t>15/12/2024 23:15</t>
  </si>
  <si>
    <t>15/12/2024 23:30</t>
  </si>
  <si>
    <t>15/12/2024 23:45</t>
  </si>
  <si>
    <t>15/12/2024 24:00</t>
  </si>
  <si>
    <t>16/12/2024 00:15</t>
  </si>
  <si>
    <t>16/12/2024 00:30</t>
  </si>
  <si>
    <t>16/12/2024 00:45</t>
  </si>
  <si>
    <t>16/12/2024 01:00</t>
  </si>
  <si>
    <t>16/12/2024 01:15</t>
  </si>
  <si>
    <t>16/12/2024 01:30</t>
  </si>
  <si>
    <t>16/12/2024 01:45</t>
  </si>
  <si>
    <t>16/12/2024 02:00</t>
  </si>
  <si>
    <t>16/12/2024 02:15</t>
  </si>
  <si>
    <t>16/12/2024 02:30</t>
  </si>
  <si>
    <t>16/12/2024 02:45</t>
  </si>
  <si>
    <t>16/12/2024 03:00</t>
  </si>
  <si>
    <t>16/12/2024 03:15</t>
  </si>
  <si>
    <t>16/12/2024 03:30</t>
  </si>
  <si>
    <t>16/12/2024 03:45</t>
  </si>
  <si>
    <t>16/12/2024 04:00</t>
  </si>
  <si>
    <t>16/12/2024 04:15</t>
  </si>
  <si>
    <t>16/12/2024 04:30</t>
  </si>
  <si>
    <t>16/12/2024 04:45</t>
  </si>
  <si>
    <t>16/12/2024 05:00</t>
  </si>
  <si>
    <t>16/12/2024 05:15</t>
  </si>
  <si>
    <t>16/12/2024 05:30</t>
  </si>
  <si>
    <t>16/12/2024 05:45</t>
  </si>
  <si>
    <t>16/12/2024 06:00</t>
  </si>
  <si>
    <t>16/12/2024 06:15</t>
  </si>
  <si>
    <t>16/12/2024 06:30</t>
  </si>
  <si>
    <t>16/12/2024 06:45</t>
  </si>
  <si>
    <t>16/12/2024 07:00</t>
  </si>
  <si>
    <t>16/12/2024 07:15</t>
  </si>
  <si>
    <t>16/12/2024 07:30</t>
  </si>
  <si>
    <t>16/12/2024 07:45</t>
  </si>
  <si>
    <t>16/12/2024 08:00</t>
  </si>
  <si>
    <t>16/12/2024 08:15</t>
  </si>
  <si>
    <t>16/12/2024 08:30</t>
  </si>
  <si>
    <t>16/12/2024 08:45</t>
  </si>
  <si>
    <t>16/12/2024 09:00</t>
  </si>
  <si>
    <t>16/12/2024 09:15</t>
  </si>
  <si>
    <t>16/12/2024 09:30</t>
  </si>
  <si>
    <t>16/12/2024 09:45</t>
  </si>
  <si>
    <t>16/12/2024 10:00</t>
  </si>
  <si>
    <t>16/12/2024 10:15</t>
  </si>
  <si>
    <t>16/12/2024 10:30</t>
  </si>
  <si>
    <t>16/12/2024 10:45</t>
  </si>
  <si>
    <t>16/12/2024 11:00</t>
  </si>
  <si>
    <t>16/12/2024 11:15</t>
  </si>
  <si>
    <t>16/12/2024 11:30</t>
  </si>
  <si>
    <t>16/12/2024 11:45</t>
  </si>
  <si>
    <t>16/12/2024 12:00</t>
  </si>
  <si>
    <t>16/12/2024 12:15</t>
  </si>
  <si>
    <t>16/12/2024 12:30</t>
  </si>
  <si>
    <t>16/12/2024 12:45</t>
  </si>
  <si>
    <t>16/12/2024 13:00</t>
  </si>
  <si>
    <t>16/12/2024 13:15</t>
  </si>
  <si>
    <t>16/12/2024 13:30</t>
  </si>
  <si>
    <t>16/12/2024 13:45</t>
  </si>
  <si>
    <t>16/12/2024 14:00</t>
  </si>
  <si>
    <t>16/12/2024 14:15</t>
  </si>
  <si>
    <t>16/12/2024 14:30</t>
  </si>
  <si>
    <t>16/12/2024 14:45</t>
  </si>
  <si>
    <t>16/12/2024 15:00</t>
  </si>
  <si>
    <t>16/12/2024 15:15</t>
  </si>
  <si>
    <t>16/12/2024 15:30</t>
  </si>
  <si>
    <t>16/12/2024 15:45</t>
  </si>
  <si>
    <t>16/12/2024 16:00</t>
  </si>
  <si>
    <t>16/12/2024 16:15</t>
  </si>
  <si>
    <t>16/12/2024 16:30</t>
  </si>
  <si>
    <t>16/12/2024 16:45</t>
  </si>
  <si>
    <t>16/12/2024 17:00</t>
  </si>
  <si>
    <t>16/12/2024 17:15</t>
  </si>
  <si>
    <t>16/12/2024 17:30</t>
  </si>
  <si>
    <t>16/12/2024 17:45</t>
  </si>
  <si>
    <t>16/12/2024 18:00</t>
  </si>
  <si>
    <t>16/12/2024 18:15</t>
  </si>
  <si>
    <t>16/12/2024 18:30</t>
  </si>
  <si>
    <t>16/12/2024 18:45</t>
  </si>
  <si>
    <t>16/12/2024 19:00</t>
  </si>
  <si>
    <t>16/12/2024 19:15</t>
  </si>
  <si>
    <t>16/12/2024 19:30</t>
  </si>
  <si>
    <t>16/12/2024 19:45</t>
  </si>
  <si>
    <t>16/12/2024 20:00</t>
  </si>
  <si>
    <t>16/12/2024 20:15</t>
  </si>
  <si>
    <t>16/12/2024 20:30</t>
  </si>
  <si>
    <t>16/12/2024 20:45</t>
  </si>
  <si>
    <t>16/12/2024 21:00</t>
  </si>
  <si>
    <t>16/12/2024 21:15</t>
  </si>
  <si>
    <t>16/12/2024 21:30</t>
  </si>
  <si>
    <t>16/12/2024 21:45</t>
  </si>
  <si>
    <t>16/12/2024 22:00</t>
  </si>
  <si>
    <t>16/12/2024 22:15</t>
  </si>
  <si>
    <t>16/12/2024 22:30</t>
  </si>
  <si>
    <t>16/12/2024 22:45</t>
  </si>
  <si>
    <t>16/12/2024 23:00</t>
  </si>
  <si>
    <t>16/12/2024 23:15</t>
  </si>
  <si>
    <t>16/12/2024 23:30</t>
  </si>
  <si>
    <t>16/12/2024 23:45</t>
  </si>
  <si>
    <t>16/12/2024 24:00</t>
  </si>
  <si>
    <t>17/12/2024 00:15</t>
  </si>
  <si>
    <t>17/12/2024 00:30</t>
  </si>
  <si>
    <t>17/12/2024 00:45</t>
  </si>
  <si>
    <t>17/12/2024 01:00</t>
  </si>
  <si>
    <t>17/12/2024 01:15</t>
  </si>
  <si>
    <t>17/12/2024 01:30</t>
  </si>
  <si>
    <t>17/12/2024 01:45</t>
  </si>
  <si>
    <t>17/12/2024 02:00</t>
  </si>
  <si>
    <t>17/12/2024 02:15</t>
  </si>
  <si>
    <t>17/12/2024 02:30</t>
  </si>
  <si>
    <t>17/12/2024 02:45</t>
  </si>
  <si>
    <t>17/12/2024 03:00</t>
  </si>
  <si>
    <t>17/12/2024 03:15</t>
  </si>
  <si>
    <t>17/12/2024 03:30</t>
  </si>
  <si>
    <t>17/12/2024 03:45</t>
  </si>
  <si>
    <t>17/12/2024 04:00</t>
  </si>
  <si>
    <t>17/12/2024 04:15</t>
  </si>
  <si>
    <t>17/12/2024 04:30</t>
  </si>
  <si>
    <t>17/12/2024 04:45</t>
  </si>
  <si>
    <t>17/12/2024 05:00</t>
  </si>
  <si>
    <t>17/12/2024 05:15</t>
  </si>
  <si>
    <t>17/12/2024 05:30</t>
  </si>
  <si>
    <t>17/12/2024 05:45</t>
  </si>
  <si>
    <t>17/12/2024 06:00</t>
  </si>
  <si>
    <t>17/12/2024 06:15</t>
  </si>
  <si>
    <t>17/12/2024 06:30</t>
  </si>
  <si>
    <t>17/12/2024 06:45</t>
  </si>
  <si>
    <t>17/12/2024 07:00</t>
  </si>
  <si>
    <t>17/12/2024 07:15</t>
  </si>
  <si>
    <t>17/12/2024 07:30</t>
  </si>
  <si>
    <t>17/12/2024 07:45</t>
  </si>
  <si>
    <t>17/12/2024 08:00</t>
  </si>
  <si>
    <t>17/12/2024 08:15</t>
  </si>
  <si>
    <t>17/12/2024 08:30</t>
  </si>
  <si>
    <t>17/12/2024 08:45</t>
  </si>
  <si>
    <t>17/12/2024 09:00</t>
  </si>
  <si>
    <t>17/12/2024 09:15</t>
  </si>
  <si>
    <t>17/12/2024 09:30</t>
  </si>
  <si>
    <t>17/12/2024 09:45</t>
  </si>
  <si>
    <t>17/12/2024 10:00</t>
  </si>
  <si>
    <t>17/12/2024 10:15</t>
  </si>
  <si>
    <t>17/12/2024 10:30</t>
  </si>
  <si>
    <t>17/12/2024 10:45</t>
  </si>
  <si>
    <t>17/12/2024 11:00</t>
  </si>
  <si>
    <t>17/12/2024 11:15</t>
  </si>
  <si>
    <t>17/12/2024 11:30</t>
  </si>
  <si>
    <t>17/12/2024 11:45</t>
  </si>
  <si>
    <t>17/12/2024 12:00</t>
  </si>
  <si>
    <t>17/12/2024 12:15</t>
  </si>
  <si>
    <t>17/12/2024 12:30</t>
  </si>
  <si>
    <t>17/12/2024 12:45</t>
  </si>
  <si>
    <t>17/12/2024 13:00</t>
  </si>
  <si>
    <t>17/12/2024 13:15</t>
  </si>
  <si>
    <t>17/12/2024 13:30</t>
  </si>
  <si>
    <t>17/12/2024 13:45</t>
  </si>
  <si>
    <t>17/12/2024 14:00</t>
  </si>
  <si>
    <t>17/12/2024 14:15</t>
  </si>
  <si>
    <t>17/12/2024 14:30</t>
  </si>
  <si>
    <t>17/12/2024 14:45</t>
  </si>
  <si>
    <t>17/12/2024 15:00</t>
  </si>
  <si>
    <t>17/12/2024 15:15</t>
  </si>
  <si>
    <t>17/12/2024 15:30</t>
  </si>
  <si>
    <t>17/12/2024 15:45</t>
  </si>
  <si>
    <t>17/12/2024 16:00</t>
  </si>
  <si>
    <t>17/12/2024 16:15</t>
  </si>
  <si>
    <t>17/12/2024 16:30</t>
  </si>
  <si>
    <t>17/12/2024 16:45</t>
  </si>
  <si>
    <t>17/12/2024 17:00</t>
  </si>
  <si>
    <t>17/12/2024 17:15</t>
  </si>
  <si>
    <t>17/12/2024 17:30</t>
  </si>
  <si>
    <t>17/12/2024 17:45</t>
  </si>
  <si>
    <t>17/12/2024 18:00</t>
  </si>
  <si>
    <t>17/12/2024 18:15</t>
  </si>
  <si>
    <t>17/12/2024 18:30</t>
  </si>
  <si>
    <t>17/12/2024 18:45</t>
  </si>
  <si>
    <t>17/12/2024 19:00</t>
  </si>
  <si>
    <t>17/12/2024 19:15</t>
  </si>
  <si>
    <t>17/12/2024 19:30</t>
  </si>
  <si>
    <t>17/12/2024 19:45</t>
  </si>
  <si>
    <t>17/12/2024 20:00</t>
  </si>
  <si>
    <t>17/12/2024 20:15</t>
  </si>
  <si>
    <t>17/12/2024 20:30</t>
  </si>
  <si>
    <t>17/12/2024 20:45</t>
  </si>
  <si>
    <t>17/12/2024 21:00</t>
  </si>
  <si>
    <t>17/12/2024 21:15</t>
  </si>
  <si>
    <t>17/12/2024 21:30</t>
  </si>
  <si>
    <t>17/12/2024 21:45</t>
  </si>
  <si>
    <t>17/12/2024 22:00</t>
  </si>
  <si>
    <t>17/12/2024 22:15</t>
  </si>
  <si>
    <t>17/12/2024 22:30</t>
  </si>
  <si>
    <t>17/12/2024 22:45</t>
  </si>
  <si>
    <t>17/12/2024 23:00</t>
  </si>
  <si>
    <t>17/12/2024 23:15</t>
  </si>
  <si>
    <t>17/12/2024 23:30</t>
  </si>
  <si>
    <t>17/12/2024 23:45</t>
  </si>
  <si>
    <t>17/12/2024 24:00</t>
  </si>
  <si>
    <t>18/12/2024 00:15</t>
  </si>
  <si>
    <t>18/12/2024 00:30</t>
  </si>
  <si>
    <t>18/12/2024 00:45</t>
  </si>
  <si>
    <t>18/12/2024 01:00</t>
  </si>
  <si>
    <t>18/12/2024 01:15</t>
  </si>
  <si>
    <t>18/12/2024 01:30</t>
  </si>
  <si>
    <t>18/12/2024 01:45</t>
  </si>
  <si>
    <t>18/12/2024 02:00</t>
  </si>
  <si>
    <t>18/12/2024 02:15</t>
  </si>
  <si>
    <t>18/12/2024 02:30</t>
  </si>
  <si>
    <t>18/12/2024 02:45</t>
  </si>
  <si>
    <t>18/12/2024 03:00</t>
  </si>
  <si>
    <t>18/12/2024 03:15</t>
  </si>
  <si>
    <t>18/12/2024 03:30</t>
  </si>
  <si>
    <t>18/12/2024 03:45</t>
  </si>
  <si>
    <t>18/12/2024 04:00</t>
  </si>
  <si>
    <t>18/12/2024 04:15</t>
  </si>
  <si>
    <t>18/12/2024 04:30</t>
  </si>
  <si>
    <t>18/12/2024 04:45</t>
  </si>
  <si>
    <t>18/12/2024 05:00</t>
  </si>
  <si>
    <t>18/12/2024 05:15</t>
  </si>
  <si>
    <t>18/12/2024 05:30</t>
  </si>
  <si>
    <t>18/12/2024 05:45</t>
  </si>
  <si>
    <t>18/12/2024 06:00</t>
  </si>
  <si>
    <t>18/12/2024 06:15</t>
  </si>
  <si>
    <t>18/12/2024 06:30</t>
  </si>
  <si>
    <t>18/12/2024 06:45</t>
  </si>
  <si>
    <t>18/12/2024 07:00</t>
  </si>
  <si>
    <t>18/12/2024 07:15</t>
  </si>
  <si>
    <t>18/12/2024 07:30</t>
  </si>
  <si>
    <t>18/12/2024 07:45</t>
  </si>
  <si>
    <t>18/12/2024 08:00</t>
  </si>
  <si>
    <t>18/12/2024 08:15</t>
  </si>
  <si>
    <t>18/12/2024 08:30</t>
  </si>
  <si>
    <t>18/12/2024 08:45</t>
  </si>
  <si>
    <t>18/12/2024 09:00</t>
  </si>
  <si>
    <t>18/12/2024 09:15</t>
  </si>
  <si>
    <t>18/12/2024 09:30</t>
  </si>
  <si>
    <t>18/12/2024 09:45</t>
  </si>
  <si>
    <t>18/12/2024 10:00</t>
  </si>
  <si>
    <t>18/12/2024 10:15</t>
  </si>
  <si>
    <t>18/12/2024 10:30</t>
  </si>
  <si>
    <t>18/12/2024 10:45</t>
  </si>
  <si>
    <t>18/12/2024 11:00</t>
  </si>
  <si>
    <t>18/12/2024 11:15</t>
  </si>
  <si>
    <t>18/12/2024 11:30</t>
  </si>
  <si>
    <t>18/12/2024 11:45</t>
  </si>
  <si>
    <t>18/12/2024 12:00</t>
  </si>
  <si>
    <t>18/12/2024 12:15</t>
  </si>
  <si>
    <t>18/12/2024 12:30</t>
  </si>
  <si>
    <t>18/12/2024 12:45</t>
  </si>
  <si>
    <t>18/12/2024 13:00</t>
  </si>
  <si>
    <t>18/12/2024 13:15</t>
  </si>
  <si>
    <t>18/12/2024 13:30</t>
  </si>
  <si>
    <t>18/12/2024 13:45</t>
  </si>
  <si>
    <t>18/12/2024 14:00</t>
  </si>
  <si>
    <t>18/12/2024 14:15</t>
  </si>
  <si>
    <t>18/12/2024 14:30</t>
  </si>
  <si>
    <t>18/12/2024 14:45</t>
  </si>
  <si>
    <t>18/12/2024 15:00</t>
  </si>
  <si>
    <t>18/12/2024 15:15</t>
  </si>
  <si>
    <t>18/12/2024 15:30</t>
  </si>
  <si>
    <t>18/12/2024 15:45</t>
  </si>
  <si>
    <t>18/12/2024 16:00</t>
  </si>
  <si>
    <t>18/12/2024 16:15</t>
  </si>
  <si>
    <t>18/12/2024 16:30</t>
  </si>
  <si>
    <t>18/12/2024 16:45</t>
  </si>
  <si>
    <t>18/12/2024 17:00</t>
  </si>
  <si>
    <t>18/12/2024 17:15</t>
  </si>
  <si>
    <t>18/12/2024 17:30</t>
  </si>
  <si>
    <t>18/12/2024 17:45</t>
  </si>
  <si>
    <t>18/12/2024 18:00</t>
  </si>
  <si>
    <t>18/12/2024 18:15</t>
  </si>
  <si>
    <t>18/12/2024 18:30</t>
  </si>
  <si>
    <t>18/12/2024 18:45</t>
  </si>
  <si>
    <t>18/12/2024 19:00</t>
  </si>
  <si>
    <t>18/12/2024 19:15</t>
  </si>
  <si>
    <t>18/12/2024 19:30</t>
  </si>
  <si>
    <t>18/12/2024 19:45</t>
  </si>
  <si>
    <t>18/12/2024 20:00</t>
  </si>
  <si>
    <t>18/12/2024 20:15</t>
  </si>
  <si>
    <t>18/12/2024 20:30</t>
  </si>
  <si>
    <t>18/12/2024 20:45</t>
  </si>
  <si>
    <t>18/12/2024 21:00</t>
  </si>
  <si>
    <t>18/12/2024 21:15</t>
  </si>
  <si>
    <t>18/12/2024 21:30</t>
  </si>
  <si>
    <t>18/12/2024 21:45</t>
  </si>
  <si>
    <t>18/12/2024 22:00</t>
  </si>
  <si>
    <t>18/12/2024 22:15</t>
  </si>
  <si>
    <t>18/12/2024 22:30</t>
  </si>
  <si>
    <t>18/12/2024 22:45</t>
  </si>
  <si>
    <t>18/12/2024 23:00</t>
  </si>
  <si>
    <t>18/12/2024 23:15</t>
  </si>
  <si>
    <t>18/12/2024 23:30</t>
  </si>
  <si>
    <t>18/12/2024 23:45</t>
  </si>
  <si>
    <t>18/12/2024 24:00</t>
  </si>
  <si>
    <t>19/12/2024 00:15</t>
  </si>
  <si>
    <t>19/12/2024 00:30</t>
  </si>
  <si>
    <t>19/12/2024 00:45</t>
  </si>
  <si>
    <t>19/12/2024 01:00</t>
  </si>
  <si>
    <t>19/12/2024 01:15</t>
  </si>
  <si>
    <t>19/12/2024 01:30</t>
  </si>
  <si>
    <t>19/12/2024 01:45</t>
  </si>
  <si>
    <t>19/12/2024 02:00</t>
  </si>
  <si>
    <t>19/12/2024 02:15</t>
  </si>
  <si>
    <t>19/12/2024 02:30</t>
  </si>
  <si>
    <t>19/12/2024 02:45</t>
  </si>
  <si>
    <t>19/12/2024 03:00</t>
  </si>
  <si>
    <t>19/12/2024 03:15</t>
  </si>
  <si>
    <t>19/12/2024 03:30</t>
  </si>
  <si>
    <t>19/12/2024 03:45</t>
  </si>
  <si>
    <t>19/12/2024 04:00</t>
  </si>
  <si>
    <t>19/12/2024 04:15</t>
  </si>
  <si>
    <t>19/12/2024 04:30</t>
  </si>
  <si>
    <t>19/12/2024 04:45</t>
  </si>
  <si>
    <t>19/12/2024 05:00</t>
  </si>
  <si>
    <t>19/12/2024 05:15</t>
  </si>
  <si>
    <t>19/12/2024 05:30</t>
  </si>
  <si>
    <t>19/12/2024 05:45</t>
  </si>
  <si>
    <t>19/12/2024 06:00</t>
  </si>
  <si>
    <t>19/12/2024 06:15</t>
  </si>
  <si>
    <t>19/12/2024 06:30</t>
  </si>
  <si>
    <t>19/12/2024 06:45</t>
  </si>
  <si>
    <t>19/12/2024 07:00</t>
  </si>
  <si>
    <t>19/12/2024 07:15</t>
  </si>
  <si>
    <t>19/12/2024 07:30</t>
  </si>
  <si>
    <t>19/12/2024 07:45</t>
  </si>
  <si>
    <t>19/12/2024 08:00</t>
  </si>
  <si>
    <t>19/12/2024 08:15</t>
  </si>
  <si>
    <t>19/12/2024 08:30</t>
  </si>
  <si>
    <t>19/12/2024 08:45</t>
  </si>
  <si>
    <t>19/12/2024 09:00</t>
  </si>
  <si>
    <t>19/12/2024 09:15</t>
  </si>
  <si>
    <t>19/12/2024 09:30</t>
  </si>
  <si>
    <t>19/12/2024 09:45</t>
  </si>
  <si>
    <t>19/12/2024 10:00</t>
  </si>
  <si>
    <t>19/12/2024 10:15</t>
  </si>
  <si>
    <t>19/12/2024 10:30</t>
  </si>
  <si>
    <t>19/12/2024 10:45</t>
  </si>
  <si>
    <t>19/12/2024 11:00</t>
  </si>
  <si>
    <t>19/12/2024 11:15</t>
  </si>
  <si>
    <t>19/12/2024 11:30</t>
  </si>
  <si>
    <t>19/12/2024 11:45</t>
  </si>
  <si>
    <t>19/12/2024 12:00</t>
  </si>
  <si>
    <t>19/12/2024 12:15</t>
  </si>
  <si>
    <t>19/12/2024 12:30</t>
  </si>
  <si>
    <t>19/12/2024 12:45</t>
  </si>
  <si>
    <t>19/12/2024 13:00</t>
  </si>
  <si>
    <t>19/12/2024 13:15</t>
  </si>
  <si>
    <t>19/12/2024 13:30</t>
  </si>
  <si>
    <t>19/12/2024 13:45</t>
  </si>
  <si>
    <t>19/12/2024 14:00</t>
  </si>
  <si>
    <t>19/12/2024 14:15</t>
  </si>
  <si>
    <t>19/12/2024 14:30</t>
  </si>
  <si>
    <t>19/12/2024 14:45</t>
  </si>
  <si>
    <t>19/12/2024 15:00</t>
  </si>
  <si>
    <t>19/12/2024 15:15</t>
  </si>
  <si>
    <t>19/12/2024 15:30</t>
  </si>
  <si>
    <t>19/12/2024 15:45</t>
  </si>
  <si>
    <t>19/12/2024 16:00</t>
  </si>
  <si>
    <t>19/12/2024 16:15</t>
  </si>
  <si>
    <t>19/12/2024 16:30</t>
  </si>
  <si>
    <t>19/12/2024 16:45</t>
  </si>
  <si>
    <t>19/12/2024 17:00</t>
  </si>
  <si>
    <t>19/12/2024 17:15</t>
  </si>
  <si>
    <t>19/12/2024 17:30</t>
  </si>
  <si>
    <t>19/12/2024 17:45</t>
  </si>
  <si>
    <t>19/12/2024 18:00</t>
  </si>
  <si>
    <t>19/12/2024 18:15</t>
  </si>
  <si>
    <t>19/12/2024 18:30</t>
  </si>
  <si>
    <t>19/12/2024 18:45</t>
  </si>
  <si>
    <t>19/12/2024 19:00</t>
  </si>
  <si>
    <t>19/12/2024 19:15</t>
  </si>
  <si>
    <t>19/12/2024 19:30</t>
  </si>
  <si>
    <t>19/12/2024 19:45</t>
  </si>
  <si>
    <t>19/12/2024 20:00</t>
  </si>
  <si>
    <t>19/12/2024 20:15</t>
  </si>
  <si>
    <t>19/12/2024 20:30</t>
  </si>
  <si>
    <t>19/12/2024 20:45</t>
  </si>
  <si>
    <t>19/12/2024 21:00</t>
  </si>
  <si>
    <t>19/12/2024 21:15</t>
  </si>
  <si>
    <t>19/12/2024 21:30</t>
  </si>
  <si>
    <t>19/12/2024 21:45</t>
  </si>
  <si>
    <t>19/12/2024 22:00</t>
  </si>
  <si>
    <t>19/12/2024 22:15</t>
  </si>
  <si>
    <t>19/12/2024 22:30</t>
  </si>
  <si>
    <t>19/12/2024 22:45</t>
  </si>
  <si>
    <t>19/12/2024 23:00</t>
  </si>
  <si>
    <t>19/12/2024 23:15</t>
  </si>
  <si>
    <t>19/12/2024 23:30</t>
  </si>
  <si>
    <t>19/12/2024 23:45</t>
  </si>
  <si>
    <t>19/12/2024 24:00</t>
  </si>
  <si>
    <t>20/12/2024 00:15</t>
  </si>
  <si>
    <t>20/12/2024 00:30</t>
  </si>
  <si>
    <t>20/12/2024 00:45</t>
  </si>
  <si>
    <t>20/12/2024 01:00</t>
  </si>
  <si>
    <t>20/12/2024 01:15</t>
  </si>
  <si>
    <t>20/12/2024 01:30</t>
  </si>
  <si>
    <t>20/12/2024 01:45</t>
  </si>
  <si>
    <t>20/12/2024 02:00</t>
  </si>
  <si>
    <t>20/12/2024 02:15</t>
  </si>
  <si>
    <t>20/12/2024 02:30</t>
  </si>
  <si>
    <t>20/12/2024 02:45</t>
  </si>
  <si>
    <t>20/12/2024 03:00</t>
  </si>
  <si>
    <t>20/12/2024 03:15</t>
  </si>
  <si>
    <t>20/12/2024 03:30</t>
  </si>
  <si>
    <t>20/12/2024 03:45</t>
  </si>
  <si>
    <t>20/12/2024 04:00</t>
  </si>
  <si>
    <t>20/12/2024 04:15</t>
  </si>
  <si>
    <t>20/12/2024 04:30</t>
  </si>
  <si>
    <t>20/12/2024 04:45</t>
  </si>
  <si>
    <t>20/12/2024 05:00</t>
  </si>
  <si>
    <t>20/12/2024 05:15</t>
  </si>
  <si>
    <t>20/12/2024 05:30</t>
  </si>
  <si>
    <t>20/12/2024 05:45</t>
  </si>
  <si>
    <t>20/12/2024 06:00</t>
  </si>
  <si>
    <t>20/12/2024 06:15</t>
  </si>
  <si>
    <t>20/12/2024 06:30</t>
  </si>
  <si>
    <t>20/12/2024 06:45</t>
  </si>
  <si>
    <t>20/12/2024 07:00</t>
  </si>
  <si>
    <t>20/12/2024 07:15</t>
  </si>
  <si>
    <t>20/12/2024 07:30</t>
  </si>
  <si>
    <t>20/12/2024 07:45</t>
  </si>
  <si>
    <t>20/12/2024 08:00</t>
  </si>
  <si>
    <t>20/12/2024 08:15</t>
  </si>
  <si>
    <t>20/12/2024 08:30</t>
  </si>
  <si>
    <t>20/12/2024 08:45</t>
  </si>
  <si>
    <t>20/12/2024 09:00</t>
  </si>
  <si>
    <t>20/12/2024 09:15</t>
  </si>
  <si>
    <t>20/12/2024 09:30</t>
  </si>
  <si>
    <t>20/12/2024 09:45</t>
  </si>
  <si>
    <t>20/12/2024 10:00</t>
  </si>
  <si>
    <t>20/12/2024 10:15</t>
  </si>
  <si>
    <t>20/12/2024 10:30</t>
  </si>
  <si>
    <t>20/12/2024 10:45</t>
  </si>
  <si>
    <t>20/12/2024 11:00</t>
  </si>
  <si>
    <t>20/12/2024 11:15</t>
  </si>
  <si>
    <t>20/12/2024 11:30</t>
  </si>
  <si>
    <t>20/12/2024 11:45</t>
  </si>
  <si>
    <t>20/12/2024 12:00</t>
  </si>
  <si>
    <t>20/12/2024 12:15</t>
  </si>
  <si>
    <t>20/12/2024 12:30</t>
  </si>
  <si>
    <t>20/12/2024 12:45</t>
  </si>
  <si>
    <t>20/12/2024 13:00</t>
  </si>
  <si>
    <t>20/12/2024 13:15</t>
  </si>
  <si>
    <t>20/12/2024 13:30</t>
  </si>
  <si>
    <t>20/12/2024 13:45</t>
  </si>
  <si>
    <t>20/12/2024 14:00</t>
  </si>
  <si>
    <t>20/12/2024 14:15</t>
  </si>
  <si>
    <t>20/12/2024 14:30</t>
  </si>
  <si>
    <t>20/12/2024 14:45</t>
  </si>
  <si>
    <t>20/12/2024 15:00</t>
  </si>
  <si>
    <t>20/12/2024 15:15</t>
  </si>
  <si>
    <t>20/12/2024 15:30</t>
  </si>
  <si>
    <t>20/12/2024 15:45</t>
  </si>
  <si>
    <t>20/12/2024 16:00</t>
  </si>
  <si>
    <t>20/12/2024 16:15</t>
  </si>
  <si>
    <t>20/12/2024 16:30</t>
  </si>
  <si>
    <t>20/12/2024 16:45</t>
  </si>
  <si>
    <t>20/12/2024 17:00</t>
  </si>
  <si>
    <t>20/12/2024 17:15</t>
  </si>
  <si>
    <t>20/12/2024 17:30</t>
  </si>
  <si>
    <t>20/12/2024 17:45</t>
  </si>
  <si>
    <t>20/12/2024 18:00</t>
  </si>
  <si>
    <t>20/12/2024 18:15</t>
  </si>
  <si>
    <t>20/12/2024 18:30</t>
  </si>
  <si>
    <t>20/12/2024 18:45</t>
  </si>
  <si>
    <t>20/12/2024 19:00</t>
  </si>
  <si>
    <t>20/12/2024 19:15</t>
  </si>
  <si>
    <t>20/12/2024 19:30</t>
  </si>
  <si>
    <t>20/12/2024 19:45</t>
  </si>
  <si>
    <t>20/12/2024 20:00</t>
  </si>
  <si>
    <t>20/12/2024 20:15</t>
  </si>
  <si>
    <t>20/12/2024 20:30</t>
  </si>
  <si>
    <t>20/12/2024 20:45</t>
  </si>
  <si>
    <t>20/12/2024 21:00</t>
  </si>
  <si>
    <t>20/12/2024 21:15</t>
  </si>
  <si>
    <t>20/12/2024 21:30</t>
  </si>
  <si>
    <t>20/12/2024 21:45</t>
  </si>
  <si>
    <t>20/12/2024 22:00</t>
  </si>
  <si>
    <t>20/12/2024 22:15</t>
  </si>
  <si>
    <t>20/12/2024 22:30</t>
  </si>
  <si>
    <t>20/12/2024 22:45</t>
  </si>
  <si>
    <t>20/12/2024 23:00</t>
  </si>
  <si>
    <t>20/12/2024 23:15</t>
  </si>
  <si>
    <t>20/12/2024 23:30</t>
  </si>
  <si>
    <t>20/12/2024 23:45</t>
  </si>
  <si>
    <t>20/12/2024 24:00</t>
  </si>
  <si>
    <t>21/12/2024 00:15</t>
  </si>
  <si>
    <t>21/12/2024 00:30</t>
  </si>
  <si>
    <t>21/12/2024 00:45</t>
  </si>
  <si>
    <t>21/12/2024 01:00</t>
  </si>
  <si>
    <t>21/12/2024 01:15</t>
  </si>
  <si>
    <t>21/12/2024 01:30</t>
  </si>
  <si>
    <t>21/12/2024 01:45</t>
  </si>
  <si>
    <t>21/12/2024 02:00</t>
  </si>
  <si>
    <t>21/12/2024 02:15</t>
  </si>
  <si>
    <t>21/12/2024 02:30</t>
  </si>
  <si>
    <t>21/12/2024 02:45</t>
  </si>
  <si>
    <t>21/12/2024 03:00</t>
  </si>
  <si>
    <t>21/12/2024 03:15</t>
  </si>
  <si>
    <t>21/12/2024 03:30</t>
  </si>
  <si>
    <t>21/12/2024 03:45</t>
  </si>
  <si>
    <t>21/12/2024 04:00</t>
  </si>
  <si>
    <t>21/12/2024 04:15</t>
  </si>
  <si>
    <t>21/12/2024 04:30</t>
  </si>
  <si>
    <t>21/12/2024 04:45</t>
  </si>
  <si>
    <t>21/12/2024 05:00</t>
  </si>
  <si>
    <t>21/12/2024 05:15</t>
  </si>
  <si>
    <t>21/12/2024 05:30</t>
  </si>
  <si>
    <t>21/12/2024 05:45</t>
  </si>
  <si>
    <t>21/12/2024 06:00</t>
  </si>
  <si>
    <t>21/12/2024 06:15</t>
  </si>
  <si>
    <t>21/12/2024 06:30</t>
  </si>
  <si>
    <t>21/12/2024 06:45</t>
  </si>
  <si>
    <t>21/12/2024 07:00</t>
  </si>
  <si>
    <t>21/12/2024 07:15</t>
  </si>
  <si>
    <t>21/12/2024 07:30</t>
  </si>
  <si>
    <t>21/12/2024 07:45</t>
  </si>
  <si>
    <t>21/12/2024 08:00</t>
  </si>
  <si>
    <t>21/12/2024 08:15</t>
  </si>
  <si>
    <t>21/12/2024 08:30</t>
  </si>
  <si>
    <t>21/12/2024 08:45</t>
  </si>
  <si>
    <t>21/12/2024 09:00</t>
  </si>
  <si>
    <t>21/12/2024 09:15</t>
  </si>
  <si>
    <t>21/12/2024 09:30</t>
  </si>
  <si>
    <t>21/12/2024 09:45</t>
  </si>
  <si>
    <t>21/12/2024 10:00</t>
  </si>
  <si>
    <t>21/12/2024 10:15</t>
  </si>
  <si>
    <t>21/12/2024 10:30</t>
  </si>
  <si>
    <t>21/12/2024 10:45</t>
  </si>
  <si>
    <t>21/12/2024 11:00</t>
  </si>
  <si>
    <t>21/12/2024 11:15</t>
  </si>
  <si>
    <t>21/12/2024 11:30</t>
  </si>
  <si>
    <t>21/12/2024 11:45</t>
  </si>
  <si>
    <t>21/12/2024 12:00</t>
  </si>
  <si>
    <t>21/12/2024 12:15</t>
  </si>
  <si>
    <t>21/12/2024 12:30</t>
  </si>
  <si>
    <t>21/12/2024 12:45</t>
  </si>
  <si>
    <t>21/12/2024 13:00</t>
  </si>
  <si>
    <t>21/12/2024 13:15</t>
  </si>
  <si>
    <t>21/12/2024 13:30</t>
  </si>
  <si>
    <t>21/12/2024 13:45</t>
  </si>
  <si>
    <t>21/12/2024 14:00</t>
  </si>
  <si>
    <t>21/12/2024 14:15</t>
  </si>
  <si>
    <t>21/12/2024 14:30</t>
  </si>
  <si>
    <t>21/12/2024 14:45</t>
  </si>
  <si>
    <t>21/12/2024 15:00</t>
  </si>
  <si>
    <t>21/12/2024 15:15</t>
  </si>
  <si>
    <t>21/12/2024 15:30</t>
  </si>
  <si>
    <t>21/12/2024 15:45</t>
  </si>
  <si>
    <t>21/12/2024 16:00</t>
  </si>
  <si>
    <t>21/12/2024 16:15</t>
  </si>
  <si>
    <t>21/12/2024 16:30</t>
  </si>
  <si>
    <t>21/12/2024 16:45</t>
  </si>
  <si>
    <t>21/12/2024 17:00</t>
  </si>
  <si>
    <t>21/12/2024 17:15</t>
  </si>
  <si>
    <t>21/12/2024 17:30</t>
  </si>
  <si>
    <t>21/12/2024 17:45</t>
  </si>
  <si>
    <t>21/12/2024 18:00</t>
  </si>
  <si>
    <t>21/12/2024 18:15</t>
  </si>
  <si>
    <t>21/12/2024 18:30</t>
  </si>
  <si>
    <t>21/12/2024 18:45</t>
  </si>
  <si>
    <t>21/12/2024 19:00</t>
  </si>
  <si>
    <t>21/12/2024 19:15</t>
  </si>
  <si>
    <t>21/12/2024 19:30</t>
  </si>
  <si>
    <t>21/12/2024 19:45</t>
  </si>
  <si>
    <t>21/12/2024 20:00</t>
  </si>
  <si>
    <t>21/12/2024 20:15</t>
  </si>
  <si>
    <t>21/12/2024 20:30</t>
  </si>
  <si>
    <t>21/12/2024 20:45</t>
  </si>
  <si>
    <t>21/12/2024 21:00</t>
  </si>
  <si>
    <t>21/12/2024 21:15</t>
  </si>
  <si>
    <t>21/12/2024 21:30</t>
  </si>
  <si>
    <t>21/12/2024 21:45</t>
  </si>
  <si>
    <t>21/12/2024 22:00</t>
  </si>
  <si>
    <t>21/12/2024 22:15</t>
  </si>
  <si>
    <t>21/12/2024 22:30</t>
  </si>
  <si>
    <t>21/12/2024 22:45</t>
  </si>
  <si>
    <t>21/12/2024 23:00</t>
  </si>
  <si>
    <t>21/12/2024 23:15</t>
  </si>
  <si>
    <t>21/12/2024 23:30</t>
  </si>
  <si>
    <t>21/12/2024 23:45</t>
  </si>
  <si>
    <t>21/12/2024 24:00</t>
  </si>
  <si>
    <t>22/12/2024 00:15</t>
  </si>
  <si>
    <t>22/12/2024 00:30</t>
  </si>
  <si>
    <t>22/12/2024 00:45</t>
  </si>
  <si>
    <t>22/12/2024 01:00</t>
  </si>
  <si>
    <t>22/12/2024 01:15</t>
  </si>
  <si>
    <t>22/12/2024 01:30</t>
  </si>
  <si>
    <t>22/12/2024 01:45</t>
  </si>
  <si>
    <t>22/12/2024 02:00</t>
  </si>
  <si>
    <t>22/12/2024 02:15</t>
  </si>
  <si>
    <t>22/12/2024 02:30</t>
  </si>
  <si>
    <t>22/12/2024 02:45</t>
  </si>
  <si>
    <t>22/12/2024 03:00</t>
  </si>
  <si>
    <t>22/12/2024 03:15</t>
  </si>
  <si>
    <t>22/12/2024 03:30</t>
  </si>
  <si>
    <t>22/12/2024 03:45</t>
  </si>
  <si>
    <t>22/12/2024 04:00</t>
  </si>
  <si>
    <t>22/12/2024 04:15</t>
  </si>
  <si>
    <t>22/12/2024 04:30</t>
  </si>
  <si>
    <t>22/12/2024 04:45</t>
  </si>
  <si>
    <t>22/12/2024 05:00</t>
  </si>
  <si>
    <t>22/12/2024 05:15</t>
  </si>
  <si>
    <t>22/12/2024 05:30</t>
  </si>
  <si>
    <t>22/12/2024 05:45</t>
  </si>
  <si>
    <t>22/12/2024 06:00</t>
  </si>
  <si>
    <t>22/12/2024 06:15</t>
  </si>
  <si>
    <t>22/12/2024 06:30</t>
  </si>
  <si>
    <t>22/12/2024 06:45</t>
  </si>
  <si>
    <t>22/12/2024 07:00</t>
  </si>
  <si>
    <t>22/12/2024 07:15</t>
  </si>
  <si>
    <t>22/12/2024 07:30</t>
  </si>
  <si>
    <t>22/12/2024 07:45</t>
  </si>
  <si>
    <t>22/12/2024 08:00</t>
  </si>
  <si>
    <t>22/12/2024 08:15</t>
  </si>
  <si>
    <t>22/12/2024 08:30</t>
  </si>
  <si>
    <t>22/12/2024 08:45</t>
  </si>
  <si>
    <t>22/12/2024 09:00</t>
  </si>
  <si>
    <t>22/12/2024 09:15</t>
  </si>
  <si>
    <t>22/12/2024 09:30</t>
  </si>
  <si>
    <t>22/12/2024 09:45</t>
  </si>
  <si>
    <t>22/12/2024 10:00</t>
  </si>
  <si>
    <t>22/12/2024 10:15</t>
  </si>
  <si>
    <t>22/12/2024 10:30</t>
  </si>
  <si>
    <t>22/12/2024 10:45</t>
  </si>
  <si>
    <t>22/12/2024 11:00</t>
  </si>
  <si>
    <t>22/12/2024 11:15</t>
  </si>
  <si>
    <t>22/12/2024 11:30</t>
  </si>
  <si>
    <t>22/12/2024 11:45</t>
  </si>
  <si>
    <t>22/12/2024 12:00</t>
  </si>
  <si>
    <t>22/12/2024 12:15</t>
  </si>
  <si>
    <t>22/12/2024 12:30</t>
  </si>
  <si>
    <t>22/12/2024 12:45</t>
  </si>
  <si>
    <t>22/12/2024 13:00</t>
  </si>
  <si>
    <t>22/12/2024 13:15</t>
  </si>
  <si>
    <t>22/12/2024 13:30</t>
  </si>
  <si>
    <t>22/12/2024 13:45</t>
  </si>
  <si>
    <t>22/12/2024 14:00</t>
  </si>
  <si>
    <t>22/12/2024 14:15</t>
  </si>
  <si>
    <t>22/12/2024 14:30</t>
  </si>
  <si>
    <t>22/12/2024 14:45</t>
  </si>
  <si>
    <t>22/12/2024 15:00</t>
  </si>
  <si>
    <t>22/12/2024 15:15</t>
  </si>
  <si>
    <t>22/12/2024 15:30</t>
  </si>
  <si>
    <t>22/12/2024 15:45</t>
  </si>
  <si>
    <t>22/12/2024 16:00</t>
  </si>
  <si>
    <t>22/12/2024 16:15</t>
  </si>
  <si>
    <t>22/12/2024 16:30</t>
  </si>
  <si>
    <t>22/12/2024 16:45</t>
  </si>
  <si>
    <t>22/12/2024 17:00</t>
  </si>
  <si>
    <t>22/12/2024 17:15</t>
  </si>
  <si>
    <t>22/12/2024 17:30</t>
  </si>
  <si>
    <t>22/12/2024 17:45</t>
  </si>
  <si>
    <t>22/12/2024 18:00</t>
  </si>
  <si>
    <t>22/12/2024 18:15</t>
  </si>
  <si>
    <t>22/12/2024 18:30</t>
  </si>
  <si>
    <t>22/12/2024 18:45</t>
  </si>
  <si>
    <t>22/12/2024 19:00</t>
  </si>
  <si>
    <t>22/12/2024 19:15</t>
  </si>
  <si>
    <t>22/12/2024 19:30</t>
  </si>
  <si>
    <t>22/12/2024 19:45</t>
  </si>
  <si>
    <t>22/12/2024 20:00</t>
  </si>
  <si>
    <t>22/12/2024 20:15</t>
  </si>
  <si>
    <t>22/12/2024 20:30</t>
  </si>
  <si>
    <t>22/12/2024 20:45</t>
  </si>
  <si>
    <t>22/12/2024 21:00</t>
  </si>
  <si>
    <t>22/12/2024 21:15</t>
  </si>
  <si>
    <t>22/12/2024 21:30</t>
  </si>
  <si>
    <t>22/12/2024 21:45</t>
  </si>
  <si>
    <t>22/12/2024 22:00</t>
  </si>
  <si>
    <t>22/12/2024 22:15</t>
  </si>
  <si>
    <t>22/12/2024 22:30</t>
  </si>
  <si>
    <t>22/12/2024 22:45</t>
  </si>
  <si>
    <t>22/12/2024 23:00</t>
  </si>
  <si>
    <t>22/12/2024 23:15</t>
  </si>
  <si>
    <t>22/12/2024 23:30</t>
  </si>
  <si>
    <t>22/12/2024 23:45</t>
  </si>
  <si>
    <t>22/12/2024 24:00</t>
  </si>
  <si>
    <t>23/12/2024 00:15</t>
  </si>
  <si>
    <t>23/12/2024 00:30</t>
  </si>
  <si>
    <t>23/12/2024 00:45</t>
  </si>
  <si>
    <t>23/12/2024 01:00</t>
  </si>
  <si>
    <t>23/12/2024 01:15</t>
  </si>
  <si>
    <t>23/12/2024 01:30</t>
  </si>
  <si>
    <t>23/12/2024 01:45</t>
  </si>
  <si>
    <t>23/12/2024 02:00</t>
  </si>
  <si>
    <t>23/12/2024 02:15</t>
  </si>
  <si>
    <t>23/12/2024 02:30</t>
  </si>
  <si>
    <t>23/12/2024 02:45</t>
  </si>
  <si>
    <t>23/12/2024 03:00</t>
  </si>
  <si>
    <t>23/12/2024 03:15</t>
  </si>
  <si>
    <t>23/12/2024 03:30</t>
  </si>
  <si>
    <t>23/12/2024 03:45</t>
  </si>
  <si>
    <t>23/12/2024 04:00</t>
  </si>
  <si>
    <t>23/12/2024 04:15</t>
  </si>
  <si>
    <t>23/12/2024 04:30</t>
  </si>
  <si>
    <t>23/12/2024 04:45</t>
  </si>
  <si>
    <t>23/12/2024 05:00</t>
  </si>
  <si>
    <t>23/12/2024 05:15</t>
  </si>
  <si>
    <t>23/12/2024 05:30</t>
  </si>
  <si>
    <t>23/12/2024 05:45</t>
  </si>
  <si>
    <t>23/12/2024 06:00</t>
  </si>
  <si>
    <t>23/12/2024 06:15</t>
  </si>
  <si>
    <t>23/12/2024 06:30</t>
  </si>
  <si>
    <t>23/12/2024 06:45</t>
  </si>
  <si>
    <t>23/12/2024 07:00</t>
  </si>
  <si>
    <t>23/12/2024 07:15</t>
  </si>
  <si>
    <t>23/12/2024 07:30</t>
  </si>
  <si>
    <t>23/12/2024 07:45</t>
  </si>
  <si>
    <t>23/12/2024 08:00</t>
  </si>
  <si>
    <t>23/12/2024 08:15</t>
  </si>
  <si>
    <t>23/12/2024 08:30</t>
  </si>
  <si>
    <t>23/12/2024 08:45</t>
  </si>
  <si>
    <t>23/12/2024 09:00</t>
  </si>
  <si>
    <t>23/12/2024 09:15</t>
  </si>
  <si>
    <t>23/12/2024 09:30</t>
  </si>
  <si>
    <t>23/12/2024 09:45</t>
  </si>
  <si>
    <t>23/12/2024 10:00</t>
  </si>
  <si>
    <t>23/12/2024 10:15</t>
  </si>
  <si>
    <t>23/12/2024 10:30</t>
  </si>
  <si>
    <t>23/12/2024 10:45</t>
  </si>
  <si>
    <t>23/12/2024 11:00</t>
  </si>
  <si>
    <t>23/12/2024 11:15</t>
  </si>
  <si>
    <t>23/12/2024 11:30</t>
  </si>
  <si>
    <t>23/12/2024 11:45</t>
  </si>
  <si>
    <t>23/12/2024 12:00</t>
  </si>
  <si>
    <t>23/12/2024 12:15</t>
  </si>
  <si>
    <t>23/12/2024 12:30</t>
  </si>
  <si>
    <t>23/12/2024 12:45</t>
  </si>
  <si>
    <t>23/12/2024 13:00</t>
  </si>
  <si>
    <t>23/12/2024 13:15</t>
  </si>
  <si>
    <t>23/12/2024 13:30</t>
  </si>
  <si>
    <t>23/12/2024 13:45</t>
  </si>
  <si>
    <t>23/12/2024 14:00</t>
  </si>
  <si>
    <t>23/12/2024 14:15</t>
  </si>
  <si>
    <t>23/12/2024 14:30</t>
  </si>
  <si>
    <t>23/12/2024 14:45</t>
  </si>
  <si>
    <t>23/12/2024 15:00</t>
  </si>
  <si>
    <t>23/12/2024 15:15</t>
  </si>
  <si>
    <t>23/12/2024 15:30</t>
  </si>
  <si>
    <t>23/12/2024 15:45</t>
  </si>
  <si>
    <t>23/12/2024 16:00</t>
  </si>
  <si>
    <t>23/12/2024 16:15</t>
  </si>
  <si>
    <t>23/12/2024 16:30</t>
  </si>
  <si>
    <t>23/12/2024 16:45</t>
  </si>
  <si>
    <t>23/12/2024 17:00</t>
  </si>
  <si>
    <t>23/12/2024 17:15</t>
  </si>
  <si>
    <t>23/12/2024 17:30</t>
  </si>
  <si>
    <t>23/12/2024 17:45</t>
  </si>
  <si>
    <t>23/12/2024 18:00</t>
  </si>
  <si>
    <t>23/12/2024 18:15</t>
  </si>
  <si>
    <t>23/12/2024 18:30</t>
  </si>
  <si>
    <t>23/12/2024 18:45</t>
  </si>
  <si>
    <t>23/12/2024 19:00</t>
  </si>
  <si>
    <t>23/12/2024 19:15</t>
  </si>
  <si>
    <t>23/12/2024 19:30</t>
  </si>
  <si>
    <t>23/12/2024 19:45</t>
  </si>
  <si>
    <t>23/12/2024 20:00</t>
  </si>
  <si>
    <t>23/12/2024 20:15</t>
  </si>
  <si>
    <t>23/12/2024 20:30</t>
  </si>
  <si>
    <t>23/12/2024 20:45</t>
  </si>
  <si>
    <t>23/12/2024 21:00</t>
  </si>
  <si>
    <t>23/12/2024 21:15</t>
  </si>
  <si>
    <t>23/12/2024 21:30</t>
  </si>
  <si>
    <t>23/12/2024 21:45</t>
  </si>
  <si>
    <t>23/12/2024 22:00</t>
  </si>
  <si>
    <t>23/12/2024 22:15</t>
  </si>
  <si>
    <t>23/12/2024 22:30</t>
  </si>
  <si>
    <t>23/12/2024 22:45</t>
  </si>
  <si>
    <t>23/12/2024 23:00</t>
  </si>
  <si>
    <t>23/12/2024 23:15</t>
  </si>
  <si>
    <t>23/12/2024 23:30</t>
  </si>
  <si>
    <t>23/12/2024 23:45</t>
  </si>
  <si>
    <t>23/12/2024 24:00</t>
  </si>
  <si>
    <t>24/12/2024 00:15</t>
  </si>
  <si>
    <t>24/12/2024 00:30</t>
  </si>
  <si>
    <t>24/12/2024 00:45</t>
  </si>
  <si>
    <t>24/12/2024 01:00</t>
  </si>
  <si>
    <t>24/12/2024 01:15</t>
  </si>
  <si>
    <t>24/12/2024 01:30</t>
  </si>
  <si>
    <t>24/12/2024 01:45</t>
  </si>
  <si>
    <t>24/12/2024 02:00</t>
  </si>
  <si>
    <t>24/12/2024 02:15</t>
  </si>
  <si>
    <t>24/12/2024 02:30</t>
  </si>
  <si>
    <t>24/12/2024 02:45</t>
  </si>
  <si>
    <t>24/12/2024 03:00</t>
  </si>
  <si>
    <t>24/12/2024 03:15</t>
  </si>
  <si>
    <t>24/12/2024 03:30</t>
  </si>
  <si>
    <t>24/12/2024 03:45</t>
  </si>
  <si>
    <t>24/12/2024 04:00</t>
  </si>
  <si>
    <t>24/12/2024 04:15</t>
  </si>
  <si>
    <t>24/12/2024 04:30</t>
  </si>
  <si>
    <t>24/12/2024 04:45</t>
  </si>
  <si>
    <t>24/12/2024 05:00</t>
  </si>
  <si>
    <t>24/12/2024 05:15</t>
  </si>
  <si>
    <t>24/12/2024 05:30</t>
  </si>
  <si>
    <t>24/12/2024 05:45</t>
  </si>
  <si>
    <t>24/12/2024 06:00</t>
  </si>
  <si>
    <t>24/12/2024 06:15</t>
  </si>
  <si>
    <t>24/12/2024 06:30</t>
  </si>
  <si>
    <t>24/12/2024 06:45</t>
  </si>
  <si>
    <t>24/12/2024 07:00</t>
  </si>
  <si>
    <t>24/12/2024 07:15</t>
  </si>
  <si>
    <t>24/12/2024 07:30</t>
  </si>
  <si>
    <t>24/12/2024 07:45</t>
  </si>
  <si>
    <t>24/12/2024 08:00</t>
  </si>
  <si>
    <t>24/12/2024 08:15</t>
  </si>
  <si>
    <t>24/12/2024 08:30</t>
  </si>
  <si>
    <t>24/12/2024 08:45</t>
  </si>
  <si>
    <t>24/12/2024 09:00</t>
  </si>
  <si>
    <t>24/12/2024 09:15</t>
  </si>
  <si>
    <t>24/12/2024 09:30</t>
  </si>
  <si>
    <t>24/12/2024 09:45</t>
  </si>
  <si>
    <t>24/12/2024 10:00</t>
  </si>
  <si>
    <t>24/12/2024 10:15</t>
  </si>
  <si>
    <t>24/12/2024 10:30</t>
  </si>
  <si>
    <t>24/12/2024 10:45</t>
  </si>
  <si>
    <t>24/12/2024 11:00</t>
  </si>
  <si>
    <t>24/12/2024 11:15</t>
  </si>
  <si>
    <t>24/12/2024 11:30</t>
  </si>
  <si>
    <t>24/12/2024 11:45</t>
  </si>
  <si>
    <t>24/12/2024 12:00</t>
  </si>
  <si>
    <t>24/12/2024 12:15</t>
  </si>
  <si>
    <t>24/12/2024 12:30</t>
  </si>
  <si>
    <t>24/12/2024 12:45</t>
  </si>
  <si>
    <t>24/12/2024 13:00</t>
  </si>
  <si>
    <t>24/12/2024 13:15</t>
  </si>
  <si>
    <t>24/12/2024 13:30</t>
  </si>
  <si>
    <t>24/12/2024 13:45</t>
  </si>
  <si>
    <t>24/12/2024 14:00</t>
  </si>
  <si>
    <t>24/12/2024 14:15</t>
  </si>
  <si>
    <t>24/12/2024 14:30</t>
  </si>
  <si>
    <t>24/12/2024 14:45</t>
  </si>
  <si>
    <t>24/12/2024 15:00</t>
  </si>
  <si>
    <t>24/12/2024 15:15</t>
  </si>
  <si>
    <t>24/12/2024 15:30</t>
  </si>
  <si>
    <t>24/12/2024 15:45</t>
  </si>
  <si>
    <t>24/12/2024 16:00</t>
  </si>
  <si>
    <t>24/12/2024 16:15</t>
  </si>
  <si>
    <t>24/12/2024 16:30</t>
  </si>
  <si>
    <t>24/12/2024 16:45</t>
  </si>
  <si>
    <t>24/12/2024 17:00</t>
  </si>
  <si>
    <t>24/12/2024 17:15</t>
  </si>
  <si>
    <t>24/12/2024 17:30</t>
  </si>
  <si>
    <t>24/12/2024 17:45</t>
  </si>
  <si>
    <t>24/12/2024 18:00</t>
  </si>
  <si>
    <t>24/12/2024 18:15</t>
  </si>
  <si>
    <t>24/12/2024 18:30</t>
  </si>
  <si>
    <t>24/12/2024 18:45</t>
  </si>
  <si>
    <t>24/12/2024 19:00</t>
  </si>
  <si>
    <t>24/12/2024 19:15</t>
  </si>
  <si>
    <t>24/12/2024 19:30</t>
  </si>
  <si>
    <t>24/12/2024 19:45</t>
  </si>
  <si>
    <t>24/12/2024 20:00</t>
  </si>
  <si>
    <t>24/12/2024 20:15</t>
  </si>
  <si>
    <t>24/12/2024 20:30</t>
  </si>
  <si>
    <t>24/12/2024 20:45</t>
  </si>
  <si>
    <t>24/12/2024 21:00</t>
  </si>
  <si>
    <t>24/12/2024 21:15</t>
  </si>
  <si>
    <t>24/12/2024 21:30</t>
  </si>
  <si>
    <t>24/12/2024 21:45</t>
  </si>
  <si>
    <t>24/12/2024 22:00</t>
  </si>
  <si>
    <t>24/12/2024 22:15</t>
  </si>
  <si>
    <t>24/12/2024 22:30</t>
  </si>
  <si>
    <t>24/12/2024 22:45</t>
  </si>
  <si>
    <t>24/12/2024 23:00</t>
  </si>
  <si>
    <t>24/12/2024 23:15</t>
  </si>
  <si>
    <t>24/12/2024 23:30</t>
  </si>
  <si>
    <t>24/12/2024 23:45</t>
  </si>
  <si>
    <t>24/12/2024 24:00</t>
  </si>
  <si>
    <t>25/12/2024 00:15</t>
  </si>
  <si>
    <t>25/12/2024 00:30</t>
  </si>
  <si>
    <t>25/12/2024 00:45</t>
  </si>
  <si>
    <t>25/12/2024 01:00</t>
  </si>
  <si>
    <t>25/12/2024 01:15</t>
  </si>
  <si>
    <t>25/12/2024 01:30</t>
  </si>
  <si>
    <t>25/12/2024 01:45</t>
  </si>
  <si>
    <t>25/12/2024 02:00</t>
  </si>
  <si>
    <t>25/12/2024 02:15</t>
  </si>
  <si>
    <t>25/12/2024 02:30</t>
  </si>
  <si>
    <t>25/12/2024 02:45</t>
  </si>
  <si>
    <t>25/12/2024 03:00</t>
  </si>
  <si>
    <t>25/12/2024 03:15</t>
  </si>
  <si>
    <t>25/12/2024 03:30</t>
  </si>
  <si>
    <t>25/12/2024 03:45</t>
  </si>
  <si>
    <t>25/12/2024 04:00</t>
  </si>
  <si>
    <t>25/12/2024 04:15</t>
  </si>
  <si>
    <t>25/12/2024 04:30</t>
  </si>
  <si>
    <t>25/12/2024 04:45</t>
  </si>
  <si>
    <t>25/12/2024 05:00</t>
  </si>
  <si>
    <t>25/12/2024 05:15</t>
  </si>
  <si>
    <t>25/12/2024 05:30</t>
  </si>
  <si>
    <t>25/12/2024 05:45</t>
  </si>
  <si>
    <t>25/12/2024 06:00</t>
  </si>
  <si>
    <t>25/12/2024 06:15</t>
  </si>
  <si>
    <t>25/12/2024 06:30</t>
  </si>
  <si>
    <t>25/12/2024 06:45</t>
  </si>
  <si>
    <t>25/12/2024 07:00</t>
  </si>
  <si>
    <t>25/12/2024 07:15</t>
  </si>
  <si>
    <t>25/12/2024 07:30</t>
  </si>
  <si>
    <t>25/12/2024 07:45</t>
  </si>
  <si>
    <t>25/12/2024 08:00</t>
  </si>
  <si>
    <t>25/12/2024 08:15</t>
  </si>
  <si>
    <t>25/12/2024 08:30</t>
  </si>
  <si>
    <t>25/12/2024 08:45</t>
  </si>
  <si>
    <t>25/12/2024 09:00</t>
  </si>
  <si>
    <t>25/12/2024 09:15</t>
  </si>
  <si>
    <t>25/12/2024 09:30</t>
  </si>
  <si>
    <t>25/12/2024 09:45</t>
  </si>
  <si>
    <t>25/12/2024 10:00</t>
  </si>
  <si>
    <t>25/12/2024 10:15</t>
  </si>
  <si>
    <t>25/12/2024 10:30</t>
  </si>
  <si>
    <t>25/12/2024 10:45</t>
  </si>
  <si>
    <t>25/12/2024 11:00</t>
  </si>
  <si>
    <t>25/12/2024 11:15</t>
  </si>
  <si>
    <t>25/12/2024 11:30</t>
  </si>
  <si>
    <t>25/12/2024 11:45</t>
  </si>
  <si>
    <t>25/12/2024 12:00</t>
  </si>
  <si>
    <t>25/12/2024 12:15</t>
  </si>
  <si>
    <t>25/12/2024 12:30</t>
  </si>
  <si>
    <t>25/12/2024 12:45</t>
  </si>
  <si>
    <t>25/12/2024 13:00</t>
  </si>
  <si>
    <t>25/12/2024 13:15</t>
  </si>
  <si>
    <t>25/12/2024 13:30</t>
  </si>
  <si>
    <t>25/12/2024 13:45</t>
  </si>
  <si>
    <t>25/12/2024 14:00</t>
  </si>
  <si>
    <t>25/12/2024 14:15</t>
  </si>
  <si>
    <t>25/12/2024 14:30</t>
  </si>
  <si>
    <t>25/12/2024 14:45</t>
  </si>
  <si>
    <t>25/12/2024 15:00</t>
  </si>
  <si>
    <t>25/12/2024 15:15</t>
  </si>
  <si>
    <t>25/12/2024 15:30</t>
  </si>
  <si>
    <t>25/12/2024 15:45</t>
  </si>
  <si>
    <t>25/12/2024 16:00</t>
  </si>
  <si>
    <t>25/12/2024 16:15</t>
  </si>
  <si>
    <t>25/12/2024 16:30</t>
  </si>
  <si>
    <t>25/12/2024 16:45</t>
  </si>
  <si>
    <t>25/12/2024 17:00</t>
  </si>
  <si>
    <t>25/12/2024 17:15</t>
  </si>
  <si>
    <t>25/12/2024 17:30</t>
  </si>
  <si>
    <t>25/12/2024 17:45</t>
  </si>
  <si>
    <t>25/12/2024 18:00</t>
  </si>
  <si>
    <t>25/12/2024 18:15</t>
  </si>
  <si>
    <t>25/12/2024 18:30</t>
  </si>
  <si>
    <t>25/12/2024 18:45</t>
  </si>
  <si>
    <t>25/12/2024 19:00</t>
  </si>
  <si>
    <t>25/12/2024 19:15</t>
  </si>
  <si>
    <t>25/12/2024 19:30</t>
  </si>
  <si>
    <t>25/12/2024 19:45</t>
  </si>
  <si>
    <t>25/12/2024 20:00</t>
  </si>
  <si>
    <t>25/12/2024 20:15</t>
  </si>
  <si>
    <t>25/12/2024 20:30</t>
  </si>
  <si>
    <t>25/12/2024 20:45</t>
  </si>
  <si>
    <t>25/12/2024 21:00</t>
  </si>
  <si>
    <t>25/12/2024 21:15</t>
  </si>
  <si>
    <t>25/12/2024 21:30</t>
  </si>
  <si>
    <t>25/12/2024 21:45</t>
  </si>
  <si>
    <t>25/12/2024 22:00</t>
  </si>
  <si>
    <t>25/12/2024 22:15</t>
  </si>
  <si>
    <t>25/12/2024 22:30</t>
  </si>
  <si>
    <t>25/12/2024 22:45</t>
  </si>
  <si>
    <t>25/12/2024 23:00</t>
  </si>
  <si>
    <t>25/12/2024 23:15</t>
  </si>
  <si>
    <t>25/12/2024 23:30</t>
  </si>
  <si>
    <t>25/12/2024 23:45</t>
  </si>
  <si>
    <t>25/12/2024 24:00</t>
  </si>
  <si>
    <t>26/12/2024 00:15</t>
  </si>
  <si>
    <t>26/12/2024 00:30</t>
  </si>
  <si>
    <t>26/12/2024 00:45</t>
  </si>
  <si>
    <t>26/12/2024 01:00</t>
  </si>
  <si>
    <t>26/12/2024 01:15</t>
  </si>
  <si>
    <t>26/12/2024 01:30</t>
  </si>
  <si>
    <t>26/12/2024 01:45</t>
  </si>
  <si>
    <t>26/12/2024 02:00</t>
  </si>
  <si>
    <t>26/12/2024 02:15</t>
  </si>
  <si>
    <t>26/12/2024 02:30</t>
  </si>
  <si>
    <t>26/12/2024 02:45</t>
  </si>
  <si>
    <t>26/12/2024 03:00</t>
  </si>
  <si>
    <t>26/12/2024 03:15</t>
  </si>
  <si>
    <t>26/12/2024 03:30</t>
  </si>
  <si>
    <t>26/12/2024 03:45</t>
  </si>
  <si>
    <t>26/12/2024 04:00</t>
  </si>
  <si>
    <t>26/12/2024 04:15</t>
  </si>
  <si>
    <t>26/12/2024 04:30</t>
  </si>
  <si>
    <t>26/12/2024 04:45</t>
  </si>
  <si>
    <t>26/12/2024 05:00</t>
  </si>
  <si>
    <t>26/12/2024 05:15</t>
  </si>
  <si>
    <t>26/12/2024 05:30</t>
  </si>
  <si>
    <t>26/12/2024 05:45</t>
  </si>
  <si>
    <t>26/12/2024 06:00</t>
  </si>
  <si>
    <t>26/12/2024 06:15</t>
  </si>
  <si>
    <t>26/12/2024 06:30</t>
  </si>
  <si>
    <t>26/12/2024 06:45</t>
  </si>
  <si>
    <t>26/12/2024 07:00</t>
  </si>
  <si>
    <t>26/12/2024 07:15</t>
  </si>
  <si>
    <t>26/12/2024 07:30</t>
  </si>
  <si>
    <t>26/12/2024 07:45</t>
  </si>
  <si>
    <t>26/12/2024 08:00</t>
  </si>
  <si>
    <t>26/12/2024 08:15</t>
  </si>
  <si>
    <t>26/12/2024 08:30</t>
  </si>
  <si>
    <t>26/12/2024 08:45</t>
  </si>
  <si>
    <t>26/12/2024 09:00</t>
  </si>
  <si>
    <t>26/12/2024 09:15</t>
  </si>
  <si>
    <t>26/12/2024 09:30</t>
  </si>
  <si>
    <t>26/12/2024 09:45</t>
  </si>
  <si>
    <t>26/12/2024 10:00</t>
  </si>
  <si>
    <t>26/12/2024 10:15</t>
  </si>
  <si>
    <t>26/12/2024 10:30</t>
  </si>
  <si>
    <t>26/12/2024 10:45</t>
  </si>
  <si>
    <t>26/12/2024 11:00</t>
  </si>
  <si>
    <t>26/12/2024 11:15</t>
  </si>
  <si>
    <t>26/12/2024 11:30</t>
  </si>
  <si>
    <t>26/12/2024 11:45</t>
  </si>
  <si>
    <t>26/12/2024 12:00</t>
  </si>
  <si>
    <t>26/12/2024 12:15</t>
  </si>
  <si>
    <t>26/12/2024 12:30</t>
  </si>
  <si>
    <t>26/12/2024 12:45</t>
  </si>
  <si>
    <t>26/12/2024 13:00</t>
  </si>
  <si>
    <t>26/12/2024 13:15</t>
  </si>
  <si>
    <t>26/12/2024 13:30</t>
  </si>
  <si>
    <t>26/12/2024 13:45</t>
  </si>
  <si>
    <t>26/12/2024 14:00</t>
  </si>
  <si>
    <t>26/12/2024 14:15</t>
  </si>
  <si>
    <t>26/12/2024 14:30</t>
  </si>
  <si>
    <t>26/12/2024 14:45</t>
  </si>
  <si>
    <t>26/12/2024 15:00</t>
  </si>
  <si>
    <t>26/12/2024 15:15</t>
  </si>
  <si>
    <t>26/12/2024 15:30</t>
  </si>
  <si>
    <t>26/12/2024 15:45</t>
  </si>
  <si>
    <t>26/12/2024 16:00</t>
  </si>
  <si>
    <t>26/12/2024 16:15</t>
  </si>
  <si>
    <t>26/12/2024 16:30</t>
  </si>
  <si>
    <t>26/12/2024 16:45</t>
  </si>
  <si>
    <t>26/12/2024 17:00</t>
  </si>
  <si>
    <t>26/12/2024 17:15</t>
  </si>
  <si>
    <t>26/12/2024 17:30</t>
  </si>
  <si>
    <t>26/12/2024 17:45</t>
  </si>
  <si>
    <t>26/12/2024 18:00</t>
  </si>
  <si>
    <t>26/12/2024 18:15</t>
  </si>
  <si>
    <t>26/12/2024 18:30</t>
  </si>
  <si>
    <t>26/12/2024 18:45</t>
  </si>
  <si>
    <t>26/12/2024 19:00</t>
  </si>
  <si>
    <t>26/12/2024 19:15</t>
  </si>
  <si>
    <t>26/12/2024 19:30</t>
  </si>
  <si>
    <t>26/12/2024 19:45</t>
  </si>
  <si>
    <t>26/12/2024 20:00</t>
  </si>
  <si>
    <t>26/12/2024 20:15</t>
  </si>
  <si>
    <t>26/12/2024 20:30</t>
  </si>
  <si>
    <t>26/12/2024 20:45</t>
  </si>
  <si>
    <t>26/12/2024 21:00</t>
  </si>
  <si>
    <t>26/12/2024 21:15</t>
  </si>
  <si>
    <t>26/12/2024 21:30</t>
  </si>
  <si>
    <t>26/12/2024 21:45</t>
  </si>
  <si>
    <t>26/12/2024 22:00</t>
  </si>
  <si>
    <t>26/12/2024 22:15</t>
  </si>
  <si>
    <t>26/12/2024 22:30</t>
  </si>
  <si>
    <t>26/12/2024 22:45</t>
  </si>
  <si>
    <t>26/12/2024 23:00</t>
  </si>
  <si>
    <t>26/12/2024 23:15</t>
  </si>
  <si>
    <t>26/12/2024 23:30</t>
  </si>
  <si>
    <t>26/12/2024 23:45</t>
  </si>
  <si>
    <t>26/12/2024 24:00</t>
  </si>
  <si>
    <t>27/12/2024 00:15</t>
  </si>
  <si>
    <t>27/12/2024 00:30</t>
  </si>
  <si>
    <t>27/12/2024 00:45</t>
  </si>
  <si>
    <t>27/12/2024 01:00</t>
  </si>
  <si>
    <t>27/12/2024 01:15</t>
  </si>
  <si>
    <t>27/12/2024 01:30</t>
  </si>
  <si>
    <t>27/12/2024 01:45</t>
  </si>
  <si>
    <t>27/12/2024 02:00</t>
  </si>
  <si>
    <t>27/12/2024 02:15</t>
  </si>
  <si>
    <t>27/12/2024 02:30</t>
  </si>
  <si>
    <t>27/12/2024 02:45</t>
  </si>
  <si>
    <t>27/12/2024 03:00</t>
  </si>
  <si>
    <t>27/12/2024 03:15</t>
  </si>
  <si>
    <t>27/12/2024 03:30</t>
  </si>
  <si>
    <t>27/12/2024 03:45</t>
  </si>
  <si>
    <t>27/12/2024 04:00</t>
  </si>
  <si>
    <t>27/12/2024 04:15</t>
  </si>
  <si>
    <t>27/12/2024 04:30</t>
  </si>
  <si>
    <t>27/12/2024 04:45</t>
  </si>
  <si>
    <t>27/12/2024 05:00</t>
  </si>
  <si>
    <t>27/12/2024 05:15</t>
  </si>
  <si>
    <t>27/12/2024 05:30</t>
  </si>
  <si>
    <t>27/12/2024 05:45</t>
  </si>
  <si>
    <t>27/12/2024 06:00</t>
  </si>
  <si>
    <t>27/12/2024 06:15</t>
  </si>
  <si>
    <t>27/12/2024 06:30</t>
  </si>
  <si>
    <t>27/12/2024 06:45</t>
  </si>
  <si>
    <t>27/12/2024 07:00</t>
  </si>
  <si>
    <t>27/12/2024 07:15</t>
  </si>
  <si>
    <t>27/12/2024 07:30</t>
  </si>
  <si>
    <t>27/12/2024 07:45</t>
  </si>
  <si>
    <t>27/12/2024 08:00</t>
  </si>
  <si>
    <t>27/12/2024 08:15</t>
  </si>
  <si>
    <t>27/12/2024 08:30</t>
  </si>
  <si>
    <t>27/12/2024 08:45</t>
  </si>
  <si>
    <t>27/12/2024 09:00</t>
  </si>
  <si>
    <t>27/12/2024 09:15</t>
  </si>
  <si>
    <t>27/12/2024 09:30</t>
  </si>
  <si>
    <t>27/12/2024 09:45</t>
  </si>
  <si>
    <t>27/12/2024 10:00</t>
  </si>
  <si>
    <t>27/12/2024 10:15</t>
  </si>
  <si>
    <t>27/12/2024 10:30</t>
  </si>
  <si>
    <t>27/12/2024 10:45</t>
  </si>
  <si>
    <t>27/12/2024 11:00</t>
  </si>
  <si>
    <t>27/12/2024 11:15</t>
  </si>
  <si>
    <t>27/12/2024 11:30</t>
  </si>
  <si>
    <t>27/12/2024 11:45</t>
  </si>
  <si>
    <t>27/12/2024 12:00</t>
  </si>
  <si>
    <t>27/12/2024 12:15</t>
  </si>
  <si>
    <t>27/12/2024 12:30</t>
  </si>
  <si>
    <t>27/12/2024 12:45</t>
  </si>
  <si>
    <t>27/12/2024 13:00</t>
  </si>
  <si>
    <t>27/12/2024 13:15</t>
  </si>
  <si>
    <t>27/12/2024 13:30</t>
  </si>
  <si>
    <t>27/12/2024 13:45</t>
  </si>
  <si>
    <t>27/12/2024 14:00</t>
  </si>
  <si>
    <t>27/12/2024 14:15</t>
  </si>
  <si>
    <t>27/12/2024 14:30</t>
  </si>
  <si>
    <t>27/12/2024 14:45</t>
  </si>
  <si>
    <t>27/12/2024 15:00</t>
  </si>
  <si>
    <t>27/12/2024 15:15</t>
  </si>
  <si>
    <t>27/12/2024 15:30</t>
  </si>
  <si>
    <t>27/12/2024 15:45</t>
  </si>
  <si>
    <t>27/12/2024 16:00</t>
  </si>
  <si>
    <t>27/12/2024 16:15</t>
  </si>
  <si>
    <t>27/12/2024 16:30</t>
  </si>
  <si>
    <t>27/12/2024 16:45</t>
  </si>
  <si>
    <t>27/12/2024 17:00</t>
  </si>
  <si>
    <t>27/12/2024 17:15</t>
  </si>
  <si>
    <t>27/12/2024 17:30</t>
  </si>
  <si>
    <t>27/12/2024 17:45</t>
  </si>
  <si>
    <t>27/12/2024 18:00</t>
  </si>
  <si>
    <t>27/12/2024 18:15</t>
  </si>
  <si>
    <t>27/12/2024 18:30</t>
  </si>
  <si>
    <t>27/12/2024 18:45</t>
  </si>
  <si>
    <t>27/12/2024 19:00</t>
  </si>
  <si>
    <t>27/12/2024 19:15</t>
  </si>
  <si>
    <t>27/12/2024 19:30</t>
  </si>
  <si>
    <t>27/12/2024 19:45</t>
  </si>
  <si>
    <t>27/12/2024 20:00</t>
  </si>
  <si>
    <t>27/12/2024 20:15</t>
  </si>
  <si>
    <t>27/12/2024 20:30</t>
  </si>
  <si>
    <t>27/12/2024 20:45</t>
  </si>
  <si>
    <t>27/12/2024 21:00</t>
  </si>
  <si>
    <t>27/12/2024 21:15</t>
  </si>
  <si>
    <t>27/12/2024 21:30</t>
  </si>
  <si>
    <t>27/12/2024 21:45</t>
  </si>
  <si>
    <t>27/12/2024 22:00</t>
  </si>
  <si>
    <t>27/12/2024 22:15</t>
  </si>
  <si>
    <t>27/12/2024 22:30</t>
  </si>
  <si>
    <t>27/12/2024 22:45</t>
  </si>
  <si>
    <t>27/12/2024 23:00</t>
  </si>
  <si>
    <t>27/12/2024 23:15</t>
  </si>
  <si>
    <t>27/12/2024 23:30</t>
  </si>
  <si>
    <t>27/12/2024 23:45</t>
  </si>
  <si>
    <t>27/12/2024 24:00</t>
  </si>
  <si>
    <t>28/12/2024 00:15</t>
  </si>
  <si>
    <t>28/12/2024 00:30</t>
  </si>
  <si>
    <t>28/12/2024 00:45</t>
  </si>
  <si>
    <t>28/12/2024 01:00</t>
  </si>
  <si>
    <t>28/12/2024 01:15</t>
  </si>
  <si>
    <t>28/12/2024 01:30</t>
  </si>
  <si>
    <t>28/12/2024 01:45</t>
  </si>
  <si>
    <t>28/12/2024 02:00</t>
  </si>
  <si>
    <t>28/12/2024 02:15</t>
  </si>
  <si>
    <t>28/12/2024 02:30</t>
  </si>
  <si>
    <t>28/12/2024 02:45</t>
  </si>
  <si>
    <t>28/12/2024 03:00</t>
  </si>
  <si>
    <t>28/12/2024 03:15</t>
  </si>
  <si>
    <t>28/12/2024 03:30</t>
  </si>
  <si>
    <t>28/12/2024 03:45</t>
  </si>
  <si>
    <t>28/12/2024 04:00</t>
  </si>
  <si>
    <t>28/12/2024 04:15</t>
  </si>
  <si>
    <t>28/12/2024 04:30</t>
  </si>
  <si>
    <t>28/12/2024 04:45</t>
  </si>
  <si>
    <t>28/12/2024 05:00</t>
  </si>
  <si>
    <t>28/12/2024 05:15</t>
  </si>
  <si>
    <t>28/12/2024 05:30</t>
  </si>
  <si>
    <t>28/12/2024 05:45</t>
  </si>
  <si>
    <t>28/12/2024 06:00</t>
  </si>
  <si>
    <t>28/12/2024 06:15</t>
  </si>
  <si>
    <t>28/12/2024 06:30</t>
  </si>
  <si>
    <t>28/12/2024 06:45</t>
  </si>
  <si>
    <t>28/12/2024 07:00</t>
  </si>
  <si>
    <t>28/12/2024 07:15</t>
  </si>
  <si>
    <t>28/12/2024 07:30</t>
  </si>
  <si>
    <t>28/12/2024 07:45</t>
  </si>
  <si>
    <t>28/12/2024 08:00</t>
  </si>
  <si>
    <t>28/12/2024 08:15</t>
  </si>
  <si>
    <t>28/12/2024 08:30</t>
  </si>
  <si>
    <t>28/12/2024 08:45</t>
  </si>
  <si>
    <t>28/12/2024 09:00</t>
  </si>
  <si>
    <t>28/12/2024 09:15</t>
  </si>
  <si>
    <t>28/12/2024 09:30</t>
  </si>
  <si>
    <t>28/12/2024 09:45</t>
  </si>
  <si>
    <t>28/12/2024 10:00</t>
  </si>
  <si>
    <t>28/12/2024 10:15</t>
  </si>
  <si>
    <t>28/12/2024 10:30</t>
  </si>
  <si>
    <t>28/12/2024 10:45</t>
  </si>
  <si>
    <t>28/12/2024 11:00</t>
  </si>
  <si>
    <t>28/12/2024 11:15</t>
  </si>
  <si>
    <t>28/12/2024 11:30</t>
  </si>
  <si>
    <t>28/12/2024 11:45</t>
  </si>
  <si>
    <t>28/12/2024 12:00</t>
  </si>
  <si>
    <t>28/12/2024 12:15</t>
  </si>
  <si>
    <t>28/12/2024 12:30</t>
  </si>
  <si>
    <t>28/12/2024 12:45</t>
  </si>
  <si>
    <t>28/12/2024 13:00</t>
  </si>
  <si>
    <t>28/12/2024 13:15</t>
  </si>
  <si>
    <t>28/12/2024 13:30</t>
  </si>
  <si>
    <t>28/12/2024 13:45</t>
  </si>
  <si>
    <t>28/12/2024 14:00</t>
  </si>
  <si>
    <t>28/12/2024 14:15</t>
  </si>
  <si>
    <t>28/12/2024 14:30</t>
  </si>
  <si>
    <t>28/12/2024 14:45</t>
  </si>
  <si>
    <t>28/12/2024 15:00</t>
  </si>
  <si>
    <t>28/12/2024 15:15</t>
  </si>
  <si>
    <t>28/12/2024 15:30</t>
  </si>
  <si>
    <t>28/12/2024 15:45</t>
  </si>
  <si>
    <t>28/12/2024 16:00</t>
  </si>
  <si>
    <t>28/12/2024 16:15</t>
  </si>
  <si>
    <t>28/12/2024 16:30</t>
  </si>
  <si>
    <t>28/12/2024 16:45</t>
  </si>
  <si>
    <t>28/12/2024 17:00</t>
  </si>
  <si>
    <t>28/12/2024 17:15</t>
  </si>
  <si>
    <t>28/12/2024 17:30</t>
  </si>
  <si>
    <t>28/12/2024 17:45</t>
  </si>
  <si>
    <t>28/12/2024 18:00</t>
  </si>
  <si>
    <t>28/12/2024 18:15</t>
  </si>
  <si>
    <t>28/12/2024 18:30</t>
  </si>
  <si>
    <t>28/12/2024 18:45</t>
  </si>
  <si>
    <t>28/12/2024 19:00</t>
  </si>
  <si>
    <t>28/12/2024 19:15</t>
  </si>
  <si>
    <t>28/12/2024 19:30</t>
  </si>
  <si>
    <t>28/12/2024 19:45</t>
  </si>
  <si>
    <t>28/12/2024 20:00</t>
  </si>
  <si>
    <t>28/12/2024 20:15</t>
  </si>
  <si>
    <t>28/12/2024 20:30</t>
  </si>
  <si>
    <t>28/12/2024 20:45</t>
  </si>
  <si>
    <t>28/12/2024 21:00</t>
  </si>
  <si>
    <t>28/12/2024 21:15</t>
  </si>
  <si>
    <t>28/12/2024 21:30</t>
  </si>
  <si>
    <t>28/12/2024 21:45</t>
  </si>
  <si>
    <t>28/12/2024 22:00</t>
  </si>
  <si>
    <t>28/12/2024 22:15</t>
  </si>
  <si>
    <t>28/12/2024 22:30</t>
  </si>
  <si>
    <t>28/12/2024 22:45</t>
  </si>
  <si>
    <t>28/12/2024 23:00</t>
  </si>
  <si>
    <t>28/12/2024 23:15</t>
  </si>
  <si>
    <t>28/12/2024 23:30</t>
  </si>
  <si>
    <t>28/12/2024 23:45</t>
  </si>
  <si>
    <t>28/12/2024 24:00</t>
  </si>
  <si>
    <t>29/12/2024 00:15</t>
  </si>
  <si>
    <t>29/12/2024 00:30</t>
  </si>
  <si>
    <t>29/12/2024 00:45</t>
  </si>
  <si>
    <t>29/12/2024 01:00</t>
  </si>
  <si>
    <t>29/12/2024 01:15</t>
  </si>
  <si>
    <t>29/12/2024 01:30</t>
  </si>
  <si>
    <t>29/12/2024 01:45</t>
  </si>
  <si>
    <t>29/12/2024 02:00</t>
  </si>
  <si>
    <t>29/12/2024 02:15</t>
  </si>
  <si>
    <t>29/12/2024 02:30</t>
  </si>
  <si>
    <t>29/12/2024 02:45</t>
  </si>
  <si>
    <t>29/12/2024 03:00</t>
  </si>
  <si>
    <t>29/12/2024 03:15</t>
  </si>
  <si>
    <t>29/12/2024 03:30</t>
  </si>
  <si>
    <t>29/12/2024 03:45</t>
  </si>
  <si>
    <t>29/12/2024 04:00</t>
  </si>
  <si>
    <t>29/12/2024 04:15</t>
  </si>
  <si>
    <t>29/12/2024 04:30</t>
  </si>
  <si>
    <t>29/12/2024 04:45</t>
  </si>
  <si>
    <t>29/12/2024 05:00</t>
  </si>
  <si>
    <t>29/12/2024 05:15</t>
  </si>
  <si>
    <t>29/12/2024 05:30</t>
  </si>
  <si>
    <t>29/12/2024 05:45</t>
  </si>
  <si>
    <t>29/12/2024 06:00</t>
  </si>
  <si>
    <t>29/12/2024 06:15</t>
  </si>
  <si>
    <t>29/12/2024 06:30</t>
  </si>
  <si>
    <t>29/12/2024 06:45</t>
  </si>
  <si>
    <t>29/12/2024 07:00</t>
  </si>
  <si>
    <t>29/12/2024 07:15</t>
  </si>
  <si>
    <t>29/12/2024 07:30</t>
  </si>
  <si>
    <t>29/12/2024 07:45</t>
  </si>
  <si>
    <t>29/12/2024 08:00</t>
  </si>
  <si>
    <t>29/12/2024 08:15</t>
  </si>
  <si>
    <t>29/12/2024 08:30</t>
  </si>
  <si>
    <t>29/12/2024 08:45</t>
  </si>
  <si>
    <t>29/12/2024 09:00</t>
  </si>
  <si>
    <t>29/12/2024 09:15</t>
  </si>
  <si>
    <t>29/12/2024 09:30</t>
  </si>
  <si>
    <t>29/12/2024 09:45</t>
  </si>
  <si>
    <t>29/12/2024 10:00</t>
  </si>
  <si>
    <t>29/12/2024 10:15</t>
  </si>
  <si>
    <t>29/12/2024 10:30</t>
  </si>
  <si>
    <t>29/12/2024 10:45</t>
  </si>
  <si>
    <t>29/12/2024 11:00</t>
  </si>
  <si>
    <t>29/12/2024 11:15</t>
  </si>
  <si>
    <t>29/12/2024 11:30</t>
  </si>
  <si>
    <t>29/12/2024 11:45</t>
  </si>
  <si>
    <t>29/12/2024 12:00</t>
  </si>
  <si>
    <t>29/12/2024 12:15</t>
  </si>
  <si>
    <t>29/12/2024 12:30</t>
  </si>
  <si>
    <t>29/12/2024 12:45</t>
  </si>
  <si>
    <t>29/12/2024 13:00</t>
  </si>
  <si>
    <t>29/12/2024 13:15</t>
  </si>
  <si>
    <t>29/12/2024 13:30</t>
  </si>
  <si>
    <t>29/12/2024 13:45</t>
  </si>
  <si>
    <t>29/12/2024 14:00</t>
  </si>
  <si>
    <t>29/12/2024 14:15</t>
  </si>
  <si>
    <t>29/12/2024 14:30</t>
  </si>
  <si>
    <t>29/12/2024 14:45</t>
  </si>
  <si>
    <t>29/12/2024 15:00</t>
  </si>
  <si>
    <t>29/12/2024 15:15</t>
  </si>
  <si>
    <t>29/12/2024 15:30</t>
  </si>
  <si>
    <t>29/12/2024 15:45</t>
  </si>
  <si>
    <t>29/12/2024 16:00</t>
  </si>
  <si>
    <t>29/12/2024 16:15</t>
  </si>
  <si>
    <t>29/12/2024 16:30</t>
  </si>
  <si>
    <t>29/12/2024 16:45</t>
  </si>
  <si>
    <t>29/12/2024 17:00</t>
  </si>
  <si>
    <t>29/12/2024 17:15</t>
  </si>
  <si>
    <t>29/12/2024 17:30</t>
  </si>
  <si>
    <t>29/12/2024 17:45</t>
  </si>
  <si>
    <t>29/12/2024 18:00</t>
  </si>
  <si>
    <t>29/12/2024 18:15</t>
  </si>
  <si>
    <t>29/12/2024 18:30</t>
  </si>
  <si>
    <t>29/12/2024 18:45</t>
  </si>
  <si>
    <t>29/12/2024 19:00</t>
  </si>
  <si>
    <t>29/12/2024 19:15</t>
  </si>
  <si>
    <t>29/12/2024 19:30</t>
  </si>
  <si>
    <t>29/12/2024 19:45</t>
  </si>
  <si>
    <t>29/12/2024 20:00</t>
  </si>
  <si>
    <t>29/12/2024 20:15</t>
  </si>
  <si>
    <t>29/12/2024 20:30</t>
  </si>
  <si>
    <t>29/12/2024 20:45</t>
  </si>
  <si>
    <t>29/12/2024 21:00</t>
  </si>
  <si>
    <t>29/12/2024 21:15</t>
  </si>
  <si>
    <t>29/12/2024 21:30</t>
  </si>
  <si>
    <t>29/12/2024 21:45</t>
  </si>
  <si>
    <t>29/12/2024 22:00</t>
  </si>
  <si>
    <t>29/12/2024 22:15</t>
  </si>
  <si>
    <t>29/12/2024 22:30</t>
  </si>
  <si>
    <t>29/12/2024 22:45</t>
  </si>
  <si>
    <t>29/12/2024 23:00</t>
  </si>
  <si>
    <t>29/12/2024 23:15</t>
  </si>
  <si>
    <t>29/12/2024 23:30</t>
  </si>
  <si>
    <t>29/12/2024 23:45</t>
  </si>
  <si>
    <t>29/12/2024 24:00</t>
  </si>
  <si>
    <t>30/12/2024 00:15</t>
  </si>
  <si>
    <t>30/12/2024 00:30</t>
  </si>
  <si>
    <t>30/12/2024 00:45</t>
  </si>
  <si>
    <t>30/12/2024 01:00</t>
  </si>
  <si>
    <t>30/12/2024 01:15</t>
  </si>
  <si>
    <t>30/12/2024 01:30</t>
  </si>
  <si>
    <t>30/12/2024 01:45</t>
  </si>
  <si>
    <t>30/12/2024 02:00</t>
  </si>
  <si>
    <t>30/12/2024 02:15</t>
  </si>
  <si>
    <t>30/12/2024 02:30</t>
  </si>
  <si>
    <t>30/12/2024 02:45</t>
  </si>
  <si>
    <t>30/12/2024 03:00</t>
  </si>
  <si>
    <t>30/12/2024 03:15</t>
  </si>
  <si>
    <t>30/12/2024 03:30</t>
  </si>
  <si>
    <t>30/12/2024 03:45</t>
  </si>
  <si>
    <t>30/12/2024 04:00</t>
  </si>
  <si>
    <t>30/12/2024 04:15</t>
  </si>
  <si>
    <t>30/12/2024 04:30</t>
  </si>
  <si>
    <t>30/12/2024 04:45</t>
  </si>
  <si>
    <t>30/12/2024 05:00</t>
  </si>
  <si>
    <t>30/12/2024 05:15</t>
  </si>
  <si>
    <t>30/12/2024 05:30</t>
  </si>
  <si>
    <t>30/12/2024 05:45</t>
  </si>
  <si>
    <t>30/12/2024 06:00</t>
  </si>
  <si>
    <t>30/12/2024 06:15</t>
  </si>
  <si>
    <t>30/12/2024 06:30</t>
  </si>
  <si>
    <t>30/12/2024 06:45</t>
  </si>
  <si>
    <t>30/12/2024 07:00</t>
  </si>
  <si>
    <t>30/12/2024 07:15</t>
  </si>
  <si>
    <t>30/12/2024 07:30</t>
  </si>
  <si>
    <t>30/12/2024 07:45</t>
  </si>
  <si>
    <t>30/12/2024 08:00</t>
  </si>
  <si>
    <t>30/12/2024 08:15</t>
  </si>
  <si>
    <t>30/12/2024 08:30</t>
  </si>
  <si>
    <t>30/12/2024 08:45</t>
  </si>
  <si>
    <t>30/12/2024 09:00</t>
  </si>
  <si>
    <t>30/12/2024 09:15</t>
  </si>
  <si>
    <t>30/12/2024 09:30</t>
  </si>
  <si>
    <t>30/12/2024 09:45</t>
  </si>
  <si>
    <t>30/12/2024 10:00</t>
  </si>
  <si>
    <t>30/12/2024 10:15</t>
  </si>
  <si>
    <t>30/12/2024 10:30</t>
  </si>
  <si>
    <t>30/12/2024 10:45</t>
  </si>
  <si>
    <t>30/12/2024 11:00</t>
  </si>
  <si>
    <t>30/12/2024 11:15</t>
  </si>
  <si>
    <t>30/12/2024 11:30</t>
  </si>
  <si>
    <t>30/12/2024 11:45</t>
  </si>
  <si>
    <t>30/12/2024 12:00</t>
  </si>
  <si>
    <t>30/12/2024 12:15</t>
  </si>
  <si>
    <t>30/12/2024 12:30</t>
  </si>
  <si>
    <t>30/12/2024 12:45</t>
  </si>
  <si>
    <t>30/12/2024 13:00</t>
  </si>
  <si>
    <t>30/12/2024 13:15</t>
  </si>
  <si>
    <t>30/12/2024 13:30</t>
  </si>
  <si>
    <t>30/12/2024 13:45</t>
  </si>
  <si>
    <t>30/12/2024 14:00</t>
  </si>
  <si>
    <t>30/12/2024 14:15</t>
  </si>
  <si>
    <t>30/12/2024 14:30</t>
  </si>
  <si>
    <t>30/12/2024 14:45</t>
  </si>
  <si>
    <t>30/12/2024 15:00</t>
  </si>
  <si>
    <t>30/12/2024 15:15</t>
  </si>
  <si>
    <t>30/12/2024 15:30</t>
  </si>
  <si>
    <t>30/12/2024 15:45</t>
  </si>
  <si>
    <t>30/12/2024 16:00</t>
  </si>
  <si>
    <t>30/12/2024 16:15</t>
  </si>
  <si>
    <t>30/12/2024 16:30</t>
  </si>
  <si>
    <t>30/12/2024 16:45</t>
  </si>
  <si>
    <t>30/12/2024 17:00</t>
  </si>
  <si>
    <t>30/12/2024 17:15</t>
  </si>
  <si>
    <t>30/12/2024 17:30</t>
  </si>
  <si>
    <t>30/12/2024 17:45</t>
  </si>
  <si>
    <t>30/12/2024 18:00</t>
  </si>
  <si>
    <t>30/12/2024 18:15</t>
  </si>
  <si>
    <t>30/12/2024 18:30</t>
  </si>
  <si>
    <t>30/12/2024 18:45</t>
  </si>
  <si>
    <t>30/12/2024 19:00</t>
  </si>
  <si>
    <t>30/12/2024 19:15</t>
  </si>
  <si>
    <t>30/12/2024 19:30</t>
  </si>
  <si>
    <t>30/12/2024 19:45</t>
  </si>
  <si>
    <t>30/12/2024 20:00</t>
  </si>
  <si>
    <t>30/12/2024 20:15</t>
  </si>
  <si>
    <t>30/12/2024 20:30</t>
  </si>
  <si>
    <t>30/12/2024 20:45</t>
  </si>
  <si>
    <t>30/12/2024 21:00</t>
  </si>
  <si>
    <t>30/12/2024 21:15</t>
  </si>
  <si>
    <t>30/12/2024 21:30</t>
  </si>
  <si>
    <t>30/12/2024 21:45</t>
  </si>
  <si>
    <t>30/12/2024 22:00</t>
  </si>
  <si>
    <t>30/12/2024 22:15</t>
  </si>
  <si>
    <t>30/12/2024 22:30</t>
  </si>
  <si>
    <t>30/12/2024 22:45</t>
  </si>
  <si>
    <t>30/12/2024 23:00</t>
  </si>
  <si>
    <t>30/12/2024 23:15</t>
  </si>
  <si>
    <t>30/12/2024 23:30</t>
  </si>
  <si>
    <t>30/12/2024 23:45</t>
  </si>
  <si>
    <t>30/12/2024 24:00</t>
  </si>
  <si>
    <t>31/12/2024 00:15</t>
  </si>
  <si>
    <t>31/12/2024 00:30</t>
  </si>
  <si>
    <t>31/12/2024 00:45</t>
  </si>
  <si>
    <t>31/12/2024 01:00</t>
  </si>
  <si>
    <t>31/12/2024 01:15</t>
  </si>
  <si>
    <t>31/12/2024 01:30</t>
  </si>
  <si>
    <t>31/12/2024 01:45</t>
  </si>
  <si>
    <t>31/12/2024 02:00</t>
  </si>
  <si>
    <t>31/12/2024 02:15</t>
  </si>
  <si>
    <t>31/12/2024 02:30</t>
  </si>
  <si>
    <t>31/12/2024 02:45</t>
  </si>
  <si>
    <t>31/12/2024 03:00</t>
  </si>
  <si>
    <t>31/12/2024 03:15</t>
  </si>
  <si>
    <t>31/12/2024 03:30</t>
  </si>
  <si>
    <t>31/12/2024 03:45</t>
  </si>
  <si>
    <t>31/12/2024 04:00</t>
  </si>
  <si>
    <t>31/12/2024 04:15</t>
  </si>
  <si>
    <t>31/12/2024 04:30</t>
  </si>
  <si>
    <t>31/12/2024 04:45</t>
  </si>
  <si>
    <t>31/12/2024 05:00</t>
  </si>
  <si>
    <t>31/12/2024 05:15</t>
  </si>
  <si>
    <t>31/12/2024 05:30</t>
  </si>
  <si>
    <t>31/12/2024 05:45</t>
  </si>
  <si>
    <t>31/12/2024 06:00</t>
  </si>
  <si>
    <t>31/12/2024 06:15</t>
  </si>
  <si>
    <t>31/12/2024 06:30</t>
  </si>
  <si>
    <t>31/12/2024 06:45</t>
  </si>
  <si>
    <t>31/12/2024 07:00</t>
  </si>
  <si>
    <t>31/12/2024 07:15</t>
  </si>
  <si>
    <t>31/12/2024 07:30</t>
  </si>
  <si>
    <t>31/12/2024 07:45</t>
  </si>
  <si>
    <t>31/12/2024 08:00</t>
  </si>
  <si>
    <t>31/12/2024 08:15</t>
  </si>
  <si>
    <t>31/12/2024 08:30</t>
  </si>
  <si>
    <t>31/12/2024 08:45</t>
  </si>
  <si>
    <t>31/12/2024 09:00</t>
  </si>
  <si>
    <t>31/12/2024 09:15</t>
  </si>
  <si>
    <t>31/12/2024 09:30</t>
  </si>
  <si>
    <t>31/12/2024 09:45</t>
  </si>
  <si>
    <t>31/12/2024 10:00</t>
  </si>
  <si>
    <t>31/12/2024 10:15</t>
  </si>
  <si>
    <t>31/12/2024 10:30</t>
  </si>
  <si>
    <t>31/12/2024 10:45</t>
  </si>
  <si>
    <t>31/12/2024 11:00</t>
  </si>
  <si>
    <t>31/12/2024 11:15</t>
  </si>
  <si>
    <t>31/12/2024 11:30</t>
  </si>
  <si>
    <t>31/12/2024 11:45</t>
  </si>
  <si>
    <t>31/12/2024 12:00</t>
  </si>
  <si>
    <t>31/12/2024 12:15</t>
  </si>
  <si>
    <t>31/12/2024 12:30</t>
  </si>
  <si>
    <t>31/12/2024 12:45</t>
  </si>
  <si>
    <t>31/12/2024 13:00</t>
  </si>
  <si>
    <t>31/12/2024 13:15</t>
  </si>
  <si>
    <t>31/12/2024 13:30</t>
  </si>
  <si>
    <t>31/12/2024 13:45</t>
  </si>
  <si>
    <t>31/12/2024 14:00</t>
  </si>
  <si>
    <t>31/12/2024 14:15</t>
  </si>
  <si>
    <t>31/12/2024 14:30</t>
  </si>
  <si>
    <t>31/12/2024 14:45</t>
  </si>
  <si>
    <t>31/12/2024 15:00</t>
  </si>
  <si>
    <t>31/12/2024 15:15</t>
  </si>
  <si>
    <t>31/12/2024 15:30</t>
  </si>
  <si>
    <t>31/12/2024 15:45</t>
  </si>
  <si>
    <t>31/12/2024 16:00</t>
  </si>
  <si>
    <t>31/12/2024 16:15</t>
  </si>
  <si>
    <t>31/12/2024 16:30</t>
  </si>
  <si>
    <t>31/12/2024 16:45</t>
  </si>
  <si>
    <t>31/12/2024 17:00</t>
  </si>
  <si>
    <t>31/12/2024 17:15</t>
  </si>
  <si>
    <t>31/12/2024 17:30</t>
  </si>
  <si>
    <t>31/12/2024 17:45</t>
  </si>
  <si>
    <t>31/12/2024 18:00</t>
  </si>
  <si>
    <t>31/12/2024 18:15</t>
  </si>
  <si>
    <t>31/12/2024 18:30</t>
  </si>
  <si>
    <t>31/12/2024 18:45</t>
  </si>
  <si>
    <t>31/12/2024 19:00</t>
  </si>
  <si>
    <t>31/12/2024 19:15</t>
  </si>
  <si>
    <t>31/12/2024 19:30</t>
  </si>
  <si>
    <t>31/12/2024 19:45</t>
  </si>
  <si>
    <t>31/12/2024 20:00</t>
  </si>
  <si>
    <t>31/12/2024 20:15</t>
  </si>
  <si>
    <t>31/12/2024 20:30</t>
  </si>
  <si>
    <t>31/12/2024 20:45</t>
  </si>
  <si>
    <t>31/12/2024 21:00</t>
  </si>
  <si>
    <t>31/12/2024 21:15</t>
  </si>
  <si>
    <t>31/12/2024 21:30</t>
  </si>
  <si>
    <t>31/12/2024 21:45</t>
  </si>
  <si>
    <t>31/12/2024 22:00</t>
  </si>
  <si>
    <t>31/12/2024 22:15</t>
  </si>
  <si>
    <t>31/12/2024 22:30</t>
  </si>
  <si>
    <t>31/12/2024 22:45</t>
  </si>
  <si>
    <t>31/12/2024 23:00</t>
  </si>
  <si>
    <t>31/12/2024 23:15</t>
  </si>
  <si>
    <t>31/12/2024 23:30</t>
  </si>
  <si>
    <t>31/12/2024 23:45</t>
  </si>
  <si>
    <t>31/12/2024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</si>
</sst>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"/>
    <numFmt numFmtId="165" formatCode="mmmm\-yyyy"/>
    <numFmt numFmtId="166" formatCode="0.000"/>
  </numFmts>
  <fonts count="4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7111117893"/>
      <name val="Arial"/>
      <family val="2"/>
    </font>
    <font>
      <b/>
      <sz val="11"/>
      <color theme="1"/>
      <name val="Arial"/>
      <family val="2"/>
    </font>
    <font>
      <b/>
      <sz val="10"/>
      <color theme="2" tint="-0.89999084444715716"/>
      <name val="Arial Black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2" tint="-0.89999084444715716"/>
      <name val="Arial"/>
      <family val="2"/>
    </font>
    <font>
      <b/>
      <sz val="11"/>
      <color rgb="FFFF0000"/>
      <name val="Arial"/>
      <family val="2"/>
    </font>
    <font>
      <sz val="11"/>
      <color theme="3" tint="0.3999755851924192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2" tint="-0.89999084444715716"/>
      <name val="Arial Black"/>
      <family val="2"/>
    </font>
    <font>
      <b/>
      <sz val="9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3" tint="0.3999755851924192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Arial"/>
      <family val="2"/>
    </font>
    <font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b/>
      <sz val="24"/>
      <color theme="1"/>
      <name val="Arial Black"/>
      <family val="2"/>
    </font>
    <font>
      <b/>
      <sz val="26"/>
      <color theme="1"/>
      <name val="Arial Black"/>
      <family val="2"/>
    </font>
    <font>
      <b/>
      <sz val="22"/>
      <color theme="1"/>
      <name val="Arial Black"/>
      <family val="2"/>
    </font>
    <font>
      <sz val="16"/>
      <color theme="0"/>
      <name val="Arial Black"/>
      <family val="2"/>
    </font>
    <font>
      <b/>
      <sz val="16"/>
      <color theme="0"/>
      <name val="Arial Black"/>
      <family val="2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0">
    <xf numFmtId="0" fontId="0" fillId="0" borderId="0" xfId="0"/>
    <xf numFmtId="22" fontId="0" fillId="0" borderId="0" xfId="0" applyNumberFormat="1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15" fillId="2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15" fillId="5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7" fillId="8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46" fontId="7" fillId="0" borderId="0" xfId="0" applyNumberFormat="1" applyFont="1" applyAlignment="1">
      <alignment horizontal="center"/>
    </xf>
    <xf numFmtId="22" fontId="0" fillId="0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5" fillId="9" borderId="0" xfId="0" applyFont="1" applyFill="1" applyAlignment="1">
      <alignment horizontal="center"/>
    </xf>
    <xf numFmtId="0" fontId="20" fillId="10" borderId="1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20" fillId="10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46" fontId="6" fillId="0" borderId="1" xfId="0" applyNumberFormat="1" applyFont="1" applyBorder="1" applyAlignment="1">
      <alignment horizontal="center" vertical="center" wrapText="1"/>
    </xf>
    <xf numFmtId="22" fontId="0" fillId="0" borderId="1" xfId="0" applyNumberFormat="1" applyBorder="1" applyAlignment="1">
      <alignment horizontal="center"/>
    </xf>
    <xf numFmtId="46" fontId="1" fillId="0" borderId="1" xfId="0" applyNumberFormat="1" applyFont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46" fontId="7" fillId="0" borderId="1" xfId="0" applyNumberFormat="1" applyFont="1" applyBorder="1" applyAlignment="1">
      <alignment horizontal="center"/>
    </xf>
    <xf numFmtId="22" fontId="14" fillId="0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22" fontId="0" fillId="0" borderId="5" xfId="0" applyNumberFormat="1" applyBorder="1" applyAlignment="1">
      <alignment horizontal="center"/>
    </xf>
    <xf numFmtId="22" fontId="0" fillId="0" borderId="6" xfId="0" applyNumberFormat="1" applyBorder="1" applyAlignment="1">
      <alignment horizontal="center"/>
    </xf>
    <xf numFmtId="0" fontId="15" fillId="11" borderId="7" xfId="0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2" fontId="0" fillId="0" borderId="9" xfId="0" applyNumberFormat="1" applyBorder="1" applyAlignment="1">
      <alignment horizontal="center"/>
    </xf>
    <xf numFmtId="0" fontId="8" fillId="0" borderId="3" xfId="0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" fontId="12" fillId="11" borderId="7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22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22" fontId="0" fillId="0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22" fontId="0" fillId="0" borderId="5" xfId="0" applyNumberFormat="1" applyBorder="1" applyAlignment="1">
      <alignment horizontal="center" vertical="center"/>
    </xf>
    <xf numFmtId="22" fontId="0" fillId="0" borderId="6" xfId="0" applyNumberFormat="1" applyBorder="1" applyAlignment="1">
      <alignment horizontal="center" vertical="center"/>
    </xf>
    <xf numFmtId="1" fontId="12" fillId="11" borderId="7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0" xfId="0" applyFont="1"/>
    <xf numFmtId="2" fontId="21" fillId="0" borderId="1" xfId="0" applyNumberFormat="1" applyFont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22" fontId="2" fillId="0" borderId="5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/>
    </xf>
    <xf numFmtId="14" fontId="2" fillId="0" borderId="0" xfId="0" applyNumberFormat="1" applyFont="1" applyFill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14" fontId="0" fillId="0" borderId="0" xfId="0" applyNumberFormat="1"/>
    <xf numFmtId="14" fontId="0" fillId="0" borderId="0" xfId="0" applyNumberFormat="1" applyFill="1" applyAlignment="1">
      <alignment horizontal="center"/>
    </xf>
    <xf numFmtId="14" fontId="19" fillId="0" borderId="0" xfId="0" applyNumberFormat="1" applyFont="1" applyFill="1" applyAlignment="1">
      <alignment horizontal="center"/>
    </xf>
    <xf numFmtId="2" fontId="9" fillId="0" borderId="0" xfId="0" applyNumberFormat="1" applyFont="1" applyFill="1" applyAlignment="1">
      <alignment horizontal="center" vertical="center"/>
    </xf>
    <xf numFmtId="2" fontId="9" fillId="0" borderId="1" xfId="0" applyNumberFormat="1" applyFont="1" applyFill="1" applyBorder="1" applyAlignment="1">
      <alignment horizontal="center" vertical="center"/>
    </xf>
    <xf numFmtId="2" fontId="21" fillId="0" borderId="1" xfId="0" applyNumberFormat="1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2" fillId="9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0" fontId="0" fillId="0" borderId="0" xfId="0" applyNumberFormat="1"/>
    <xf numFmtId="2" fontId="0" fillId="0" borderId="0" xfId="0" applyNumberFormat="1"/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2" fontId="0" fillId="0" borderId="13" xfId="0" applyNumberForma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6" fillId="12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7" xfId="0" applyFont="1" applyFill="1" applyBorder="1"/>
    <xf numFmtId="0" fontId="23" fillId="0" borderId="5" xfId="0" applyFont="1" applyBorder="1" applyAlignment="1">
      <alignment horizontal="center"/>
    </xf>
    <xf numFmtId="0" fontId="23" fillId="0" borderId="1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0" fillId="10" borderId="19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24" fillId="10" borderId="2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0" fillId="12" borderId="21" xfId="0" applyFill="1" applyBorder="1" applyAlignment="1">
      <alignment horizontal="center"/>
    </xf>
    <xf numFmtId="0" fontId="20" fillId="10" borderId="22" xfId="0" applyFont="1" applyFill="1" applyBorder="1" applyAlignment="1">
      <alignment horizontal="center"/>
    </xf>
    <xf numFmtId="0" fontId="0" fillId="12" borderId="23" xfId="0" applyFill="1" applyBorder="1" applyAlignment="1">
      <alignment horizontal="center"/>
    </xf>
    <xf numFmtId="0" fontId="24" fillId="10" borderId="1" xfId="0" applyFont="1" applyFill="1" applyBorder="1" applyAlignment="1">
      <alignment horizontal="center"/>
    </xf>
    <xf numFmtId="0" fontId="0" fillId="0" borderId="0" xfId="0" applyBorder="1"/>
    <xf numFmtId="0" fontId="17" fillId="0" borderId="0" xfId="0" applyFont="1" applyAlignment="1">
      <alignment horizontal="center"/>
    </xf>
    <xf numFmtId="0" fontId="24" fillId="10" borderId="24" xfId="0" applyFont="1" applyFill="1" applyBorder="1" applyAlignment="1">
      <alignment horizontal="center"/>
    </xf>
    <xf numFmtId="14" fontId="9" fillId="0" borderId="0" xfId="0" applyNumberFormat="1" applyFont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0" fillId="12" borderId="25" xfId="0" applyFill="1" applyBorder="1" applyAlignment="1">
      <alignment horizontal="center"/>
    </xf>
    <xf numFmtId="14" fontId="9" fillId="0" borderId="0" xfId="0" applyNumberFormat="1" applyFont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0" fillId="12" borderId="26" xfId="0" applyFill="1" applyBorder="1" applyAlignment="1">
      <alignment horizontal="center"/>
    </xf>
    <xf numFmtId="0" fontId="23" fillId="0" borderId="0" xfId="0" applyFont="1" applyFill="1" applyBorder="1"/>
    <xf numFmtId="0" fontId="11" fillId="0" borderId="0" xfId="0" applyFont="1" applyFill="1" applyAlignment="1">
      <alignment horizontal="center"/>
    </xf>
    <xf numFmtId="0" fontId="0" fillId="0" borderId="0" xfId="0" applyFill="1" applyBorder="1"/>
    <xf numFmtId="0" fontId="19" fillId="12" borderId="27" xfId="0" applyFont="1" applyFill="1" applyBorder="1" applyAlignment="1">
      <alignment horizontal="center"/>
    </xf>
    <xf numFmtId="0" fontId="26" fillId="12" borderId="27" xfId="0" applyFont="1" applyFill="1" applyBorder="1" applyAlignment="1">
      <alignment horizontal="center"/>
    </xf>
    <xf numFmtId="0" fontId="26" fillId="12" borderId="28" xfId="0" applyFont="1" applyFill="1" applyBorder="1" applyAlignment="1">
      <alignment horizontal="center"/>
    </xf>
    <xf numFmtId="0" fontId="27" fillId="12" borderId="29" xfId="0" applyFont="1" applyFill="1" applyBorder="1" applyAlignment="1">
      <alignment horizontal="center"/>
    </xf>
    <xf numFmtId="0" fontId="0" fillId="12" borderId="24" xfId="0" applyFill="1" applyBorder="1" applyAlignment="1">
      <alignment horizontal="center"/>
    </xf>
    <xf numFmtId="0" fontId="28" fillId="0" borderId="30" xfId="0" applyFont="1" applyBorder="1" applyAlignment="1">
      <alignment horizontal="center" wrapText="1"/>
    </xf>
    <xf numFmtId="0" fontId="28" fillId="0" borderId="30" xfId="0" applyFont="1" applyFill="1" applyBorder="1" applyAlignment="1">
      <alignment horizontal="center" wrapText="1"/>
    </xf>
    <xf numFmtId="0" fontId="29" fillId="10" borderId="14" xfId="0" applyFont="1" applyFill="1" applyBorder="1" applyAlignment="1">
      <alignment horizontal="center"/>
    </xf>
    <xf numFmtId="0" fontId="30" fillId="0" borderId="0" xfId="0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0" fontId="28" fillId="0" borderId="1" xfId="0" applyFont="1" applyBorder="1" applyAlignment="1">
      <alignment horizontal="center" wrapText="1"/>
    </xf>
    <xf numFmtId="0" fontId="28" fillId="0" borderId="1" xfId="0" applyFont="1" applyFill="1" applyBorder="1" applyAlignment="1">
      <alignment horizontal="center" wrapText="1"/>
    </xf>
    <xf numFmtId="0" fontId="29" fillId="10" borderId="1" xfId="0" applyFont="1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6" fillId="12" borderId="29" xfId="0" applyFont="1" applyFill="1" applyBorder="1" applyAlignment="1">
      <alignment horizontal="center"/>
    </xf>
    <xf numFmtId="0" fontId="6" fillId="12" borderId="24" xfId="0" applyFont="1" applyFill="1" applyBorder="1" applyAlignment="1">
      <alignment horizontal="center"/>
    </xf>
    <xf numFmtId="0" fontId="28" fillId="0" borderId="14" xfId="0" applyFont="1" applyBorder="1" applyAlignment="1">
      <alignment horizontal="center"/>
    </xf>
    <xf numFmtId="0" fontId="28" fillId="0" borderId="14" xfId="0" applyFont="1" applyBorder="1" applyAlignment="1">
      <alignment horizontal="center" wrapText="1"/>
    </xf>
    <xf numFmtId="0" fontId="31" fillId="0" borderId="20" xfId="0" applyFont="1" applyBorder="1" applyAlignment="1">
      <alignment horizontal="center"/>
    </xf>
    <xf numFmtId="0" fontId="32" fillId="0" borderId="0" xfId="0" applyFont="1" applyFill="1" applyBorder="1" applyAlignment="1">
      <alignment horizontal="center"/>
    </xf>
    <xf numFmtId="0" fontId="31" fillId="0" borderId="3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0" fillId="12" borderId="32" xfId="0" applyFill="1" applyBorder="1" applyAlignment="1">
      <alignment horizontal="center"/>
    </xf>
    <xf numFmtId="0" fontId="0" fillId="12" borderId="16" xfId="0" applyFill="1" applyBorder="1" applyAlignment="1">
      <alignment horizontal="center"/>
    </xf>
    <xf numFmtId="0" fontId="33" fillId="10" borderId="1" xfId="0" applyFont="1" applyFill="1" applyBorder="1" applyAlignment="1">
      <alignment horizontal="center"/>
    </xf>
    <xf numFmtId="0" fontId="34" fillId="12" borderId="29" xfId="0" applyFont="1" applyFill="1" applyBorder="1" applyAlignment="1">
      <alignment horizontal="center"/>
    </xf>
    <xf numFmtId="0" fontId="31" fillId="12" borderId="24" xfId="0" applyFont="1" applyFill="1" applyBorder="1" applyAlignment="1">
      <alignment horizontal="center"/>
    </xf>
    <xf numFmtId="0" fontId="28" fillId="0" borderId="33" xfId="0" applyFont="1" applyBorder="1" applyAlignment="1">
      <alignment horizontal="center"/>
    </xf>
    <xf numFmtId="0" fontId="30" fillId="0" borderId="24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28" fillId="0" borderId="24" xfId="0" applyFon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2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0" fillId="0" borderId="18" xfId="0" applyNumberFormat="1" applyFont="1" applyBorder="1" applyAlignment="1">
      <alignment horizontal="center"/>
    </xf>
    <xf numFmtId="2" fontId="21" fillId="0" borderId="18" xfId="0" applyNumberFormat="1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21" fillId="0" borderId="0" xfId="0" applyNumberFormat="1" applyFont="1" applyBorder="1" applyAlignment="1">
      <alignment horizontal="center"/>
    </xf>
    <xf numFmtId="2" fontId="9" fillId="0" borderId="0" xfId="0" applyNumberFormat="1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/>
    </xf>
    <xf numFmtId="0" fontId="15" fillId="7" borderId="1" xfId="0" applyFont="1" applyFill="1" applyBorder="1" applyAlignment="1">
      <alignment horizontal="center"/>
    </xf>
    <xf numFmtId="0" fontId="17" fillId="8" borderId="1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22" fillId="9" borderId="0" xfId="0" applyFont="1" applyFill="1" applyAlignment="1">
      <alignment horizontal="center"/>
    </xf>
    <xf numFmtId="0" fontId="35" fillId="9" borderId="0" xfId="0" applyFont="1" applyFill="1" applyAlignment="1">
      <alignment horizontal="center"/>
    </xf>
    <xf numFmtId="0" fontId="35" fillId="9" borderId="0" xfId="0" applyFont="1" applyFill="1" applyAlignment="1">
      <alignment horizontal="left"/>
    </xf>
    <xf numFmtId="49" fontId="36" fillId="12" borderId="11" xfId="0" applyNumberFormat="1" applyFont="1" applyFill="1" applyBorder="1" applyAlignment="1">
      <alignment horizontal="center" vertical="center"/>
    </xf>
    <xf numFmtId="49" fontId="36" fillId="12" borderId="12" xfId="0" applyNumberFormat="1" applyFont="1" applyFill="1" applyBorder="1" applyAlignment="1">
      <alignment horizontal="center" vertical="center"/>
    </xf>
    <xf numFmtId="0" fontId="15" fillId="12" borderId="3" xfId="0" applyFont="1" applyFill="1" applyBorder="1" applyAlignment="1">
      <alignment horizontal="center"/>
    </xf>
    <xf numFmtId="0" fontId="15" fillId="12" borderId="7" xfId="0" applyFont="1" applyFill="1" applyBorder="1" applyAlignment="1">
      <alignment horizontal="center"/>
    </xf>
    <xf numFmtId="0" fontId="13" fillId="12" borderId="3" xfId="0" applyFont="1" applyFill="1" applyBorder="1" applyAlignment="1">
      <alignment horizontal="center"/>
    </xf>
    <xf numFmtId="0" fontId="15" fillId="12" borderId="7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165" fontId="37" fillId="9" borderId="0" xfId="0" applyNumberFormat="1" applyFont="1" applyFill="1" applyAlignment="1">
      <alignment horizontal="center" vertical="center"/>
    </xf>
    <xf numFmtId="22" fontId="38" fillId="0" borderId="0" xfId="0" applyNumberFormat="1" applyFont="1" applyFill="1" applyAlignment="1">
      <alignment horizontal="center" wrapText="1"/>
    </xf>
    <xf numFmtId="0" fontId="14" fillId="0" borderId="0" xfId="0" applyFont="1" applyAlignment="1">
      <alignment horizontal="center" vertical="center"/>
    </xf>
    <xf numFmtId="17" fontId="42" fillId="13" borderId="0" xfId="0" applyNumberFormat="1" applyFont="1" applyFill="1" applyAlignment="1">
      <alignment horizontal="center" vertical="center"/>
    </xf>
    <xf numFmtId="0" fontId="43" fillId="13" borderId="0" xfId="0" applyFont="1" applyFill="1" applyAlignment="1">
      <alignment horizontal="center" vertical="center"/>
    </xf>
    <xf numFmtId="0" fontId="39" fillId="12" borderId="38" xfId="0" applyFont="1" applyFill="1" applyBorder="1" applyAlignment="1">
      <alignment horizontal="center" vertical="center"/>
    </xf>
    <xf numFmtId="0" fontId="39" fillId="12" borderId="21" xfId="0" applyFont="1" applyFill="1" applyBorder="1" applyAlignment="1">
      <alignment horizontal="center" vertical="center"/>
    </xf>
    <xf numFmtId="0" fontId="6" fillId="12" borderId="39" xfId="0" applyFont="1" applyFill="1" applyBorder="1" applyAlignment="1">
      <alignment horizontal="center"/>
    </xf>
    <xf numFmtId="0" fontId="6" fillId="12" borderId="11" xfId="0" applyFont="1" applyFill="1" applyBorder="1" applyAlignment="1">
      <alignment horizontal="center"/>
    </xf>
    <xf numFmtId="0" fontId="41" fillId="12" borderId="1" xfId="0" applyFont="1" applyFill="1" applyBorder="1" applyAlignment="1">
      <alignment horizontal="center" vertical="center"/>
    </xf>
    <xf numFmtId="0" fontId="41" fillId="12" borderId="30" xfId="0" applyFont="1" applyFill="1" applyBorder="1" applyAlignment="1">
      <alignment horizontal="center" vertical="center"/>
    </xf>
    <xf numFmtId="0" fontId="6" fillId="12" borderId="24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6" fillId="12" borderId="18" xfId="0" applyFont="1" applyFill="1" applyBorder="1" applyAlignment="1">
      <alignment horizontal="center"/>
    </xf>
    <xf numFmtId="0" fontId="39" fillId="12" borderId="34" xfId="0" applyFont="1" applyFill="1" applyBorder="1" applyAlignment="1">
      <alignment horizontal="center" vertical="center"/>
    </xf>
    <xf numFmtId="0" fontId="39" fillId="12" borderId="32" xfId="0" applyFont="1" applyFill="1" applyBorder="1" applyAlignment="1">
      <alignment horizontal="center" vertical="center"/>
    </xf>
    <xf numFmtId="0" fontId="6" fillId="12" borderId="29" xfId="0" applyFont="1" applyFill="1" applyBorder="1" applyAlignment="1">
      <alignment horizontal="center"/>
    </xf>
    <xf numFmtId="0" fontId="40" fillId="12" borderId="35" xfId="0" applyFont="1" applyFill="1" applyBorder="1" applyAlignment="1">
      <alignment horizontal="center" vertical="center"/>
    </xf>
    <xf numFmtId="0" fontId="40" fillId="12" borderId="25" xfId="0" applyFont="1" applyFill="1" applyBorder="1" applyAlignment="1">
      <alignment horizontal="center" vertical="center"/>
    </xf>
    <xf numFmtId="0" fontId="6" fillId="12" borderId="36" xfId="0" applyFont="1" applyFill="1" applyBorder="1" applyAlignment="1">
      <alignment horizontal="center"/>
    </xf>
    <xf numFmtId="0" fontId="6" fillId="12" borderId="37" xfId="0" applyFont="1" applyFill="1" applyBorder="1" applyAlignment="1">
      <alignment horizontal="center"/>
    </xf>
    <xf numFmtId="0" fontId="39" fillId="12" borderId="35" xfId="0" applyFont="1" applyFill="1" applyBorder="1" applyAlignment="1">
      <alignment horizontal="center" vertical="center"/>
    </xf>
    <xf numFmtId="0" fontId="39" fillId="12" borderId="25" xfId="0" applyFont="1" applyFill="1" applyBorder="1" applyAlignment="1">
      <alignment horizontal="center" vertical="center"/>
    </xf>
    <xf numFmtId="0" fontId="41" fillId="12" borderId="1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0" zoomScaleNormal="80" workbookViewId="0">
      <pane xSplit="1" ySplit="8" topLeftCell="B9" activePane="bottomRight" state="frozen"/>
      <selection activeCell="A9" sqref="A9:U104"/>
      <selection pane="topRight" activeCell="A9" sqref="A9:U104"/>
      <selection pane="bottomLeft" activeCell="A9" sqref="A9:U104"/>
      <selection pane="bottomRight" activeCell="G124" sqref="G12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247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01/12/2024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231</v>
      </c>
      <c r="C7" s="198" t="s">
        <v>232</v>
      </c>
      <c r="D7" s="198" t="s">
        <v>233</v>
      </c>
      <c r="E7" s="198" t="s">
        <v>234</v>
      </c>
      <c r="F7" s="198" t="s">
        <v>235</v>
      </c>
      <c r="G7" s="198" t="s">
        <v>236</v>
      </c>
      <c r="H7" s="198" t="s">
        <v>237</v>
      </c>
      <c r="I7" s="198" t="s">
        <v>238</v>
      </c>
      <c r="J7" s="198" t="s">
        <v>239</v>
      </c>
      <c r="K7" s="198" t="s">
        <v>240</v>
      </c>
      <c r="L7" s="198" t="s">
        <v>241</v>
      </c>
      <c r="M7" s="198" t="s">
        <v>242</v>
      </c>
      <c r="N7" s="198" t="s">
        <v>243</v>
      </c>
      <c r="O7" s="198" t="s">
        <v>244</v>
      </c>
      <c r="P7" s="198" t="s">
        <v>245</v>
      </c>
      <c r="Q7" s="198" t="s">
        <v>246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248</v>
      </c>
      <c r="B9" s="210" t="s">
        <v>36</v>
      </c>
      <c r="C9" s="210" t="s">
        <v>36</v>
      </c>
      <c r="D9" s="210" t="s">
        <v>36</v>
      </c>
      <c r="E9" s="64">
        <v>4.13</v>
      </c>
      <c r="F9" s="64">
        <v>3.79</v>
      </c>
      <c r="G9" s="64">
        <v>28.93</v>
      </c>
      <c r="H9" s="64">
        <v>1.81</v>
      </c>
      <c r="I9" s="64">
        <v>9.36</v>
      </c>
      <c r="J9" s="64">
        <v>2.5099999999999998</v>
      </c>
      <c r="K9" s="64">
        <v>108.42</v>
      </c>
      <c r="L9" s="64">
        <v>15.28</v>
      </c>
      <c r="M9" s="64">
        <v>102.5</v>
      </c>
      <c r="N9" s="64">
        <v>35.1</v>
      </c>
      <c r="O9" s="64">
        <v>0</v>
      </c>
      <c r="P9" s="64">
        <v>0.71</v>
      </c>
      <c r="Q9" s="64">
        <v>8.2100000000000009</v>
      </c>
      <c r="R9" s="198"/>
      <c r="S9" s="198"/>
      <c r="T9" s="198"/>
      <c r="U9" s="198"/>
    </row>
    <row r="10" spans="1:21" s="12" customFormat="1" x14ac:dyDescent="0.25">
      <c r="A10" s="215" t="s">
        <v>249</v>
      </c>
      <c r="B10" s="210" t="s">
        <v>36</v>
      </c>
      <c r="C10" s="210" t="s">
        <v>36</v>
      </c>
      <c r="D10" s="210" t="s">
        <v>36</v>
      </c>
      <c r="E10" s="64">
        <v>3.82</v>
      </c>
      <c r="F10" s="64">
        <v>3.69</v>
      </c>
      <c r="G10" s="64">
        <v>28.93</v>
      </c>
      <c r="H10" s="64">
        <v>1.81</v>
      </c>
      <c r="I10" s="64">
        <v>8.91</v>
      </c>
      <c r="J10" s="64">
        <v>2.5099999999999998</v>
      </c>
      <c r="K10" s="64">
        <v>111.53</v>
      </c>
      <c r="L10" s="64">
        <v>15.3</v>
      </c>
      <c r="M10" s="64">
        <v>102.51</v>
      </c>
      <c r="N10" s="64">
        <v>35.1</v>
      </c>
      <c r="O10" s="64">
        <v>0</v>
      </c>
      <c r="P10" s="64">
        <v>0.7</v>
      </c>
      <c r="Q10" s="64">
        <v>8.2100000000000009</v>
      </c>
      <c r="R10" s="198"/>
      <c r="S10" s="198"/>
      <c r="T10" s="198"/>
      <c r="U10" s="198"/>
    </row>
    <row r="11" spans="1:21" s="12" customFormat="1" x14ac:dyDescent="0.25">
      <c r="A11" s="215" t="s">
        <v>250</v>
      </c>
      <c r="B11" s="210" t="s">
        <v>36</v>
      </c>
      <c r="C11" s="210" t="s">
        <v>36</v>
      </c>
      <c r="D11" s="210" t="s">
        <v>36</v>
      </c>
      <c r="E11" s="64">
        <v>3.88</v>
      </c>
      <c r="F11" s="64">
        <v>3.73</v>
      </c>
      <c r="G11" s="64">
        <v>28.93</v>
      </c>
      <c r="H11" s="64">
        <v>1.81</v>
      </c>
      <c r="I11" s="64">
        <v>9.09</v>
      </c>
      <c r="J11" s="64">
        <v>4.16</v>
      </c>
      <c r="K11" s="64">
        <v>112.33</v>
      </c>
      <c r="L11" s="64">
        <v>15.33</v>
      </c>
      <c r="M11" s="64">
        <v>102.49</v>
      </c>
      <c r="N11" s="64">
        <v>35.299999999999997</v>
      </c>
      <c r="O11" s="64">
        <v>0</v>
      </c>
      <c r="P11" s="64">
        <v>0.68</v>
      </c>
      <c r="Q11" s="64">
        <v>8.2100000000000009</v>
      </c>
      <c r="R11" s="198"/>
      <c r="S11" s="198"/>
      <c r="T11" s="198"/>
      <c r="U11" s="198"/>
    </row>
    <row r="12" spans="1:21" s="12" customFormat="1" x14ac:dyDescent="0.25">
      <c r="A12" s="215" t="s">
        <v>251</v>
      </c>
      <c r="B12" s="210" t="s">
        <v>36</v>
      </c>
      <c r="C12" s="210" t="s">
        <v>36</v>
      </c>
      <c r="D12" s="210" t="s">
        <v>36</v>
      </c>
      <c r="E12" s="64">
        <v>3.9</v>
      </c>
      <c r="F12" s="64">
        <v>3.9</v>
      </c>
      <c r="G12" s="64">
        <v>29.71</v>
      </c>
      <c r="H12" s="64">
        <v>0.55000000000000004</v>
      </c>
      <c r="I12" s="64">
        <v>8.5500000000000007</v>
      </c>
      <c r="J12" s="64">
        <v>3.31</v>
      </c>
      <c r="K12" s="64">
        <v>123.03</v>
      </c>
      <c r="L12" s="64">
        <v>15.36</v>
      </c>
      <c r="M12" s="64">
        <v>102.48</v>
      </c>
      <c r="N12" s="64">
        <v>35.200000000000003</v>
      </c>
      <c r="O12" s="64">
        <v>0</v>
      </c>
      <c r="P12" s="64">
        <v>0.66</v>
      </c>
      <c r="Q12" s="64">
        <v>8.2100000000000009</v>
      </c>
      <c r="R12" s="198"/>
      <c r="S12" s="198"/>
      <c r="T12" s="198"/>
      <c r="U12" s="198"/>
    </row>
    <row r="13" spans="1:21" s="12" customFormat="1" x14ac:dyDescent="0.25">
      <c r="A13" s="215" t="s">
        <v>252</v>
      </c>
      <c r="B13" s="210" t="s">
        <v>36</v>
      </c>
      <c r="C13" s="210" t="s">
        <v>36</v>
      </c>
      <c r="D13" s="210" t="s">
        <v>36</v>
      </c>
      <c r="E13" s="64">
        <v>4.24</v>
      </c>
      <c r="F13" s="64">
        <v>3.34</v>
      </c>
      <c r="G13" s="64">
        <v>30.31</v>
      </c>
      <c r="H13" s="64">
        <v>0.11</v>
      </c>
      <c r="I13" s="64">
        <v>8.76</v>
      </c>
      <c r="J13" s="64">
        <v>3.58</v>
      </c>
      <c r="K13" s="64">
        <v>111.87</v>
      </c>
      <c r="L13" s="64">
        <v>15.39</v>
      </c>
      <c r="M13" s="64">
        <v>102.46</v>
      </c>
      <c r="N13" s="64">
        <v>35.200000000000003</v>
      </c>
      <c r="O13" s="64">
        <v>0</v>
      </c>
      <c r="P13" s="64">
        <v>0.63</v>
      </c>
      <c r="Q13" s="64">
        <v>8.2100000000000009</v>
      </c>
      <c r="R13" s="198"/>
      <c r="S13" s="198"/>
      <c r="T13" s="198"/>
      <c r="U13" s="198"/>
    </row>
    <row r="14" spans="1:21" s="12" customFormat="1" x14ac:dyDescent="0.25">
      <c r="A14" s="215" t="s">
        <v>253</v>
      </c>
      <c r="B14" s="210" t="s">
        <v>36</v>
      </c>
      <c r="C14" s="210" t="s">
        <v>36</v>
      </c>
      <c r="D14" s="210" t="s">
        <v>36</v>
      </c>
      <c r="E14" s="64">
        <v>4.0199999999999996</v>
      </c>
      <c r="F14" s="64">
        <v>3.72</v>
      </c>
      <c r="G14" s="64">
        <v>30.31</v>
      </c>
      <c r="H14" s="64">
        <v>0.11</v>
      </c>
      <c r="I14" s="64">
        <v>8.82</v>
      </c>
      <c r="J14" s="64">
        <v>1.33</v>
      </c>
      <c r="K14" s="64">
        <v>107.48</v>
      </c>
      <c r="L14" s="64">
        <v>15.43</v>
      </c>
      <c r="M14" s="64">
        <v>102.47</v>
      </c>
      <c r="N14" s="64">
        <v>35.1</v>
      </c>
      <c r="O14" s="64">
        <v>0</v>
      </c>
      <c r="P14" s="64">
        <v>0.62</v>
      </c>
      <c r="Q14" s="64">
        <v>8.2100000000000009</v>
      </c>
      <c r="R14" s="198"/>
      <c r="S14" s="198"/>
      <c r="T14" s="198"/>
      <c r="U14" s="198"/>
    </row>
    <row r="15" spans="1:21" s="12" customFormat="1" x14ac:dyDescent="0.25">
      <c r="A15" s="215" t="s">
        <v>254</v>
      </c>
      <c r="B15" s="210" t="s">
        <v>36</v>
      </c>
      <c r="C15" s="210" t="s">
        <v>36</v>
      </c>
      <c r="D15" s="210" t="s">
        <v>36</v>
      </c>
      <c r="E15" s="64">
        <v>4.22</v>
      </c>
      <c r="F15" s="64">
        <v>3.51</v>
      </c>
      <c r="G15" s="64">
        <v>30.31</v>
      </c>
      <c r="H15" s="64">
        <v>0.11</v>
      </c>
      <c r="I15" s="64">
        <v>8.33</v>
      </c>
      <c r="J15" s="64">
        <v>1.47</v>
      </c>
      <c r="K15" s="64">
        <v>8.57</v>
      </c>
      <c r="L15" s="64">
        <v>15.51</v>
      </c>
      <c r="M15" s="64">
        <v>102.48</v>
      </c>
      <c r="N15" s="64">
        <v>35.200000000000003</v>
      </c>
      <c r="O15" s="64">
        <v>0</v>
      </c>
      <c r="P15" s="64">
        <v>0.61</v>
      </c>
      <c r="Q15" s="64">
        <v>8.2100000000000009</v>
      </c>
      <c r="R15" s="198"/>
      <c r="S15" s="198"/>
      <c r="T15" s="198"/>
      <c r="U15" s="198"/>
    </row>
    <row r="16" spans="1:21" s="12" customFormat="1" x14ac:dyDescent="0.25">
      <c r="A16" s="215" t="s">
        <v>255</v>
      </c>
      <c r="B16" s="210" t="s">
        <v>36</v>
      </c>
      <c r="C16" s="210" t="s">
        <v>36</v>
      </c>
      <c r="D16" s="210" t="s">
        <v>36</v>
      </c>
      <c r="E16" s="64">
        <v>3.71</v>
      </c>
      <c r="F16" s="64">
        <v>3.52</v>
      </c>
      <c r="G16" s="64">
        <v>27.46</v>
      </c>
      <c r="H16" s="64">
        <v>0.05</v>
      </c>
      <c r="I16" s="64">
        <v>7.96</v>
      </c>
      <c r="J16" s="64">
        <v>2.12</v>
      </c>
      <c r="K16" s="64">
        <v>344.85</v>
      </c>
      <c r="L16" s="64">
        <v>15.54</v>
      </c>
      <c r="M16" s="64">
        <v>102.46</v>
      </c>
      <c r="N16" s="64">
        <v>35.200000000000003</v>
      </c>
      <c r="O16" s="64">
        <v>0</v>
      </c>
      <c r="P16" s="64">
        <v>0.6</v>
      </c>
      <c r="Q16" s="64">
        <v>8.2100000000000009</v>
      </c>
      <c r="R16" s="198"/>
      <c r="S16" s="198"/>
      <c r="T16" s="198"/>
      <c r="U16" s="198"/>
    </row>
    <row r="17" spans="1:21" s="12" customFormat="1" x14ac:dyDescent="0.25">
      <c r="A17" s="215" t="s">
        <v>256</v>
      </c>
      <c r="B17" s="210" t="s">
        <v>36</v>
      </c>
      <c r="C17" s="210" t="s">
        <v>36</v>
      </c>
      <c r="D17" s="210" t="s">
        <v>36</v>
      </c>
      <c r="E17" s="64">
        <v>4.05</v>
      </c>
      <c r="F17" s="64">
        <v>3.47</v>
      </c>
      <c r="G17" s="64">
        <v>25.29</v>
      </c>
      <c r="H17" s="64">
        <v>0.01</v>
      </c>
      <c r="I17" s="64">
        <v>7.73</v>
      </c>
      <c r="J17" s="64">
        <v>2.5299999999999998</v>
      </c>
      <c r="K17" s="64">
        <v>339.9</v>
      </c>
      <c r="L17" s="64">
        <v>15.48</v>
      </c>
      <c r="M17" s="64">
        <v>102.49</v>
      </c>
      <c r="N17" s="64">
        <v>35.1</v>
      </c>
      <c r="O17" s="64">
        <v>0</v>
      </c>
      <c r="P17" s="64">
        <v>0.57999999999999996</v>
      </c>
      <c r="Q17" s="64">
        <v>8.2100000000000009</v>
      </c>
      <c r="R17" s="198"/>
      <c r="S17" s="198"/>
      <c r="T17" s="198"/>
      <c r="U17" s="198"/>
    </row>
    <row r="18" spans="1:21" s="12" customFormat="1" x14ac:dyDescent="0.25">
      <c r="A18" s="215" t="s">
        <v>257</v>
      </c>
      <c r="B18" s="210" t="s">
        <v>36</v>
      </c>
      <c r="C18" s="210" t="s">
        <v>36</v>
      </c>
      <c r="D18" s="210" t="s">
        <v>36</v>
      </c>
      <c r="E18" s="64">
        <v>4.05</v>
      </c>
      <c r="F18" s="64">
        <v>3.8</v>
      </c>
      <c r="G18" s="64">
        <v>25.29</v>
      </c>
      <c r="H18" s="64">
        <v>0.01</v>
      </c>
      <c r="I18" s="64">
        <v>6.86</v>
      </c>
      <c r="J18" s="64">
        <v>0.85</v>
      </c>
      <c r="K18" s="64">
        <v>68.34</v>
      </c>
      <c r="L18" s="64">
        <v>15.37</v>
      </c>
      <c r="M18" s="64">
        <v>102.49</v>
      </c>
      <c r="N18" s="64">
        <v>35.1</v>
      </c>
      <c r="O18" s="64">
        <v>0</v>
      </c>
      <c r="P18" s="64">
        <v>0.57999999999999996</v>
      </c>
      <c r="Q18" s="64">
        <v>8.2100000000000009</v>
      </c>
      <c r="R18" s="198"/>
      <c r="S18" s="198"/>
      <c r="T18" s="198"/>
      <c r="U18" s="198"/>
    </row>
    <row r="19" spans="1:21" s="12" customFormat="1" x14ac:dyDescent="0.25">
      <c r="A19" s="215" t="s">
        <v>258</v>
      </c>
      <c r="B19" s="210" t="s">
        <v>36</v>
      </c>
      <c r="C19" s="210" t="s">
        <v>36</v>
      </c>
      <c r="D19" s="210" t="s">
        <v>36</v>
      </c>
      <c r="E19" s="64">
        <v>4.1399999999999997</v>
      </c>
      <c r="F19" s="64">
        <v>2.98</v>
      </c>
      <c r="G19" s="64">
        <v>25.29</v>
      </c>
      <c r="H19" s="64">
        <v>0.01</v>
      </c>
      <c r="I19" s="64">
        <v>7.32</v>
      </c>
      <c r="J19" s="64">
        <v>2.2200000000000002</v>
      </c>
      <c r="K19" s="64">
        <v>343.07</v>
      </c>
      <c r="L19" s="64">
        <v>15.32</v>
      </c>
      <c r="M19" s="64">
        <v>102.5</v>
      </c>
      <c r="N19" s="64">
        <v>35.1</v>
      </c>
      <c r="O19" s="64">
        <v>0</v>
      </c>
      <c r="P19" s="64">
        <v>0.56000000000000005</v>
      </c>
      <c r="Q19" s="64">
        <v>8.2100000000000009</v>
      </c>
      <c r="R19" s="198"/>
      <c r="S19" s="198"/>
      <c r="T19" s="198"/>
      <c r="U19" s="198"/>
    </row>
    <row r="20" spans="1:21" s="12" customFormat="1" x14ac:dyDescent="0.25">
      <c r="A20" s="215" t="s">
        <v>259</v>
      </c>
      <c r="B20" s="210" t="s">
        <v>36</v>
      </c>
      <c r="C20" s="210" t="s">
        <v>36</v>
      </c>
      <c r="D20" s="210" t="s">
        <v>36</v>
      </c>
      <c r="E20" s="64">
        <v>4.4400000000000004</v>
      </c>
      <c r="F20" s="64">
        <v>3.03</v>
      </c>
      <c r="G20" s="64">
        <v>14.31</v>
      </c>
      <c r="H20" s="64">
        <v>0</v>
      </c>
      <c r="I20" s="64">
        <v>6.82</v>
      </c>
      <c r="J20" s="64">
        <v>3.55</v>
      </c>
      <c r="K20" s="64">
        <v>347.56</v>
      </c>
      <c r="L20" s="64">
        <v>15.39</v>
      </c>
      <c r="M20" s="64">
        <v>102.51</v>
      </c>
      <c r="N20" s="64">
        <v>35.4</v>
      </c>
      <c r="O20" s="64">
        <v>0</v>
      </c>
      <c r="P20" s="64">
        <v>0.56000000000000005</v>
      </c>
      <c r="Q20" s="64">
        <v>8.2100000000000009</v>
      </c>
      <c r="R20" s="198"/>
      <c r="S20" s="198"/>
      <c r="T20" s="198"/>
      <c r="U20" s="198"/>
    </row>
    <row r="21" spans="1:21" s="12" customFormat="1" x14ac:dyDescent="0.25">
      <c r="A21" s="215" t="s">
        <v>260</v>
      </c>
      <c r="B21" s="210" t="s">
        <v>36</v>
      </c>
      <c r="C21" s="210" t="s">
        <v>36</v>
      </c>
      <c r="D21" s="210" t="s">
        <v>36</v>
      </c>
      <c r="E21" s="64">
        <v>4.34</v>
      </c>
      <c r="F21" s="64">
        <v>3.56</v>
      </c>
      <c r="G21" s="64">
        <v>5.92</v>
      </c>
      <c r="H21" s="64">
        <v>0</v>
      </c>
      <c r="I21" s="64">
        <v>6.94</v>
      </c>
      <c r="J21" s="64">
        <v>3.79</v>
      </c>
      <c r="K21" s="64">
        <v>341.33</v>
      </c>
      <c r="L21" s="64">
        <v>15.41</v>
      </c>
      <c r="M21" s="64">
        <v>102.51</v>
      </c>
      <c r="N21" s="64">
        <v>35.299999999999997</v>
      </c>
      <c r="O21" s="64">
        <v>0</v>
      </c>
      <c r="P21" s="64">
        <v>0.55000000000000004</v>
      </c>
      <c r="Q21" s="64">
        <v>8.2100000000000009</v>
      </c>
      <c r="R21" s="198"/>
      <c r="S21" s="198"/>
      <c r="T21" s="198"/>
      <c r="U21" s="198"/>
    </row>
    <row r="22" spans="1:21" s="12" customFormat="1" x14ac:dyDescent="0.25">
      <c r="A22" s="215" t="s">
        <v>261</v>
      </c>
      <c r="B22" s="210" t="s">
        <v>36</v>
      </c>
      <c r="C22" s="210" t="s">
        <v>36</v>
      </c>
      <c r="D22" s="210" t="s">
        <v>36</v>
      </c>
      <c r="E22" s="64">
        <v>4.5999999999999996</v>
      </c>
      <c r="F22" s="64">
        <v>4.04</v>
      </c>
      <c r="G22" s="64">
        <v>5.92</v>
      </c>
      <c r="H22" s="64">
        <v>0</v>
      </c>
      <c r="I22" s="64">
        <v>6.56</v>
      </c>
      <c r="J22" s="64">
        <v>4.1399999999999997</v>
      </c>
      <c r="K22" s="64">
        <v>344.21</v>
      </c>
      <c r="L22" s="64">
        <v>15.35</v>
      </c>
      <c r="M22" s="64">
        <v>102.57</v>
      </c>
      <c r="N22" s="64">
        <v>35.299999999999997</v>
      </c>
      <c r="O22" s="64">
        <v>0</v>
      </c>
      <c r="P22" s="64">
        <v>0.55000000000000004</v>
      </c>
      <c r="Q22" s="64">
        <v>8.2100000000000009</v>
      </c>
      <c r="R22" s="198"/>
      <c r="S22" s="198"/>
      <c r="T22" s="198"/>
      <c r="U22" s="198"/>
    </row>
    <row r="23" spans="1:21" s="12" customFormat="1" x14ac:dyDescent="0.25">
      <c r="A23" s="215" t="s">
        <v>262</v>
      </c>
      <c r="B23" s="210" t="s">
        <v>36</v>
      </c>
      <c r="C23" s="210" t="s">
        <v>36</v>
      </c>
      <c r="D23" s="210" t="s">
        <v>36</v>
      </c>
      <c r="E23" s="64">
        <v>4.3099999999999996</v>
      </c>
      <c r="F23" s="64">
        <v>3.74</v>
      </c>
      <c r="G23" s="64">
        <v>5.92</v>
      </c>
      <c r="H23" s="64">
        <v>0</v>
      </c>
      <c r="I23" s="64">
        <v>7.15</v>
      </c>
      <c r="J23" s="64">
        <v>3.33</v>
      </c>
      <c r="K23" s="64">
        <v>345.64</v>
      </c>
      <c r="L23" s="64">
        <v>15.35</v>
      </c>
      <c r="M23" s="64">
        <v>102.63</v>
      </c>
      <c r="N23" s="64">
        <v>35.200000000000003</v>
      </c>
      <c r="O23" s="64">
        <v>0</v>
      </c>
      <c r="P23" s="64">
        <v>0.54</v>
      </c>
      <c r="Q23" s="64">
        <v>8.2100000000000009</v>
      </c>
      <c r="R23" s="198"/>
      <c r="S23" s="198"/>
      <c r="T23" s="198"/>
      <c r="U23" s="198"/>
    </row>
    <row r="24" spans="1:21" s="12" customFormat="1" x14ac:dyDescent="0.25">
      <c r="A24" s="215" t="s">
        <v>263</v>
      </c>
      <c r="B24" s="210" t="s">
        <v>36</v>
      </c>
      <c r="C24" s="210" t="s">
        <v>36</v>
      </c>
      <c r="D24" s="210" t="s">
        <v>36</v>
      </c>
      <c r="E24" s="64">
        <v>4.1399999999999997</v>
      </c>
      <c r="F24" s="64">
        <v>4.12</v>
      </c>
      <c r="G24" s="64">
        <v>20.149999999999999</v>
      </c>
      <c r="H24" s="64">
        <v>3.57</v>
      </c>
      <c r="I24" s="64">
        <v>7.02</v>
      </c>
      <c r="J24" s="64">
        <v>2.09</v>
      </c>
      <c r="K24" s="64">
        <v>343.55</v>
      </c>
      <c r="L24" s="64">
        <v>15.38</v>
      </c>
      <c r="M24" s="64">
        <v>102.76</v>
      </c>
      <c r="N24" s="64">
        <v>35.1</v>
      </c>
      <c r="O24" s="64">
        <v>0</v>
      </c>
      <c r="P24" s="64">
        <v>0.53</v>
      </c>
      <c r="Q24" s="64">
        <v>8.2100000000000009</v>
      </c>
      <c r="R24" s="198"/>
      <c r="S24" s="198"/>
      <c r="T24" s="198"/>
      <c r="U24" s="198"/>
    </row>
    <row r="25" spans="1:21" s="12" customFormat="1" x14ac:dyDescent="0.25">
      <c r="A25" s="215" t="s">
        <v>264</v>
      </c>
      <c r="B25" s="210" t="s">
        <v>36</v>
      </c>
      <c r="C25" s="210" t="s">
        <v>36</v>
      </c>
      <c r="D25" s="210" t="s">
        <v>36</v>
      </c>
      <c r="E25" s="64">
        <v>4.1500000000000004</v>
      </c>
      <c r="F25" s="64">
        <v>3.62</v>
      </c>
      <c r="G25" s="64">
        <v>31.04</v>
      </c>
      <c r="H25" s="64">
        <v>4.8099999999999996</v>
      </c>
      <c r="I25" s="64">
        <v>6.71</v>
      </c>
      <c r="J25" s="64">
        <v>2.73</v>
      </c>
      <c r="K25" s="64">
        <v>345.95</v>
      </c>
      <c r="L25" s="64">
        <v>15.38</v>
      </c>
      <c r="M25" s="64">
        <v>102.89</v>
      </c>
      <c r="N25" s="64">
        <v>35.1</v>
      </c>
      <c r="O25" s="64">
        <v>0</v>
      </c>
      <c r="P25" s="64">
        <v>0.53</v>
      </c>
      <c r="Q25" s="64">
        <v>8.2100000000000009</v>
      </c>
      <c r="R25" s="198"/>
      <c r="S25" s="198"/>
      <c r="T25" s="198"/>
      <c r="U25" s="198"/>
    </row>
    <row r="26" spans="1:21" s="12" customFormat="1" x14ac:dyDescent="0.25">
      <c r="A26" s="215" t="s">
        <v>265</v>
      </c>
      <c r="B26" s="210" t="s">
        <v>36</v>
      </c>
      <c r="C26" s="210" t="s">
        <v>36</v>
      </c>
      <c r="D26" s="210" t="s">
        <v>36</v>
      </c>
      <c r="E26" s="64">
        <v>4.26</v>
      </c>
      <c r="F26" s="64">
        <v>3.69</v>
      </c>
      <c r="G26" s="64">
        <v>31.04</v>
      </c>
      <c r="H26" s="64">
        <v>4.8099999999999996</v>
      </c>
      <c r="I26" s="64">
        <v>6.53</v>
      </c>
      <c r="J26" s="64">
        <v>2.16</v>
      </c>
      <c r="K26" s="64">
        <v>341.29</v>
      </c>
      <c r="L26" s="64">
        <v>15.33</v>
      </c>
      <c r="M26" s="64">
        <v>103</v>
      </c>
      <c r="N26" s="64">
        <v>35.299999999999997</v>
      </c>
      <c r="O26" s="64">
        <v>0</v>
      </c>
      <c r="P26" s="64">
        <v>0.53</v>
      </c>
      <c r="Q26" s="64">
        <v>8.2100000000000009</v>
      </c>
      <c r="R26" s="198"/>
      <c r="S26" s="198"/>
      <c r="T26" s="198"/>
      <c r="U26" s="198"/>
    </row>
    <row r="27" spans="1:21" s="12" customFormat="1" x14ac:dyDescent="0.25">
      <c r="A27" s="215" t="s">
        <v>266</v>
      </c>
      <c r="B27" s="210" t="s">
        <v>36</v>
      </c>
      <c r="C27" s="210" t="s">
        <v>36</v>
      </c>
      <c r="D27" s="210" t="s">
        <v>36</v>
      </c>
      <c r="E27" s="64">
        <v>3.96</v>
      </c>
      <c r="F27" s="64">
        <v>3.6</v>
      </c>
      <c r="G27" s="64">
        <v>31.04</v>
      </c>
      <c r="H27" s="64">
        <v>4.8099999999999996</v>
      </c>
      <c r="I27" s="64">
        <v>6.34</v>
      </c>
      <c r="J27" s="64">
        <v>2.92</v>
      </c>
      <c r="K27" s="64">
        <v>342.96</v>
      </c>
      <c r="L27" s="64">
        <v>15.2</v>
      </c>
      <c r="M27" s="64">
        <v>103.1</v>
      </c>
      <c r="N27" s="64">
        <v>35.5</v>
      </c>
      <c r="O27" s="64">
        <v>0</v>
      </c>
      <c r="P27" s="64">
        <v>0.53</v>
      </c>
      <c r="Q27" s="64">
        <v>8.2100000000000009</v>
      </c>
      <c r="R27" s="198"/>
      <c r="S27" s="198"/>
      <c r="T27" s="198"/>
      <c r="U27" s="198"/>
    </row>
    <row r="28" spans="1:21" s="12" customFormat="1" x14ac:dyDescent="0.25">
      <c r="A28" s="215" t="s">
        <v>267</v>
      </c>
      <c r="B28" s="210" t="s">
        <v>36</v>
      </c>
      <c r="C28" s="210" t="s">
        <v>36</v>
      </c>
      <c r="D28" s="210" t="s">
        <v>36</v>
      </c>
      <c r="E28" s="64">
        <v>4.12</v>
      </c>
      <c r="F28" s="64">
        <v>3.55</v>
      </c>
      <c r="G28" s="64">
        <v>30.21</v>
      </c>
      <c r="H28" s="64">
        <v>1.74</v>
      </c>
      <c r="I28" s="64">
        <v>6.1</v>
      </c>
      <c r="J28" s="64">
        <v>2.1</v>
      </c>
      <c r="K28" s="64">
        <v>332.9</v>
      </c>
      <c r="L28" s="64">
        <v>15.1</v>
      </c>
      <c r="M28" s="64">
        <v>103.17</v>
      </c>
      <c r="N28" s="64">
        <v>35.5</v>
      </c>
      <c r="O28" s="64">
        <v>0</v>
      </c>
      <c r="P28" s="64">
        <v>0.52</v>
      </c>
      <c r="Q28" s="64">
        <v>8.2100000000000009</v>
      </c>
      <c r="R28" s="198"/>
      <c r="S28" s="198"/>
      <c r="T28" s="198"/>
      <c r="U28" s="198"/>
    </row>
    <row r="29" spans="1:21" s="12" customFormat="1" x14ac:dyDescent="0.25">
      <c r="A29" s="215" t="s">
        <v>268</v>
      </c>
      <c r="B29" s="210" t="s">
        <v>36</v>
      </c>
      <c r="C29" s="210" t="s">
        <v>36</v>
      </c>
      <c r="D29" s="210" t="s">
        <v>36</v>
      </c>
      <c r="E29" s="64">
        <v>4.2699999999999996</v>
      </c>
      <c r="F29" s="64">
        <v>3.5</v>
      </c>
      <c r="G29" s="64">
        <v>29.57</v>
      </c>
      <c r="H29" s="64">
        <v>0.67</v>
      </c>
      <c r="I29" s="64">
        <v>5.95</v>
      </c>
      <c r="J29" s="64">
        <v>2.67</v>
      </c>
      <c r="K29" s="64">
        <v>344.8</v>
      </c>
      <c r="L29" s="64">
        <v>15.06</v>
      </c>
      <c r="M29" s="64">
        <v>103.19</v>
      </c>
      <c r="N29" s="64">
        <v>35.5</v>
      </c>
      <c r="O29" s="64">
        <v>0</v>
      </c>
      <c r="P29" s="64">
        <v>0.51</v>
      </c>
      <c r="Q29" s="64">
        <v>8.2100000000000009</v>
      </c>
      <c r="R29" s="198"/>
      <c r="S29" s="198"/>
      <c r="T29" s="198"/>
      <c r="U29" s="198"/>
    </row>
    <row r="30" spans="1:21" s="12" customFormat="1" x14ac:dyDescent="0.25">
      <c r="A30" s="215" t="s">
        <v>269</v>
      </c>
      <c r="B30" s="210" t="s">
        <v>36</v>
      </c>
      <c r="C30" s="210" t="s">
        <v>36</v>
      </c>
      <c r="D30" s="210" t="s">
        <v>36</v>
      </c>
      <c r="E30" s="64">
        <v>4.04</v>
      </c>
      <c r="F30" s="64">
        <v>3.17</v>
      </c>
      <c r="G30" s="64">
        <v>29.57</v>
      </c>
      <c r="H30" s="64">
        <v>0.67</v>
      </c>
      <c r="I30" s="64">
        <v>5.81</v>
      </c>
      <c r="J30" s="64">
        <v>1.99</v>
      </c>
      <c r="K30" s="64">
        <v>344.11</v>
      </c>
      <c r="L30" s="64">
        <v>15.13</v>
      </c>
      <c r="M30" s="64">
        <v>103.24</v>
      </c>
      <c r="N30" s="64">
        <v>35.299999999999997</v>
      </c>
      <c r="O30" s="64">
        <v>0</v>
      </c>
      <c r="P30" s="64">
        <v>0.49</v>
      </c>
      <c r="Q30" s="64">
        <v>8.2100000000000009</v>
      </c>
      <c r="R30" s="198"/>
      <c r="S30" s="198"/>
      <c r="T30" s="198"/>
      <c r="U30" s="198"/>
    </row>
    <row r="31" spans="1:21" s="12" customFormat="1" x14ac:dyDescent="0.25">
      <c r="A31" s="215" t="s">
        <v>270</v>
      </c>
      <c r="B31" s="210" t="s">
        <v>36</v>
      </c>
      <c r="C31" s="210" t="s">
        <v>36</v>
      </c>
      <c r="D31" s="210" t="s">
        <v>36</v>
      </c>
      <c r="E31" s="64">
        <v>4.16</v>
      </c>
      <c r="F31" s="64">
        <v>3.48</v>
      </c>
      <c r="G31" s="64">
        <v>29.57</v>
      </c>
      <c r="H31" s="64">
        <v>0.67</v>
      </c>
      <c r="I31" s="64">
        <v>5.62</v>
      </c>
      <c r="J31" s="64">
        <v>1.66</v>
      </c>
      <c r="K31" s="64">
        <v>345.79</v>
      </c>
      <c r="L31" s="64">
        <v>15.06</v>
      </c>
      <c r="M31" s="64">
        <v>103.27</v>
      </c>
      <c r="N31" s="64">
        <v>35.4</v>
      </c>
      <c r="O31" s="64">
        <v>0</v>
      </c>
      <c r="P31" s="64">
        <v>0.49</v>
      </c>
      <c r="Q31" s="64">
        <v>8.2100000000000009</v>
      </c>
      <c r="R31" s="198"/>
      <c r="S31" s="198"/>
      <c r="T31" s="198"/>
      <c r="U31" s="198"/>
    </row>
    <row r="32" spans="1:21" s="12" customFormat="1" x14ac:dyDescent="0.25">
      <c r="A32" s="215" t="s">
        <v>271</v>
      </c>
      <c r="B32" s="210" t="s">
        <v>36</v>
      </c>
      <c r="C32" s="210" t="s">
        <v>36</v>
      </c>
      <c r="D32" s="210" t="s">
        <v>36</v>
      </c>
      <c r="E32" s="64">
        <v>4.46</v>
      </c>
      <c r="F32" s="64">
        <v>3.89</v>
      </c>
      <c r="G32" s="64">
        <v>28.56</v>
      </c>
      <c r="H32" s="64">
        <v>19.739999999999998</v>
      </c>
      <c r="I32" s="64">
        <v>5.36</v>
      </c>
      <c r="J32" s="64">
        <v>1.05</v>
      </c>
      <c r="K32" s="64">
        <v>354.03</v>
      </c>
      <c r="L32" s="64">
        <v>14.98</v>
      </c>
      <c r="M32" s="64">
        <v>103.32</v>
      </c>
      <c r="N32" s="64">
        <v>35.4</v>
      </c>
      <c r="O32" s="64">
        <v>0</v>
      </c>
      <c r="P32" s="64">
        <v>0.48</v>
      </c>
      <c r="Q32" s="64">
        <v>8.2100000000000009</v>
      </c>
      <c r="R32" s="198"/>
      <c r="S32" s="198"/>
      <c r="T32" s="198"/>
      <c r="U32" s="198"/>
    </row>
    <row r="33" spans="1:21" s="12" customFormat="1" x14ac:dyDescent="0.25">
      <c r="A33" s="215" t="s">
        <v>272</v>
      </c>
      <c r="B33" s="210" t="s">
        <v>36</v>
      </c>
      <c r="C33" s="210" t="s">
        <v>36</v>
      </c>
      <c r="D33" s="210" t="s">
        <v>36</v>
      </c>
      <c r="E33" s="64">
        <v>4.6399999999999997</v>
      </c>
      <c r="F33" s="64">
        <v>3.43</v>
      </c>
      <c r="G33" s="64">
        <v>27.78</v>
      </c>
      <c r="H33" s="64">
        <v>32.71</v>
      </c>
      <c r="I33" s="64">
        <v>5.31</v>
      </c>
      <c r="J33" s="64">
        <v>1.61</v>
      </c>
      <c r="K33" s="64">
        <v>358.19</v>
      </c>
      <c r="L33" s="64">
        <v>14.97</v>
      </c>
      <c r="M33" s="64">
        <v>103.38</v>
      </c>
      <c r="N33" s="64">
        <v>35.4</v>
      </c>
      <c r="O33" s="64">
        <v>0</v>
      </c>
      <c r="P33" s="64">
        <v>0.47</v>
      </c>
      <c r="Q33" s="64">
        <v>8.2100000000000009</v>
      </c>
      <c r="R33" s="198"/>
      <c r="S33" s="198"/>
      <c r="T33" s="198"/>
      <c r="U33" s="198"/>
    </row>
    <row r="34" spans="1:21" s="12" customFormat="1" x14ac:dyDescent="0.25">
      <c r="A34" s="215" t="s">
        <v>273</v>
      </c>
      <c r="B34" s="210" t="s">
        <v>36</v>
      </c>
      <c r="C34" s="210" t="s">
        <v>36</v>
      </c>
      <c r="D34" s="210" t="s">
        <v>36</v>
      </c>
      <c r="E34" s="64">
        <v>4.51</v>
      </c>
      <c r="F34" s="64">
        <v>3.41</v>
      </c>
      <c r="G34" s="64">
        <v>27.78</v>
      </c>
      <c r="H34" s="64">
        <v>32.71</v>
      </c>
      <c r="I34" s="64">
        <v>5.3</v>
      </c>
      <c r="J34" s="64">
        <v>0.89</v>
      </c>
      <c r="K34" s="64">
        <v>355.29</v>
      </c>
      <c r="L34" s="64">
        <v>14.89</v>
      </c>
      <c r="M34" s="64">
        <v>103.44</v>
      </c>
      <c r="N34" s="64">
        <v>35.6</v>
      </c>
      <c r="O34" s="64">
        <v>0</v>
      </c>
      <c r="P34" s="64">
        <v>0.47</v>
      </c>
      <c r="Q34" s="64">
        <v>8.2200000000000006</v>
      </c>
      <c r="R34" s="198"/>
      <c r="S34" s="198"/>
      <c r="T34" s="198"/>
      <c r="U34" s="198"/>
    </row>
    <row r="35" spans="1:21" s="12" customFormat="1" x14ac:dyDescent="0.25">
      <c r="A35" s="215" t="s">
        <v>274</v>
      </c>
      <c r="B35" s="210" t="s">
        <v>36</v>
      </c>
      <c r="C35" s="210" t="s">
        <v>36</v>
      </c>
      <c r="D35" s="210" t="s">
        <v>36</v>
      </c>
      <c r="E35" s="64">
        <v>4.7</v>
      </c>
      <c r="F35" s="64">
        <v>3.09</v>
      </c>
      <c r="G35" s="64">
        <v>27.78</v>
      </c>
      <c r="H35" s="64">
        <v>32.71</v>
      </c>
      <c r="I35" s="64">
        <v>5.37</v>
      </c>
      <c r="J35" s="64">
        <v>2.15</v>
      </c>
      <c r="K35" s="64">
        <v>347.35</v>
      </c>
      <c r="L35" s="64">
        <v>14.93</v>
      </c>
      <c r="M35" s="64">
        <v>103.47</v>
      </c>
      <c r="N35" s="64">
        <v>37.4</v>
      </c>
      <c r="O35" s="64">
        <v>0</v>
      </c>
      <c r="P35" s="64">
        <v>0.46</v>
      </c>
      <c r="Q35" s="64">
        <v>8.34</v>
      </c>
      <c r="R35" s="198"/>
      <c r="S35" s="198"/>
      <c r="T35" s="198"/>
      <c r="U35" s="198"/>
    </row>
    <row r="36" spans="1:21" s="12" customFormat="1" x14ac:dyDescent="0.25">
      <c r="A36" s="215" t="s">
        <v>275</v>
      </c>
      <c r="B36" s="210" t="s">
        <v>36</v>
      </c>
      <c r="C36" s="210" t="s">
        <v>36</v>
      </c>
      <c r="D36" s="210" t="s">
        <v>36</v>
      </c>
      <c r="E36" s="64">
        <v>4.26</v>
      </c>
      <c r="F36" s="64">
        <v>3.24</v>
      </c>
      <c r="G36" s="64">
        <v>27.96</v>
      </c>
      <c r="H36" s="64">
        <v>12.8</v>
      </c>
      <c r="I36" s="64">
        <v>5.39</v>
      </c>
      <c r="J36" s="64">
        <v>0.52</v>
      </c>
      <c r="K36" s="64">
        <v>352.43</v>
      </c>
      <c r="L36" s="64">
        <v>14.92</v>
      </c>
      <c r="M36" s="64">
        <v>103.48</v>
      </c>
      <c r="N36" s="64">
        <v>43</v>
      </c>
      <c r="O36" s="64">
        <v>0</v>
      </c>
      <c r="P36" s="64">
        <v>0.46</v>
      </c>
      <c r="Q36" s="64">
        <v>8.6199999999999992</v>
      </c>
      <c r="R36" s="198"/>
      <c r="S36" s="198"/>
      <c r="T36" s="198"/>
      <c r="U36" s="198"/>
    </row>
    <row r="37" spans="1:21" s="12" customFormat="1" x14ac:dyDescent="0.25">
      <c r="A37" s="215" t="s">
        <v>276</v>
      </c>
      <c r="B37" s="210" t="s">
        <v>36</v>
      </c>
      <c r="C37" s="210" t="s">
        <v>36</v>
      </c>
      <c r="D37" s="210" t="s">
        <v>36</v>
      </c>
      <c r="E37" s="64">
        <v>4.8600000000000003</v>
      </c>
      <c r="F37" s="64">
        <v>3.33</v>
      </c>
      <c r="G37" s="64">
        <v>28.1</v>
      </c>
      <c r="H37" s="64">
        <v>5.89</v>
      </c>
      <c r="I37" s="64">
        <v>5.08</v>
      </c>
      <c r="J37" s="64">
        <v>0.97</v>
      </c>
      <c r="K37" s="64">
        <v>342.57</v>
      </c>
      <c r="L37" s="64">
        <v>15.05</v>
      </c>
      <c r="M37" s="64">
        <v>103.51</v>
      </c>
      <c r="N37" s="64">
        <v>50.9</v>
      </c>
      <c r="O37" s="64">
        <v>0</v>
      </c>
      <c r="P37" s="64">
        <v>0.5</v>
      </c>
      <c r="Q37" s="64">
        <v>8.82</v>
      </c>
      <c r="R37" s="198"/>
      <c r="S37" s="198"/>
      <c r="T37" s="198"/>
      <c r="U37" s="198"/>
    </row>
    <row r="38" spans="1:21" s="12" customFormat="1" x14ac:dyDescent="0.25">
      <c r="A38" s="215" t="s">
        <v>277</v>
      </c>
      <c r="B38" s="210" t="s">
        <v>36</v>
      </c>
      <c r="C38" s="210" t="s">
        <v>36</v>
      </c>
      <c r="D38" s="210" t="s">
        <v>36</v>
      </c>
      <c r="E38" s="64">
        <v>4.96</v>
      </c>
      <c r="F38" s="64">
        <v>3.6</v>
      </c>
      <c r="G38" s="64">
        <v>28.1</v>
      </c>
      <c r="H38" s="64">
        <v>5.89</v>
      </c>
      <c r="I38" s="64">
        <v>5.0999999999999996</v>
      </c>
      <c r="J38" s="64">
        <v>1.0900000000000001</v>
      </c>
      <c r="K38" s="64">
        <v>7.44</v>
      </c>
      <c r="L38" s="64">
        <v>15.34</v>
      </c>
      <c r="M38" s="64">
        <v>103.57</v>
      </c>
      <c r="N38" s="64">
        <v>76.099999999999994</v>
      </c>
      <c r="O38" s="64">
        <v>0</v>
      </c>
      <c r="P38" s="64">
        <v>0.53</v>
      </c>
      <c r="Q38" s="64">
        <v>8.82</v>
      </c>
      <c r="R38" s="198"/>
      <c r="S38" s="198"/>
      <c r="T38" s="198"/>
      <c r="U38" s="198"/>
    </row>
    <row r="39" spans="1:21" s="12" customFormat="1" x14ac:dyDescent="0.25">
      <c r="A39" s="215" t="s">
        <v>278</v>
      </c>
      <c r="B39" s="210" t="s">
        <v>36</v>
      </c>
      <c r="C39" s="210" t="s">
        <v>36</v>
      </c>
      <c r="D39" s="210" t="s">
        <v>36</v>
      </c>
      <c r="E39" s="64">
        <v>5.16</v>
      </c>
      <c r="F39" s="64">
        <v>3.76</v>
      </c>
      <c r="G39" s="64">
        <v>28.1</v>
      </c>
      <c r="H39" s="64">
        <v>5.89</v>
      </c>
      <c r="I39" s="64">
        <v>5.35</v>
      </c>
      <c r="J39" s="64">
        <v>0.78</v>
      </c>
      <c r="K39" s="64">
        <v>0.14000000000000001</v>
      </c>
      <c r="L39" s="64">
        <v>15.72</v>
      </c>
      <c r="M39" s="64">
        <v>103.63</v>
      </c>
      <c r="N39" s="64">
        <v>93.2</v>
      </c>
      <c r="O39" s="64">
        <v>0</v>
      </c>
      <c r="P39" s="64">
        <v>0.54</v>
      </c>
      <c r="Q39" s="64">
        <v>9.0500000000000007</v>
      </c>
      <c r="R39" s="198"/>
      <c r="S39" s="198"/>
      <c r="T39" s="198"/>
      <c r="U39" s="198"/>
    </row>
    <row r="40" spans="1:21" s="12" customFormat="1" x14ac:dyDescent="0.25">
      <c r="A40" s="215" t="s">
        <v>279</v>
      </c>
      <c r="B40" s="210" t="s">
        <v>36</v>
      </c>
      <c r="C40" s="210" t="s">
        <v>36</v>
      </c>
      <c r="D40" s="210" t="s">
        <v>36</v>
      </c>
      <c r="E40" s="64">
        <v>5.65</v>
      </c>
      <c r="F40" s="64">
        <v>3.87</v>
      </c>
      <c r="G40" s="64">
        <v>36.909999999999997</v>
      </c>
      <c r="H40" s="64">
        <v>2.39</v>
      </c>
      <c r="I40" s="64">
        <v>5.67</v>
      </c>
      <c r="J40" s="64">
        <v>1.22</v>
      </c>
      <c r="K40" s="64">
        <v>340.26</v>
      </c>
      <c r="L40" s="64">
        <v>16.04</v>
      </c>
      <c r="M40" s="64">
        <v>103.57</v>
      </c>
      <c r="N40" s="64">
        <v>73.5</v>
      </c>
      <c r="O40" s="64">
        <v>0</v>
      </c>
      <c r="P40" s="64">
        <v>0.56000000000000005</v>
      </c>
      <c r="Q40" s="64">
        <v>9.18</v>
      </c>
      <c r="R40" s="198"/>
      <c r="S40" s="198"/>
      <c r="T40" s="198"/>
      <c r="U40" s="198"/>
    </row>
    <row r="41" spans="1:21" s="12" customFormat="1" x14ac:dyDescent="0.25">
      <c r="A41" s="215" t="s">
        <v>280</v>
      </c>
      <c r="B41" s="210" t="s">
        <v>36</v>
      </c>
      <c r="C41" s="210" t="s">
        <v>36</v>
      </c>
      <c r="D41" s="210" t="s">
        <v>36</v>
      </c>
      <c r="E41" s="64">
        <v>5.84</v>
      </c>
      <c r="F41" s="64">
        <v>3.71</v>
      </c>
      <c r="G41" s="64">
        <v>43.65</v>
      </c>
      <c r="H41" s="64">
        <v>1.18</v>
      </c>
      <c r="I41" s="64">
        <v>5.69</v>
      </c>
      <c r="J41" s="64">
        <v>0.62</v>
      </c>
      <c r="K41" s="64">
        <v>24.22</v>
      </c>
      <c r="L41" s="64">
        <v>15.85</v>
      </c>
      <c r="M41" s="64">
        <v>103.69</v>
      </c>
      <c r="N41" s="64">
        <v>66.900000000000006</v>
      </c>
      <c r="O41" s="64">
        <v>0</v>
      </c>
      <c r="P41" s="64">
        <v>0.56999999999999995</v>
      </c>
      <c r="Q41" s="64">
        <v>9.25</v>
      </c>
      <c r="R41" s="198"/>
      <c r="S41" s="198"/>
      <c r="T41" s="198"/>
      <c r="U41" s="198"/>
    </row>
    <row r="42" spans="1:21" s="12" customFormat="1" x14ac:dyDescent="0.25">
      <c r="A42" s="215" t="s">
        <v>281</v>
      </c>
      <c r="B42" s="210" t="s">
        <v>36</v>
      </c>
      <c r="C42" s="210" t="s">
        <v>36</v>
      </c>
      <c r="D42" s="210" t="s">
        <v>36</v>
      </c>
      <c r="E42" s="64">
        <v>5.68</v>
      </c>
      <c r="F42" s="64">
        <v>3.89</v>
      </c>
      <c r="G42" s="64">
        <v>43.65</v>
      </c>
      <c r="H42" s="64">
        <v>1.18</v>
      </c>
      <c r="I42" s="64">
        <v>5.71</v>
      </c>
      <c r="J42" s="64">
        <v>0.62</v>
      </c>
      <c r="K42" s="64">
        <v>7.53</v>
      </c>
      <c r="L42" s="64">
        <v>15.96</v>
      </c>
      <c r="M42" s="64">
        <v>103.67</v>
      </c>
      <c r="N42" s="64">
        <v>72.3</v>
      </c>
      <c r="O42" s="64">
        <v>0</v>
      </c>
      <c r="P42" s="64">
        <v>0.59</v>
      </c>
      <c r="Q42" s="64">
        <v>9.2100000000000009</v>
      </c>
      <c r="R42" s="198"/>
      <c r="S42" s="198"/>
      <c r="T42" s="198"/>
      <c r="U42" s="198"/>
    </row>
    <row r="43" spans="1:21" s="12" customFormat="1" x14ac:dyDescent="0.25">
      <c r="A43" s="215" t="s">
        <v>282</v>
      </c>
      <c r="B43" s="210" t="s">
        <v>36</v>
      </c>
      <c r="C43" s="210" t="s">
        <v>36</v>
      </c>
      <c r="D43" s="210" t="s">
        <v>36</v>
      </c>
      <c r="E43" s="64">
        <v>5.8</v>
      </c>
      <c r="F43" s="64">
        <v>3.39</v>
      </c>
      <c r="G43" s="64">
        <v>43.65</v>
      </c>
      <c r="H43" s="64">
        <v>1.18</v>
      </c>
      <c r="I43" s="64">
        <v>5.77</v>
      </c>
      <c r="J43" s="64">
        <v>1.5</v>
      </c>
      <c r="K43" s="64">
        <v>343.17</v>
      </c>
      <c r="L43" s="64">
        <v>16.350000000000001</v>
      </c>
      <c r="M43" s="64">
        <v>102.39</v>
      </c>
      <c r="N43" s="64">
        <v>98.8</v>
      </c>
      <c r="O43" s="64">
        <v>0</v>
      </c>
      <c r="P43" s="64">
        <v>0.61</v>
      </c>
      <c r="Q43" s="64">
        <v>9.2899999999999991</v>
      </c>
      <c r="R43" s="198"/>
      <c r="S43" s="198"/>
      <c r="T43" s="198"/>
      <c r="U43" s="198"/>
    </row>
    <row r="44" spans="1:21" s="12" customFormat="1" x14ac:dyDescent="0.25">
      <c r="A44" s="215" t="s">
        <v>283</v>
      </c>
      <c r="B44" s="210" t="s">
        <v>36</v>
      </c>
      <c r="C44" s="210" t="s">
        <v>36</v>
      </c>
      <c r="D44" s="210" t="s">
        <v>36</v>
      </c>
      <c r="E44" s="64">
        <v>5.69</v>
      </c>
      <c r="F44" s="64">
        <v>3.86</v>
      </c>
      <c r="G44" s="64">
        <v>40.19</v>
      </c>
      <c r="H44" s="64">
        <v>36.42</v>
      </c>
      <c r="I44" s="64">
        <v>5.8</v>
      </c>
      <c r="J44" s="64">
        <v>0.67</v>
      </c>
      <c r="K44" s="64">
        <v>355.14</v>
      </c>
      <c r="L44" s="64">
        <v>17.03</v>
      </c>
      <c r="M44" s="64">
        <v>99.18</v>
      </c>
      <c r="N44" s="64">
        <v>150.30000000000001</v>
      </c>
      <c r="O44" s="64">
        <v>0</v>
      </c>
      <c r="P44" s="64">
        <v>0.63</v>
      </c>
      <c r="Q44" s="64">
        <v>9.35</v>
      </c>
      <c r="R44" s="198"/>
      <c r="S44" s="198"/>
      <c r="T44" s="198"/>
      <c r="U44" s="198"/>
    </row>
    <row r="45" spans="1:21" s="12" customFormat="1" x14ac:dyDescent="0.25">
      <c r="A45" s="215" t="s">
        <v>284</v>
      </c>
      <c r="B45" s="210" t="s">
        <v>36</v>
      </c>
      <c r="C45" s="210" t="s">
        <v>36</v>
      </c>
      <c r="D45" s="210" t="s">
        <v>36</v>
      </c>
      <c r="E45" s="64">
        <v>6.18</v>
      </c>
      <c r="F45" s="64">
        <v>3.74</v>
      </c>
      <c r="G45" s="64">
        <v>37.549999999999997</v>
      </c>
      <c r="H45" s="64">
        <v>48.64</v>
      </c>
      <c r="I45" s="64">
        <v>5.75</v>
      </c>
      <c r="J45" s="64">
        <v>1.04</v>
      </c>
      <c r="K45" s="64">
        <v>4.43</v>
      </c>
      <c r="L45" s="64">
        <v>17.71</v>
      </c>
      <c r="M45" s="64">
        <v>95.22</v>
      </c>
      <c r="N45" s="64">
        <v>160.5</v>
      </c>
      <c r="O45" s="64">
        <v>0</v>
      </c>
      <c r="P45" s="64">
        <v>0.65</v>
      </c>
      <c r="Q45" s="64">
        <v>9.81</v>
      </c>
      <c r="R45" s="198"/>
      <c r="S45" s="198"/>
      <c r="T45" s="198"/>
      <c r="U45" s="198"/>
    </row>
    <row r="46" spans="1:21" s="12" customFormat="1" x14ac:dyDescent="0.25">
      <c r="A46" s="215" t="s">
        <v>285</v>
      </c>
      <c r="B46" s="210" t="s">
        <v>36</v>
      </c>
      <c r="C46" s="210" t="s">
        <v>36</v>
      </c>
      <c r="D46" s="210" t="s">
        <v>36</v>
      </c>
      <c r="E46" s="64">
        <v>6</v>
      </c>
      <c r="F46" s="64">
        <v>3.48</v>
      </c>
      <c r="G46" s="64">
        <v>37.549999999999997</v>
      </c>
      <c r="H46" s="64">
        <v>48.64</v>
      </c>
      <c r="I46" s="64">
        <v>5.81</v>
      </c>
      <c r="J46" s="64">
        <v>1.62</v>
      </c>
      <c r="K46" s="64">
        <v>344.05</v>
      </c>
      <c r="L46" s="64">
        <v>17.98</v>
      </c>
      <c r="M46" s="64">
        <v>93.38</v>
      </c>
      <c r="N46" s="64">
        <v>141.9</v>
      </c>
      <c r="O46" s="64">
        <v>0</v>
      </c>
      <c r="P46" s="64">
        <v>0.67</v>
      </c>
      <c r="Q46" s="64">
        <v>9.89</v>
      </c>
      <c r="R46" s="198"/>
      <c r="S46" s="198"/>
      <c r="T46" s="198"/>
      <c r="U46" s="198"/>
    </row>
    <row r="47" spans="1:21" s="12" customFormat="1" x14ac:dyDescent="0.25">
      <c r="A47" s="215" t="s">
        <v>286</v>
      </c>
      <c r="B47" s="210" t="s">
        <v>36</v>
      </c>
      <c r="C47" s="210" t="s">
        <v>36</v>
      </c>
      <c r="D47" s="210" t="s">
        <v>36</v>
      </c>
      <c r="E47" s="64">
        <v>6.45</v>
      </c>
      <c r="F47" s="64">
        <v>3.55</v>
      </c>
      <c r="G47" s="64">
        <v>37.549999999999997</v>
      </c>
      <c r="H47" s="64">
        <v>48.64</v>
      </c>
      <c r="I47" s="64">
        <v>5.86</v>
      </c>
      <c r="J47" s="64">
        <v>1.91</v>
      </c>
      <c r="K47" s="64">
        <v>329.47</v>
      </c>
      <c r="L47" s="64">
        <v>18.04</v>
      </c>
      <c r="M47" s="64">
        <v>93.04</v>
      </c>
      <c r="N47" s="64">
        <v>107.1</v>
      </c>
      <c r="O47" s="64">
        <v>0</v>
      </c>
      <c r="P47" s="64">
        <v>0.7</v>
      </c>
      <c r="Q47" s="64">
        <v>9.9700000000000006</v>
      </c>
      <c r="R47" s="198"/>
      <c r="S47" s="198"/>
      <c r="T47" s="198"/>
      <c r="U47" s="198"/>
    </row>
    <row r="48" spans="1:21" s="12" customFormat="1" x14ac:dyDescent="0.25">
      <c r="A48" s="215" t="s">
        <v>287</v>
      </c>
      <c r="B48" s="210" t="s">
        <v>36</v>
      </c>
      <c r="C48" s="210" t="s">
        <v>36</v>
      </c>
      <c r="D48" s="210" t="s">
        <v>36</v>
      </c>
      <c r="E48" s="64">
        <v>6.29</v>
      </c>
      <c r="F48" s="64">
        <v>3.56</v>
      </c>
      <c r="G48" s="64">
        <v>40.409999999999997</v>
      </c>
      <c r="H48" s="64">
        <v>34.409999999999997</v>
      </c>
      <c r="I48" s="64">
        <v>5.85</v>
      </c>
      <c r="J48" s="64">
        <v>1.1100000000000001</v>
      </c>
      <c r="K48" s="64">
        <v>351.93</v>
      </c>
      <c r="L48" s="64">
        <v>17.579999999999998</v>
      </c>
      <c r="M48" s="64">
        <v>96.87</v>
      </c>
      <c r="N48" s="64">
        <v>124.2</v>
      </c>
      <c r="O48" s="64">
        <v>0</v>
      </c>
      <c r="P48" s="64">
        <v>0.72</v>
      </c>
      <c r="Q48" s="64">
        <v>10.01</v>
      </c>
      <c r="R48" s="198"/>
      <c r="S48" s="198"/>
      <c r="T48" s="198"/>
      <c r="U48" s="198"/>
    </row>
    <row r="49" spans="1:21" s="12" customFormat="1" x14ac:dyDescent="0.25">
      <c r="A49" s="215" t="s">
        <v>288</v>
      </c>
      <c r="B49" s="210" t="s">
        <v>36</v>
      </c>
      <c r="C49" s="210" t="s">
        <v>36</v>
      </c>
      <c r="D49" s="210" t="s">
        <v>36</v>
      </c>
      <c r="E49" s="64">
        <v>6.04</v>
      </c>
      <c r="F49" s="64">
        <v>3.51</v>
      </c>
      <c r="G49" s="64">
        <v>42.6</v>
      </c>
      <c r="H49" s="64">
        <v>24.33</v>
      </c>
      <c r="I49" s="64">
        <v>5.64</v>
      </c>
      <c r="J49" s="64">
        <v>0.84</v>
      </c>
      <c r="K49" s="64">
        <v>346.61</v>
      </c>
      <c r="L49" s="64">
        <v>17.18</v>
      </c>
      <c r="M49" s="64">
        <v>102.9</v>
      </c>
      <c r="N49" s="64">
        <v>225.7</v>
      </c>
      <c r="O49" s="64">
        <v>0</v>
      </c>
      <c r="P49" s="64">
        <v>0.71</v>
      </c>
      <c r="Q49" s="64">
        <v>10.01</v>
      </c>
      <c r="R49" s="198"/>
      <c r="S49" s="198"/>
      <c r="T49" s="198"/>
      <c r="U49" s="198"/>
    </row>
    <row r="50" spans="1:21" s="12" customFormat="1" x14ac:dyDescent="0.25">
      <c r="A50" s="215" t="s">
        <v>289</v>
      </c>
      <c r="B50" s="210" t="s">
        <v>36</v>
      </c>
      <c r="C50" s="210" t="s">
        <v>36</v>
      </c>
      <c r="D50" s="210" t="s">
        <v>36</v>
      </c>
      <c r="E50" s="64">
        <v>6.46</v>
      </c>
      <c r="F50" s="64">
        <v>3.69</v>
      </c>
      <c r="G50" s="64">
        <v>42.6</v>
      </c>
      <c r="H50" s="64">
        <v>24.33</v>
      </c>
      <c r="I50" s="64">
        <v>5.61</v>
      </c>
      <c r="J50" s="64">
        <v>0.81</v>
      </c>
      <c r="K50" s="64">
        <v>29.52</v>
      </c>
      <c r="L50" s="64">
        <v>17.309999999999999</v>
      </c>
      <c r="M50" s="64">
        <v>100.43</v>
      </c>
      <c r="N50" s="64">
        <v>167.7</v>
      </c>
      <c r="O50" s="64">
        <v>0</v>
      </c>
      <c r="P50" s="64">
        <v>0.73</v>
      </c>
      <c r="Q50" s="64">
        <v>10.07</v>
      </c>
      <c r="R50" s="198"/>
      <c r="S50" s="198"/>
      <c r="T50" s="198"/>
      <c r="U50" s="198"/>
    </row>
    <row r="51" spans="1:21" s="12" customFormat="1" x14ac:dyDescent="0.25">
      <c r="A51" s="215" t="s">
        <v>290</v>
      </c>
      <c r="B51" s="210" t="s">
        <v>36</v>
      </c>
      <c r="C51" s="210" t="s">
        <v>36</v>
      </c>
      <c r="D51" s="210" t="s">
        <v>36</v>
      </c>
      <c r="E51" s="64">
        <v>6.29</v>
      </c>
      <c r="F51" s="64">
        <v>3.23</v>
      </c>
      <c r="G51" s="64">
        <v>42.6</v>
      </c>
      <c r="H51" s="64">
        <v>24.33</v>
      </c>
      <c r="I51" s="64">
        <v>5.96</v>
      </c>
      <c r="J51" s="64">
        <v>1.48</v>
      </c>
      <c r="K51" s="64">
        <v>113.57</v>
      </c>
      <c r="L51" s="64">
        <v>17.440000000000001</v>
      </c>
      <c r="M51" s="64">
        <v>99.94</v>
      </c>
      <c r="N51" s="64">
        <v>145</v>
      </c>
      <c r="O51" s="64">
        <v>0</v>
      </c>
      <c r="P51" s="64">
        <v>0.74</v>
      </c>
      <c r="Q51" s="64">
        <v>10.15</v>
      </c>
      <c r="R51" s="198"/>
      <c r="S51" s="198"/>
      <c r="T51" s="198"/>
      <c r="U51" s="198"/>
    </row>
    <row r="52" spans="1:21" s="12" customFormat="1" x14ac:dyDescent="0.25">
      <c r="A52" s="215" t="s">
        <v>291</v>
      </c>
      <c r="B52" s="210" t="s">
        <v>36</v>
      </c>
      <c r="C52" s="210" t="s">
        <v>36</v>
      </c>
      <c r="D52" s="210" t="s">
        <v>36</v>
      </c>
      <c r="E52" s="64">
        <v>6.81</v>
      </c>
      <c r="F52" s="64">
        <v>3.9</v>
      </c>
      <c r="G52" s="64">
        <v>39.82</v>
      </c>
      <c r="H52" s="64">
        <v>18.3</v>
      </c>
      <c r="I52" s="64">
        <v>6.09</v>
      </c>
      <c r="J52" s="64">
        <v>2.93</v>
      </c>
      <c r="K52" s="64">
        <v>111.08</v>
      </c>
      <c r="L52" s="64">
        <v>17.28</v>
      </c>
      <c r="M52" s="64">
        <v>99.72</v>
      </c>
      <c r="N52" s="64">
        <v>102.3</v>
      </c>
      <c r="O52" s="64">
        <v>0</v>
      </c>
      <c r="P52" s="64">
        <v>0.74</v>
      </c>
      <c r="Q52" s="64">
        <v>10.15</v>
      </c>
      <c r="R52" s="198"/>
      <c r="S52" s="198"/>
      <c r="T52" s="198"/>
      <c r="U52" s="198"/>
    </row>
    <row r="53" spans="1:21" s="12" customFormat="1" x14ac:dyDescent="0.25">
      <c r="A53" s="215" t="s">
        <v>292</v>
      </c>
      <c r="B53" s="210" t="s">
        <v>36</v>
      </c>
      <c r="C53" s="210" t="s">
        <v>36</v>
      </c>
      <c r="D53" s="210" t="s">
        <v>36</v>
      </c>
      <c r="E53" s="64">
        <v>6.2</v>
      </c>
      <c r="F53" s="64">
        <v>3.72</v>
      </c>
      <c r="G53" s="64">
        <v>37.69</v>
      </c>
      <c r="H53" s="64">
        <v>16.3</v>
      </c>
      <c r="I53" s="64">
        <v>6.25</v>
      </c>
      <c r="J53" s="64">
        <v>3.38</v>
      </c>
      <c r="K53" s="64">
        <v>109.25</v>
      </c>
      <c r="L53" s="64">
        <v>16.95</v>
      </c>
      <c r="M53" s="64">
        <v>101.1</v>
      </c>
      <c r="N53" s="64">
        <v>110</v>
      </c>
      <c r="O53" s="64">
        <v>0</v>
      </c>
      <c r="P53" s="64">
        <v>0.73</v>
      </c>
      <c r="Q53" s="64">
        <v>9.98</v>
      </c>
      <c r="R53" s="198"/>
      <c r="S53" s="198"/>
      <c r="T53" s="198"/>
      <c r="U53" s="198"/>
    </row>
    <row r="54" spans="1:21" s="12" customFormat="1" x14ac:dyDescent="0.25">
      <c r="A54" s="215" t="s">
        <v>293</v>
      </c>
      <c r="B54" s="210" t="s">
        <v>36</v>
      </c>
      <c r="C54" s="210" t="s">
        <v>36</v>
      </c>
      <c r="D54" s="210" t="s">
        <v>36</v>
      </c>
      <c r="E54" s="64">
        <v>6.58</v>
      </c>
      <c r="F54" s="64">
        <v>3.77</v>
      </c>
      <c r="G54" s="64">
        <v>37.69</v>
      </c>
      <c r="H54" s="64">
        <v>16.3</v>
      </c>
      <c r="I54" s="64">
        <v>6.52</v>
      </c>
      <c r="J54" s="64">
        <v>0.91</v>
      </c>
      <c r="K54" s="64">
        <v>85.19</v>
      </c>
      <c r="L54" s="64">
        <v>17.34</v>
      </c>
      <c r="M54" s="64">
        <v>99.46</v>
      </c>
      <c r="N54" s="64">
        <v>175.1</v>
      </c>
      <c r="O54" s="64">
        <v>0</v>
      </c>
      <c r="P54" s="64">
        <v>0.75</v>
      </c>
      <c r="Q54" s="64">
        <v>9.99</v>
      </c>
      <c r="R54" s="198"/>
      <c r="S54" s="198"/>
      <c r="T54" s="198"/>
      <c r="U54" s="198"/>
    </row>
    <row r="55" spans="1:21" s="12" customFormat="1" x14ac:dyDescent="0.25">
      <c r="A55" s="215" t="s">
        <v>294</v>
      </c>
      <c r="B55" s="210" t="s">
        <v>36</v>
      </c>
      <c r="C55" s="210" t="s">
        <v>36</v>
      </c>
      <c r="D55" s="210" t="s">
        <v>36</v>
      </c>
      <c r="E55" s="64">
        <v>6.55</v>
      </c>
      <c r="F55" s="64">
        <v>3.98</v>
      </c>
      <c r="G55" s="64">
        <v>37.69</v>
      </c>
      <c r="H55" s="64">
        <v>16.3</v>
      </c>
      <c r="I55" s="64">
        <v>7.35</v>
      </c>
      <c r="J55" s="64">
        <v>1.55</v>
      </c>
      <c r="K55" s="64">
        <v>94.91</v>
      </c>
      <c r="L55" s="64">
        <v>17.3</v>
      </c>
      <c r="M55" s="64">
        <v>99.37</v>
      </c>
      <c r="N55" s="64">
        <v>99.3</v>
      </c>
      <c r="O55" s="64">
        <v>0</v>
      </c>
      <c r="P55" s="64">
        <v>0.74</v>
      </c>
      <c r="Q55" s="64">
        <v>9.7899999999999991</v>
      </c>
      <c r="R55" s="198"/>
      <c r="S55" s="198"/>
      <c r="T55" s="198"/>
      <c r="U55" s="198"/>
    </row>
    <row r="56" spans="1:21" s="12" customFormat="1" x14ac:dyDescent="0.25">
      <c r="A56" s="215" t="s">
        <v>295</v>
      </c>
      <c r="B56" s="210" t="s">
        <v>36</v>
      </c>
      <c r="C56" s="210" t="s">
        <v>36</v>
      </c>
      <c r="D56" s="210" t="s">
        <v>36</v>
      </c>
      <c r="E56" s="64">
        <v>6.52</v>
      </c>
      <c r="F56" s="64">
        <v>4.09</v>
      </c>
      <c r="G56" s="64">
        <v>43.56</v>
      </c>
      <c r="H56" s="64">
        <v>17.32</v>
      </c>
      <c r="I56" s="64">
        <v>7.53</v>
      </c>
      <c r="J56" s="64">
        <v>1.07</v>
      </c>
      <c r="K56" s="64">
        <v>89.69</v>
      </c>
      <c r="L56" s="64">
        <v>17.09</v>
      </c>
      <c r="M56" s="64">
        <v>100.35</v>
      </c>
      <c r="N56" s="64">
        <v>88.3</v>
      </c>
      <c r="O56" s="64">
        <v>0</v>
      </c>
      <c r="P56" s="64">
        <v>0.75</v>
      </c>
      <c r="Q56" s="64">
        <v>9.42</v>
      </c>
      <c r="R56" s="198"/>
      <c r="S56" s="198"/>
      <c r="T56" s="198"/>
      <c r="U56" s="198"/>
    </row>
    <row r="57" spans="1:21" s="12" customFormat="1" x14ac:dyDescent="0.25">
      <c r="A57" s="215" t="s">
        <v>296</v>
      </c>
      <c r="B57" s="210" t="s">
        <v>36</v>
      </c>
      <c r="C57" s="210" t="s">
        <v>36</v>
      </c>
      <c r="D57" s="210" t="s">
        <v>36</v>
      </c>
      <c r="E57" s="64">
        <v>6.57</v>
      </c>
      <c r="F57" s="64">
        <v>3.99</v>
      </c>
      <c r="G57" s="64">
        <v>48.06</v>
      </c>
      <c r="H57" s="64">
        <v>24.44</v>
      </c>
      <c r="I57" s="64">
        <v>7.85</v>
      </c>
      <c r="J57" s="64">
        <v>2</v>
      </c>
      <c r="K57" s="64">
        <v>119.89</v>
      </c>
      <c r="L57" s="64">
        <v>17.190000000000001</v>
      </c>
      <c r="M57" s="64">
        <v>100.04</v>
      </c>
      <c r="N57" s="64">
        <v>84.7</v>
      </c>
      <c r="O57" s="64">
        <v>0</v>
      </c>
      <c r="P57" s="64">
        <v>0.77</v>
      </c>
      <c r="Q57" s="64">
        <v>8.82</v>
      </c>
      <c r="R57" s="198"/>
      <c r="S57" s="198"/>
      <c r="T57" s="198"/>
      <c r="U57" s="198"/>
    </row>
    <row r="58" spans="1:21" s="12" customFormat="1" x14ac:dyDescent="0.25">
      <c r="A58" s="215" t="s">
        <v>297</v>
      </c>
      <c r="B58" s="210" t="s">
        <v>36</v>
      </c>
      <c r="C58" s="210" t="s">
        <v>36</v>
      </c>
      <c r="D58" s="210" t="s">
        <v>36</v>
      </c>
      <c r="E58" s="64">
        <v>6.63</v>
      </c>
      <c r="F58" s="64">
        <v>3.89</v>
      </c>
      <c r="G58" s="64">
        <v>48.06</v>
      </c>
      <c r="H58" s="64">
        <v>24.44</v>
      </c>
      <c r="I58" s="64">
        <v>7.87</v>
      </c>
      <c r="J58" s="64">
        <v>2.86</v>
      </c>
      <c r="K58" s="64">
        <v>108.5</v>
      </c>
      <c r="L58" s="64">
        <v>17</v>
      </c>
      <c r="M58" s="64">
        <v>100.32</v>
      </c>
      <c r="N58" s="64">
        <v>77.400000000000006</v>
      </c>
      <c r="O58" s="64">
        <v>0</v>
      </c>
      <c r="P58" s="64">
        <v>0.78</v>
      </c>
      <c r="Q58" s="64">
        <v>9.34</v>
      </c>
      <c r="R58" s="198"/>
      <c r="S58" s="198"/>
      <c r="T58" s="198"/>
      <c r="U58" s="198"/>
    </row>
    <row r="59" spans="1:21" s="12" customFormat="1" x14ac:dyDescent="0.25">
      <c r="A59" s="215" t="s">
        <v>298</v>
      </c>
      <c r="B59" s="210" t="s">
        <v>36</v>
      </c>
      <c r="C59" s="210" t="s">
        <v>36</v>
      </c>
      <c r="D59" s="210" t="s">
        <v>36</v>
      </c>
      <c r="E59" s="64">
        <v>6.82</v>
      </c>
      <c r="F59" s="64">
        <v>4.13</v>
      </c>
      <c r="G59" s="64">
        <v>48.06</v>
      </c>
      <c r="H59" s="64">
        <v>24.44</v>
      </c>
      <c r="I59" s="64">
        <v>7.96</v>
      </c>
      <c r="J59" s="64">
        <v>3.55</v>
      </c>
      <c r="K59" s="64">
        <v>112.79</v>
      </c>
      <c r="L59" s="64">
        <v>16.75</v>
      </c>
      <c r="M59" s="64">
        <v>101.28</v>
      </c>
      <c r="N59" s="64">
        <v>81.900000000000006</v>
      </c>
      <c r="O59" s="64">
        <v>0</v>
      </c>
      <c r="P59" s="64">
        <v>0.79</v>
      </c>
      <c r="Q59" s="64">
        <v>9.5399999999999991</v>
      </c>
      <c r="R59" s="198"/>
      <c r="S59" s="198"/>
      <c r="T59" s="198"/>
      <c r="U59" s="198"/>
    </row>
    <row r="60" spans="1:21" s="12" customFormat="1" x14ac:dyDescent="0.25">
      <c r="A60" s="215" t="s">
        <v>299</v>
      </c>
      <c r="B60" s="210" t="s">
        <v>36</v>
      </c>
      <c r="C60" s="210" t="s">
        <v>36</v>
      </c>
      <c r="D60" s="210" t="s">
        <v>36</v>
      </c>
      <c r="E60" s="64">
        <v>7.01</v>
      </c>
      <c r="F60" s="64">
        <v>4.13</v>
      </c>
      <c r="G60" s="64">
        <v>62.9</v>
      </c>
      <c r="H60" s="64">
        <v>42.06</v>
      </c>
      <c r="I60" s="64">
        <v>8.1199999999999992</v>
      </c>
      <c r="J60" s="64">
        <v>1.9</v>
      </c>
      <c r="K60" s="64">
        <v>98.41</v>
      </c>
      <c r="L60" s="64">
        <v>16.899999999999999</v>
      </c>
      <c r="M60" s="64">
        <v>101.6</v>
      </c>
      <c r="N60" s="64">
        <v>88.8</v>
      </c>
      <c r="O60" s="64">
        <v>0</v>
      </c>
      <c r="P60" s="64">
        <v>0.8</v>
      </c>
      <c r="Q60" s="64">
        <v>9.43</v>
      </c>
      <c r="R60" s="198"/>
      <c r="S60" s="198"/>
      <c r="T60" s="198"/>
      <c r="U60" s="198"/>
    </row>
    <row r="61" spans="1:21" s="12" customFormat="1" x14ac:dyDescent="0.25">
      <c r="A61" s="215" t="s">
        <v>300</v>
      </c>
      <c r="B61" s="210" t="s">
        <v>36</v>
      </c>
      <c r="C61" s="210" t="s">
        <v>36</v>
      </c>
      <c r="D61" s="210" t="s">
        <v>36</v>
      </c>
      <c r="E61" s="64">
        <v>7.02</v>
      </c>
      <c r="F61" s="64">
        <v>3.82</v>
      </c>
      <c r="G61" s="64">
        <v>74.25</v>
      </c>
      <c r="H61" s="64">
        <v>48.18</v>
      </c>
      <c r="I61" s="64">
        <v>8.49</v>
      </c>
      <c r="J61" s="64">
        <v>2.84</v>
      </c>
      <c r="K61" s="64">
        <v>115.56</v>
      </c>
      <c r="L61" s="64">
        <v>16.84</v>
      </c>
      <c r="M61" s="64">
        <v>102.89</v>
      </c>
      <c r="N61" s="64">
        <v>87.9</v>
      </c>
      <c r="O61" s="64">
        <v>0</v>
      </c>
      <c r="P61" s="64">
        <v>0.71</v>
      </c>
      <c r="Q61" s="64">
        <v>9.36</v>
      </c>
      <c r="R61" s="198"/>
      <c r="S61" s="198"/>
      <c r="T61" s="198"/>
      <c r="U61" s="198"/>
    </row>
    <row r="62" spans="1:21" s="12" customFormat="1" x14ac:dyDescent="0.25">
      <c r="A62" s="215" t="s">
        <v>301</v>
      </c>
      <c r="B62" s="210" t="s">
        <v>36</v>
      </c>
      <c r="C62" s="210" t="s">
        <v>36</v>
      </c>
      <c r="D62" s="210" t="s">
        <v>36</v>
      </c>
      <c r="E62" s="64">
        <v>7</v>
      </c>
      <c r="F62" s="64">
        <v>4.17</v>
      </c>
      <c r="G62" s="64">
        <v>74.25</v>
      </c>
      <c r="H62" s="64">
        <v>48.18</v>
      </c>
      <c r="I62" s="64">
        <v>8.64</v>
      </c>
      <c r="J62" s="64">
        <v>3.71</v>
      </c>
      <c r="K62" s="64">
        <v>109.38</v>
      </c>
      <c r="L62" s="64">
        <v>16.510000000000002</v>
      </c>
      <c r="M62" s="64">
        <v>103.58</v>
      </c>
      <c r="N62" s="64">
        <v>89.3</v>
      </c>
      <c r="O62" s="64">
        <v>0</v>
      </c>
      <c r="P62" s="64">
        <v>0.75</v>
      </c>
      <c r="Q62" s="64">
        <v>9.1999999999999993</v>
      </c>
      <c r="R62" s="198"/>
      <c r="S62" s="198"/>
      <c r="T62" s="198"/>
      <c r="U62" s="198"/>
    </row>
    <row r="63" spans="1:21" s="12" customFormat="1" x14ac:dyDescent="0.25">
      <c r="A63" s="215" t="s">
        <v>302</v>
      </c>
      <c r="B63" s="210" t="s">
        <v>36</v>
      </c>
      <c r="C63" s="210" t="s">
        <v>36</v>
      </c>
      <c r="D63" s="210" t="s">
        <v>36</v>
      </c>
      <c r="E63" s="64">
        <v>6.93</v>
      </c>
      <c r="F63" s="64">
        <v>3.49</v>
      </c>
      <c r="G63" s="64">
        <v>74.25</v>
      </c>
      <c r="H63" s="64">
        <v>48.18</v>
      </c>
      <c r="I63" s="64">
        <v>8.74</v>
      </c>
      <c r="J63" s="64">
        <v>3.31</v>
      </c>
      <c r="K63" s="64">
        <v>110.12</v>
      </c>
      <c r="L63" s="64">
        <v>16.28</v>
      </c>
      <c r="M63" s="64">
        <v>103.62</v>
      </c>
      <c r="N63" s="64">
        <v>101.6</v>
      </c>
      <c r="O63" s="64">
        <v>0</v>
      </c>
      <c r="P63" s="64">
        <v>0.74</v>
      </c>
      <c r="Q63" s="64">
        <v>8.99</v>
      </c>
      <c r="R63" s="198"/>
      <c r="S63" s="198"/>
      <c r="T63" s="198"/>
      <c r="U63" s="198"/>
    </row>
    <row r="64" spans="1:21" s="12" customFormat="1" x14ac:dyDescent="0.25">
      <c r="A64" s="215" t="s">
        <v>303</v>
      </c>
      <c r="B64" s="210" t="s">
        <v>36</v>
      </c>
      <c r="C64" s="210" t="s">
        <v>36</v>
      </c>
      <c r="D64" s="210" t="s">
        <v>36</v>
      </c>
      <c r="E64" s="64">
        <v>7.07</v>
      </c>
      <c r="F64" s="64">
        <v>3.96</v>
      </c>
      <c r="G64" s="64">
        <v>68.94</v>
      </c>
      <c r="H64" s="64">
        <v>42.47</v>
      </c>
      <c r="I64" s="64">
        <v>8.94</v>
      </c>
      <c r="J64" s="64">
        <v>1.55</v>
      </c>
      <c r="K64" s="64">
        <v>101.05</v>
      </c>
      <c r="L64" s="64">
        <v>16.100000000000001</v>
      </c>
      <c r="M64" s="64">
        <v>103.66</v>
      </c>
      <c r="N64" s="64">
        <v>78.599999999999994</v>
      </c>
      <c r="O64" s="64">
        <v>0</v>
      </c>
      <c r="P64" s="64">
        <v>0.73</v>
      </c>
      <c r="Q64" s="64">
        <v>8.66</v>
      </c>
      <c r="R64" s="198"/>
      <c r="S64" s="198"/>
      <c r="T64" s="198"/>
      <c r="U64" s="198"/>
    </row>
    <row r="65" spans="1:21" s="12" customFormat="1" x14ac:dyDescent="0.25">
      <c r="A65" s="215" t="s">
        <v>304</v>
      </c>
      <c r="B65" s="210" t="s">
        <v>36</v>
      </c>
      <c r="C65" s="210" t="s">
        <v>36</v>
      </c>
      <c r="D65" s="210" t="s">
        <v>36</v>
      </c>
      <c r="E65" s="64">
        <v>6.61</v>
      </c>
      <c r="F65" s="64">
        <v>4.0599999999999996</v>
      </c>
      <c r="G65" s="64">
        <v>64.88</v>
      </c>
      <c r="H65" s="64">
        <v>38.43</v>
      </c>
      <c r="I65" s="64">
        <v>9</v>
      </c>
      <c r="J65" s="64">
        <v>1.59</v>
      </c>
      <c r="K65" s="64">
        <v>100.71</v>
      </c>
      <c r="L65" s="64">
        <v>15.93</v>
      </c>
      <c r="M65" s="64">
        <v>103.72</v>
      </c>
      <c r="N65" s="64">
        <v>86.9</v>
      </c>
      <c r="O65" s="64">
        <v>0.4</v>
      </c>
      <c r="P65" s="64">
        <v>0.74</v>
      </c>
      <c r="Q65" s="64">
        <v>8.52</v>
      </c>
      <c r="R65" s="198"/>
      <c r="S65" s="198"/>
      <c r="T65" s="198"/>
      <c r="U65" s="198"/>
    </row>
    <row r="66" spans="1:21" s="12" customFormat="1" x14ac:dyDescent="0.25">
      <c r="A66" s="215" t="s">
        <v>305</v>
      </c>
      <c r="B66" s="210" t="s">
        <v>36</v>
      </c>
      <c r="C66" s="210" t="s">
        <v>36</v>
      </c>
      <c r="D66" s="210" t="s">
        <v>36</v>
      </c>
      <c r="E66" s="64">
        <v>6.86</v>
      </c>
      <c r="F66" s="64">
        <v>3.77</v>
      </c>
      <c r="G66" s="64">
        <v>64.88</v>
      </c>
      <c r="H66" s="64">
        <v>38.43</v>
      </c>
      <c r="I66" s="64">
        <v>8.68</v>
      </c>
      <c r="J66" s="64">
        <v>7.0000000000000007E-2</v>
      </c>
      <c r="K66" s="64">
        <v>270.02999999999997</v>
      </c>
      <c r="L66" s="64">
        <v>15.73</v>
      </c>
      <c r="M66" s="64">
        <v>103.72</v>
      </c>
      <c r="N66" s="64">
        <v>87.2</v>
      </c>
      <c r="O66" s="64">
        <v>0.4</v>
      </c>
      <c r="P66" s="64">
        <v>0.74</v>
      </c>
      <c r="Q66" s="64">
        <v>8.44</v>
      </c>
      <c r="R66" s="198"/>
      <c r="S66" s="198"/>
      <c r="T66" s="198"/>
      <c r="U66" s="198"/>
    </row>
    <row r="67" spans="1:21" s="12" customFormat="1" x14ac:dyDescent="0.25">
      <c r="A67" s="215" t="s">
        <v>306</v>
      </c>
      <c r="B67" s="210" t="s">
        <v>36</v>
      </c>
      <c r="C67" s="210" t="s">
        <v>36</v>
      </c>
      <c r="D67" s="210" t="s">
        <v>36</v>
      </c>
      <c r="E67" s="64">
        <v>7.09</v>
      </c>
      <c r="F67" s="64">
        <v>4.3</v>
      </c>
      <c r="G67" s="64">
        <v>64.88</v>
      </c>
      <c r="H67" s="64">
        <v>38.43</v>
      </c>
      <c r="I67" s="64">
        <v>8.7100000000000009</v>
      </c>
      <c r="J67" s="64">
        <v>0.83</v>
      </c>
      <c r="K67" s="64">
        <v>102.36</v>
      </c>
      <c r="L67" s="64">
        <v>15.65</v>
      </c>
      <c r="M67" s="64">
        <v>103.7</v>
      </c>
      <c r="N67" s="64">
        <v>71.400000000000006</v>
      </c>
      <c r="O67" s="64">
        <v>0</v>
      </c>
      <c r="P67" s="64">
        <v>0.74</v>
      </c>
      <c r="Q67" s="64">
        <v>8.52</v>
      </c>
      <c r="R67" s="198"/>
      <c r="S67" s="198"/>
      <c r="T67" s="198"/>
      <c r="U67" s="198"/>
    </row>
    <row r="68" spans="1:21" s="12" customFormat="1" x14ac:dyDescent="0.25">
      <c r="A68" s="215" t="s">
        <v>307</v>
      </c>
      <c r="B68" s="210" t="s">
        <v>36</v>
      </c>
      <c r="C68" s="210" t="s">
        <v>36</v>
      </c>
      <c r="D68" s="210" t="s">
        <v>36</v>
      </c>
      <c r="E68" s="64">
        <v>6.68</v>
      </c>
      <c r="F68" s="64">
        <v>3.94</v>
      </c>
      <c r="G68" s="64">
        <v>50.49</v>
      </c>
      <c r="H68" s="64">
        <v>25.94</v>
      </c>
      <c r="I68" s="64">
        <v>8.76</v>
      </c>
      <c r="J68" s="64">
        <v>0.49</v>
      </c>
      <c r="K68" s="64">
        <v>45.06</v>
      </c>
      <c r="L68" s="64">
        <v>15.53</v>
      </c>
      <c r="M68" s="64">
        <v>103.7</v>
      </c>
      <c r="N68" s="64">
        <v>72.400000000000006</v>
      </c>
      <c r="O68" s="64">
        <v>0.4</v>
      </c>
      <c r="P68" s="64">
        <v>0.72</v>
      </c>
      <c r="Q68" s="64">
        <v>8.59</v>
      </c>
      <c r="R68" s="198"/>
      <c r="S68" s="198"/>
      <c r="T68" s="198"/>
      <c r="U68" s="198"/>
    </row>
    <row r="69" spans="1:21" s="12" customFormat="1" x14ac:dyDescent="0.25">
      <c r="A69" s="215" t="s">
        <v>308</v>
      </c>
      <c r="B69" s="210" t="s">
        <v>36</v>
      </c>
      <c r="C69" s="210" t="s">
        <v>36</v>
      </c>
      <c r="D69" s="210" t="s">
        <v>36</v>
      </c>
      <c r="E69" s="64">
        <v>6.4</v>
      </c>
      <c r="F69" s="64">
        <v>3.69</v>
      </c>
      <c r="G69" s="64">
        <v>39.479999999999997</v>
      </c>
      <c r="H69" s="64">
        <v>21.6</v>
      </c>
      <c r="I69" s="64">
        <v>8.68</v>
      </c>
      <c r="J69" s="64">
        <v>0.55000000000000004</v>
      </c>
      <c r="K69" s="64">
        <v>70.22</v>
      </c>
      <c r="L69" s="64">
        <v>15.56</v>
      </c>
      <c r="M69" s="64">
        <v>103.69</v>
      </c>
      <c r="N69" s="64">
        <v>75.599999999999994</v>
      </c>
      <c r="O69" s="64">
        <v>0</v>
      </c>
      <c r="P69" s="64">
        <v>0.73</v>
      </c>
      <c r="Q69" s="64">
        <v>8.64</v>
      </c>
      <c r="R69" s="198"/>
      <c r="S69" s="198"/>
      <c r="T69" s="198"/>
      <c r="U69" s="198"/>
    </row>
    <row r="70" spans="1:21" s="12" customFormat="1" x14ac:dyDescent="0.25">
      <c r="A70" s="215" t="s">
        <v>309</v>
      </c>
      <c r="B70" s="210" t="s">
        <v>36</v>
      </c>
      <c r="C70" s="210" t="s">
        <v>36</v>
      </c>
      <c r="D70" s="210" t="s">
        <v>36</v>
      </c>
      <c r="E70" s="64">
        <v>6.49</v>
      </c>
      <c r="F70" s="64">
        <v>3.53</v>
      </c>
      <c r="G70" s="64">
        <v>39.479999999999997</v>
      </c>
      <c r="H70" s="64">
        <v>21.6</v>
      </c>
      <c r="I70" s="64">
        <v>8.44</v>
      </c>
      <c r="J70" s="64">
        <v>1.2</v>
      </c>
      <c r="K70" s="64">
        <v>97.39</v>
      </c>
      <c r="L70" s="64">
        <v>15.58</v>
      </c>
      <c r="M70" s="64">
        <v>103.69</v>
      </c>
      <c r="N70" s="64">
        <v>87</v>
      </c>
      <c r="O70" s="64">
        <v>0.2</v>
      </c>
      <c r="P70" s="64">
        <v>0.72</v>
      </c>
      <c r="Q70" s="64">
        <v>8.69</v>
      </c>
      <c r="R70" s="198"/>
      <c r="S70" s="198"/>
      <c r="T70" s="198"/>
      <c r="U70" s="198"/>
    </row>
    <row r="71" spans="1:21" s="12" customFormat="1" x14ac:dyDescent="0.25">
      <c r="A71" s="215" t="s">
        <v>310</v>
      </c>
      <c r="B71" s="210" t="s">
        <v>36</v>
      </c>
      <c r="C71" s="210" t="s">
        <v>36</v>
      </c>
      <c r="D71" s="210" t="s">
        <v>36</v>
      </c>
      <c r="E71" s="64">
        <v>6.09</v>
      </c>
      <c r="F71" s="64">
        <v>3.55</v>
      </c>
      <c r="G71" s="64">
        <v>39.479999999999997</v>
      </c>
      <c r="H71" s="64">
        <v>21.6</v>
      </c>
      <c r="I71" s="64">
        <v>8.25</v>
      </c>
      <c r="J71" s="64">
        <v>3.71</v>
      </c>
      <c r="K71" s="64">
        <v>109.51</v>
      </c>
      <c r="L71" s="64">
        <v>15.54</v>
      </c>
      <c r="M71" s="64">
        <v>103.71</v>
      </c>
      <c r="N71" s="64">
        <v>98.8</v>
      </c>
      <c r="O71" s="64">
        <v>0</v>
      </c>
      <c r="P71" s="64">
        <v>0.72</v>
      </c>
      <c r="Q71" s="64">
        <v>8.69</v>
      </c>
      <c r="R71" s="198"/>
      <c r="S71" s="198"/>
      <c r="T71" s="198"/>
      <c r="U71" s="198"/>
    </row>
    <row r="72" spans="1:21" s="12" customFormat="1" x14ac:dyDescent="0.25">
      <c r="A72" s="215" t="s">
        <v>311</v>
      </c>
      <c r="B72" s="210" t="s">
        <v>36</v>
      </c>
      <c r="C72" s="210" t="s">
        <v>36</v>
      </c>
      <c r="D72" s="210" t="s">
        <v>36</v>
      </c>
      <c r="E72" s="64">
        <v>3.96</v>
      </c>
      <c r="F72" s="64">
        <v>3.77</v>
      </c>
      <c r="G72" s="64">
        <v>39.630000000000003</v>
      </c>
      <c r="H72" s="64">
        <v>22.25</v>
      </c>
      <c r="I72" s="64">
        <v>8.39</v>
      </c>
      <c r="J72" s="64">
        <v>1.52</v>
      </c>
      <c r="K72" s="64">
        <v>99.27</v>
      </c>
      <c r="L72" s="64">
        <v>15.53</v>
      </c>
      <c r="M72" s="64">
        <v>103.74</v>
      </c>
      <c r="N72" s="64">
        <v>69.5</v>
      </c>
      <c r="O72" s="64">
        <v>0</v>
      </c>
      <c r="P72" s="64">
        <v>0.71</v>
      </c>
      <c r="Q72" s="64">
        <v>8.6</v>
      </c>
      <c r="R72" s="198"/>
      <c r="S72" s="198"/>
      <c r="T72" s="198"/>
      <c r="U72" s="198"/>
    </row>
    <row r="73" spans="1:21" s="12" customFormat="1" x14ac:dyDescent="0.25">
      <c r="A73" s="215" t="s">
        <v>312</v>
      </c>
      <c r="B73" s="210" t="s">
        <v>36</v>
      </c>
      <c r="C73" s="210" t="s">
        <v>36</v>
      </c>
      <c r="D73" s="210" t="s">
        <v>36</v>
      </c>
      <c r="E73" s="64">
        <v>3.91</v>
      </c>
      <c r="F73" s="64">
        <v>3.55</v>
      </c>
      <c r="G73" s="64">
        <v>39.74</v>
      </c>
      <c r="H73" s="64">
        <v>22.48</v>
      </c>
      <c r="I73" s="64">
        <v>8.86</v>
      </c>
      <c r="J73" s="64">
        <v>1.52</v>
      </c>
      <c r="K73" s="64">
        <v>99.58</v>
      </c>
      <c r="L73" s="64">
        <v>15.53</v>
      </c>
      <c r="M73" s="64">
        <v>103.75</v>
      </c>
      <c r="N73" s="64">
        <v>53.4</v>
      </c>
      <c r="O73" s="64">
        <v>0</v>
      </c>
      <c r="P73" s="64">
        <v>0.71</v>
      </c>
      <c r="Q73" s="64">
        <v>8.49</v>
      </c>
      <c r="R73" s="198"/>
      <c r="S73" s="198"/>
      <c r="T73" s="198"/>
      <c r="U73" s="198"/>
    </row>
    <row r="74" spans="1:21" s="12" customFormat="1" x14ac:dyDescent="0.25">
      <c r="A74" s="215" t="s">
        <v>313</v>
      </c>
      <c r="B74" s="210" t="s">
        <v>36</v>
      </c>
      <c r="C74" s="210" t="s">
        <v>36</v>
      </c>
      <c r="D74" s="210" t="s">
        <v>36</v>
      </c>
      <c r="E74" s="64">
        <v>3.72</v>
      </c>
      <c r="F74" s="64">
        <v>4.08</v>
      </c>
      <c r="G74" s="64">
        <v>39.74</v>
      </c>
      <c r="H74" s="64">
        <v>22.48</v>
      </c>
      <c r="I74" s="64">
        <v>9.1300000000000008</v>
      </c>
      <c r="J74" s="64">
        <v>2.02</v>
      </c>
      <c r="K74" s="64">
        <v>111.5</v>
      </c>
      <c r="L74" s="64">
        <v>15.54</v>
      </c>
      <c r="M74" s="64">
        <v>103.77</v>
      </c>
      <c r="N74" s="64">
        <v>45.5</v>
      </c>
      <c r="O74" s="64">
        <v>0</v>
      </c>
      <c r="P74" s="64">
        <v>0.71</v>
      </c>
      <c r="Q74" s="64">
        <v>8.35</v>
      </c>
      <c r="R74" s="198"/>
      <c r="S74" s="198"/>
      <c r="T74" s="198"/>
      <c r="U74" s="198"/>
    </row>
    <row r="75" spans="1:21" s="12" customFormat="1" x14ac:dyDescent="0.25">
      <c r="A75" s="215" t="s">
        <v>314</v>
      </c>
      <c r="B75" s="210" t="s">
        <v>36</v>
      </c>
      <c r="C75" s="210" t="s">
        <v>36</v>
      </c>
      <c r="D75" s="210" t="s">
        <v>36</v>
      </c>
      <c r="E75" s="64">
        <v>3.43</v>
      </c>
      <c r="F75" s="64">
        <v>3.51</v>
      </c>
      <c r="G75" s="64">
        <v>39.74</v>
      </c>
      <c r="H75" s="64">
        <v>22.48</v>
      </c>
      <c r="I75" s="64">
        <v>9.0399999999999991</v>
      </c>
      <c r="J75" s="64">
        <v>3.48</v>
      </c>
      <c r="K75" s="64">
        <v>114.7</v>
      </c>
      <c r="L75" s="64">
        <v>15.58</v>
      </c>
      <c r="M75" s="64">
        <v>103.79</v>
      </c>
      <c r="N75" s="64">
        <v>42.9</v>
      </c>
      <c r="O75" s="64">
        <v>0</v>
      </c>
      <c r="P75" s="64">
        <v>0.7</v>
      </c>
      <c r="Q75" s="64">
        <v>8.34</v>
      </c>
      <c r="R75" s="198"/>
      <c r="S75" s="198"/>
      <c r="T75" s="198"/>
      <c r="U75" s="198"/>
    </row>
    <row r="76" spans="1:21" s="12" customFormat="1" x14ac:dyDescent="0.25">
      <c r="A76" s="215" t="s">
        <v>315</v>
      </c>
      <c r="B76" s="210" t="s">
        <v>36</v>
      </c>
      <c r="C76" s="210" t="s">
        <v>36</v>
      </c>
      <c r="D76" s="210" t="s">
        <v>36</v>
      </c>
      <c r="E76" s="64">
        <v>3.58</v>
      </c>
      <c r="F76" s="64">
        <v>4.1399999999999997</v>
      </c>
      <c r="G76" s="64">
        <v>31.56</v>
      </c>
      <c r="H76" s="64">
        <v>23.11</v>
      </c>
      <c r="I76" s="64">
        <v>8.91</v>
      </c>
      <c r="J76" s="64">
        <v>4.0999999999999996</v>
      </c>
      <c r="K76" s="64">
        <v>114.71</v>
      </c>
      <c r="L76" s="64">
        <v>15.59</v>
      </c>
      <c r="M76" s="64">
        <v>103.8</v>
      </c>
      <c r="N76" s="64">
        <v>41</v>
      </c>
      <c r="O76" s="64">
        <v>0</v>
      </c>
      <c r="P76" s="64">
        <v>0.69</v>
      </c>
      <c r="Q76" s="64">
        <v>8.26</v>
      </c>
      <c r="R76" s="198"/>
      <c r="S76" s="198"/>
      <c r="T76" s="198"/>
      <c r="U76" s="198"/>
    </row>
    <row r="77" spans="1:21" s="12" customFormat="1" x14ac:dyDescent="0.25">
      <c r="A77" s="215" t="s">
        <v>316</v>
      </c>
      <c r="B77" s="210" t="s">
        <v>36</v>
      </c>
      <c r="C77" s="210" t="s">
        <v>36</v>
      </c>
      <c r="D77" s="210" t="s">
        <v>36</v>
      </c>
      <c r="E77" s="64">
        <v>3.87</v>
      </c>
      <c r="F77" s="64">
        <v>3.44</v>
      </c>
      <c r="G77" s="64">
        <v>25.31</v>
      </c>
      <c r="H77" s="64">
        <v>23.33</v>
      </c>
      <c r="I77" s="64">
        <v>8.89</v>
      </c>
      <c r="J77" s="64">
        <v>3.96</v>
      </c>
      <c r="K77" s="64">
        <v>113.54</v>
      </c>
      <c r="L77" s="64">
        <v>15.58</v>
      </c>
      <c r="M77" s="64">
        <v>103.81</v>
      </c>
      <c r="N77" s="64">
        <v>37.9</v>
      </c>
      <c r="O77" s="64">
        <v>0.2</v>
      </c>
      <c r="P77" s="64">
        <v>0.68</v>
      </c>
      <c r="Q77" s="64">
        <v>8.27</v>
      </c>
      <c r="R77" s="198"/>
      <c r="S77" s="198"/>
      <c r="T77" s="198"/>
      <c r="U77" s="198"/>
    </row>
    <row r="78" spans="1:21" s="12" customFormat="1" x14ac:dyDescent="0.25">
      <c r="A78" s="215" t="s">
        <v>317</v>
      </c>
      <c r="B78" s="210" t="s">
        <v>36</v>
      </c>
      <c r="C78" s="210" t="s">
        <v>36</v>
      </c>
      <c r="D78" s="210" t="s">
        <v>36</v>
      </c>
      <c r="E78" s="64">
        <v>3.27</v>
      </c>
      <c r="F78" s="64">
        <v>4.1500000000000004</v>
      </c>
      <c r="G78" s="64">
        <v>25.31</v>
      </c>
      <c r="H78" s="64">
        <v>23.33</v>
      </c>
      <c r="I78" s="64">
        <v>9.01</v>
      </c>
      <c r="J78" s="64">
        <v>3.54</v>
      </c>
      <c r="K78" s="64">
        <v>117.78</v>
      </c>
      <c r="L78" s="64">
        <v>15.52</v>
      </c>
      <c r="M78" s="64">
        <v>103.8</v>
      </c>
      <c r="N78" s="64">
        <v>35.9</v>
      </c>
      <c r="O78" s="64">
        <v>0</v>
      </c>
      <c r="P78" s="64">
        <v>0.67</v>
      </c>
      <c r="Q78" s="64">
        <v>8.2100000000000009</v>
      </c>
      <c r="R78" s="198"/>
      <c r="S78" s="198"/>
      <c r="T78" s="198"/>
      <c r="U78" s="198"/>
    </row>
    <row r="79" spans="1:21" s="12" customFormat="1" x14ac:dyDescent="0.25">
      <c r="A79" s="215" t="s">
        <v>318</v>
      </c>
      <c r="B79" s="210" t="s">
        <v>36</v>
      </c>
      <c r="C79" s="210" t="s">
        <v>36</v>
      </c>
      <c r="D79" s="210" t="s">
        <v>36</v>
      </c>
      <c r="E79" s="64">
        <v>3.44</v>
      </c>
      <c r="F79" s="64">
        <v>3.38</v>
      </c>
      <c r="G79" s="64">
        <v>25.31</v>
      </c>
      <c r="H79" s="64">
        <v>23.33</v>
      </c>
      <c r="I79" s="64">
        <v>9.06</v>
      </c>
      <c r="J79" s="64">
        <v>3.34</v>
      </c>
      <c r="K79" s="64">
        <v>106.92</v>
      </c>
      <c r="L79" s="64">
        <v>15.51</v>
      </c>
      <c r="M79" s="64">
        <v>103.82</v>
      </c>
      <c r="N79" s="64">
        <v>35.4</v>
      </c>
      <c r="O79" s="64">
        <v>0</v>
      </c>
      <c r="P79" s="64">
        <v>0.66</v>
      </c>
      <c r="Q79" s="64">
        <v>8.2100000000000009</v>
      </c>
      <c r="R79" s="198"/>
      <c r="S79" s="198"/>
      <c r="T79" s="198"/>
      <c r="U79" s="198"/>
    </row>
    <row r="80" spans="1:21" s="12" customFormat="1" x14ac:dyDescent="0.25">
      <c r="A80" s="215" t="s">
        <v>319</v>
      </c>
      <c r="B80" s="210" t="s">
        <v>36</v>
      </c>
      <c r="C80" s="210" t="s">
        <v>36</v>
      </c>
      <c r="D80" s="210" t="s">
        <v>36</v>
      </c>
      <c r="E80" s="64">
        <v>3.6</v>
      </c>
      <c r="F80" s="64">
        <v>3.33</v>
      </c>
      <c r="G80" s="64">
        <v>30.69</v>
      </c>
      <c r="H80" s="64">
        <v>14.91</v>
      </c>
      <c r="I80" s="64">
        <v>9.11</v>
      </c>
      <c r="J80" s="64">
        <v>2.12</v>
      </c>
      <c r="K80" s="64">
        <v>99</v>
      </c>
      <c r="L80" s="64">
        <v>15.54</v>
      </c>
      <c r="M80" s="64">
        <v>103.86</v>
      </c>
      <c r="N80" s="64">
        <v>35.299999999999997</v>
      </c>
      <c r="O80" s="64">
        <v>0</v>
      </c>
      <c r="P80" s="64">
        <v>0.64</v>
      </c>
      <c r="Q80" s="64">
        <v>8.2100000000000009</v>
      </c>
      <c r="R80" s="198"/>
      <c r="S80" s="198"/>
      <c r="T80" s="198"/>
      <c r="U80" s="198"/>
    </row>
    <row r="81" spans="1:26" s="12" customFormat="1" x14ac:dyDescent="0.25">
      <c r="A81" s="215" t="s">
        <v>320</v>
      </c>
      <c r="B81" s="210" t="s">
        <v>36</v>
      </c>
      <c r="C81" s="210" t="s">
        <v>36</v>
      </c>
      <c r="D81" s="210" t="s">
        <v>36</v>
      </c>
      <c r="E81" s="64">
        <v>3.7</v>
      </c>
      <c r="F81" s="64">
        <v>3.62</v>
      </c>
      <c r="G81" s="64">
        <v>34.81</v>
      </c>
      <c r="H81" s="64">
        <v>9.5299999999999994</v>
      </c>
      <c r="I81" s="64">
        <v>9.1</v>
      </c>
      <c r="J81" s="64">
        <v>2.36</v>
      </c>
      <c r="K81" s="64">
        <v>111.5</v>
      </c>
      <c r="L81" s="64">
        <v>15.59</v>
      </c>
      <c r="M81" s="64">
        <v>103.87</v>
      </c>
      <c r="N81" s="64">
        <v>35.4</v>
      </c>
      <c r="O81" s="64">
        <v>0</v>
      </c>
      <c r="P81" s="64">
        <v>0.64</v>
      </c>
      <c r="Q81" s="64">
        <v>8.2100000000000009</v>
      </c>
      <c r="R81" s="198"/>
      <c r="S81" s="198"/>
      <c r="T81" s="198"/>
      <c r="U81" s="198"/>
    </row>
    <row r="82" spans="1:26" s="12" customFormat="1" x14ac:dyDescent="0.25">
      <c r="A82" s="215" t="s">
        <v>321</v>
      </c>
      <c r="B82" s="210" t="s">
        <v>36</v>
      </c>
      <c r="C82" s="210" t="s">
        <v>36</v>
      </c>
      <c r="D82" s="210" t="s">
        <v>36</v>
      </c>
      <c r="E82" s="64">
        <v>3.06</v>
      </c>
      <c r="F82" s="64">
        <v>2.9</v>
      </c>
      <c r="G82" s="64">
        <v>34.81</v>
      </c>
      <c r="H82" s="64">
        <v>9.5299999999999994</v>
      </c>
      <c r="I82" s="64">
        <v>8.66</v>
      </c>
      <c r="J82" s="64">
        <v>2.94</v>
      </c>
      <c r="K82" s="64">
        <v>111.77</v>
      </c>
      <c r="L82" s="64">
        <v>15.65</v>
      </c>
      <c r="M82" s="64">
        <v>103.87</v>
      </c>
      <c r="N82" s="64">
        <v>35.6</v>
      </c>
      <c r="O82" s="64">
        <v>0</v>
      </c>
      <c r="P82" s="64">
        <v>0.64</v>
      </c>
      <c r="Q82" s="64">
        <v>8.2100000000000009</v>
      </c>
      <c r="R82" s="198"/>
      <c r="S82" s="198"/>
      <c r="T82" s="198"/>
      <c r="U82" s="198"/>
    </row>
    <row r="83" spans="1:26" s="12" customFormat="1" x14ac:dyDescent="0.25">
      <c r="A83" s="215" t="s">
        <v>322</v>
      </c>
      <c r="B83" s="210" t="s">
        <v>36</v>
      </c>
      <c r="C83" s="210" t="s">
        <v>36</v>
      </c>
      <c r="D83" s="210" t="s">
        <v>36</v>
      </c>
      <c r="E83" s="64">
        <v>3.53</v>
      </c>
      <c r="F83" s="64">
        <v>3.33</v>
      </c>
      <c r="G83" s="64">
        <v>34.81</v>
      </c>
      <c r="H83" s="64">
        <v>9.5299999999999994</v>
      </c>
      <c r="I83" s="64">
        <v>8.76</v>
      </c>
      <c r="J83" s="64">
        <v>2.42</v>
      </c>
      <c r="K83" s="64">
        <v>110.52</v>
      </c>
      <c r="L83" s="64">
        <v>15.7</v>
      </c>
      <c r="M83" s="64">
        <v>103.87</v>
      </c>
      <c r="N83" s="64">
        <v>35.5</v>
      </c>
      <c r="O83" s="64">
        <v>0</v>
      </c>
      <c r="P83" s="64">
        <v>0.63</v>
      </c>
      <c r="Q83" s="64">
        <v>8.2100000000000009</v>
      </c>
      <c r="R83" s="198"/>
      <c r="S83" s="198"/>
      <c r="T83" s="198"/>
      <c r="U83" s="198"/>
    </row>
    <row r="84" spans="1:26" s="12" customFormat="1" x14ac:dyDescent="0.25">
      <c r="A84" s="215" t="s">
        <v>323</v>
      </c>
      <c r="B84" s="210" t="s">
        <v>36</v>
      </c>
      <c r="C84" s="210" t="s">
        <v>36</v>
      </c>
      <c r="D84" s="210" t="s">
        <v>36</v>
      </c>
      <c r="E84" s="64">
        <v>3.61</v>
      </c>
      <c r="F84" s="64">
        <v>3.14</v>
      </c>
      <c r="G84" s="64">
        <v>27.94</v>
      </c>
      <c r="H84" s="64">
        <v>13.87</v>
      </c>
      <c r="I84" s="64">
        <v>8.7200000000000006</v>
      </c>
      <c r="J84" s="64">
        <v>2.31</v>
      </c>
      <c r="K84" s="64">
        <v>101.41</v>
      </c>
      <c r="L84" s="64">
        <v>15.76</v>
      </c>
      <c r="M84" s="64">
        <v>103.85</v>
      </c>
      <c r="N84" s="64">
        <v>35.4</v>
      </c>
      <c r="O84" s="64">
        <v>0</v>
      </c>
      <c r="P84" s="64">
        <v>0.62</v>
      </c>
      <c r="Q84" s="64">
        <v>8.2100000000000009</v>
      </c>
      <c r="R84" s="198"/>
      <c r="S84" s="198"/>
      <c r="T84" s="198"/>
      <c r="U84" s="198"/>
    </row>
    <row r="85" spans="1:26" s="12" customFormat="1" x14ac:dyDescent="0.25">
      <c r="A85" s="215" t="s">
        <v>324</v>
      </c>
      <c r="B85" s="210" t="s">
        <v>36</v>
      </c>
      <c r="C85" s="210" t="s">
        <v>36</v>
      </c>
      <c r="D85" s="210" t="s">
        <v>36</v>
      </c>
      <c r="E85" s="64">
        <v>3.5</v>
      </c>
      <c r="F85" s="64">
        <v>3.48</v>
      </c>
      <c r="G85" s="64">
        <v>22.68</v>
      </c>
      <c r="H85" s="64">
        <v>15.37</v>
      </c>
      <c r="I85" s="64">
        <v>8.66</v>
      </c>
      <c r="J85" s="64">
        <v>1.71</v>
      </c>
      <c r="K85" s="64">
        <v>110.6</v>
      </c>
      <c r="L85" s="64">
        <v>15.75</v>
      </c>
      <c r="M85" s="64">
        <v>103.69</v>
      </c>
      <c r="N85" s="64">
        <v>35.4</v>
      </c>
      <c r="O85" s="64">
        <v>0</v>
      </c>
      <c r="P85" s="64">
        <v>0.63</v>
      </c>
      <c r="Q85" s="64">
        <v>8.2100000000000009</v>
      </c>
      <c r="R85" s="198"/>
      <c r="S85" s="198"/>
      <c r="T85" s="198"/>
      <c r="U85" s="198"/>
    </row>
    <row r="86" spans="1:26" s="12" customFormat="1" x14ac:dyDescent="0.25">
      <c r="A86" s="215" t="s">
        <v>325</v>
      </c>
      <c r="B86" s="210" t="s">
        <v>36</v>
      </c>
      <c r="C86" s="210" t="s">
        <v>36</v>
      </c>
      <c r="D86" s="210" t="s">
        <v>36</v>
      </c>
      <c r="E86" s="64">
        <v>3.7</v>
      </c>
      <c r="F86" s="64">
        <v>3.31</v>
      </c>
      <c r="G86" s="64">
        <v>22.68</v>
      </c>
      <c r="H86" s="64">
        <v>15.37</v>
      </c>
      <c r="I86" s="64">
        <v>8.81</v>
      </c>
      <c r="J86" s="64">
        <v>1.05</v>
      </c>
      <c r="K86" s="64">
        <v>78.510000000000005</v>
      </c>
      <c r="L86" s="64">
        <v>15.76</v>
      </c>
      <c r="M86" s="64">
        <v>103.17</v>
      </c>
      <c r="N86" s="64">
        <v>35.200000000000003</v>
      </c>
      <c r="O86" s="64">
        <v>0</v>
      </c>
      <c r="P86" s="64">
        <v>0.65</v>
      </c>
      <c r="Q86" s="64">
        <v>8.2100000000000009</v>
      </c>
      <c r="R86" s="198"/>
      <c r="S86" s="198"/>
      <c r="T86" s="198"/>
      <c r="U86" s="198"/>
    </row>
    <row r="87" spans="1:26" s="12" customFormat="1" x14ac:dyDescent="0.25">
      <c r="A87" s="215" t="s">
        <v>326</v>
      </c>
      <c r="B87" s="210" t="s">
        <v>36</v>
      </c>
      <c r="C87" s="210" t="s">
        <v>36</v>
      </c>
      <c r="D87" s="210" t="s">
        <v>36</v>
      </c>
      <c r="E87" s="64">
        <v>3.91</v>
      </c>
      <c r="F87" s="64">
        <v>3.27</v>
      </c>
      <c r="G87" s="64">
        <v>22.68</v>
      </c>
      <c r="H87" s="64">
        <v>15.37</v>
      </c>
      <c r="I87" s="64">
        <v>8.61</v>
      </c>
      <c r="J87" s="64">
        <v>1.01</v>
      </c>
      <c r="K87" s="64">
        <v>68.099999999999994</v>
      </c>
      <c r="L87" s="64">
        <v>15.77</v>
      </c>
      <c r="M87" s="64">
        <v>103.3</v>
      </c>
      <c r="N87" s="64">
        <v>35.299999999999997</v>
      </c>
      <c r="O87" s="64">
        <v>0</v>
      </c>
      <c r="P87" s="64">
        <v>0.63</v>
      </c>
      <c r="Q87" s="64">
        <v>8.2100000000000009</v>
      </c>
      <c r="R87" s="198"/>
      <c r="S87" s="198"/>
      <c r="T87" s="198"/>
      <c r="U87" s="198"/>
    </row>
    <row r="88" spans="1:26" s="12" customFormat="1" x14ac:dyDescent="0.25">
      <c r="A88" s="215" t="s">
        <v>327</v>
      </c>
      <c r="B88" s="210" t="s">
        <v>36</v>
      </c>
      <c r="C88" s="210" t="s">
        <v>36</v>
      </c>
      <c r="D88" s="210" t="s">
        <v>36</v>
      </c>
      <c r="E88" s="64">
        <v>3.91</v>
      </c>
      <c r="F88" s="64">
        <v>3.82</v>
      </c>
      <c r="G88" s="64">
        <v>21.38</v>
      </c>
      <c r="H88" s="64">
        <v>13.03</v>
      </c>
      <c r="I88" s="64">
        <v>8.44</v>
      </c>
      <c r="J88" s="64">
        <v>1.25</v>
      </c>
      <c r="K88" s="64">
        <v>353.24</v>
      </c>
      <c r="L88" s="64">
        <v>15.78</v>
      </c>
      <c r="M88" s="64">
        <v>103.43</v>
      </c>
      <c r="N88" s="64">
        <v>35.200000000000003</v>
      </c>
      <c r="O88" s="64">
        <v>0</v>
      </c>
      <c r="P88" s="64">
        <v>0.64</v>
      </c>
      <c r="Q88" s="64">
        <v>8.2100000000000009</v>
      </c>
      <c r="R88" s="198"/>
      <c r="S88" s="198"/>
      <c r="T88" s="198"/>
      <c r="U88" s="198"/>
    </row>
    <row r="89" spans="1:26" s="12" customFormat="1" x14ac:dyDescent="0.25">
      <c r="A89" s="215" t="s">
        <v>328</v>
      </c>
      <c r="B89" s="210" t="s">
        <v>36</v>
      </c>
      <c r="C89" s="210" t="s">
        <v>36</v>
      </c>
      <c r="D89" s="210" t="s">
        <v>36</v>
      </c>
      <c r="E89" s="64">
        <v>3.81</v>
      </c>
      <c r="F89" s="64">
        <v>3.57</v>
      </c>
      <c r="G89" s="64">
        <v>20.38</v>
      </c>
      <c r="H89" s="64">
        <v>12.22</v>
      </c>
      <c r="I89" s="64">
        <v>8.1</v>
      </c>
      <c r="J89" s="64">
        <v>0.79</v>
      </c>
      <c r="K89" s="64">
        <v>64.67</v>
      </c>
      <c r="L89" s="64">
        <v>15.78</v>
      </c>
      <c r="M89" s="64">
        <v>103.48</v>
      </c>
      <c r="N89" s="64">
        <v>35.299999999999997</v>
      </c>
      <c r="O89" s="64">
        <v>0.2</v>
      </c>
      <c r="P89" s="64">
        <v>0.65</v>
      </c>
      <c r="Q89" s="64">
        <v>8.2799999999999994</v>
      </c>
      <c r="R89" s="198"/>
      <c r="S89" s="198"/>
      <c r="T89" s="198"/>
      <c r="U89" s="198"/>
    </row>
    <row r="90" spans="1:26" s="12" customFormat="1" x14ac:dyDescent="0.25">
      <c r="A90" s="215" t="s">
        <v>329</v>
      </c>
      <c r="B90" s="210" t="s">
        <v>36</v>
      </c>
      <c r="C90" s="210" t="s">
        <v>36</v>
      </c>
      <c r="D90" s="210" t="s">
        <v>36</v>
      </c>
      <c r="E90" s="64">
        <v>3.47</v>
      </c>
      <c r="F90" s="64">
        <v>3.87</v>
      </c>
      <c r="G90" s="64">
        <v>20.38</v>
      </c>
      <c r="H90" s="64">
        <v>12.22</v>
      </c>
      <c r="I90" s="64">
        <v>8.5399999999999991</v>
      </c>
      <c r="J90" s="64">
        <v>3.88</v>
      </c>
      <c r="K90" s="64">
        <v>113.08</v>
      </c>
      <c r="L90" s="64">
        <v>15.69</v>
      </c>
      <c r="M90" s="64">
        <v>103.72</v>
      </c>
      <c r="N90" s="64">
        <v>35.5</v>
      </c>
      <c r="O90" s="64">
        <v>0</v>
      </c>
      <c r="P90" s="64">
        <v>0.65</v>
      </c>
      <c r="Q90" s="64">
        <v>8.42</v>
      </c>
      <c r="R90" s="198"/>
      <c r="S90" s="198"/>
      <c r="T90" s="198"/>
      <c r="U90" s="198"/>
    </row>
    <row r="91" spans="1:26" s="12" customFormat="1" x14ac:dyDescent="0.25">
      <c r="A91" s="215" t="s">
        <v>330</v>
      </c>
      <c r="B91" s="210" t="s">
        <v>36</v>
      </c>
      <c r="C91" s="210" t="s">
        <v>36</v>
      </c>
      <c r="D91" s="210" t="s">
        <v>36</v>
      </c>
      <c r="E91" s="64">
        <v>3.88</v>
      </c>
      <c r="F91" s="64">
        <v>4.0599999999999996</v>
      </c>
      <c r="G91" s="64">
        <v>20.38</v>
      </c>
      <c r="H91" s="64">
        <v>12.22</v>
      </c>
      <c r="I91" s="64">
        <v>8.31</v>
      </c>
      <c r="J91" s="64">
        <v>4.12</v>
      </c>
      <c r="K91" s="64">
        <v>105.22</v>
      </c>
      <c r="L91" s="64">
        <v>15.75</v>
      </c>
      <c r="M91" s="64">
        <v>103.58</v>
      </c>
      <c r="N91" s="64">
        <v>35.4</v>
      </c>
      <c r="O91" s="64">
        <v>0</v>
      </c>
      <c r="P91" s="64">
        <v>0.66</v>
      </c>
      <c r="Q91" s="64">
        <v>8.39</v>
      </c>
      <c r="R91" s="198"/>
      <c r="S91" s="198"/>
      <c r="T91" s="198"/>
      <c r="U91" s="198"/>
    </row>
    <row r="92" spans="1:26" s="12" customFormat="1" x14ac:dyDescent="0.25">
      <c r="A92" s="215" t="s">
        <v>331</v>
      </c>
      <c r="B92" s="210" t="s">
        <v>36</v>
      </c>
      <c r="C92" s="210" t="s">
        <v>36</v>
      </c>
      <c r="D92" s="210" t="s">
        <v>36</v>
      </c>
      <c r="E92" s="64">
        <v>3.32</v>
      </c>
      <c r="F92" s="64">
        <v>3.31</v>
      </c>
      <c r="G92" s="64">
        <v>19.940000000000001</v>
      </c>
      <c r="H92" s="64">
        <v>9.73</v>
      </c>
      <c r="I92" s="64">
        <v>8.3000000000000007</v>
      </c>
      <c r="J92" s="64">
        <v>4.04</v>
      </c>
      <c r="K92" s="64">
        <v>111.76</v>
      </c>
      <c r="L92" s="64">
        <v>15.78</v>
      </c>
      <c r="M92" s="64">
        <v>103.49</v>
      </c>
      <c r="N92" s="64">
        <v>35.4</v>
      </c>
      <c r="O92" s="64">
        <v>0</v>
      </c>
      <c r="P92" s="64">
        <v>0.64</v>
      </c>
      <c r="Q92" s="64">
        <v>8.4</v>
      </c>
      <c r="R92" s="198"/>
      <c r="S92" s="198"/>
      <c r="T92" s="198"/>
      <c r="U92" s="198"/>
    </row>
    <row r="93" spans="1:26" s="12" customFormat="1" x14ac:dyDescent="0.25">
      <c r="A93" s="215" t="s">
        <v>332</v>
      </c>
      <c r="B93" s="210" t="s">
        <v>36</v>
      </c>
      <c r="C93" s="210" t="s">
        <v>36</v>
      </c>
      <c r="D93" s="210" t="s">
        <v>36</v>
      </c>
      <c r="E93" s="64">
        <v>3.3</v>
      </c>
      <c r="F93" s="64">
        <v>3.99</v>
      </c>
      <c r="G93" s="64">
        <v>19.600000000000001</v>
      </c>
      <c r="H93" s="64">
        <v>8.91</v>
      </c>
      <c r="I93" s="64">
        <v>8.4700000000000006</v>
      </c>
      <c r="J93" s="64">
        <v>3.42</v>
      </c>
      <c r="K93" s="64">
        <v>109.98</v>
      </c>
      <c r="L93" s="64">
        <v>15.82</v>
      </c>
      <c r="M93" s="64">
        <v>103.5</v>
      </c>
      <c r="N93" s="64">
        <v>35.799999999999997</v>
      </c>
      <c r="O93" s="64">
        <v>0</v>
      </c>
      <c r="P93" s="64">
        <v>0.63</v>
      </c>
      <c r="Q93" s="64">
        <v>8.32</v>
      </c>
      <c r="R93" s="198"/>
      <c r="S93" s="198"/>
      <c r="T93" s="198"/>
      <c r="U93" s="198"/>
    </row>
    <row r="94" spans="1:26" s="12" customFormat="1" x14ac:dyDescent="0.25">
      <c r="A94" s="215" t="s">
        <v>333</v>
      </c>
      <c r="B94" s="210" t="s">
        <v>36</v>
      </c>
      <c r="C94" s="210" t="s">
        <v>36</v>
      </c>
      <c r="D94" s="210" t="s">
        <v>36</v>
      </c>
      <c r="E94" s="64">
        <v>3.41</v>
      </c>
      <c r="F94" s="64">
        <v>3.21</v>
      </c>
      <c r="G94" s="64">
        <v>19.600000000000001</v>
      </c>
      <c r="H94" s="64">
        <v>8.91</v>
      </c>
      <c r="I94" s="64">
        <v>8.6199999999999992</v>
      </c>
      <c r="J94" s="64">
        <v>3.6</v>
      </c>
      <c r="K94" s="64">
        <v>105.7</v>
      </c>
      <c r="L94" s="64">
        <v>15.77</v>
      </c>
      <c r="M94" s="64">
        <v>103.54</v>
      </c>
      <c r="N94" s="64">
        <v>35.9</v>
      </c>
      <c r="O94" s="64">
        <v>0</v>
      </c>
      <c r="P94" s="64">
        <v>0.61</v>
      </c>
      <c r="Q94" s="64">
        <v>8.2799999999999994</v>
      </c>
      <c r="R94" s="198"/>
      <c r="S94" s="198"/>
      <c r="T94" s="198"/>
      <c r="U94" s="198"/>
    </row>
    <row r="95" spans="1:26" s="12" customFormat="1" x14ac:dyDescent="0.25">
      <c r="A95" s="215" t="s">
        <v>334</v>
      </c>
      <c r="B95" s="210" t="s">
        <v>36</v>
      </c>
      <c r="C95" s="210" t="s">
        <v>36</v>
      </c>
      <c r="D95" s="210" t="s">
        <v>36</v>
      </c>
      <c r="E95" s="64">
        <v>3.29</v>
      </c>
      <c r="F95" s="64">
        <v>3.81</v>
      </c>
      <c r="G95" s="64">
        <v>19.600000000000001</v>
      </c>
      <c r="H95" s="64">
        <v>8.91</v>
      </c>
      <c r="I95" s="64">
        <v>8.57</v>
      </c>
      <c r="J95" s="64">
        <v>3.76</v>
      </c>
      <c r="K95" s="64">
        <v>108.11</v>
      </c>
      <c r="L95" s="64">
        <v>15.73</v>
      </c>
      <c r="M95" s="64">
        <v>103.59</v>
      </c>
      <c r="N95" s="64">
        <v>36.1</v>
      </c>
      <c r="O95" s="64">
        <v>0</v>
      </c>
      <c r="P95" s="64">
        <v>0.6</v>
      </c>
      <c r="Q95" s="64">
        <v>8.2100000000000009</v>
      </c>
      <c r="R95" s="198"/>
      <c r="S95" s="198"/>
      <c r="T95" s="198"/>
      <c r="U95" s="198"/>
    </row>
    <row r="96" spans="1:26" s="12" customFormat="1" x14ac:dyDescent="0.25">
      <c r="A96" s="215" t="s">
        <v>335</v>
      </c>
      <c r="B96" s="210" t="s">
        <v>36</v>
      </c>
      <c r="C96" s="210" t="s">
        <v>36</v>
      </c>
      <c r="D96" s="210" t="s">
        <v>36</v>
      </c>
      <c r="E96" s="64">
        <v>3.21</v>
      </c>
      <c r="F96" s="64">
        <v>3.84</v>
      </c>
      <c r="G96" s="64">
        <v>19.8</v>
      </c>
      <c r="H96" s="64">
        <v>11.72</v>
      </c>
      <c r="I96" s="64">
        <v>8.49</v>
      </c>
      <c r="J96" s="64">
        <v>3.54</v>
      </c>
      <c r="K96" s="64">
        <v>104.37</v>
      </c>
      <c r="L96" s="64">
        <v>15.81</v>
      </c>
      <c r="M96" s="64">
        <v>103.62</v>
      </c>
      <c r="N96" s="64">
        <v>36.299999999999997</v>
      </c>
      <c r="O96" s="64">
        <v>0</v>
      </c>
      <c r="P96" s="64">
        <v>0.57999999999999996</v>
      </c>
      <c r="Q96" s="64">
        <v>8.2100000000000009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336</v>
      </c>
      <c r="B97" s="210" t="s">
        <v>36</v>
      </c>
      <c r="C97" s="210" t="s">
        <v>36</v>
      </c>
      <c r="D97" s="210" t="s">
        <v>36</v>
      </c>
      <c r="E97" s="64">
        <v>3.17</v>
      </c>
      <c r="F97" s="64">
        <v>3.67</v>
      </c>
      <c r="G97" s="64">
        <v>19.96</v>
      </c>
      <c r="H97" s="64">
        <v>13.7</v>
      </c>
      <c r="I97" s="64">
        <v>8.39</v>
      </c>
      <c r="J97" s="64">
        <v>3.25</v>
      </c>
      <c r="K97" s="64">
        <v>100.99</v>
      </c>
      <c r="L97" s="64">
        <v>15.88</v>
      </c>
      <c r="M97" s="64">
        <v>103.62</v>
      </c>
      <c r="N97" s="64">
        <v>36.4</v>
      </c>
      <c r="O97" s="64">
        <v>0</v>
      </c>
      <c r="P97" s="64">
        <v>0.57999999999999996</v>
      </c>
      <c r="Q97" s="64">
        <v>8.2100000000000009</v>
      </c>
      <c r="R97" s="198"/>
      <c r="S97" s="198"/>
      <c r="T97" s="198"/>
      <c r="U97" s="198"/>
    </row>
    <row r="98" spans="1:33" s="12" customFormat="1" x14ac:dyDescent="0.25">
      <c r="A98" s="215" t="s">
        <v>337</v>
      </c>
      <c r="B98" s="210" t="s">
        <v>36</v>
      </c>
      <c r="C98" s="210" t="s">
        <v>36</v>
      </c>
      <c r="D98" s="210" t="s">
        <v>36</v>
      </c>
      <c r="E98" s="64">
        <v>2.95</v>
      </c>
      <c r="F98" s="64">
        <v>3.47</v>
      </c>
      <c r="G98" s="64">
        <v>19.96</v>
      </c>
      <c r="H98" s="64">
        <v>13.7</v>
      </c>
      <c r="I98" s="64">
        <v>8.44</v>
      </c>
      <c r="J98" s="64">
        <v>3.52</v>
      </c>
      <c r="K98" s="64">
        <v>103.9</v>
      </c>
      <c r="L98" s="64">
        <v>15.93</v>
      </c>
      <c r="M98" s="64">
        <v>103.64</v>
      </c>
      <c r="N98" s="64">
        <v>36.299999999999997</v>
      </c>
      <c r="O98" s="64">
        <v>0</v>
      </c>
      <c r="P98" s="64">
        <v>0.56999999999999995</v>
      </c>
      <c r="Q98" s="64">
        <v>8.2100000000000009</v>
      </c>
      <c r="R98" s="198"/>
      <c r="S98" s="198"/>
      <c r="T98" s="198"/>
      <c r="U98" s="198"/>
    </row>
    <row r="99" spans="1:33" s="12" customFormat="1" x14ac:dyDescent="0.25">
      <c r="A99" s="215" t="s">
        <v>338</v>
      </c>
      <c r="B99" s="210" t="s">
        <v>36</v>
      </c>
      <c r="C99" s="210" t="s">
        <v>36</v>
      </c>
      <c r="D99" s="210" t="s">
        <v>36</v>
      </c>
      <c r="E99" s="64">
        <v>2.97</v>
      </c>
      <c r="F99" s="64">
        <v>3.24</v>
      </c>
      <c r="G99" s="64">
        <v>19.96</v>
      </c>
      <c r="H99" s="64">
        <v>13.7</v>
      </c>
      <c r="I99" s="64">
        <v>8.42</v>
      </c>
      <c r="J99" s="64">
        <v>3.89</v>
      </c>
      <c r="K99" s="64">
        <v>105.45</v>
      </c>
      <c r="L99" s="64">
        <v>16.079999999999998</v>
      </c>
      <c r="M99" s="64">
        <v>103.67</v>
      </c>
      <c r="N99" s="64">
        <v>36</v>
      </c>
      <c r="O99" s="64">
        <v>0</v>
      </c>
      <c r="P99" s="64">
        <v>0.55000000000000004</v>
      </c>
      <c r="Q99" s="64">
        <v>8.2100000000000009</v>
      </c>
      <c r="R99" s="198"/>
      <c r="S99" s="198"/>
      <c r="T99" s="198"/>
      <c r="U99" s="198"/>
    </row>
    <row r="100" spans="1:33" s="12" customFormat="1" x14ac:dyDescent="0.25">
      <c r="A100" s="215" t="s">
        <v>339</v>
      </c>
      <c r="B100" s="210" t="s">
        <v>36</v>
      </c>
      <c r="C100" s="210" t="s">
        <v>36</v>
      </c>
      <c r="D100" s="210" t="s">
        <v>36</v>
      </c>
      <c r="E100" s="64">
        <v>2.9</v>
      </c>
      <c r="F100" s="64">
        <v>3.17</v>
      </c>
      <c r="G100" s="64">
        <v>21.27</v>
      </c>
      <c r="H100" s="64">
        <v>16.2</v>
      </c>
      <c r="I100" s="64">
        <v>8.39</v>
      </c>
      <c r="J100" s="64">
        <v>3.31</v>
      </c>
      <c r="K100" s="64">
        <v>106.08</v>
      </c>
      <c r="L100" s="64">
        <v>16.21</v>
      </c>
      <c r="M100" s="64">
        <v>103.72</v>
      </c>
      <c r="N100" s="64">
        <v>35.9</v>
      </c>
      <c r="O100" s="64">
        <v>0</v>
      </c>
      <c r="P100" s="64">
        <v>0.54</v>
      </c>
      <c r="Q100" s="64">
        <v>8.2100000000000009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340</v>
      </c>
      <c r="B101" s="210" t="s">
        <v>36</v>
      </c>
      <c r="C101" s="210" t="s">
        <v>36</v>
      </c>
      <c r="D101" s="210" t="s">
        <v>36</v>
      </c>
      <c r="E101" s="64">
        <v>3.04</v>
      </c>
      <c r="F101" s="64">
        <v>3.63</v>
      </c>
      <c r="G101" s="64">
        <v>22.27</v>
      </c>
      <c r="H101" s="64">
        <v>17.07</v>
      </c>
      <c r="I101" s="64">
        <v>8.43</v>
      </c>
      <c r="J101" s="64">
        <v>3.48</v>
      </c>
      <c r="K101" s="64">
        <v>108.2</v>
      </c>
      <c r="L101" s="64">
        <v>16.18</v>
      </c>
      <c r="M101" s="64">
        <v>103.77</v>
      </c>
      <c r="N101" s="64">
        <v>35.9</v>
      </c>
      <c r="O101" s="64">
        <v>0</v>
      </c>
      <c r="P101" s="64">
        <v>0.54</v>
      </c>
      <c r="Q101" s="64">
        <v>8.2100000000000009</v>
      </c>
      <c r="R101" s="198"/>
      <c r="S101" s="198"/>
      <c r="T101" s="198"/>
      <c r="U101" s="198"/>
    </row>
    <row r="102" spans="1:33" s="12" customFormat="1" x14ac:dyDescent="0.25">
      <c r="A102" s="215" t="s">
        <v>341</v>
      </c>
      <c r="B102" s="210" t="s">
        <v>36</v>
      </c>
      <c r="C102" s="210" t="s">
        <v>36</v>
      </c>
      <c r="D102" s="210" t="s">
        <v>36</v>
      </c>
      <c r="E102" s="64">
        <v>3.74</v>
      </c>
      <c r="F102" s="64">
        <v>3.69</v>
      </c>
      <c r="G102" s="64">
        <v>22.27</v>
      </c>
      <c r="H102" s="64">
        <v>17.07</v>
      </c>
      <c r="I102" s="64">
        <v>8.26</v>
      </c>
      <c r="J102" s="64">
        <v>3.64</v>
      </c>
      <c r="K102" s="64">
        <v>109.5</v>
      </c>
      <c r="L102" s="64">
        <v>16.21</v>
      </c>
      <c r="M102" s="64">
        <v>103.81</v>
      </c>
      <c r="N102" s="64">
        <v>35.9</v>
      </c>
      <c r="O102" s="64">
        <v>0</v>
      </c>
      <c r="P102" s="64">
        <v>0.52</v>
      </c>
      <c r="Q102" s="64">
        <v>8.2100000000000009</v>
      </c>
      <c r="R102" s="198"/>
      <c r="S102" s="198"/>
      <c r="T102" s="198"/>
      <c r="U102" s="198"/>
    </row>
    <row r="103" spans="1:33" s="12" customFormat="1" x14ac:dyDescent="0.25">
      <c r="A103" s="215" t="s">
        <v>342</v>
      </c>
      <c r="B103" s="210" t="s">
        <v>36</v>
      </c>
      <c r="C103" s="210" t="s">
        <v>36</v>
      </c>
      <c r="D103" s="210" t="s">
        <v>36</v>
      </c>
      <c r="E103" s="64">
        <v>3.44</v>
      </c>
      <c r="F103" s="64">
        <v>3.36</v>
      </c>
      <c r="G103" s="64">
        <v>22.27</v>
      </c>
      <c r="H103" s="64">
        <v>17.07</v>
      </c>
      <c r="I103" s="64">
        <v>8.27</v>
      </c>
      <c r="J103" s="64">
        <v>3.49</v>
      </c>
      <c r="K103" s="64">
        <v>110</v>
      </c>
      <c r="L103" s="64">
        <v>16.23</v>
      </c>
      <c r="M103" s="64">
        <v>103.88</v>
      </c>
      <c r="N103" s="64">
        <v>35.4</v>
      </c>
      <c r="O103" s="64">
        <v>0</v>
      </c>
      <c r="P103" s="64">
        <v>0.5</v>
      </c>
      <c r="Q103" s="64">
        <v>8.2100000000000009</v>
      </c>
      <c r="R103" s="198"/>
      <c r="S103" s="198"/>
      <c r="T103" s="198"/>
      <c r="U103" s="198"/>
    </row>
    <row r="104" spans="1:33" s="12" customFormat="1" x14ac:dyDescent="0.25">
      <c r="A104" s="215" t="s">
        <v>343</v>
      </c>
      <c r="B104" s="210" t="s">
        <v>36</v>
      </c>
      <c r="C104" s="210" t="s">
        <v>36</v>
      </c>
      <c r="D104" s="210" t="s">
        <v>36</v>
      </c>
      <c r="E104" s="64">
        <v>5.19</v>
      </c>
      <c r="F104" s="64">
        <v>3.01</v>
      </c>
      <c r="G104" s="64">
        <v>21.42</v>
      </c>
      <c r="H104" s="64">
        <v>10.01</v>
      </c>
      <c r="I104" s="64">
        <v>8.23</v>
      </c>
      <c r="J104" s="64">
        <v>3.44</v>
      </c>
      <c r="K104" s="64">
        <v>111.95</v>
      </c>
      <c r="L104" s="64">
        <v>16.190000000000001</v>
      </c>
      <c r="M104" s="64">
        <v>103.51</v>
      </c>
      <c r="N104" s="64">
        <v>35.4</v>
      </c>
      <c r="O104" s="64">
        <v>0</v>
      </c>
      <c r="P104" s="64">
        <v>0.49</v>
      </c>
      <c r="Q104" s="64">
        <v>8.2100000000000009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</v>
      </c>
      <c r="C106" s="67">
        <f>MIN(C9:C104)</f>
        <v>0</v>
      </c>
      <c r="D106" s="67">
        <f t="shared" ref="D106:Q106" si="0">MIN(D9:D104)</f>
        <v>0</v>
      </c>
      <c r="E106" s="67">
        <f t="shared" si="0"/>
        <v>2.9</v>
      </c>
      <c r="F106" s="67">
        <f t="shared" si="0"/>
        <v>2.9</v>
      </c>
      <c r="G106" s="67">
        <f t="shared" si="0"/>
        <v>5.92</v>
      </c>
      <c r="H106" s="67">
        <f t="shared" si="0"/>
        <v>0</v>
      </c>
      <c r="I106" s="67">
        <f t="shared" si="0"/>
        <v>5.08</v>
      </c>
      <c r="J106" s="67">
        <f t="shared" si="0"/>
        <v>7.0000000000000007E-2</v>
      </c>
      <c r="K106" s="67">
        <f t="shared" si="0"/>
        <v>0.14000000000000001</v>
      </c>
      <c r="L106" s="67">
        <f t="shared" si="0"/>
        <v>14.89</v>
      </c>
      <c r="M106" s="67">
        <f t="shared" si="0"/>
        <v>93.04</v>
      </c>
      <c r="N106" s="67">
        <f t="shared" si="0"/>
        <v>35.1</v>
      </c>
      <c r="O106" s="67">
        <f t="shared" si="0"/>
        <v>0</v>
      </c>
      <c r="P106" s="67">
        <f t="shared" si="0"/>
        <v>0.46</v>
      </c>
      <c r="Q106" s="67">
        <f t="shared" si="0"/>
        <v>8.2100000000000009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0</v>
      </c>
      <c r="C107" s="66">
        <f t="shared" ref="C107:Q107" si="1">MAX(C9:C104)</f>
        <v>0</v>
      </c>
      <c r="D107" s="66">
        <f t="shared" si="1"/>
        <v>0</v>
      </c>
      <c r="E107" s="66">
        <f t="shared" si="1"/>
        <v>7.09</v>
      </c>
      <c r="F107" s="66">
        <f t="shared" si="1"/>
        <v>4.3</v>
      </c>
      <c r="G107" s="66">
        <f t="shared" si="1"/>
        <v>74.25</v>
      </c>
      <c r="H107" s="66">
        <f t="shared" si="1"/>
        <v>48.64</v>
      </c>
      <c r="I107" s="66">
        <f t="shared" si="1"/>
        <v>9.36</v>
      </c>
      <c r="J107" s="66">
        <f t="shared" si="1"/>
        <v>4.16</v>
      </c>
      <c r="K107" s="66">
        <f t="shared" si="1"/>
        <v>358.19</v>
      </c>
      <c r="L107" s="66">
        <f t="shared" si="1"/>
        <v>18.04</v>
      </c>
      <c r="M107" s="66">
        <f t="shared" si="1"/>
        <v>103.88</v>
      </c>
      <c r="N107" s="66">
        <f t="shared" si="1"/>
        <v>225.7</v>
      </c>
      <c r="O107" s="66">
        <f t="shared" si="1"/>
        <v>0.4</v>
      </c>
      <c r="P107" s="66">
        <f t="shared" si="1"/>
        <v>0.8</v>
      </c>
      <c r="Q107" s="66">
        <f t="shared" si="1"/>
        <v>10.15</v>
      </c>
      <c r="R107" s="200"/>
      <c r="S107" s="200"/>
      <c r="T107" s="200"/>
      <c r="U107" s="200"/>
    </row>
    <row r="108" spans="1:33" x14ac:dyDescent="0.25">
      <c r="A108" s="65" t="s">
        <v>61</v>
      </c>
      <c r="B108" s="67" t="e">
        <f>AVERAGE(B9:B104)</f>
        <v>#DIV/0!</v>
      </c>
      <c r="C108" s="67" t="e">
        <f t="shared" ref="C108:Q108" si="2">AVERAGE(C9:C104)</f>
        <v>#DIV/0!</v>
      </c>
      <c r="D108" s="67" t="e">
        <f t="shared" si="2"/>
        <v>#DIV/0!</v>
      </c>
      <c r="E108" s="67">
        <f t="shared" si="2"/>
        <v>4.7457291666666679</v>
      </c>
      <c r="F108" s="67">
        <f t="shared" si="2"/>
        <v>3.6331249999999997</v>
      </c>
      <c r="G108" s="67">
        <f t="shared" si="2"/>
        <v>33.278749999999988</v>
      </c>
      <c r="H108" s="67">
        <f t="shared" si="2"/>
        <v>16.330729166666661</v>
      </c>
      <c r="I108" s="67">
        <f t="shared" si="2"/>
        <v>7.5612499999999985</v>
      </c>
      <c r="J108" s="67">
        <f t="shared" si="2"/>
        <v>2.2712499999999993</v>
      </c>
      <c r="K108" s="67">
        <f t="shared" si="2"/>
        <v>171.55760416666669</v>
      </c>
      <c r="L108" s="67">
        <f t="shared" si="2"/>
        <v>15.911354166666667</v>
      </c>
      <c r="M108" s="67">
        <f t="shared" si="2"/>
        <v>102.58854166666667</v>
      </c>
      <c r="N108" s="67">
        <f t="shared" si="2"/>
        <v>60.923958333333282</v>
      </c>
      <c r="O108" s="67">
        <f t="shared" si="2"/>
        <v>1.8749999999999999E-2</v>
      </c>
      <c r="P108" s="67">
        <f t="shared" si="2"/>
        <v>0.63020833333333326</v>
      </c>
      <c r="Q108" s="67">
        <f t="shared" si="2"/>
        <v>8.6341666666666779</v>
      </c>
      <c r="R108" s="199"/>
      <c r="S108" s="199"/>
      <c r="T108" s="199"/>
      <c r="U108" s="199"/>
    </row>
    <row r="109" spans="1:33" x14ac:dyDescent="0.25">
      <c r="A109" s="65" t="s">
        <v>77</v>
      </c>
      <c r="B109" s="67" t="e">
        <f>STDEV(B9:B104)</f>
        <v>#DIV/0!</v>
      </c>
      <c r="C109" s="67" t="e">
        <f t="shared" ref="C109:Q109" si="3">STDEV(C9:C104)</f>
        <v>#DIV/0!</v>
      </c>
      <c r="D109" s="67" t="e">
        <f t="shared" si="3"/>
        <v>#DIV/0!</v>
      </c>
      <c r="E109" s="67">
        <f t="shared" si="3"/>
        <v>1.308429950896679</v>
      </c>
      <c r="F109" s="67">
        <f t="shared" si="3"/>
        <v>0.30751401337346018</v>
      </c>
      <c r="G109" s="67">
        <f t="shared" si="3"/>
        <v>14.168773021944023</v>
      </c>
      <c r="H109" s="67">
        <f t="shared" si="3"/>
        <v>13.947579623628474</v>
      </c>
      <c r="I109" s="67">
        <f t="shared" si="3"/>
        <v>1.3369968310791958</v>
      </c>
      <c r="J109" s="67">
        <f t="shared" si="3"/>
        <v>1.1505305412355615</v>
      </c>
      <c r="K109" s="67">
        <f t="shared" si="3"/>
        <v>119.46950052315523</v>
      </c>
      <c r="L109" s="67">
        <f t="shared" si="3"/>
        <v>0.74948349905176492</v>
      </c>
      <c r="M109" s="67">
        <f t="shared" si="3"/>
        <v>2.0528890959695989</v>
      </c>
      <c r="N109" s="67">
        <f t="shared" si="3"/>
        <v>39.07853023361168</v>
      </c>
      <c r="O109" s="67">
        <f t="shared" si="3"/>
        <v>7.7204444922487944E-2</v>
      </c>
      <c r="P109" s="67">
        <f t="shared" si="3"/>
        <v>8.9888576250550356E-2</v>
      </c>
      <c r="Q109" s="67">
        <f t="shared" si="3"/>
        <v>0.61149113117752729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COUNT(B9:B104)+96</f>
        <v>96</v>
      </c>
      <c r="C110" s="66">
        <f t="shared" ref="C110:D110" si="4">COUNT(C9:C104)+96</f>
        <v>96</v>
      </c>
      <c r="D110" s="66">
        <f t="shared" si="4"/>
        <v>96</v>
      </c>
      <c r="E110" s="66">
        <f t="shared" ref="E110:Q110" si="5">COUNT(E9:E104)</f>
        <v>96</v>
      </c>
      <c r="F110" s="66">
        <f t="shared" si="5"/>
        <v>96</v>
      </c>
      <c r="G110" s="66">
        <f t="shared" si="5"/>
        <v>96</v>
      </c>
      <c r="H110" s="66">
        <f t="shared" si="5"/>
        <v>96</v>
      </c>
      <c r="I110" s="66">
        <f>COUNT(I9:I104)</f>
        <v>96</v>
      </c>
      <c r="J110" s="66">
        <f t="shared" si="5"/>
        <v>96</v>
      </c>
      <c r="K110" s="66">
        <f t="shared" si="5"/>
        <v>96</v>
      </c>
      <c r="L110" s="66">
        <f t="shared" si="5"/>
        <v>96</v>
      </c>
      <c r="M110" s="66">
        <f t="shared" si="5"/>
        <v>96</v>
      </c>
      <c r="N110" s="66">
        <f t="shared" si="5"/>
        <v>96</v>
      </c>
      <c r="O110" s="66">
        <f t="shared" si="5"/>
        <v>96</v>
      </c>
      <c r="P110" s="66">
        <f t="shared" si="5"/>
        <v>96</v>
      </c>
      <c r="Q110" s="66">
        <f t="shared" si="5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6">IF(C110&gt;=87,"&gt;90%",IF(C110&lt;=87,"&lt;90%"))</f>
        <v>&gt;90%</v>
      </c>
      <c r="D111" s="13" t="str">
        <f t="shared" si="6"/>
        <v>&gt;90%</v>
      </c>
      <c r="E111" s="13" t="str">
        <f t="shared" si="6"/>
        <v>&gt;90%</v>
      </c>
      <c r="F111" s="13" t="str">
        <f t="shared" si="6"/>
        <v>&gt;90%</v>
      </c>
      <c r="G111" s="13" t="str">
        <f t="shared" si="6"/>
        <v>&gt;90%</v>
      </c>
      <c r="H111" s="13" t="str">
        <f t="shared" si="6"/>
        <v>&gt;90%</v>
      </c>
      <c r="I111" s="13" t="str">
        <f t="shared" si="6"/>
        <v>&gt;90%</v>
      </c>
      <c r="J111" s="13" t="str">
        <f t="shared" si="6"/>
        <v>&gt;90%</v>
      </c>
      <c r="K111" s="13" t="str">
        <f t="shared" si="6"/>
        <v>&gt;90%</v>
      </c>
      <c r="L111" s="13" t="str">
        <f t="shared" si="6"/>
        <v>&gt;90%</v>
      </c>
      <c r="M111" s="13" t="str">
        <f t="shared" si="6"/>
        <v>&gt;90%</v>
      </c>
      <c r="N111" s="13" t="str">
        <f t="shared" si="6"/>
        <v>&gt;90%</v>
      </c>
      <c r="O111" s="13" t="str">
        <f t="shared" si="6"/>
        <v>&gt;90%</v>
      </c>
      <c r="P111" s="13" t="str">
        <f t="shared" si="6"/>
        <v>&gt;90%</v>
      </c>
      <c r="Q111" s="13" t="str">
        <f t="shared" si="6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7">IF(C110&gt;=87,"OK",IF(C110&lt;=87,"LESS"))</f>
        <v>OK</v>
      </c>
      <c r="D112" s="13" t="str">
        <f t="shared" si="7"/>
        <v>OK</v>
      </c>
      <c r="E112" s="13" t="str">
        <f t="shared" si="7"/>
        <v>OK</v>
      </c>
      <c r="F112" s="13" t="str">
        <f t="shared" si="7"/>
        <v>OK</v>
      </c>
      <c r="G112" s="13" t="str">
        <f t="shared" si="7"/>
        <v>OK</v>
      </c>
      <c r="H112" s="13" t="str">
        <f t="shared" si="7"/>
        <v>OK</v>
      </c>
      <c r="I112" s="13" t="str">
        <f t="shared" si="7"/>
        <v>OK</v>
      </c>
      <c r="J112" s="13" t="str">
        <f t="shared" si="7"/>
        <v>OK</v>
      </c>
      <c r="K112" s="13" t="str">
        <f t="shared" si="7"/>
        <v>OK</v>
      </c>
      <c r="L112" s="13" t="str">
        <f t="shared" si="7"/>
        <v>OK</v>
      </c>
      <c r="M112" s="13" t="str">
        <f t="shared" si="7"/>
        <v>OK</v>
      </c>
      <c r="N112" s="13" t="str">
        <f t="shared" si="7"/>
        <v>OK</v>
      </c>
      <c r="O112" s="13" t="str">
        <f t="shared" si="7"/>
        <v>OK</v>
      </c>
      <c r="P112" s="13" t="str">
        <f t="shared" si="7"/>
        <v>OK</v>
      </c>
      <c r="Q112" s="13" t="str">
        <f t="shared" si="7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A9" sqref="A9:U104"/>
      <selection pane="topRight" activeCell="A9" sqref="A9:U104"/>
      <selection pane="bottomLeft" activeCell="A9" sqref="A9:U104"/>
      <selection pane="bottomRight" activeCell="H27" sqref="H27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247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02/12/2024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231</v>
      </c>
      <c r="C7" s="198" t="s">
        <v>232</v>
      </c>
      <c r="D7" s="198" t="s">
        <v>233</v>
      </c>
      <c r="E7" s="198" t="s">
        <v>234</v>
      </c>
      <c r="F7" s="198" t="s">
        <v>235</v>
      </c>
      <c r="G7" s="198" t="s">
        <v>236</v>
      </c>
      <c r="H7" s="198" t="s">
        <v>237</v>
      </c>
      <c r="I7" s="198" t="s">
        <v>238</v>
      </c>
      <c r="J7" s="198" t="s">
        <v>239</v>
      </c>
      <c r="K7" s="198" t="s">
        <v>240</v>
      </c>
      <c r="L7" s="198" t="s">
        <v>241</v>
      </c>
      <c r="M7" s="198" t="s">
        <v>242</v>
      </c>
      <c r="N7" s="198" t="s">
        <v>243</v>
      </c>
      <c r="O7" s="198" t="s">
        <v>244</v>
      </c>
      <c r="P7" s="198" t="s">
        <v>245</v>
      </c>
      <c r="Q7" s="198" t="s">
        <v>246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344</v>
      </c>
      <c r="B9" s="210" t="s">
        <v>36</v>
      </c>
      <c r="C9" s="210" t="s">
        <v>36</v>
      </c>
      <c r="D9" s="210" t="s">
        <v>36</v>
      </c>
      <c r="E9" s="64">
        <v>5.96</v>
      </c>
      <c r="F9" s="64">
        <v>3.54</v>
      </c>
      <c r="G9" s="64">
        <v>20.77</v>
      </c>
      <c r="H9" s="64">
        <v>7.56</v>
      </c>
      <c r="I9" s="64">
        <v>7.84</v>
      </c>
      <c r="J9" s="64">
        <v>3.08</v>
      </c>
      <c r="K9" s="64">
        <v>115.57</v>
      </c>
      <c r="L9" s="64">
        <v>16.14</v>
      </c>
      <c r="M9" s="64">
        <v>103.45</v>
      </c>
      <c r="N9" s="64">
        <v>35.5</v>
      </c>
      <c r="O9" s="64">
        <v>0</v>
      </c>
      <c r="P9" s="64">
        <v>0.49</v>
      </c>
      <c r="Q9" s="64">
        <v>8.2100000000000009</v>
      </c>
      <c r="R9" s="198"/>
      <c r="S9" s="198"/>
      <c r="T9" s="198"/>
      <c r="U9" s="198"/>
    </row>
    <row r="10" spans="1:21" s="12" customFormat="1" x14ac:dyDescent="0.25">
      <c r="A10" s="215" t="s">
        <v>345</v>
      </c>
      <c r="B10" s="210" t="s">
        <v>36</v>
      </c>
      <c r="C10" s="210" t="s">
        <v>36</v>
      </c>
      <c r="D10" s="210" t="s">
        <v>36</v>
      </c>
      <c r="E10" s="64">
        <v>5.71</v>
      </c>
      <c r="F10" s="64">
        <v>3.89</v>
      </c>
      <c r="G10" s="64">
        <v>20.77</v>
      </c>
      <c r="H10" s="64">
        <v>7.56</v>
      </c>
      <c r="I10" s="64">
        <v>7.59</v>
      </c>
      <c r="J10" s="64">
        <v>1.78</v>
      </c>
      <c r="K10" s="64">
        <v>103.68</v>
      </c>
      <c r="L10" s="64">
        <v>16.2</v>
      </c>
      <c r="M10" s="64">
        <v>103.21</v>
      </c>
      <c r="N10" s="64">
        <v>35.5</v>
      </c>
      <c r="O10" s="64">
        <v>0</v>
      </c>
      <c r="P10" s="64">
        <v>0.49</v>
      </c>
      <c r="Q10" s="64">
        <v>8.2100000000000009</v>
      </c>
      <c r="R10" s="198"/>
      <c r="S10" s="198"/>
      <c r="T10" s="198"/>
      <c r="U10" s="198"/>
    </row>
    <row r="11" spans="1:21" s="12" customFormat="1" x14ac:dyDescent="0.25">
      <c r="A11" s="215" t="s">
        <v>346</v>
      </c>
      <c r="B11" s="210" t="s">
        <v>36</v>
      </c>
      <c r="C11" s="210" t="s">
        <v>36</v>
      </c>
      <c r="D11" s="210" t="s">
        <v>36</v>
      </c>
      <c r="E11" s="64">
        <v>5.39</v>
      </c>
      <c r="F11" s="64">
        <v>3.84</v>
      </c>
      <c r="G11" s="64">
        <v>20.77</v>
      </c>
      <c r="H11" s="64">
        <v>7.56</v>
      </c>
      <c r="I11" s="64">
        <v>8.0299999999999994</v>
      </c>
      <c r="J11" s="64">
        <v>1.43</v>
      </c>
      <c r="K11" s="64">
        <v>325.83999999999997</v>
      </c>
      <c r="L11" s="64">
        <v>16.239999999999998</v>
      </c>
      <c r="M11" s="64">
        <v>103.2</v>
      </c>
      <c r="N11" s="64">
        <v>35.5</v>
      </c>
      <c r="O11" s="64">
        <v>0</v>
      </c>
      <c r="P11" s="64">
        <v>0.49</v>
      </c>
      <c r="Q11" s="64">
        <v>8.2100000000000009</v>
      </c>
      <c r="R11" s="198"/>
      <c r="S11" s="198"/>
      <c r="T11" s="198"/>
      <c r="U11" s="198"/>
    </row>
    <row r="12" spans="1:21" s="12" customFormat="1" x14ac:dyDescent="0.25">
      <c r="A12" s="215" t="s">
        <v>347</v>
      </c>
      <c r="B12" s="210" t="s">
        <v>36</v>
      </c>
      <c r="C12" s="210" t="s">
        <v>36</v>
      </c>
      <c r="D12" s="210" t="s">
        <v>36</v>
      </c>
      <c r="E12" s="64">
        <v>5.37</v>
      </c>
      <c r="F12" s="64">
        <v>3.38</v>
      </c>
      <c r="G12" s="64">
        <v>17.93</v>
      </c>
      <c r="H12" s="64">
        <v>14.13</v>
      </c>
      <c r="I12" s="64">
        <v>7.96</v>
      </c>
      <c r="J12" s="64">
        <v>2.73</v>
      </c>
      <c r="K12" s="64">
        <v>337.41</v>
      </c>
      <c r="L12" s="64">
        <v>16.3</v>
      </c>
      <c r="M12" s="64">
        <v>103.26</v>
      </c>
      <c r="N12" s="64">
        <v>35.5</v>
      </c>
      <c r="O12" s="64">
        <v>0</v>
      </c>
      <c r="P12" s="64">
        <v>0.49</v>
      </c>
      <c r="Q12" s="64">
        <v>8.2100000000000009</v>
      </c>
      <c r="R12" s="198"/>
      <c r="S12" s="198"/>
      <c r="T12" s="198"/>
      <c r="U12" s="198"/>
    </row>
    <row r="13" spans="1:21" s="12" customFormat="1" x14ac:dyDescent="0.25">
      <c r="A13" s="215" t="s">
        <v>348</v>
      </c>
      <c r="B13" s="210" t="s">
        <v>36</v>
      </c>
      <c r="C13" s="210" t="s">
        <v>36</v>
      </c>
      <c r="D13" s="210" t="s">
        <v>36</v>
      </c>
      <c r="E13" s="64">
        <v>4.9400000000000004</v>
      </c>
      <c r="F13" s="64">
        <v>2.78</v>
      </c>
      <c r="G13" s="64">
        <v>15.76</v>
      </c>
      <c r="H13" s="64">
        <v>16.41</v>
      </c>
      <c r="I13" s="64">
        <v>7.69</v>
      </c>
      <c r="J13" s="64">
        <v>2.72</v>
      </c>
      <c r="K13" s="64">
        <v>348.55</v>
      </c>
      <c r="L13" s="64">
        <v>16.32</v>
      </c>
      <c r="M13" s="64">
        <v>103.34</v>
      </c>
      <c r="N13" s="64">
        <v>35.5</v>
      </c>
      <c r="O13" s="64">
        <v>0</v>
      </c>
      <c r="P13" s="64">
        <v>0.49</v>
      </c>
      <c r="Q13" s="64">
        <v>8.2100000000000009</v>
      </c>
      <c r="R13" s="198"/>
      <c r="S13" s="198"/>
      <c r="T13" s="198"/>
      <c r="U13" s="198"/>
    </row>
    <row r="14" spans="1:21" s="12" customFormat="1" x14ac:dyDescent="0.25">
      <c r="A14" s="215" t="s">
        <v>349</v>
      </c>
      <c r="B14" s="210" t="s">
        <v>36</v>
      </c>
      <c r="C14" s="210" t="s">
        <v>36</v>
      </c>
      <c r="D14" s="210" t="s">
        <v>36</v>
      </c>
      <c r="E14" s="64">
        <v>5.6</v>
      </c>
      <c r="F14" s="64">
        <v>3.28</v>
      </c>
      <c r="G14" s="64">
        <v>15.76</v>
      </c>
      <c r="H14" s="64">
        <v>16.41</v>
      </c>
      <c r="I14" s="64">
        <v>7.46</v>
      </c>
      <c r="J14" s="64">
        <v>2.23</v>
      </c>
      <c r="K14" s="64">
        <v>357.21</v>
      </c>
      <c r="L14" s="64">
        <v>16.22</v>
      </c>
      <c r="M14" s="64">
        <v>103.38</v>
      </c>
      <c r="N14" s="64">
        <v>35.5</v>
      </c>
      <c r="O14" s="64">
        <v>0</v>
      </c>
      <c r="P14" s="64">
        <v>0.49</v>
      </c>
      <c r="Q14" s="64">
        <v>8.2100000000000009</v>
      </c>
      <c r="R14" s="198"/>
      <c r="S14" s="198"/>
      <c r="T14" s="198"/>
      <c r="U14" s="198"/>
    </row>
    <row r="15" spans="1:21" s="12" customFormat="1" x14ac:dyDescent="0.25">
      <c r="A15" s="215" t="s">
        <v>350</v>
      </c>
      <c r="B15" s="210" t="s">
        <v>36</v>
      </c>
      <c r="C15" s="210" t="s">
        <v>36</v>
      </c>
      <c r="D15" s="210" t="s">
        <v>36</v>
      </c>
      <c r="E15" s="64">
        <v>5.52</v>
      </c>
      <c r="F15" s="64">
        <v>3.03</v>
      </c>
      <c r="G15" s="64">
        <v>15.76</v>
      </c>
      <c r="H15" s="64">
        <v>16.41</v>
      </c>
      <c r="I15" s="64">
        <v>7.13</v>
      </c>
      <c r="J15" s="64">
        <v>3.19</v>
      </c>
      <c r="K15" s="64">
        <v>349.35</v>
      </c>
      <c r="L15" s="64">
        <v>16.18</v>
      </c>
      <c r="M15" s="64">
        <v>103.46</v>
      </c>
      <c r="N15" s="64">
        <v>35.5</v>
      </c>
      <c r="O15" s="64">
        <v>0</v>
      </c>
      <c r="P15" s="64">
        <v>0.48</v>
      </c>
      <c r="Q15" s="64">
        <v>8.2100000000000009</v>
      </c>
      <c r="R15" s="198"/>
      <c r="S15" s="198"/>
      <c r="T15" s="198"/>
      <c r="U15" s="198"/>
    </row>
    <row r="16" spans="1:21" s="12" customFormat="1" x14ac:dyDescent="0.25">
      <c r="A16" s="215" t="s">
        <v>351</v>
      </c>
      <c r="B16" s="210" t="s">
        <v>36</v>
      </c>
      <c r="C16" s="210" t="s">
        <v>36</v>
      </c>
      <c r="D16" s="210" t="s">
        <v>36</v>
      </c>
      <c r="E16" s="64">
        <v>5.45</v>
      </c>
      <c r="F16" s="64">
        <v>3.58</v>
      </c>
      <c r="G16" s="64">
        <v>16.059999999999999</v>
      </c>
      <c r="H16" s="64">
        <v>12.89</v>
      </c>
      <c r="I16" s="64">
        <v>6.88</v>
      </c>
      <c r="J16" s="64">
        <v>3.05</v>
      </c>
      <c r="K16" s="64">
        <v>349.77</v>
      </c>
      <c r="L16" s="64">
        <v>16.100000000000001</v>
      </c>
      <c r="M16" s="64">
        <v>103.54</v>
      </c>
      <c r="N16" s="64">
        <v>35.5</v>
      </c>
      <c r="O16" s="64">
        <v>0</v>
      </c>
      <c r="P16" s="64">
        <v>0.49</v>
      </c>
      <c r="Q16" s="64">
        <v>8.2100000000000009</v>
      </c>
      <c r="R16" s="198"/>
      <c r="S16" s="198"/>
      <c r="T16" s="198"/>
      <c r="U16" s="198"/>
    </row>
    <row r="17" spans="1:21" s="12" customFormat="1" x14ac:dyDescent="0.25">
      <c r="A17" s="215" t="s">
        <v>352</v>
      </c>
      <c r="B17" s="210" t="s">
        <v>36</v>
      </c>
      <c r="C17" s="210" t="s">
        <v>36</v>
      </c>
      <c r="D17" s="210" t="s">
        <v>36</v>
      </c>
      <c r="E17" s="64">
        <v>5.44</v>
      </c>
      <c r="F17" s="64">
        <v>3.03</v>
      </c>
      <c r="G17" s="64">
        <v>16.28</v>
      </c>
      <c r="H17" s="64">
        <v>10.5</v>
      </c>
      <c r="I17" s="64">
        <v>6.61</v>
      </c>
      <c r="J17" s="64">
        <v>2.08</v>
      </c>
      <c r="K17" s="64">
        <v>340.03</v>
      </c>
      <c r="L17" s="64">
        <v>15.93</v>
      </c>
      <c r="M17" s="64">
        <v>103.63</v>
      </c>
      <c r="N17" s="64">
        <v>35.299999999999997</v>
      </c>
      <c r="O17" s="64">
        <v>0</v>
      </c>
      <c r="P17" s="64">
        <v>0.48</v>
      </c>
      <c r="Q17" s="64">
        <v>8.2100000000000009</v>
      </c>
      <c r="R17" s="198"/>
      <c r="S17" s="198"/>
      <c r="T17" s="198"/>
      <c r="U17" s="198"/>
    </row>
    <row r="18" spans="1:21" s="12" customFormat="1" x14ac:dyDescent="0.25">
      <c r="A18" s="215" t="s">
        <v>353</v>
      </c>
      <c r="B18" s="210" t="s">
        <v>36</v>
      </c>
      <c r="C18" s="210" t="s">
        <v>36</v>
      </c>
      <c r="D18" s="210" t="s">
        <v>36</v>
      </c>
      <c r="E18" s="64">
        <v>5.1100000000000003</v>
      </c>
      <c r="F18" s="64">
        <v>3.44</v>
      </c>
      <c r="G18" s="64">
        <v>16.28</v>
      </c>
      <c r="H18" s="64">
        <v>10.5</v>
      </c>
      <c r="I18" s="64">
        <v>6.42</v>
      </c>
      <c r="J18" s="64">
        <v>1.65</v>
      </c>
      <c r="K18" s="64">
        <v>329.22</v>
      </c>
      <c r="L18" s="64">
        <v>15.79</v>
      </c>
      <c r="M18" s="64">
        <v>103.74</v>
      </c>
      <c r="N18" s="64">
        <v>35.200000000000003</v>
      </c>
      <c r="O18" s="64">
        <v>0</v>
      </c>
      <c r="P18" s="64">
        <v>0.46</v>
      </c>
      <c r="Q18" s="64">
        <v>8.2100000000000009</v>
      </c>
      <c r="R18" s="198"/>
      <c r="S18" s="198"/>
      <c r="T18" s="198"/>
      <c r="U18" s="198"/>
    </row>
    <row r="19" spans="1:21" s="12" customFormat="1" x14ac:dyDescent="0.25">
      <c r="A19" s="215" t="s">
        <v>354</v>
      </c>
      <c r="B19" s="210" t="s">
        <v>36</v>
      </c>
      <c r="C19" s="210" t="s">
        <v>36</v>
      </c>
      <c r="D19" s="210" t="s">
        <v>36</v>
      </c>
      <c r="E19" s="64">
        <v>4.9000000000000004</v>
      </c>
      <c r="F19" s="64">
        <v>3.32</v>
      </c>
      <c r="G19" s="64">
        <v>16.28</v>
      </c>
      <c r="H19" s="64">
        <v>10.5</v>
      </c>
      <c r="I19" s="64">
        <v>5.86</v>
      </c>
      <c r="J19" s="64">
        <v>2.63</v>
      </c>
      <c r="K19" s="64">
        <v>342.38</v>
      </c>
      <c r="L19" s="64">
        <v>15.78</v>
      </c>
      <c r="M19" s="64">
        <v>103.79</v>
      </c>
      <c r="N19" s="64">
        <v>35.200000000000003</v>
      </c>
      <c r="O19" s="64">
        <v>0</v>
      </c>
      <c r="P19" s="64">
        <v>0.47</v>
      </c>
      <c r="Q19" s="64">
        <v>8.2100000000000009</v>
      </c>
      <c r="R19" s="198"/>
      <c r="S19" s="198"/>
      <c r="T19" s="198"/>
      <c r="U19" s="198"/>
    </row>
    <row r="20" spans="1:21" s="12" customFormat="1" x14ac:dyDescent="0.25">
      <c r="A20" s="215" t="s">
        <v>355</v>
      </c>
      <c r="B20" s="210" t="s">
        <v>36</v>
      </c>
      <c r="C20" s="210" t="s">
        <v>36</v>
      </c>
      <c r="D20" s="210" t="s">
        <v>36</v>
      </c>
      <c r="E20" s="64">
        <v>5.47</v>
      </c>
      <c r="F20" s="64">
        <v>3.31</v>
      </c>
      <c r="G20" s="64">
        <v>13.1</v>
      </c>
      <c r="H20" s="64">
        <v>9.66</v>
      </c>
      <c r="I20" s="64">
        <v>5.52</v>
      </c>
      <c r="J20" s="64">
        <v>2.4500000000000002</v>
      </c>
      <c r="K20" s="64">
        <v>345.5</v>
      </c>
      <c r="L20" s="64">
        <v>15.75</v>
      </c>
      <c r="M20" s="64">
        <v>103.73</v>
      </c>
      <c r="N20" s="64">
        <v>35.200000000000003</v>
      </c>
      <c r="O20" s="64">
        <v>0</v>
      </c>
      <c r="P20" s="64">
        <v>0.46</v>
      </c>
      <c r="Q20" s="64">
        <v>8.2100000000000009</v>
      </c>
      <c r="R20" s="198"/>
      <c r="S20" s="198"/>
      <c r="T20" s="198"/>
      <c r="U20" s="198"/>
    </row>
    <row r="21" spans="1:21" s="12" customFormat="1" x14ac:dyDescent="0.25">
      <c r="A21" s="215" t="s">
        <v>356</v>
      </c>
      <c r="B21" s="210" t="s">
        <v>36</v>
      </c>
      <c r="C21" s="210" t="s">
        <v>36</v>
      </c>
      <c r="D21" s="210" t="s">
        <v>36</v>
      </c>
      <c r="E21" s="64">
        <v>5.51</v>
      </c>
      <c r="F21" s="64">
        <v>3.43</v>
      </c>
      <c r="G21" s="64">
        <v>10.67</v>
      </c>
      <c r="H21" s="64">
        <v>9.66</v>
      </c>
      <c r="I21" s="64">
        <v>4.8600000000000003</v>
      </c>
      <c r="J21" s="64">
        <v>2.36</v>
      </c>
      <c r="K21" s="64">
        <v>359.18</v>
      </c>
      <c r="L21" s="64">
        <v>15.73</v>
      </c>
      <c r="M21" s="64">
        <v>103.72</v>
      </c>
      <c r="N21" s="64">
        <v>35.200000000000003</v>
      </c>
      <c r="O21" s="64">
        <v>0</v>
      </c>
      <c r="P21" s="64">
        <v>0.46</v>
      </c>
      <c r="Q21" s="64">
        <v>8.2100000000000009</v>
      </c>
      <c r="R21" s="198"/>
      <c r="S21" s="198"/>
      <c r="T21" s="198"/>
      <c r="U21" s="198"/>
    </row>
    <row r="22" spans="1:21" s="12" customFormat="1" x14ac:dyDescent="0.25">
      <c r="A22" s="215" t="s">
        <v>357</v>
      </c>
      <c r="B22" s="210" t="s">
        <v>36</v>
      </c>
      <c r="C22" s="210" t="s">
        <v>36</v>
      </c>
      <c r="D22" s="210" t="s">
        <v>36</v>
      </c>
      <c r="E22" s="64">
        <v>5.42</v>
      </c>
      <c r="F22" s="64">
        <v>3.37</v>
      </c>
      <c r="G22" s="64">
        <v>10.67</v>
      </c>
      <c r="H22" s="64">
        <v>9.66</v>
      </c>
      <c r="I22" s="64">
        <v>5</v>
      </c>
      <c r="J22" s="64">
        <v>3.27</v>
      </c>
      <c r="K22" s="64">
        <v>347.3</v>
      </c>
      <c r="L22" s="64">
        <v>15.73</v>
      </c>
      <c r="M22" s="64">
        <v>103.71</v>
      </c>
      <c r="N22" s="64">
        <v>35.4</v>
      </c>
      <c r="O22" s="64">
        <v>0</v>
      </c>
      <c r="P22" s="64">
        <v>0.45</v>
      </c>
      <c r="Q22" s="64">
        <v>8.2100000000000009</v>
      </c>
      <c r="R22" s="198"/>
      <c r="S22" s="198"/>
      <c r="T22" s="198"/>
      <c r="U22" s="198"/>
    </row>
    <row r="23" spans="1:21" s="12" customFormat="1" x14ac:dyDescent="0.25">
      <c r="A23" s="215" t="s">
        <v>358</v>
      </c>
      <c r="B23" s="210" t="s">
        <v>36</v>
      </c>
      <c r="C23" s="210" t="s">
        <v>36</v>
      </c>
      <c r="D23" s="210" t="s">
        <v>36</v>
      </c>
      <c r="E23" s="64">
        <v>5.26</v>
      </c>
      <c r="F23" s="64">
        <v>3.25</v>
      </c>
      <c r="G23" s="64">
        <v>10.67</v>
      </c>
      <c r="H23" s="64">
        <v>9.66</v>
      </c>
      <c r="I23" s="64">
        <v>5</v>
      </c>
      <c r="J23" s="64">
        <v>2.46</v>
      </c>
      <c r="K23" s="64">
        <v>344.82</v>
      </c>
      <c r="L23" s="64">
        <v>15.68</v>
      </c>
      <c r="M23" s="64">
        <v>103.75</v>
      </c>
      <c r="N23" s="64">
        <v>35.5</v>
      </c>
      <c r="O23" s="64">
        <v>0</v>
      </c>
      <c r="P23" s="64">
        <v>0.45</v>
      </c>
      <c r="Q23" s="64">
        <v>8.2100000000000009</v>
      </c>
      <c r="R23" s="198"/>
      <c r="S23" s="198"/>
      <c r="T23" s="198"/>
      <c r="U23" s="198"/>
    </row>
    <row r="24" spans="1:21" s="12" customFormat="1" x14ac:dyDescent="0.25">
      <c r="A24" s="215" t="s">
        <v>359</v>
      </c>
      <c r="B24" s="210" t="s">
        <v>36</v>
      </c>
      <c r="C24" s="210" t="s">
        <v>36</v>
      </c>
      <c r="D24" s="210" t="s">
        <v>36</v>
      </c>
      <c r="E24" s="64">
        <v>5.52</v>
      </c>
      <c r="F24" s="64">
        <v>3.54</v>
      </c>
      <c r="G24" s="64">
        <v>13.97</v>
      </c>
      <c r="H24" s="64">
        <v>9.6999999999999993</v>
      </c>
      <c r="I24" s="64">
        <v>5.16</v>
      </c>
      <c r="J24" s="64">
        <v>2.84</v>
      </c>
      <c r="K24" s="64">
        <v>346.85</v>
      </c>
      <c r="L24" s="64">
        <v>15.71</v>
      </c>
      <c r="M24" s="64">
        <v>103.78</v>
      </c>
      <c r="N24" s="64">
        <v>35.4</v>
      </c>
      <c r="O24" s="64">
        <v>0</v>
      </c>
      <c r="P24" s="64">
        <v>0.45</v>
      </c>
      <c r="Q24" s="64">
        <v>8.2100000000000009</v>
      </c>
      <c r="R24" s="198"/>
      <c r="S24" s="198"/>
      <c r="T24" s="198"/>
      <c r="U24" s="198"/>
    </row>
    <row r="25" spans="1:21" s="12" customFormat="1" x14ac:dyDescent="0.25">
      <c r="A25" s="215" t="s">
        <v>360</v>
      </c>
      <c r="B25" s="210" t="s">
        <v>36</v>
      </c>
      <c r="C25" s="210" t="s">
        <v>36</v>
      </c>
      <c r="D25" s="210" t="s">
        <v>36</v>
      </c>
      <c r="E25" s="64">
        <v>5.65</v>
      </c>
      <c r="F25" s="64">
        <v>3.92</v>
      </c>
      <c r="G25" s="64">
        <v>16.489999999999998</v>
      </c>
      <c r="H25" s="64">
        <v>9.6999999999999993</v>
      </c>
      <c r="I25" s="64">
        <v>5</v>
      </c>
      <c r="J25" s="64">
        <v>1.4</v>
      </c>
      <c r="K25" s="64">
        <v>353.53</v>
      </c>
      <c r="L25" s="64">
        <v>15.72</v>
      </c>
      <c r="M25" s="64">
        <v>103.73</v>
      </c>
      <c r="N25" s="64">
        <v>35.5</v>
      </c>
      <c r="O25" s="64">
        <v>0</v>
      </c>
      <c r="P25" s="64">
        <v>0.45</v>
      </c>
      <c r="Q25" s="64">
        <v>8.2100000000000009</v>
      </c>
      <c r="R25" s="198"/>
      <c r="S25" s="198"/>
      <c r="T25" s="198"/>
      <c r="U25" s="198"/>
    </row>
    <row r="26" spans="1:21" s="12" customFormat="1" x14ac:dyDescent="0.25">
      <c r="A26" s="215" t="s">
        <v>361</v>
      </c>
      <c r="B26" s="210" t="s">
        <v>36</v>
      </c>
      <c r="C26" s="210" t="s">
        <v>36</v>
      </c>
      <c r="D26" s="210" t="s">
        <v>36</v>
      </c>
      <c r="E26" s="64">
        <v>5.65</v>
      </c>
      <c r="F26" s="64">
        <v>3.98</v>
      </c>
      <c r="G26" s="64">
        <v>16.489999999999998</v>
      </c>
      <c r="H26" s="64">
        <v>7.26</v>
      </c>
      <c r="I26" s="64">
        <v>4.97</v>
      </c>
      <c r="J26" s="64">
        <v>2.1800000000000002</v>
      </c>
      <c r="K26" s="64">
        <v>338.06</v>
      </c>
      <c r="L26" s="64">
        <v>15.67</v>
      </c>
      <c r="M26" s="64">
        <v>103.75</v>
      </c>
      <c r="N26" s="64">
        <v>35.5</v>
      </c>
      <c r="O26" s="64">
        <v>0</v>
      </c>
      <c r="P26" s="64">
        <v>0.47</v>
      </c>
      <c r="Q26" s="64">
        <v>8.2100000000000009</v>
      </c>
      <c r="R26" s="198"/>
      <c r="S26" s="198"/>
      <c r="T26" s="198"/>
      <c r="U26" s="198"/>
    </row>
    <row r="27" spans="1:21" s="12" customFormat="1" x14ac:dyDescent="0.25">
      <c r="A27" s="215" t="s">
        <v>362</v>
      </c>
      <c r="B27" s="210" t="s">
        <v>36</v>
      </c>
      <c r="C27" s="210" t="s">
        <v>36</v>
      </c>
      <c r="D27" s="210" t="s">
        <v>36</v>
      </c>
      <c r="E27" s="64">
        <v>6.13</v>
      </c>
      <c r="F27" s="64">
        <v>2.86</v>
      </c>
      <c r="G27" s="64">
        <v>16.489999999999998</v>
      </c>
      <c r="H27" s="64">
        <v>17.260000000000002</v>
      </c>
      <c r="I27" s="64">
        <v>5.41</v>
      </c>
      <c r="J27" s="64">
        <v>2.64</v>
      </c>
      <c r="K27" s="64">
        <v>343.86</v>
      </c>
      <c r="L27" s="64">
        <v>15.66</v>
      </c>
      <c r="M27" s="64">
        <v>103.69</v>
      </c>
      <c r="N27" s="64">
        <v>35.5</v>
      </c>
      <c r="O27" s="64">
        <v>0</v>
      </c>
      <c r="P27" s="64">
        <v>0.48</v>
      </c>
      <c r="Q27" s="64">
        <v>8.2100000000000009</v>
      </c>
      <c r="R27" s="198"/>
      <c r="S27" s="198"/>
      <c r="T27" s="198"/>
      <c r="U27" s="198"/>
    </row>
    <row r="28" spans="1:21" s="12" customFormat="1" x14ac:dyDescent="0.25">
      <c r="A28" s="215" t="s">
        <v>363</v>
      </c>
      <c r="B28" s="210" t="s">
        <v>36</v>
      </c>
      <c r="C28" s="210" t="s">
        <v>36</v>
      </c>
      <c r="D28" s="210" t="s">
        <v>36</v>
      </c>
      <c r="E28" s="64">
        <v>5.68</v>
      </c>
      <c r="F28" s="64">
        <v>4.1900000000000004</v>
      </c>
      <c r="G28" s="64">
        <v>20.28</v>
      </c>
      <c r="H28" s="64">
        <v>20.36</v>
      </c>
      <c r="I28" s="64">
        <v>5.41</v>
      </c>
      <c r="J28" s="64">
        <v>2.25</v>
      </c>
      <c r="K28" s="64">
        <v>335.98</v>
      </c>
      <c r="L28" s="64">
        <v>15.63</v>
      </c>
      <c r="M28" s="64">
        <v>103.67</v>
      </c>
      <c r="N28" s="64">
        <v>35.5</v>
      </c>
      <c r="O28" s="64">
        <v>0</v>
      </c>
      <c r="P28" s="64">
        <v>0.48</v>
      </c>
      <c r="Q28" s="64">
        <v>8.2100000000000009</v>
      </c>
      <c r="R28" s="198"/>
      <c r="S28" s="198"/>
      <c r="T28" s="198"/>
      <c r="U28" s="198"/>
    </row>
    <row r="29" spans="1:21" s="12" customFormat="1" x14ac:dyDescent="0.25">
      <c r="A29" s="215" t="s">
        <v>364</v>
      </c>
      <c r="B29" s="210" t="s">
        <v>36</v>
      </c>
      <c r="C29" s="210" t="s">
        <v>36</v>
      </c>
      <c r="D29" s="210" t="s">
        <v>36</v>
      </c>
      <c r="E29" s="64">
        <v>5.8</v>
      </c>
      <c r="F29" s="64">
        <v>3.03</v>
      </c>
      <c r="G29" s="64">
        <v>23.17</v>
      </c>
      <c r="H29" s="64">
        <v>21.44</v>
      </c>
      <c r="I29" s="64">
        <v>5.24</v>
      </c>
      <c r="J29" s="64">
        <v>2.48</v>
      </c>
      <c r="K29" s="64">
        <v>343.3</v>
      </c>
      <c r="L29" s="64">
        <v>15.62</v>
      </c>
      <c r="M29" s="64">
        <v>103.7</v>
      </c>
      <c r="N29" s="64">
        <v>35.5</v>
      </c>
      <c r="O29" s="64">
        <v>0</v>
      </c>
      <c r="P29" s="64">
        <v>0.48</v>
      </c>
      <c r="Q29" s="64">
        <v>8.2100000000000009</v>
      </c>
      <c r="R29" s="198"/>
      <c r="S29" s="198"/>
      <c r="T29" s="198"/>
      <c r="U29" s="198"/>
    </row>
    <row r="30" spans="1:21" s="12" customFormat="1" x14ac:dyDescent="0.25">
      <c r="A30" s="215" t="s">
        <v>365</v>
      </c>
      <c r="B30" s="210" t="s">
        <v>36</v>
      </c>
      <c r="C30" s="210" t="s">
        <v>36</v>
      </c>
      <c r="D30" s="210" t="s">
        <v>36</v>
      </c>
      <c r="E30" s="64">
        <v>5.45</v>
      </c>
      <c r="F30" s="64">
        <v>3.4</v>
      </c>
      <c r="G30" s="64">
        <v>23.17</v>
      </c>
      <c r="H30" s="64">
        <v>21.44</v>
      </c>
      <c r="I30" s="64">
        <v>5.13</v>
      </c>
      <c r="J30" s="64">
        <v>2.4700000000000002</v>
      </c>
      <c r="K30" s="64">
        <v>349.07</v>
      </c>
      <c r="L30" s="64">
        <v>15.64</v>
      </c>
      <c r="M30" s="64">
        <v>103.72</v>
      </c>
      <c r="N30" s="64">
        <v>35.5</v>
      </c>
      <c r="O30" s="64">
        <v>0</v>
      </c>
      <c r="P30" s="64">
        <v>0.48</v>
      </c>
      <c r="Q30" s="64">
        <v>8.2100000000000009</v>
      </c>
      <c r="R30" s="198"/>
      <c r="S30" s="198"/>
      <c r="T30" s="198"/>
      <c r="U30" s="198"/>
    </row>
    <row r="31" spans="1:21" s="12" customFormat="1" x14ac:dyDescent="0.25">
      <c r="A31" s="215" t="s">
        <v>366</v>
      </c>
      <c r="B31" s="210" t="s">
        <v>36</v>
      </c>
      <c r="C31" s="210" t="s">
        <v>36</v>
      </c>
      <c r="D31" s="210" t="s">
        <v>36</v>
      </c>
      <c r="E31" s="64">
        <v>5.9</v>
      </c>
      <c r="F31" s="64">
        <v>3.32</v>
      </c>
      <c r="G31" s="64">
        <v>23.17</v>
      </c>
      <c r="H31" s="64">
        <v>21.44</v>
      </c>
      <c r="I31" s="64">
        <v>5.0199999999999996</v>
      </c>
      <c r="J31" s="64">
        <v>1.35</v>
      </c>
      <c r="K31" s="64">
        <v>3.89</v>
      </c>
      <c r="L31" s="64">
        <v>15.6</v>
      </c>
      <c r="M31" s="64">
        <v>103.63</v>
      </c>
      <c r="N31" s="64">
        <v>35.5</v>
      </c>
      <c r="O31" s="64">
        <v>0</v>
      </c>
      <c r="P31" s="64">
        <v>0.49</v>
      </c>
      <c r="Q31" s="64">
        <v>8.2100000000000009</v>
      </c>
      <c r="R31" s="198"/>
      <c r="S31" s="198"/>
      <c r="T31" s="198"/>
      <c r="U31" s="198"/>
    </row>
    <row r="32" spans="1:21" s="12" customFormat="1" x14ac:dyDescent="0.25">
      <c r="A32" s="215" t="s">
        <v>367</v>
      </c>
      <c r="B32" s="210" t="s">
        <v>36</v>
      </c>
      <c r="C32" s="210" t="s">
        <v>36</v>
      </c>
      <c r="D32" s="210" t="s">
        <v>36</v>
      </c>
      <c r="E32" s="64">
        <v>5.92</v>
      </c>
      <c r="F32" s="64">
        <v>3.43</v>
      </c>
      <c r="G32" s="64">
        <v>23.81</v>
      </c>
      <c r="H32" s="64">
        <v>14.58</v>
      </c>
      <c r="I32" s="64">
        <v>4.91</v>
      </c>
      <c r="J32" s="64">
        <v>2.17</v>
      </c>
      <c r="K32" s="64">
        <v>330.3</v>
      </c>
      <c r="L32" s="64">
        <v>15.54</v>
      </c>
      <c r="M32" s="64">
        <v>103.65</v>
      </c>
      <c r="N32" s="64">
        <v>35.5</v>
      </c>
      <c r="O32" s="64">
        <v>0</v>
      </c>
      <c r="P32" s="64">
        <v>0.51</v>
      </c>
      <c r="Q32" s="64">
        <v>8.2100000000000009</v>
      </c>
      <c r="R32" s="198"/>
      <c r="S32" s="198"/>
      <c r="T32" s="198"/>
      <c r="U32" s="198"/>
    </row>
    <row r="33" spans="1:21" s="12" customFormat="1" x14ac:dyDescent="0.25">
      <c r="A33" s="215" t="s">
        <v>368</v>
      </c>
      <c r="B33" s="210" t="s">
        <v>36</v>
      </c>
      <c r="C33" s="210" t="s">
        <v>36</v>
      </c>
      <c r="D33" s="210" t="s">
        <v>36</v>
      </c>
      <c r="E33" s="64">
        <v>5.5</v>
      </c>
      <c r="F33" s="64">
        <v>3.47</v>
      </c>
      <c r="G33" s="64">
        <v>24.3</v>
      </c>
      <c r="H33" s="64">
        <v>9.92</v>
      </c>
      <c r="I33" s="64">
        <v>4.8600000000000003</v>
      </c>
      <c r="J33" s="64">
        <v>1.71</v>
      </c>
      <c r="K33" s="64">
        <v>326.33</v>
      </c>
      <c r="L33" s="64">
        <v>15.58</v>
      </c>
      <c r="M33" s="64">
        <v>103.68</v>
      </c>
      <c r="N33" s="64">
        <v>35.5</v>
      </c>
      <c r="O33" s="64">
        <v>0</v>
      </c>
      <c r="P33" s="64">
        <v>0.5</v>
      </c>
      <c r="Q33" s="64">
        <v>8.2100000000000009</v>
      </c>
      <c r="R33" s="198"/>
      <c r="S33" s="198"/>
      <c r="T33" s="198"/>
      <c r="U33" s="198"/>
    </row>
    <row r="34" spans="1:21" s="12" customFormat="1" x14ac:dyDescent="0.25">
      <c r="A34" s="215" t="s">
        <v>369</v>
      </c>
      <c r="B34" s="210" t="s">
        <v>36</v>
      </c>
      <c r="C34" s="210" t="s">
        <v>36</v>
      </c>
      <c r="D34" s="210" t="s">
        <v>36</v>
      </c>
      <c r="E34" s="64">
        <v>5.58</v>
      </c>
      <c r="F34" s="64">
        <v>2.54</v>
      </c>
      <c r="G34" s="64">
        <v>24.3</v>
      </c>
      <c r="H34" s="64">
        <v>9.92</v>
      </c>
      <c r="I34" s="64">
        <v>4.83</v>
      </c>
      <c r="J34" s="64">
        <v>1.24</v>
      </c>
      <c r="K34" s="64">
        <v>355.56</v>
      </c>
      <c r="L34" s="64">
        <v>15.51</v>
      </c>
      <c r="M34" s="64">
        <v>103.69</v>
      </c>
      <c r="N34" s="64">
        <v>36.1</v>
      </c>
      <c r="O34" s="64">
        <v>0</v>
      </c>
      <c r="P34" s="64">
        <v>0.51</v>
      </c>
      <c r="Q34" s="64">
        <v>8.23</v>
      </c>
      <c r="R34" s="198"/>
      <c r="S34" s="198"/>
      <c r="T34" s="198"/>
      <c r="U34" s="198"/>
    </row>
    <row r="35" spans="1:21" s="12" customFormat="1" x14ac:dyDescent="0.25">
      <c r="A35" s="215" t="s">
        <v>370</v>
      </c>
      <c r="B35" s="210" t="s">
        <v>36</v>
      </c>
      <c r="C35" s="210" t="s">
        <v>36</v>
      </c>
      <c r="D35" s="210" t="s">
        <v>36</v>
      </c>
      <c r="E35" s="64">
        <v>5.83</v>
      </c>
      <c r="F35" s="64">
        <v>4.09</v>
      </c>
      <c r="G35" s="64">
        <v>24.3</v>
      </c>
      <c r="H35" s="64">
        <v>9.92</v>
      </c>
      <c r="I35" s="64">
        <v>4.79</v>
      </c>
      <c r="J35" s="64">
        <v>2.31</v>
      </c>
      <c r="K35" s="64">
        <v>350.67</v>
      </c>
      <c r="L35" s="64">
        <v>15.54</v>
      </c>
      <c r="M35" s="64">
        <v>103.69</v>
      </c>
      <c r="N35" s="64">
        <v>38.799999999999997</v>
      </c>
      <c r="O35" s="64">
        <v>0</v>
      </c>
      <c r="P35" s="64">
        <v>0.52</v>
      </c>
      <c r="Q35" s="64">
        <v>8.2100000000000009</v>
      </c>
      <c r="R35" s="198"/>
      <c r="S35" s="198"/>
      <c r="T35" s="198"/>
      <c r="U35" s="198"/>
    </row>
    <row r="36" spans="1:21" s="12" customFormat="1" x14ac:dyDescent="0.25">
      <c r="A36" s="215" t="s">
        <v>371</v>
      </c>
      <c r="B36" s="210" t="s">
        <v>36</v>
      </c>
      <c r="C36" s="210" t="s">
        <v>36</v>
      </c>
      <c r="D36" s="210" t="s">
        <v>36</v>
      </c>
      <c r="E36" s="64">
        <v>5.5</v>
      </c>
      <c r="F36" s="64">
        <v>3.57</v>
      </c>
      <c r="G36" s="64">
        <v>29.09</v>
      </c>
      <c r="H36" s="64">
        <v>12.25</v>
      </c>
      <c r="I36" s="64">
        <v>4.6100000000000003</v>
      </c>
      <c r="J36" s="64">
        <v>1.75</v>
      </c>
      <c r="K36" s="64">
        <v>339.98</v>
      </c>
      <c r="L36" s="64">
        <v>15.52</v>
      </c>
      <c r="M36" s="64">
        <v>103.69</v>
      </c>
      <c r="N36" s="64">
        <v>45.2</v>
      </c>
      <c r="O36" s="64">
        <v>0</v>
      </c>
      <c r="P36" s="64">
        <v>0.54</v>
      </c>
      <c r="Q36" s="64">
        <v>8.2200000000000006</v>
      </c>
      <c r="R36" s="198"/>
      <c r="S36" s="198"/>
      <c r="T36" s="198"/>
      <c r="U36" s="198"/>
    </row>
    <row r="37" spans="1:21" s="12" customFormat="1" x14ac:dyDescent="0.25">
      <c r="A37" s="215" t="s">
        <v>372</v>
      </c>
      <c r="B37" s="210" t="s">
        <v>36</v>
      </c>
      <c r="C37" s="210" t="s">
        <v>36</v>
      </c>
      <c r="D37" s="210" t="s">
        <v>36</v>
      </c>
      <c r="E37" s="64">
        <v>5.81</v>
      </c>
      <c r="F37" s="64">
        <v>3.93</v>
      </c>
      <c r="G37" s="64">
        <v>32.76</v>
      </c>
      <c r="H37" s="64">
        <v>13.06</v>
      </c>
      <c r="I37" s="64">
        <v>4.6500000000000004</v>
      </c>
      <c r="J37" s="64">
        <v>1.49</v>
      </c>
      <c r="K37" s="64">
        <v>337.94</v>
      </c>
      <c r="L37" s="64">
        <v>15.54</v>
      </c>
      <c r="M37" s="64">
        <v>103.65</v>
      </c>
      <c r="N37" s="64">
        <v>48.6</v>
      </c>
      <c r="O37" s="64">
        <v>0</v>
      </c>
      <c r="P37" s="64">
        <v>0.48</v>
      </c>
      <c r="Q37" s="64">
        <v>8.4</v>
      </c>
      <c r="R37" s="198"/>
      <c r="S37" s="198"/>
      <c r="T37" s="198"/>
      <c r="U37" s="198"/>
    </row>
    <row r="38" spans="1:21" s="12" customFormat="1" x14ac:dyDescent="0.25">
      <c r="A38" s="215" t="s">
        <v>373</v>
      </c>
      <c r="B38" s="210" t="s">
        <v>36</v>
      </c>
      <c r="C38" s="210" t="s">
        <v>36</v>
      </c>
      <c r="D38" s="210" t="s">
        <v>36</v>
      </c>
      <c r="E38" s="64">
        <v>6.3</v>
      </c>
      <c r="F38" s="64">
        <v>3.6</v>
      </c>
      <c r="G38" s="64">
        <v>32.76</v>
      </c>
      <c r="H38" s="64">
        <v>13.06</v>
      </c>
      <c r="I38" s="64">
        <v>4.7699999999999996</v>
      </c>
      <c r="J38" s="64">
        <v>1.36</v>
      </c>
      <c r="K38" s="64">
        <v>344.92</v>
      </c>
      <c r="L38" s="64">
        <v>15.59</v>
      </c>
      <c r="M38" s="64">
        <v>103.64</v>
      </c>
      <c r="N38" s="64">
        <v>63</v>
      </c>
      <c r="O38" s="64">
        <v>0</v>
      </c>
      <c r="P38" s="64">
        <v>0.52</v>
      </c>
      <c r="Q38" s="64">
        <v>8.66</v>
      </c>
      <c r="R38" s="198"/>
      <c r="S38" s="198"/>
      <c r="T38" s="198"/>
      <c r="U38" s="198"/>
    </row>
    <row r="39" spans="1:21" s="12" customFormat="1" x14ac:dyDescent="0.25">
      <c r="A39" s="215" t="s">
        <v>374</v>
      </c>
      <c r="B39" s="210" t="s">
        <v>36</v>
      </c>
      <c r="C39" s="210" t="s">
        <v>36</v>
      </c>
      <c r="D39" s="210" t="s">
        <v>36</v>
      </c>
      <c r="E39" s="64">
        <v>6.48</v>
      </c>
      <c r="F39" s="64">
        <v>3.88</v>
      </c>
      <c r="G39" s="64">
        <v>32.76</v>
      </c>
      <c r="H39" s="64">
        <v>13.06</v>
      </c>
      <c r="I39" s="64">
        <v>4.84</v>
      </c>
      <c r="J39" s="64">
        <v>1.43</v>
      </c>
      <c r="K39" s="64">
        <v>349.38</v>
      </c>
      <c r="L39" s="64">
        <v>15.71</v>
      </c>
      <c r="M39" s="64">
        <v>103.65</v>
      </c>
      <c r="N39" s="64">
        <v>63.8</v>
      </c>
      <c r="O39" s="64">
        <v>0</v>
      </c>
      <c r="P39" s="64">
        <v>0.53</v>
      </c>
      <c r="Q39" s="64">
        <v>8.91</v>
      </c>
      <c r="R39" s="198"/>
      <c r="S39" s="198"/>
      <c r="T39" s="198"/>
      <c r="U39" s="198"/>
    </row>
    <row r="40" spans="1:21" s="12" customFormat="1" x14ac:dyDescent="0.25">
      <c r="A40" s="215" t="s">
        <v>375</v>
      </c>
      <c r="B40" s="210" t="s">
        <v>36</v>
      </c>
      <c r="C40" s="210" t="s">
        <v>36</v>
      </c>
      <c r="D40" s="210" t="s">
        <v>36</v>
      </c>
      <c r="E40" s="64">
        <v>5.03</v>
      </c>
      <c r="F40" s="64">
        <v>3.24</v>
      </c>
      <c r="G40" s="64">
        <v>33.89</v>
      </c>
      <c r="H40" s="64">
        <v>21.12</v>
      </c>
      <c r="I40" s="64">
        <v>4.95</v>
      </c>
      <c r="J40" s="64">
        <v>0.7</v>
      </c>
      <c r="K40" s="64">
        <v>32.26</v>
      </c>
      <c r="L40" s="64">
        <v>15.82</v>
      </c>
      <c r="M40" s="64">
        <v>103.65</v>
      </c>
      <c r="N40" s="64">
        <v>77.599999999999994</v>
      </c>
      <c r="O40" s="64">
        <v>0</v>
      </c>
      <c r="P40" s="64">
        <v>0.56999999999999995</v>
      </c>
      <c r="Q40" s="64">
        <v>9.16</v>
      </c>
      <c r="R40" s="198"/>
      <c r="S40" s="198"/>
      <c r="T40" s="198"/>
      <c r="U40" s="198"/>
    </row>
    <row r="41" spans="1:21" s="12" customFormat="1" x14ac:dyDescent="0.25">
      <c r="A41" s="215" t="s">
        <v>376</v>
      </c>
      <c r="B41" s="210" t="s">
        <v>36</v>
      </c>
      <c r="C41" s="210" t="s">
        <v>36</v>
      </c>
      <c r="D41" s="210" t="s">
        <v>36</v>
      </c>
      <c r="E41" s="64">
        <v>5.35</v>
      </c>
      <c r="F41" s="64">
        <v>3.48</v>
      </c>
      <c r="G41" s="64">
        <v>34.75</v>
      </c>
      <c r="H41" s="64">
        <v>23.92</v>
      </c>
      <c r="I41" s="64">
        <v>4.92</v>
      </c>
      <c r="J41" s="64">
        <v>0.75</v>
      </c>
      <c r="K41" s="64">
        <v>38.67</v>
      </c>
      <c r="L41" s="64">
        <v>15.86</v>
      </c>
      <c r="M41" s="64">
        <v>103.63</v>
      </c>
      <c r="N41" s="64">
        <v>82.7</v>
      </c>
      <c r="O41" s="64">
        <v>0</v>
      </c>
      <c r="P41" s="64">
        <v>0.57999999999999996</v>
      </c>
      <c r="Q41" s="64">
        <v>9.3800000000000008</v>
      </c>
      <c r="R41" s="198"/>
      <c r="S41" s="198"/>
      <c r="T41" s="198"/>
      <c r="U41" s="198"/>
    </row>
    <row r="42" spans="1:21" s="12" customFormat="1" x14ac:dyDescent="0.25">
      <c r="A42" s="215" t="s">
        <v>377</v>
      </c>
      <c r="B42" s="210" t="s">
        <v>36</v>
      </c>
      <c r="C42" s="210" t="s">
        <v>36</v>
      </c>
      <c r="D42" s="210" t="s">
        <v>36</v>
      </c>
      <c r="E42" s="64">
        <v>5.38</v>
      </c>
      <c r="F42" s="64">
        <v>4.38</v>
      </c>
      <c r="G42" s="64">
        <v>34.75</v>
      </c>
      <c r="H42" s="64">
        <v>23.92</v>
      </c>
      <c r="I42" s="64">
        <v>5.0199999999999996</v>
      </c>
      <c r="J42" s="64">
        <v>1.07</v>
      </c>
      <c r="K42" s="64">
        <v>92.12</v>
      </c>
      <c r="L42" s="64">
        <v>15.95</v>
      </c>
      <c r="M42" s="64">
        <v>103.63</v>
      </c>
      <c r="N42" s="64">
        <v>88.3</v>
      </c>
      <c r="O42" s="64">
        <v>0</v>
      </c>
      <c r="P42" s="64">
        <v>0.57999999999999996</v>
      </c>
      <c r="Q42" s="64">
        <v>9.5299999999999994</v>
      </c>
      <c r="R42" s="198"/>
      <c r="S42" s="198"/>
      <c r="T42" s="198"/>
      <c r="U42" s="198"/>
    </row>
    <row r="43" spans="1:21" s="12" customFormat="1" x14ac:dyDescent="0.25">
      <c r="A43" s="215" t="s">
        <v>378</v>
      </c>
      <c r="B43" s="210" t="s">
        <v>36</v>
      </c>
      <c r="C43" s="210" t="s">
        <v>36</v>
      </c>
      <c r="D43" s="210" t="s">
        <v>36</v>
      </c>
      <c r="E43" s="64">
        <v>5.37</v>
      </c>
      <c r="F43" s="64">
        <v>4.43</v>
      </c>
      <c r="G43" s="64">
        <v>34.75</v>
      </c>
      <c r="H43" s="64">
        <v>23.92</v>
      </c>
      <c r="I43" s="64">
        <v>5.33</v>
      </c>
      <c r="J43" s="64">
        <v>0.37</v>
      </c>
      <c r="K43" s="64">
        <v>33</v>
      </c>
      <c r="L43" s="64">
        <v>16.149999999999999</v>
      </c>
      <c r="M43" s="64">
        <v>103.63</v>
      </c>
      <c r="N43" s="64">
        <v>94.6</v>
      </c>
      <c r="O43" s="64">
        <v>0</v>
      </c>
      <c r="P43" s="64">
        <v>0.59</v>
      </c>
      <c r="Q43" s="64">
        <v>9.7100000000000009</v>
      </c>
      <c r="R43" s="198"/>
      <c r="S43" s="198"/>
      <c r="T43" s="198"/>
      <c r="U43" s="198"/>
    </row>
    <row r="44" spans="1:21" s="12" customFormat="1" x14ac:dyDescent="0.25">
      <c r="A44" s="215" t="s">
        <v>379</v>
      </c>
      <c r="B44" s="210" t="s">
        <v>36</v>
      </c>
      <c r="C44" s="210" t="s">
        <v>36</v>
      </c>
      <c r="D44" s="210" t="s">
        <v>36</v>
      </c>
      <c r="E44" s="64">
        <v>5.45</v>
      </c>
      <c r="F44" s="64">
        <v>3.82</v>
      </c>
      <c r="G44" s="64">
        <v>36.450000000000003</v>
      </c>
      <c r="H44" s="64">
        <v>22.82</v>
      </c>
      <c r="I44" s="64">
        <v>5.73</v>
      </c>
      <c r="J44" s="64">
        <v>0.93</v>
      </c>
      <c r="K44" s="64">
        <v>84.46</v>
      </c>
      <c r="L44" s="64">
        <v>16.3</v>
      </c>
      <c r="M44" s="64">
        <v>103.75</v>
      </c>
      <c r="N44" s="64">
        <v>107.4</v>
      </c>
      <c r="O44" s="64">
        <v>0</v>
      </c>
      <c r="P44" s="64">
        <v>0.6</v>
      </c>
      <c r="Q44" s="64">
        <v>9.81</v>
      </c>
      <c r="R44" s="198"/>
      <c r="S44" s="198"/>
      <c r="T44" s="198"/>
      <c r="U44" s="198"/>
    </row>
    <row r="45" spans="1:21" s="12" customFormat="1" x14ac:dyDescent="0.25">
      <c r="A45" s="215" t="s">
        <v>380</v>
      </c>
      <c r="B45" s="210" t="s">
        <v>36</v>
      </c>
      <c r="C45" s="210" t="s">
        <v>36</v>
      </c>
      <c r="D45" s="210" t="s">
        <v>36</v>
      </c>
      <c r="E45" s="64">
        <v>5.32</v>
      </c>
      <c r="F45" s="64">
        <v>3.56</v>
      </c>
      <c r="G45" s="64">
        <v>37.75</v>
      </c>
      <c r="H45" s="64">
        <v>22.43</v>
      </c>
      <c r="I45" s="64">
        <v>5.81</v>
      </c>
      <c r="J45" s="64">
        <v>1.43</v>
      </c>
      <c r="K45" s="64">
        <v>89.06</v>
      </c>
      <c r="L45" s="64">
        <v>16.54</v>
      </c>
      <c r="M45" s="64">
        <v>103.8</v>
      </c>
      <c r="N45" s="64">
        <v>141</v>
      </c>
      <c r="O45" s="64">
        <v>0</v>
      </c>
      <c r="P45" s="64">
        <v>0.62</v>
      </c>
      <c r="Q45" s="64">
        <v>9.83</v>
      </c>
      <c r="R45" s="198"/>
      <c r="S45" s="198"/>
      <c r="T45" s="198"/>
      <c r="U45" s="198"/>
    </row>
    <row r="46" spans="1:21" s="12" customFormat="1" x14ac:dyDescent="0.25">
      <c r="A46" s="215" t="s">
        <v>381</v>
      </c>
      <c r="B46" s="210" t="s">
        <v>36</v>
      </c>
      <c r="C46" s="210" t="s">
        <v>36</v>
      </c>
      <c r="D46" s="210" t="s">
        <v>36</v>
      </c>
      <c r="E46" s="64">
        <v>4.96</v>
      </c>
      <c r="F46" s="64">
        <v>3.96</v>
      </c>
      <c r="G46" s="64">
        <v>37.75</v>
      </c>
      <c r="H46" s="64">
        <v>22.43</v>
      </c>
      <c r="I46" s="64">
        <v>5.87</v>
      </c>
      <c r="J46" s="64">
        <v>2.0499999999999998</v>
      </c>
      <c r="K46" s="64">
        <v>104.57</v>
      </c>
      <c r="L46" s="64">
        <v>16.78</v>
      </c>
      <c r="M46" s="64">
        <v>103.81</v>
      </c>
      <c r="N46" s="64">
        <v>183.9</v>
      </c>
      <c r="O46" s="64">
        <v>0</v>
      </c>
      <c r="P46" s="64">
        <v>0.63</v>
      </c>
      <c r="Q46" s="64">
        <v>9.69</v>
      </c>
      <c r="R46" s="198"/>
      <c r="S46" s="198"/>
      <c r="T46" s="198"/>
      <c r="U46" s="198"/>
    </row>
    <row r="47" spans="1:21" s="12" customFormat="1" x14ac:dyDescent="0.25">
      <c r="A47" s="215" t="s">
        <v>382</v>
      </c>
      <c r="B47" s="210" t="s">
        <v>36</v>
      </c>
      <c r="C47" s="210" t="s">
        <v>36</v>
      </c>
      <c r="D47" s="210" t="s">
        <v>36</v>
      </c>
      <c r="E47" s="64">
        <v>5.01</v>
      </c>
      <c r="F47" s="64">
        <v>3.14</v>
      </c>
      <c r="G47" s="64">
        <v>37.75</v>
      </c>
      <c r="H47" s="64">
        <v>22.43</v>
      </c>
      <c r="I47" s="64">
        <v>5.96</v>
      </c>
      <c r="J47" s="64">
        <v>1.54</v>
      </c>
      <c r="K47" s="64">
        <v>90.1</v>
      </c>
      <c r="L47" s="64">
        <v>17.510000000000002</v>
      </c>
      <c r="M47" s="64">
        <v>103.76</v>
      </c>
      <c r="N47" s="64">
        <v>241.9</v>
      </c>
      <c r="O47" s="64">
        <v>0</v>
      </c>
      <c r="P47" s="64">
        <v>0.63</v>
      </c>
      <c r="Q47" s="64">
        <v>9.84</v>
      </c>
      <c r="R47" s="198"/>
      <c r="S47" s="198"/>
      <c r="T47" s="198"/>
      <c r="U47" s="198"/>
    </row>
    <row r="48" spans="1:21" s="12" customFormat="1" x14ac:dyDescent="0.25">
      <c r="A48" s="215" t="s">
        <v>383</v>
      </c>
      <c r="B48" s="210" t="s">
        <v>36</v>
      </c>
      <c r="C48" s="210" t="s">
        <v>36</v>
      </c>
      <c r="D48" s="210" t="s">
        <v>36</v>
      </c>
      <c r="E48" s="64">
        <v>5.01</v>
      </c>
      <c r="F48" s="64">
        <v>3.95</v>
      </c>
      <c r="G48" s="64">
        <v>39.75</v>
      </c>
      <c r="H48" s="64">
        <v>23.12</v>
      </c>
      <c r="I48" s="64">
        <v>6.21</v>
      </c>
      <c r="J48" s="64">
        <v>1.3</v>
      </c>
      <c r="K48" s="64">
        <v>91.98</v>
      </c>
      <c r="L48" s="64">
        <v>18.010000000000002</v>
      </c>
      <c r="M48" s="64">
        <v>101.61</v>
      </c>
      <c r="N48" s="64">
        <v>273.3</v>
      </c>
      <c r="O48" s="64">
        <v>0</v>
      </c>
      <c r="P48" s="64">
        <v>0.65</v>
      </c>
      <c r="Q48" s="64">
        <v>9.81</v>
      </c>
      <c r="R48" s="198"/>
      <c r="S48" s="198"/>
      <c r="T48" s="198"/>
      <c r="U48" s="198"/>
    </row>
    <row r="49" spans="1:21" s="12" customFormat="1" x14ac:dyDescent="0.25">
      <c r="A49" s="215" t="s">
        <v>384</v>
      </c>
      <c r="B49" s="210" t="s">
        <v>36</v>
      </c>
      <c r="C49" s="210" t="s">
        <v>36</v>
      </c>
      <c r="D49" s="210" t="s">
        <v>36</v>
      </c>
      <c r="E49" s="64">
        <v>5.24</v>
      </c>
      <c r="F49" s="64">
        <v>3.25</v>
      </c>
      <c r="G49" s="64">
        <v>41.28</v>
      </c>
      <c r="H49" s="64">
        <v>23.58</v>
      </c>
      <c r="I49" s="64">
        <v>6.34</v>
      </c>
      <c r="J49" s="64">
        <v>1.87</v>
      </c>
      <c r="K49" s="64">
        <v>98.39</v>
      </c>
      <c r="L49" s="64">
        <v>18.170000000000002</v>
      </c>
      <c r="M49" s="64">
        <v>100.63</v>
      </c>
      <c r="N49" s="64">
        <v>282.7</v>
      </c>
      <c r="O49" s="64">
        <v>0</v>
      </c>
      <c r="P49" s="64">
        <v>0.65</v>
      </c>
      <c r="Q49" s="64">
        <v>9.6999999999999993</v>
      </c>
      <c r="R49" s="198"/>
      <c r="S49" s="198"/>
      <c r="T49" s="198"/>
      <c r="U49" s="198"/>
    </row>
    <row r="50" spans="1:21" s="12" customFormat="1" x14ac:dyDescent="0.25">
      <c r="A50" s="215" t="s">
        <v>385</v>
      </c>
      <c r="B50" s="210" t="s">
        <v>36</v>
      </c>
      <c r="C50" s="210" t="s">
        <v>36</v>
      </c>
      <c r="D50" s="210" t="s">
        <v>36</v>
      </c>
      <c r="E50" s="64">
        <v>5.45</v>
      </c>
      <c r="F50" s="64">
        <v>4.07</v>
      </c>
      <c r="G50" s="64">
        <v>41.28</v>
      </c>
      <c r="H50" s="64">
        <v>23.58</v>
      </c>
      <c r="I50" s="64">
        <v>6.48</v>
      </c>
      <c r="J50" s="64">
        <v>3.81</v>
      </c>
      <c r="K50" s="64">
        <v>110.14</v>
      </c>
      <c r="L50" s="64">
        <v>18.23</v>
      </c>
      <c r="M50" s="64">
        <v>100.74</v>
      </c>
      <c r="N50" s="64">
        <v>285.39999999999998</v>
      </c>
      <c r="O50" s="64">
        <v>0</v>
      </c>
      <c r="P50" s="64">
        <v>0.66</v>
      </c>
      <c r="Q50" s="64">
        <v>9.42</v>
      </c>
      <c r="R50" s="198"/>
      <c r="S50" s="198"/>
      <c r="T50" s="198"/>
      <c r="U50" s="198"/>
    </row>
    <row r="51" spans="1:21" s="12" customFormat="1" x14ac:dyDescent="0.25">
      <c r="A51" s="215" t="s">
        <v>386</v>
      </c>
      <c r="B51" s="210" t="s">
        <v>36</v>
      </c>
      <c r="C51" s="210" t="s">
        <v>36</v>
      </c>
      <c r="D51" s="210" t="s">
        <v>36</v>
      </c>
      <c r="E51" s="64">
        <v>5.41</v>
      </c>
      <c r="F51" s="64">
        <v>3.5</v>
      </c>
      <c r="G51" s="64">
        <v>41.28</v>
      </c>
      <c r="H51" s="64">
        <v>23.58</v>
      </c>
      <c r="I51" s="64">
        <v>6.62</v>
      </c>
      <c r="J51" s="64">
        <v>2.06</v>
      </c>
      <c r="K51" s="64">
        <v>104.29</v>
      </c>
      <c r="L51" s="64">
        <v>18.61</v>
      </c>
      <c r="M51" s="64">
        <v>98.01</v>
      </c>
      <c r="N51" s="64">
        <v>317.39999999999998</v>
      </c>
      <c r="O51" s="64">
        <v>0</v>
      </c>
      <c r="P51" s="64">
        <v>0.66</v>
      </c>
      <c r="Q51" s="64">
        <v>9.57</v>
      </c>
      <c r="R51" s="198"/>
      <c r="S51" s="198"/>
      <c r="T51" s="198"/>
      <c r="U51" s="198"/>
    </row>
    <row r="52" spans="1:21" s="12" customFormat="1" x14ac:dyDescent="0.25">
      <c r="A52" s="215" t="s">
        <v>387</v>
      </c>
      <c r="B52" s="210" t="s">
        <v>36</v>
      </c>
      <c r="C52" s="210" t="s">
        <v>36</v>
      </c>
      <c r="D52" s="210" t="s">
        <v>36</v>
      </c>
      <c r="E52" s="64">
        <v>5.14</v>
      </c>
      <c r="F52" s="64">
        <v>3.83</v>
      </c>
      <c r="G52" s="64">
        <v>41.37</v>
      </c>
      <c r="H52" s="64">
        <v>19.440000000000001</v>
      </c>
      <c r="I52" s="64">
        <v>6.91</v>
      </c>
      <c r="J52" s="64">
        <v>0.64</v>
      </c>
      <c r="K52" s="64">
        <v>70.53</v>
      </c>
      <c r="L52" s="64">
        <v>19.54</v>
      </c>
      <c r="M52" s="64">
        <v>93.76</v>
      </c>
      <c r="N52" s="64">
        <v>334.3</v>
      </c>
      <c r="O52" s="64">
        <v>0</v>
      </c>
      <c r="P52" s="64">
        <v>0.67</v>
      </c>
      <c r="Q52" s="64">
        <v>9.25</v>
      </c>
      <c r="R52" s="198"/>
      <c r="S52" s="198"/>
      <c r="T52" s="198"/>
      <c r="U52" s="198"/>
    </row>
    <row r="53" spans="1:21" s="12" customFormat="1" x14ac:dyDescent="0.25">
      <c r="A53" s="215" t="s">
        <v>388</v>
      </c>
      <c r="B53" s="210" t="s">
        <v>36</v>
      </c>
      <c r="C53" s="210" t="s">
        <v>36</v>
      </c>
      <c r="D53" s="210" t="s">
        <v>36</v>
      </c>
      <c r="E53" s="64">
        <v>5.16</v>
      </c>
      <c r="F53" s="64">
        <v>3.78</v>
      </c>
      <c r="G53" s="64">
        <v>41.45</v>
      </c>
      <c r="H53" s="64">
        <v>18.010000000000002</v>
      </c>
      <c r="I53" s="64">
        <v>7.14</v>
      </c>
      <c r="J53" s="64">
        <v>3.92</v>
      </c>
      <c r="K53" s="64">
        <v>114.56</v>
      </c>
      <c r="L53" s="64">
        <v>19.36</v>
      </c>
      <c r="M53" s="64">
        <v>92.75</v>
      </c>
      <c r="N53" s="64">
        <v>389.1</v>
      </c>
      <c r="O53" s="64">
        <v>0</v>
      </c>
      <c r="P53" s="64">
        <v>0.67</v>
      </c>
      <c r="Q53" s="64">
        <v>9.24</v>
      </c>
      <c r="R53" s="198"/>
      <c r="S53" s="198"/>
      <c r="T53" s="198"/>
      <c r="U53" s="198"/>
    </row>
    <row r="54" spans="1:21" s="12" customFormat="1" x14ac:dyDescent="0.25">
      <c r="A54" s="215" t="s">
        <v>389</v>
      </c>
      <c r="B54" s="210" t="s">
        <v>36</v>
      </c>
      <c r="C54" s="210" t="s">
        <v>36</v>
      </c>
      <c r="D54" s="210" t="s">
        <v>36</v>
      </c>
      <c r="E54" s="64">
        <v>5.12</v>
      </c>
      <c r="F54" s="64">
        <v>3.73</v>
      </c>
      <c r="G54" s="64">
        <v>41.45</v>
      </c>
      <c r="H54" s="64">
        <v>18.010000000000002</v>
      </c>
      <c r="I54" s="64">
        <v>7.2</v>
      </c>
      <c r="J54" s="64">
        <v>2.91</v>
      </c>
      <c r="K54" s="64">
        <v>110.39</v>
      </c>
      <c r="L54" s="64">
        <v>20.04</v>
      </c>
      <c r="M54" s="64">
        <v>89.3</v>
      </c>
      <c r="N54" s="64">
        <v>479</v>
      </c>
      <c r="O54" s="64">
        <v>0</v>
      </c>
      <c r="P54" s="64">
        <v>0.68</v>
      </c>
      <c r="Q54" s="64">
        <v>9.2100000000000009</v>
      </c>
      <c r="R54" s="198"/>
      <c r="S54" s="198"/>
      <c r="T54" s="198"/>
      <c r="U54" s="198"/>
    </row>
    <row r="55" spans="1:21" s="12" customFormat="1" x14ac:dyDescent="0.25">
      <c r="A55" s="215" t="s">
        <v>390</v>
      </c>
      <c r="B55" s="210" t="s">
        <v>36</v>
      </c>
      <c r="C55" s="210" t="s">
        <v>36</v>
      </c>
      <c r="D55" s="210" t="s">
        <v>36</v>
      </c>
      <c r="E55" s="64">
        <v>5.09</v>
      </c>
      <c r="F55" s="64">
        <v>3.58</v>
      </c>
      <c r="G55" s="64">
        <v>41.45</v>
      </c>
      <c r="H55" s="64">
        <v>18.010000000000002</v>
      </c>
      <c r="I55" s="64">
        <v>7.24</v>
      </c>
      <c r="J55" s="64">
        <v>0.69</v>
      </c>
      <c r="K55" s="64">
        <v>39.39</v>
      </c>
      <c r="L55" s="64">
        <v>20.72</v>
      </c>
      <c r="M55" s="64">
        <v>86.31</v>
      </c>
      <c r="N55" s="64">
        <v>390.5</v>
      </c>
      <c r="O55" s="64">
        <v>0</v>
      </c>
      <c r="P55" s="64">
        <v>0.67</v>
      </c>
      <c r="Q55" s="64">
        <v>9.0399999999999991</v>
      </c>
      <c r="R55" s="198"/>
      <c r="S55" s="198"/>
      <c r="T55" s="198"/>
      <c r="U55" s="198"/>
    </row>
    <row r="56" spans="1:21" s="12" customFormat="1" x14ac:dyDescent="0.25">
      <c r="A56" s="215" t="s">
        <v>391</v>
      </c>
      <c r="B56" s="210" t="s">
        <v>36</v>
      </c>
      <c r="C56" s="210" t="s">
        <v>36</v>
      </c>
      <c r="D56" s="210" t="s">
        <v>36</v>
      </c>
      <c r="E56" s="64">
        <v>5.19</v>
      </c>
      <c r="F56" s="64">
        <v>3.57</v>
      </c>
      <c r="G56" s="64">
        <v>41.89</v>
      </c>
      <c r="H56" s="64">
        <v>24.79</v>
      </c>
      <c r="I56" s="64">
        <v>7.61</v>
      </c>
      <c r="J56" s="64">
        <v>1.45</v>
      </c>
      <c r="K56" s="64">
        <v>96.42</v>
      </c>
      <c r="L56" s="64">
        <v>20.96</v>
      </c>
      <c r="M56" s="64">
        <v>85.14</v>
      </c>
      <c r="N56" s="64">
        <v>372.8</v>
      </c>
      <c r="O56" s="64">
        <v>0</v>
      </c>
      <c r="P56" s="64">
        <v>0.68</v>
      </c>
      <c r="Q56" s="64">
        <v>8.99</v>
      </c>
      <c r="R56" s="198"/>
      <c r="S56" s="198"/>
      <c r="T56" s="198"/>
      <c r="U56" s="198"/>
    </row>
    <row r="57" spans="1:21" s="12" customFormat="1" x14ac:dyDescent="0.25">
      <c r="A57" s="215" t="s">
        <v>392</v>
      </c>
      <c r="B57" s="210" t="s">
        <v>36</v>
      </c>
      <c r="C57" s="210" t="s">
        <v>36</v>
      </c>
      <c r="D57" s="210" t="s">
        <v>36</v>
      </c>
      <c r="E57" s="64">
        <v>5.39</v>
      </c>
      <c r="F57" s="64">
        <v>3.54</v>
      </c>
      <c r="G57" s="64">
        <v>42.23</v>
      </c>
      <c r="H57" s="64">
        <v>27.15</v>
      </c>
      <c r="I57" s="64">
        <v>7.45</v>
      </c>
      <c r="J57" s="64">
        <v>2.65</v>
      </c>
      <c r="K57" s="64">
        <v>109.64</v>
      </c>
      <c r="L57" s="64">
        <v>20.48</v>
      </c>
      <c r="M57" s="64">
        <v>87.27</v>
      </c>
      <c r="N57" s="64">
        <v>385.5</v>
      </c>
      <c r="O57" s="64">
        <v>0</v>
      </c>
      <c r="P57" s="64">
        <v>0.67</v>
      </c>
      <c r="Q57" s="64">
        <v>8.9</v>
      </c>
      <c r="R57" s="198"/>
      <c r="S57" s="198"/>
      <c r="T57" s="198"/>
      <c r="U57" s="198"/>
    </row>
    <row r="58" spans="1:21" s="12" customFormat="1" x14ac:dyDescent="0.25">
      <c r="A58" s="215" t="s">
        <v>393</v>
      </c>
      <c r="B58" s="210" t="s">
        <v>36</v>
      </c>
      <c r="C58" s="210" t="s">
        <v>36</v>
      </c>
      <c r="D58" s="210" t="s">
        <v>36</v>
      </c>
      <c r="E58" s="64">
        <v>5.48</v>
      </c>
      <c r="F58" s="64">
        <v>3.54</v>
      </c>
      <c r="G58" s="64">
        <v>42.23</v>
      </c>
      <c r="H58" s="64">
        <v>27.15</v>
      </c>
      <c r="I58" s="64">
        <v>7.51</v>
      </c>
      <c r="J58" s="64">
        <v>1.19</v>
      </c>
      <c r="K58" s="64">
        <v>49.59</v>
      </c>
      <c r="L58" s="64">
        <v>21.19</v>
      </c>
      <c r="M58" s="64">
        <v>84.03</v>
      </c>
      <c r="N58" s="64">
        <v>445.4</v>
      </c>
      <c r="O58" s="64">
        <v>0</v>
      </c>
      <c r="P58" s="64">
        <v>0.68</v>
      </c>
      <c r="Q58" s="64">
        <v>8.81</v>
      </c>
      <c r="R58" s="198"/>
      <c r="S58" s="198"/>
      <c r="T58" s="198"/>
      <c r="U58" s="198"/>
    </row>
    <row r="59" spans="1:21" s="12" customFormat="1" x14ac:dyDescent="0.25">
      <c r="A59" s="215" t="s">
        <v>394</v>
      </c>
      <c r="B59" s="210" t="s">
        <v>36</v>
      </c>
      <c r="C59" s="210" t="s">
        <v>36</v>
      </c>
      <c r="D59" s="210" t="s">
        <v>36</v>
      </c>
      <c r="E59" s="64">
        <v>5.21</v>
      </c>
      <c r="F59" s="64">
        <v>4.0999999999999996</v>
      </c>
      <c r="G59" s="64">
        <v>42.23</v>
      </c>
      <c r="H59" s="64">
        <v>27.15</v>
      </c>
      <c r="I59" s="64">
        <v>7.66</v>
      </c>
      <c r="J59" s="64">
        <v>1.46</v>
      </c>
      <c r="K59" s="64">
        <v>341.21</v>
      </c>
      <c r="L59" s="64">
        <v>21.77</v>
      </c>
      <c r="M59" s="64">
        <v>81.239999999999995</v>
      </c>
      <c r="N59" s="64">
        <v>318.7</v>
      </c>
      <c r="O59" s="64">
        <v>0</v>
      </c>
      <c r="P59" s="64">
        <v>0.67</v>
      </c>
      <c r="Q59" s="64">
        <v>8.6999999999999993</v>
      </c>
      <c r="R59" s="198"/>
      <c r="S59" s="198"/>
      <c r="T59" s="198"/>
      <c r="U59" s="198"/>
    </row>
    <row r="60" spans="1:21" s="12" customFormat="1" x14ac:dyDescent="0.25">
      <c r="A60" s="215" t="s">
        <v>395</v>
      </c>
      <c r="B60" s="210" t="s">
        <v>36</v>
      </c>
      <c r="C60" s="210" t="s">
        <v>36</v>
      </c>
      <c r="D60" s="210" t="s">
        <v>36</v>
      </c>
      <c r="E60" s="64">
        <v>5.26</v>
      </c>
      <c r="F60" s="64">
        <v>3.94</v>
      </c>
      <c r="G60" s="64">
        <v>42.92</v>
      </c>
      <c r="H60" s="64">
        <v>29.29</v>
      </c>
      <c r="I60" s="64">
        <v>8.11</v>
      </c>
      <c r="J60" s="64">
        <v>0.9</v>
      </c>
      <c r="K60" s="64">
        <v>65.22</v>
      </c>
      <c r="L60" s="64">
        <v>21.49</v>
      </c>
      <c r="M60" s="64">
        <v>82.34</v>
      </c>
      <c r="N60" s="64">
        <v>310.3</v>
      </c>
      <c r="O60" s="64">
        <v>0</v>
      </c>
      <c r="P60" s="64">
        <v>0.68</v>
      </c>
      <c r="Q60" s="64">
        <v>8.3800000000000008</v>
      </c>
      <c r="R60" s="198"/>
      <c r="S60" s="198"/>
      <c r="T60" s="198"/>
      <c r="U60" s="198"/>
    </row>
    <row r="61" spans="1:21" s="12" customFormat="1" x14ac:dyDescent="0.25">
      <c r="A61" s="215" t="s">
        <v>396</v>
      </c>
      <c r="B61" s="210" t="s">
        <v>36</v>
      </c>
      <c r="C61" s="210" t="s">
        <v>36</v>
      </c>
      <c r="D61" s="210" t="s">
        <v>36</v>
      </c>
      <c r="E61" s="64">
        <v>5.37</v>
      </c>
      <c r="F61" s="64">
        <v>4.6399999999999997</v>
      </c>
      <c r="G61" s="64">
        <v>43.46</v>
      </c>
      <c r="H61" s="64">
        <v>30.03</v>
      </c>
      <c r="I61" s="64">
        <v>8.24</v>
      </c>
      <c r="J61" s="64">
        <v>0.85</v>
      </c>
      <c r="K61" s="64">
        <v>72.069999999999993</v>
      </c>
      <c r="L61" s="64">
        <v>21.4</v>
      </c>
      <c r="M61" s="64">
        <v>83.35</v>
      </c>
      <c r="N61" s="64">
        <v>295.3</v>
      </c>
      <c r="O61" s="64">
        <v>0</v>
      </c>
      <c r="P61" s="64">
        <v>0.68</v>
      </c>
      <c r="Q61" s="64">
        <v>8.2100000000000009</v>
      </c>
      <c r="R61" s="198"/>
      <c r="S61" s="198"/>
      <c r="T61" s="198"/>
      <c r="U61" s="198"/>
    </row>
    <row r="62" spans="1:21" s="12" customFormat="1" x14ac:dyDescent="0.25">
      <c r="A62" s="215" t="s">
        <v>397</v>
      </c>
      <c r="B62" s="210" t="s">
        <v>36</v>
      </c>
      <c r="C62" s="210" t="s">
        <v>36</v>
      </c>
      <c r="D62" s="210" t="s">
        <v>36</v>
      </c>
      <c r="E62" s="64">
        <v>5.48</v>
      </c>
      <c r="F62" s="64">
        <v>3.88</v>
      </c>
      <c r="G62" s="64">
        <v>43.46</v>
      </c>
      <c r="H62" s="64">
        <v>30.03</v>
      </c>
      <c r="I62" s="64">
        <v>7.7</v>
      </c>
      <c r="J62" s="64">
        <v>3.01</v>
      </c>
      <c r="K62" s="64">
        <v>114.33</v>
      </c>
      <c r="L62" s="64">
        <v>21.14</v>
      </c>
      <c r="M62" s="64">
        <v>84.35</v>
      </c>
      <c r="N62" s="64">
        <v>319.3</v>
      </c>
      <c r="O62" s="64">
        <v>0</v>
      </c>
      <c r="P62" s="64">
        <v>0.68</v>
      </c>
      <c r="Q62" s="64">
        <v>8.2200000000000006</v>
      </c>
      <c r="R62" s="198"/>
      <c r="S62" s="198"/>
      <c r="T62" s="198"/>
      <c r="U62" s="198"/>
    </row>
    <row r="63" spans="1:21" s="12" customFormat="1" x14ac:dyDescent="0.25">
      <c r="A63" s="215" t="s">
        <v>398</v>
      </c>
      <c r="B63" s="210" t="s">
        <v>36</v>
      </c>
      <c r="C63" s="210" t="s">
        <v>36</v>
      </c>
      <c r="D63" s="210" t="s">
        <v>36</v>
      </c>
      <c r="E63" s="64">
        <v>4.96</v>
      </c>
      <c r="F63" s="64">
        <v>4.12</v>
      </c>
      <c r="G63" s="64">
        <v>43.46</v>
      </c>
      <c r="H63" s="64">
        <v>30.03</v>
      </c>
      <c r="I63" s="64">
        <v>7.95</v>
      </c>
      <c r="J63" s="64">
        <v>1.73</v>
      </c>
      <c r="K63" s="64">
        <v>103.11</v>
      </c>
      <c r="L63" s="64">
        <v>20.74</v>
      </c>
      <c r="M63" s="64">
        <v>85.42</v>
      </c>
      <c r="N63" s="64">
        <v>162.9</v>
      </c>
      <c r="O63" s="64">
        <v>0</v>
      </c>
      <c r="P63" s="64">
        <v>0.67</v>
      </c>
      <c r="Q63" s="64">
        <v>8.2100000000000009</v>
      </c>
      <c r="R63" s="198"/>
      <c r="S63" s="198"/>
      <c r="T63" s="198"/>
      <c r="U63" s="198"/>
    </row>
    <row r="64" spans="1:21" s="12" customFormat="1" x14ac:dyDescent="0.25">
      <c r="A64" s="215" t="s">
        <v>399</v>
      </c>
      <c r="B64" s="210" t="s">
        <v>36</v>
      </c>
      <c r="C64" s="210" t="s">
        <v>36</v>
      </c>
      <c r="D64" s="210" t="s">
        <v>36</v>
      </c>
      <c r="E64" s="64">
        <v>6.7</v>
      </c>
      <c r="F64" s="64">
        <v>5.42</v>
      </c>
      <c r="G64" s="64">
        <v>34.869999999999997</v>
      </c>
      <c r="H64" s="64">
        <v>26.31</v>
      </c>
      <c r="I64" s="64">
        <v>8.0399999999999991</v>
      </c>
      <c r="J64" s="64">
        <v>1.64</v>
      </c>
      <c r="K64" s="64">
        <v>98.16</v>
      </c>
      <c r="L64" s="64">
        <v>20.54</v>
      </c>
      <c r="M64" s="64">
        <v>86.14</v>
      </c>
      <c r="N64" s="64">
        <v>128.5</v>
      </c>
      <c r="O64" s="64">
        <v>0</v>
      </c>
      <c r="P64" s="64">
        <v>0.67</v>
      </c>
      <c r="Q64" s="64">
        <v>8.2100000000000009</v>
      </c>
      <c r="R64" s="198"/>
      <c r="S64" s="198"/>
      <c r="T64" s="198"/>
      <c r="U64" s="198"/>
    </row>
    <row r="65" spans="1:21" s="12" customFormat="1" x14ac:dyDescent="0.25">
      <c r="A65" s="215" t="s">
        <v>400</v>
      </c>
      <c r="B65" s="64">
        <v>10.89</v>
      </c>
      <c r="C65" s="64">
        <v>29.98</v>
      </c>
      <c r="D65" s="64">
        <v>23.02</v>
      </c>
      <c r="E65" s="64">
        <v>6.89</v>
      </c>
      <c r="F65" s="64">
        <v>4.82</v>
      </c>
      <c r="G65" s="64">
        <v>28.3</v>
      </c>
      <c r="H65" s="64">
        <v>23.97</v>
      </c>
      <c r="I65" s="64">
        <v>8.11</v>
      </c>
      <c r="J65" s="64">
        <v>0.89</v>
      </c>
      <c r="K65" s="64">
        <v>79.459999999999994</v>
      </c>
      <c r="L65" s="64">
        <v>20.36</v>
      </c>
      <c r="M65" s="64">
        <v>87.45</v>
      </c>
      <c r="N65" s="64">
        <v>130.19999999999999</v>
      </c>
      <c r="O65" s="64">
        <v>0</v>
      </c>
      <c r="P65" s="64">
        <v>0.67</v>
      </c>
      <c r="Q65" s="64">
        <v>8.2100000000000009</v>
      </c>
      <c r="R65" s="198"/>
      <c r="S65" s="198"/>
      <c r="T65" s="198"/>
      <c r="U65" s="198"/>
    </row>
    <row r="66" spans="1:21" s="12" customFormat="1" x14ac:dyDescent="0.25">
      <c r="A66" s="215" t="s">
        <v>401</v>
      </c>
      <c r="B66" s="64">
        <v>11.52</v>
      </c>
      <c r="C66" s="64">
        <v>39.53</v>
      </c>
      <c r="D66" s="64">
        <v>28.51</v>
      </c>
      <c r="E66" s="64">
        <v>7.16</v>
      </c>
      <c r="F66" s="64">
        <v>4.6399999999999997</v>
      </c>
      <c r="G66" s="64">
        <v>28.3</v>
      </c>
      <c r="H66" s="64">
        <v>23.97</v>
      </c>
      <c r="I66" s="64">
        <v>6.86</v>
      </c>
      <c r="J66" s="64">
        <v>0.73</v>
      </c>
      <c r="K66" s="64">
        <v>355.43</v>
      </c>
      <c r="L66" s="64">
        <v>20.51</v>
      </c>
      <c r="M66" s="64">
        <v>86.91</v>
      </c>
      <c r="N66" s="64">
        <v>125.8</v>
      </c>
      <c r="O66" s="64">
        <v>0</v>
      </c>
      <c r="P66" s="64">
        <v>0.69</v>
      </c>
      <c r="Q66" s="64">
        <v>8.2100000000000009</v>
      </c>
      <c r="R66" s="198"/>
      <c r="S66" s="198"/>
      <c r="T66" s="198"/>
      <c r="U66" s="198"/>
    </row>
    <row r="67" spans="1:21" s="12" customFormat="1" x14ac:dyDescent="0.25">
      <c r="A67" s="215" t="s">
        <v>402</v>
      </c>
      <c r="B67" s="64">
        <v>11</v>
      </c>
      <c r="C67" s="64">
        <v>36.85</v>
      </c>
      <c r="D67" s="64">
        <v>26.7</v>
      </c>
      <c r="E67" s="64">
        <v>6.98</v>
      </c>
      <c r="F67" s="64">
        <v>4.62</v>
      </c>
      <c r="G67" s="64">
        <v>28.3</v>
      </c>
      <c r="H67" s="64">
        <v>23.97</v>
      </c>
      <c r="I67" s="64">
        <v>5.62</v>
      </c>
      <c r="J67" s="64">
        <v>0.9</v>
      </c>
      <c r="K67" s="64">
        <v>37.1</v>
      </c>
      <c r="L67" s="64">
        <v>20.39</v>
      </c>
      <c r="M67" s="64">
        <v>87.28</v>
      </c>
      <c r="N67" s="64">
        <v>121.6</v>
      </c>
      <c r="O67" s="64">
        <v>0</v>
      </c>
      <c r="P67" s="64">
        <v>0.7</v>
      </c>
      <c r="Q67" s="64">
        <v>8.2100000000000009</v>
      </c>
      <c r="R67" s="198"/>
      <c r="S67" s="198"/>
      <c r="T67" s="198"/>
      <c r="U67" s="198"/>
    </row>
    <row r="68" spans="1:21" s="12" customFormat="1" x14ac:dyDescent="0.25">
      <c r="A68" s="215" t="s">
        <v>403</v>
      </c>
      <c r="B68" s="64">
        <v>11.24</v>
      </c>
      <c r="C68" s="64">
        <v>41.4</v>
      </c>
      <c r="D68" s="64">
        <v>29.27</v>
      </c>
      <c r="E68" s="64">
        <v>7.22</v>
      </c>
      <c r="F68" s="64">
        <v>3.59</v>
      </c>
      <c r="G68" s="64">
        <v>43.28</v>
      </c>
      <c r="H68" s="64">
        <v>24.11</v>
      </c>
      <c r="I68" s="64">
        <v>6.76</v>
      </c>
      <c r="J68" s="64">
        <v>2.2999999999999998</v>
      </c>
      <c r="K68" s="64">
        <v>333.55</v>
      </c>
      <c r="L68" s="64">
        <v>20.53</v>
      </c>
      <c r="M68" s="64">
        <v>85.96</v>
      </c>
      <c r="N68" s="64">
        <v>144.6</v>
      </c>
      <c r="O68" s="64">
        <v>0</v>
      </c>
      <c r="P68" s="64">
        <v>0.74</v>
      </c>
      <c r="Q68" s="64">
        <v>8.2100000000000009</v>
      </c>
      <c r="R68" s="198"/>
      <c r="S68" s="198"/>
      <c r="T68" s="198"/>
      <c r="U68" s="198"/>
    </row>
    <row r="69" spans="1:21" s="12" customFormat="1" x14ac:dyDescent="0.25">
      <c r="A69" s="215" t="s">
        <v>404</v>
      </c>
      <c r="B69" s="64">
        <v>11.56</v>
      </c>
      <c r="C69" s="64">
        <v>37.01</v>
      </c>
      <c r="D69" s="64">
        <v>27.23</v>
      </c>
      <c r="E69" s="64">
        <v>6.66</v>
      </c>
      <c r="F69" s="64">
        <v>3.99</v>
      </c>
      <c r="G69" s="64">
        <v>54.73</v>
      </c>
      <c r="H69" s="64">
        <v>24.16</v>
      </c>
      <c r="I69" s="64">
        <v>7.09</v>
      </c>
      <c r="J69" s="64">
        <v>0.63</v>
      </c>
      <c r="K69" s="64">
        <v>41.65</v>
      </c>
      <c r="L69" s="64">
        <v>20.47</v>
      </c>
      <c r="M69" s="64">
        <v>86.25</v>
      </c>
      <c r="N69" s="64">
        <v>141.30000000000001</v>
      </c>
      <c r="O69" s="64">
        <v>0</v>
      </c>
      <c r="P69" s="64">
        <v>0.75</v>
      </c>
      <c r="Q69" s="64">
        <v>8.2100000000000009</v>
      </c>
      <c r="R69" s="198"/>
      <c r="S69" s="198"/>
      <c r="T69" s="198"/>
      <c r="U69" s="198"/>
    </row>
    <row r="70" spans="1:21" s="12" customFormat="1" x14ac:dyDescent="0.25">
      <c r="A70" s="215" t="s">
        <v>405</v>
      </c>
      <c r="B70" s="64">
        <v>11.95</v>
      </c>
      <c r="C70" s="64">
        <v>36.6</v>
      </c>
      <c r="D70" s="64">
        <v>27.33</v>
      </c>
      <c r="E70" s="64">
        <v>6.76</v>
      </c>
      <c r="F70" s="64">
        <v>3.78</v>
      </c>
      <c r="G70" s="64">
        <v>54.73</v>
      </c>
      <c r="H70" s="64">
        <v>24.16</v>
      </c>
      <c r="I70" s="64">
        <v>5.86</v>
      </c>
      <c r="J70" s="64">
        <v>1.69</v>
      </c>
      <c r="K70" s="64">
        <v>347.28</v>
      </c>
      <c r="L70" s="64">
        <v>20.45</v>
      </c>
      <c r="M70" s="64">
        <v>85.54</v>
      </c>
      <c r="N70" s="64">
        <v>119.3</v>
      </c>
      <c r="O70" s="64">
        <v>0</v>
      </c>
      <c r="P70" s="64">
        <v>0.77</v>
      </c>
      <c r="Q70" s="64">
        <v>8.2100000000000009</v>
      </c>
      <c r="R70" s="198"/>
      <c r="S70" s="198"/>
      <c r="T70" s="198"/>
      <c r="U70" s="198"/>
    </row>
    <row r="71" spans="1:21" s="12" customFormat="1" x14ac:dyDescent="0.25">
      <c r="A71" s="215" t="s">
        <v>406</v>
      </c>
      <c r="B71" s="64">
        <v>12.88</v>
      </c>
      <c r="C71" s="64">
        <v>37.03</v>
      </c>
      <c r="D71" s="64">
        <v>28.3</v>
      </c>
      <c r="E71" s="64">
        <v>6.65</v>
      </c>
      <c r="F71" s="64">
        <v>3.55</v>
      </c>
      <c r="G71" s="64">
        <v>54.73</v>
      </c>
      <c r="H71" s="64">
        <v>24.16</v>
      </c>
      <c r="I71" s="64">
        <v>5.51</v>
      </c>
      <c r="J71" s="64">
        <v>1.7</v>
      </c>
      <c r="K71" s="64">
        <v>349.66</v>
      </c>
      <c r="L71" s="64">
        <v>20.29</v>
      </c>
      <c r="M71" s="64">
        <v>85.8</v>
      </c>
      <c r="N71" s="64">
        <v>89.7</v>
      </c>
      <c r="O71" s="64">
        <v>0</v>
      </c>
      <c r="P71" s="64">
        <v>0.81</v>
      </c>
      <c r="Q71" s="64">
        <v>8.2100000000000009</v>
      </c>
      <c r="R71" s="198"/>
      <c r="S71" s="198"/>
      <c r="T71" s="198"/>
      <c r="U71" s="198"/>
    </row>
    <row r="72" spans="1:21" s="12" customFormat="1" x14ac:dyDescent="0.25">
      <c r="A72" s="215" t="s">
        <v>407</v>
      </c>
      <c r="B72" s="64">
        <v>13.72</v>
      </c>
      <c r="C72" s="64">
        <v>37.770000000000003</v>
      </c>
      <c r="D72" s="64">
        <v>29.36</v>
      </c>
      <c r="E72" s="64">
        <v>7.2</v>
      </c>
      <c r="F72" s="64">
        <v>3.57</v>
      </c>
      <c r="G72" s="64">
        <v>52.63</v>
      </c>
      <c r="H72" s="64">
        <v>26.68</v>
      </c>
      <c r="I72" s="64">
        <v>5.65</v>
      </c>
      <c r="J72" s="64">
        <v>1.32</v>
      </c>
      <c r="K72" s="64">
        <v>6.91</v>
      </c>
      <c r="L72" s="64">
        <v>19.96</v>
      </c>
      <c r="M72" s="64">
        <v>86.96</v>
      </c>
      <c r="N72" s="64">
        <v>81.2</v>
      </c>
      <c r="O72" s="64">
        <v>0</v>
      </c>
      <c r="P72" s="64">
        <v>0.8</v>
      </c>
      <c r="Q72" s="64">
        <v>8.2100000000000009</v>
      </c>
      <c r="R72" s="198"/>
      <c r="S72" s="198"/>
      <c r="T72" s="198"/>
      <c r="U72" s="198"/>
    </row>
    <row r="73" spans="1:21" s="12" customFormat="1" x14ac:dyDescent="0.25">
      <c r="A73" s="215" t="s">
        <v>408</v>
      </c>
      <c r="B73" s="64">
        <v>14.19</v>
      </c>
      <c r="C73" s="64">
        <v>38.200000000000003</v>
      </c>
      <c r="D73" s="64">
        <v>29.96</v>
      </c>
      <c r="E73" s="64">
        <v>6.56</v>
      </c>
      <c r="F73" s="64">
        <v>3.88</v>
      </c>
      <c r="G73" s="64">
        <v>51.03</v>
      </c>
      <c r="H73" s="64">
        <v>27.54</v>
      </c>
      <c r="I73" s="64">
        <v>5.76</v>
      </c>
      <c r="J73" s="64">
        <v>1.85</v>
      </c>
      <c r="K73" s="64">
        <v>98.88</v>
      </c>
      <c r="L73" s="64">
        <v>19.760000000000002</v>
      </c>
      <c r="M73" s="64">
        <v>88.06</v>
      </c>
      <c r="N73" s="64">
        <v>80.099999999999994</v>
      </c>
      <c r="O73" s="64">
        <v>0</v>
      </c>
      <c r="P73" s="64">
        <v>0.77</v>
      </c>
      <c r="Q73" s="64">
        <v>8.2200000000000006</v>
      </c>
      <c r="R73" s="198"/>
      <c r="S73" s="198"/>
      <c r="T73" s="198"/>
      <c r="U73" s="198"/>
    </row>
    <row r="74" spans="1:21" s="12" customFormat="1" x14ac:dyDescent="0.25">
      <c r="A74" s="215" t="s">
        <v>409</v>
      </c>
      <c r="B74" s="64">
        <v>14.28</v>
      </c>
      <c r="C74" s="64">
        <v>38.4</v>
      </c>
      <c r="D74" s="64">
        <v>30.13</v>
      </c>
      <c r="E74" s="64">
        <v>6.24</v>
      </c>
      <c r="F74" s="64">
        <v>3.96</v>
      </c>
      <c r="G74" s="64">
        <v>51.03</v>
      </c>
      <c r="H74" s="64">
        <v>27.54</v>
      </c>
      <c r="I74" s="64">
        <v>6.1</v>
      </c>
      <c r="J74" s="64">
        <v>1.31</v>
      </c>
      <c r="K74" s="64">
        <v>76.09</v>
      </c>
      <c r="L74" s="64">
        <v>19.670000000000002</v>
      </c>
      <c r="M74" s="64">
        <v>88.98</v>
      </c>
      <c r="N74" s="64">
        <v>71.099999999999994</v>
      </c>
      <c r="O74" s="64">
        <v>0</v>
      </c>
      <c r="P74" s="64">
        <v>0.78</v>
      </c>
      <c r="Q74" s="64">
        <v>8.27</v>
      </c>
      <c r="R74" s="198"/>
      <c r="S74" s="198"/>
      <c r="T74" s="198"/>
      <c r="U74" s="198"/>
    </row>
    <row r="75" spans="1:21" s="12" customFormat="1" x14ac:dyDescent="0.25">
      <c r="A75" s="215" t="s">
        <v>410</v>
      </c>
      <c r="B75" s="64">
        <v>14.44</v>
      </c>
      <c r="C75" s="64">
        <v>38.21</v>
      </c>
      <c r="D75" s="64">
        <v>30.16</v>
      </c>
      <c r="E75" s="64">
        <v>6.11</v>
      </c>
      <c r="F75" s="64">
        <v>3.98</v>
      </c>
      <c r="G75" s="64">
        <v>51.03</v>
      </c>
      <c r="H75" s="64">
        <v>27.54</v>
      </c>
      <c r="I75" s="64">
        <v>6.18</v>
      </c>
      <c r="J75" s="64">
        <v>1.51</v>
      </c>
      <c r="K75" s="64">
        <v>93.1</v>
      </c>
      <c r="L75" s="64">
        <v>19.399999999999999</v>
      </c>
      <c r="M75" s="64">
        <v>90.59</v>
      </c>
      <c r="N75" s="64">
        <v>62.8</v>
      </c>
      <c r="O75" s="64">
        <v>0</v>
      </c>
      <c r="P75" s="64">
        <v>0.78</v>
      </c>
      <c r="Q75" s="64">
        <v>8.3000000000000007</v>
      </c>
      <c r="R75" s="198"/>
      <c r="S75" s="198"/>
      <c r="T75" s="198"/>
      <c r="U75" s="198"/>
    </row>
    <row r="76" spans="1:21" s="12" customFormat="1" x14ac:dyDescent="0.25">
      <c r="A76" s="215" t="s">
        <v>411</v>
      </c>
      <c r="B76" s="64">
        <v>14.48</v>
      </c>
      <c r="C76" s="64">
        <v>40.69</v>
      </c>
      <c r="D76" s="64">
        <v>31.49</v>
      </c>
      <c r="E76" s="64">
        <v>6.43</v>
      </c>
      <c r="F76" s="64">
        <v>4.0599999999999996</v>
      </c>
      <c r="G76" s="64">
        <v>55.99</v>
      </c>
      <c r="H76" s="64">
        <v>30.03</v>
      </c>
      <c r="I76" s="64">
        <v>6.44</v>
      </c>
      <c r="J76" s="64">
        <v>0.44</v>
      </c>
      <c r="K76" s="64">
        <v>42.48</v>
      </c>
      <c r="L76" s="64">
        <v>19.260000000000002</v>
      </c>
      <c r="M76" s="64">
        <v>92.15</v>
      </c>
      <c r="N76" s="64">
        <v>50.7</v>
      </c>
      <c r="O76" s="64">
        <v>0</v>
      </c>
      <c r="P76" s="64">
        <v>0.79</v>
      </c>
      <c r="Q76" s="64">
        <v>8.2799999999999994</v>
      </c>
      <c r="R76" s="198"/>
      <c r="S76" s="198"/>
      <c r="T76" s="198"/>
      <c r="U76" s="198"/>
    </row>
    <row r="77" spans="1:21" s="12" customFormat="1" x14ac:dyDescent="0.25">
      <c r="A77" s="215" t="s">
        <v>412</v>
      </c>
      <c r="B77" s="64">
        <v>14.71</v>
      </c>
      <c r="C77" s="64">
        <v>36.36</v>
      </c>
      <c r="D77" s="64">
        <v>29.42</v>
      </c>
      <c r="E77" s="64">
        <v>6.31</v>
      </c>
      <c r="F77" s="64">
        <v>3.83</v>
      </c>
      <c r="G77" s="64">
        <v>59.78</v>
      </c>
      <c r="H77" s="64">
        <v>30.88</v>
      </c>
      <c r="I77" s="64">
        <v>6.86</v>
      </c>
      <c r="J77" s="64">
        <v>1.07</v>
      </c>
      <c r="K77" s="64">
        <v>337.78</v>
      </c>
      <c r="L77" s="64">
        <v>19.149999999999999</v>
      </c>
      <c r="M77" s="64">
        <v>92.85</v>
      </c>
      <c r="N77" s="64">
        <v>43</v>
      </c>
      <c r="O77" s="64">
        <v>0</v>
      </c>
      <c r="P77" s="64">
        <v>0.8</v>
      </c>
      <c r="Q77" s="64">
        <v>8.24</v>
      </c>
      <c r="R77" s="198"/>
      <c r="S77" s="198"/>
      <c r="T77" s="198"/>
      <c r="U77" s="198"/>
    </row>
    <row r="78" spans="1:21" s="12" customFormat="1" x14ac:dyDescent="0.25">
      <c r="A78" s="215" t="s">
        <v>413</v>
      </c>
      <c r="B78" s="64">
        <v>15.4</v>
      </c>
      <c r="C78" s="64">
        <v>38.85</v>
      </c>
      <c r="D78" s="64">
        <v>31.27</v>
      </c>
      <c r="E78" s="64">
        <v>6.1</v>
      </c>
      <c r="F78" s="64">
        <v>4.4000000000000004</v>
      </c>
      <c r="G78" s="64">
        <v>59.78</v>
      </c>
      <c r="H78" s="64">
        <v>30.88</v>
      </c>
      <c r="I78" s="64">
        <v>7.03</v>
      </c>
      <c r="J78" s="64">
        <v>0.84</v>
      </c>
      <c r="K78" s="64">
        <v>85.66</v>
      </c>
      <c r="L78" s="64">
        <v>18.93</v>
      </c>
      <c r="M78" s="64">
        <v>94.22</v>
      </c>
      <c r="N78" s="64">
        <v>38.6</v>
      </c>
      <c r="O78" s="64">
        <v>0</v>
      </c>
      <c r="P78" s="64">
        <v>0.82</v>
      </c>
      <c r="Q78" s="64">
        <v>8.23</v>
      </c>
      <c r="R78" s="198"/>
      <c r="S78" s="198"/>
      <c r="T78" s="198"/>
      <c r="U78" s="198"/>
    </row>
    <row r="79" spans="1:21" s="12" customFormat="1" x14ac:dyDescent="0.25">
      <c r="A79" s="215" t="s">
        <v>414</v>
      </c>
      <c r="B79" s="64">
        <v>16.39</v>
      </c>
      <c r="C79" s="64">
        <v>37.729999999999997</v>
      </c>
      <c r="D79" s="64">
        <v>31.47</v>
      </c>
      <c r="E79" s="64">
        <v>6</v>
      </c>
      <c r="F79" s="64">
        <v>4.12</v>
      </c>
      <c r="G79" s="64">
        <v>59.78</v>
      </c>
      <c r="H79" s="64">
        <v>30.88</v>
      </c>
      <c r="I79" s="64">
        <v>7.15</v>
      </c>
      <c r="J79" s="64">
        <v>0.65</v>
      </c>
      <c r="K79" s="64">
        <v>350.42</v>
      </c>
      <c r="L79" s="64">
        <v>18.86</v>
      </c>
      <c r="M79" s="64">
        <v>94.63</v>
      </c>
      <c r="N79" s="64">
        <v>37</v>
      </c>
      <c r="O79" s="64">
        <v>0</v>
      </c>
      <c r="P79" s="64">
        <v>0.82</v>
      </c>
      <c r="Q79" s="64">
        <v>8.33</v>
      </c>
      <c r="R79" s="198"/>
      <c r="S79" s="198"/>
      <c r="T79" s="198"/>
      <c r="U79" s="198"/>
    </row>
    <row r="80" spans="1:21" s="12" customFormat="1" x14ac:dyDescent="0.25">
      <c r="A80" s="215" t="s">
        <v>415</v>
      </c>
      <c r="B80" s="64">
        <v>17.29</v>
      </c>
      <c r="C80" s="64">
        <v>41.42</v>
      </c>
      <c r="D80" s="64">
        <v>34.130000000000003</v>
      </c>
      <c r="E80" s="64">
        <v>6.01</v>
      </c>
      <c r="F80" s="64">
        <v>3.97</v>
      </c>
      <c r="G80" s="64">
        <v>57.58</v>
      </c>
      <c r="H80" s="64">
        <v>32.049999999999997</v>
      </c>
      <c r="I80" s="64">
        <v>7.16</v>
      </c>
      <c r="J80" s="64">
        <v>1.1299999999999999</v>
      </c>
      <c r="K80" s="64">
        <v>98.66</v>
      </c>
      <c r="L80" s="64">
        <v>18.690000000000001</v>
      </c>
      <c r="M80" s="64">
        <v>95.49</v>
      </c>
      <c r="N80" s="64">
        <v>37</v>
      </c>
      <c r="O80" s="64">
        <v>0</v>
      </c>
      <c r="P80" s="64">
        <v>0.85</v>
      </c>
      <c r="Q80" s="64">
        <v>8.39</v>
      </c>
      <c r="R80" s="198"/>
      <c r="S80" s="198"/>
      <c r="T80" s="198"/>
      <c r="U80" s="198"/>
    </row>
    <row r="81" spans="1:26" s="12" customFormat="1" x14ac:dyDescent="0.25">
      <c r="A81" s="215" t="s">
        <v>416</v>
      </c>
      <c r="B81" s="64">
        <v>18.05</v>
      </c>
      <c r="C81" s="64">
        <v>37.67</v>
      </c>
      <c r="D81" s="64">
        <v>32.78</v>
      </c>
      <c r="E81" s="64">
        <v>5.97</v>
      </c>
      <c r="F81" s="64">
        <v>3.73</v>
      </c>
      <c r="G81" s="64">
        <v>55.9</v>
      </c>
      <c r="H81" s="64">
        <v>32.81</v>
      </c>
      <c r="I81" s="64">
        <v>7.1</v>
      </c>
      <c r="J81" s="64">
        <v>0.35</v>
      </c>
      <c r="K81" s="64">
        <v>123.2</v>
      </c>
      <c r="L81" s="64">
        <v>18.600000000000001</v>
      </c>
      <c r="M81" s="64">
        <v>95.97</v>
      </c>
      <c r="N81" s="64">
        <v>37</v>
      </c>
      <c r="O81" s="64">
        <v>0</v>
      </c>
      <c r="P81" s="64">
        <v>0.85</v>
      </c>
      <c r="Q81" s="64">
        <v>8.2200000000000006</v>
      </c>
      <c r="R81" s="198"/>
      <c r="S81" s="198"/>
      <c r="T81" s="198"/>
      <c r="U81" s="198"/>
    </row>
    <row r="82" spans="1:26" s="12" customFormat="1" x14ac:dyDescent="0.25">
      <c r="A82" s="215" t="s">
        <v>417</v>
      </c>
      <c r="B82" s="64">
        <v>18.97</v>
      </c>
      <c r="C82" s="64">
        <v>40.42</v>
      </c>
      <c r="D82" s="64">
        <v>34.950000000000003</v>
      </c>
      <c r="E82" s="64">
        <v>6.18</v>
      </c>
      <c r="F82" s="64">
        <v>3.74</v>
      </c>
      <c r="G82" s="64">
        <v>55.9</v>
      </c>
      <c r="H82" s="64">
        <v>32.81</v>
      </c>
      <c r="I82" s="64">
        <v>6.97</v>
      </c>
      <c r="J82" s="64">
        <v>1</v>
      </c>
      <c r="K82" s="64">
        <v>341.37</v>
      </c>
      <c r="L82" s="64">
        <v>18.53</v>
      </c>
      <c r="M82" s="64">
        <v>96.21</v>
      </c>
      <c r="N82" s="64">
        <v>37</v>
      </c>
      <c r="O82" s="64">
        <v>0</v>
      </c>
      <c r="P82" s="64">
        <v>0.87</v>
      </c>
      <c r="Q82" s="64">
        <v>8.41</v>
      </c>
      <c r="R82" s="198"/>
      <c r="S82" s="198"/>
      <c r="T82" s="198"/>
      <c r="U82" s="198"/>
    </row>
    <row r="83" spans="1:26" s="12" customFormat="1" x14ac:dyDescent="0.25">
      <c r="A83" s="215" t="s">
        <v>418</v>
      </c>
      <c r="B83" s="64">
        <v>20.48</v>
      </c>
      <c r="C83" s="64">
        <v>36.76</v>
      </c>
      <c r="D83" s="64">
        <v>34.25</v>
      </c>
      <c r="E83" s="64">
        <v>6.32</v>
      </c>
      <c r="F83" s="64">
        <v>4.0199999999999996</v>
      </c>
      <c r="G83" s="64">
        <v>55.9</v>
      </c>
      <c r="H83" s="64">
        <v>32.81</v>
      </c>
      <c r="I83" s="64">
        <v>7.02</v>
      </c>
      <c r="J83" s="64">
        <v>1.58</v>
      </c>
      <c r="K83" s="64">
        <v>317.86</v>
      </c>
      <c r="L83" s="64">
        <v>18.52</v>
      </c>
      <c r="M83" s="64">
        <v>96.41</v>
      </c>
      <c r="N83" s="64">
        <v>37</v>
      </c>
      <c r="O83" s="64">
        <v>0</v>
      </c>
      <c r="P83" s="64">
        <v>0.9</v>
      </c>
      <c r="Q83" s="64">
        <v>8.7200000000000006</v>
      </c>
      <c r="R83" s="198"/>
      <c r="S83" s="198"/>
      <c r="T83" s="198"/>
      <c r="U83" s="198"/>
    </row>
    <row r="84" spans="1:26" s="12" customFormat="1" x14ac:dyDescent="0.25">
      <c r="A84" s="215" t="s">
        <v>419</v>
      </c>
      <c r="B84" s="64">
        <v>21.92</v>
      </c>
      <c r="C84" s="64">
        <v>42.03</v>
      </c>
      <c r="D84" s="64">
        <v>38.159999999999997</v>
      </c>
      <c r="E84" s="64">
        <v>5.99</v>
      </c>
      <c r="F84" s="64">
        <v>3.57</v>
      </c>
      <c r="G84" s="64">
        <v>57.09</v>
      </c>
      <c r="H84" s="64">
        <v>34.25</v>
      </c>
      <c r="I84" s="64">
        <v>6.98</v>
      </c>
      <c r="J84" s="64">
        <v>0.8</v>
      </c>
      <c r="K84" s="64">
        <v>61.53</v>
      </c>
      <c r="L84" s="64">
        <v>18.36</v>
      </c>
      <c r="M84" s="64">
        <v>97.61</v>
      </c>
      <c r="N84" s="64">
        <v>37</v>
      </c>
      <c r="O84" s="64">
        <v>0</v>
      </c>
      <c r="P84" s="64">
        <v>0.94</v>
      </c>
      <c r="Q84" s="64">
        <v>8.94</v>
      </c>
      <c r="R84" s="198"/>
      <c r="S84" s="198"/>
      <c r="T84" s="198"/>
      <c r="U84" s="198"/>
    </row>
    <row r="85" spans="1:26" s="12" customFormat="1" x14ac:dyDescent="0.25">
      <c r="A85" s="215" t="s">
        <v>420</v>
      </c>
      <c r="B85" s="64">
        <v>23.11</v>
      </c>
      <c r="C85" s="64">
        <v>39.57</v>
      </c>
      <c r="D85" s="64">
        <v>37.83</v>
      </c>
      <c r="E85" s="64">
        <v>6.34</v>
      </c>
      <c r="F85" s="64">
        <v>4.08</v>
      </c>
      <c r="G85" s="64">
        <v>58.01</v>
      </c>
      <c r="H85" s="64">
        <v>34.729999999999997</v>
      </c>
      <c r="I85" s="64">
        <v>6.96</v>
      </c>
      <c r="J85" s="64">
        <v>0.3</v>
      </c>
      <c r="K85" s="64">
        <v>59.22</v>
      </c>
      <c r="L85" s="64">
        <v>18.16</v>
      </c>
      <c r="M85" s="64">
        <v>97.92</v>
      </c>
      <c r="N85" s="64">
        <v>37.1</v>
      </c>
      <c r="O85" s="64">
        <v>0</v>
      </c>
      <c r="P85" s="64">
        <v>0.9</v>
      </c>
      <c r="Q85" s="64">
        <v>8.74</v>
      </c>
      <c r="R85" s="198"/>
      <c r="S85" s="198"/>
      <c r="T85" s="198"/>
      <c r="U85" s="198"/>
    </row>
    <row r="86" spans="1:26" s="12" customFormat="1" x14ac:dyDescent="0.25">
      <c r="A86" s="215" t="s">
        <v>421</v>
      </c>
      <c r="B86" s="64">
        <v>23.65</v>
      </c>
      <c r="C86" s="64">
        <v>38.35</v>
      </c>
      <c r="D86" s="64">
        <v>37.630000000000003</v>
      </c>
      <c r="E86" s="64">
        <v>6.5</v>
      </c>
      <c r="F86" s="64">
        <v>4.0199999999999996</v>
      </c>
      <c r="G86" s="64">
        <v>58.01</v>
      </c>
      <c r="H86" s="64">
        <v>34.729999999999997</v>
      </c>
      <c r="I86" s="64">
        <v>6.92</v>
      </c>
      <c r="J86" s="64">
        <v>0.73</v>
      </c>
      <c r="K86" s="64">
        <v>23.22</v>
      </c>
      <c r="L86" s="64">
        <v>18.05</v>
      </c>
      <c r="M86" s="64">
        <v>98.14</v>
      </c>
      <c r="N86" s="64">
        <v>37</v>
      </c>
      <c r="O86" s="64">
        <v>0</v>
      </c>
      <c r="P86" s="64">
        <v>0.92</v>
      </c>
      <c r="Q86" s="64">
        <v>8.75</v>
      </c>
      <c r="R86" s="198"/>
      <c r="S86" s="198"/>
      <c r="T86" s="198"/>
      <c r="U86" s="198"/>
    </row>
    <row r="87" spans="1:26" s="12" customFormat="1" x14ac:dyDescent="0.25">
      <c r="A87" s="215" t="s">
        <v>422</v>
      </c>
      <c r="B87" s="64">
        <v>23.96</v>
      </c>
      <c r="C87" s="64">
        <v>38.67</v>
      </c>
      <c r="D87" s="64">
        <v>38.04</v>
      </c>
      <c r="E87" s="64">
        <v>6.61</v>
      </c>
      <c r="F87" s="64">
        <v>3.38</v>
      </c>
      <c r="G87" s="64">
        <v>58.01</v>
      </c>
      <c r="H87" s="64">
        <v>34.729999999999997</v>
      </c>
      <c r="I87" s="64">
        <v>6.71</v>
      </c>
      <c r="J87" s="64">
        <v>0.98</v>
      </c>
      <c r="K87" s="64">
        <v>353.24</v>
      </c>
      <c r="L87" s="64">
        <v>17.95</v>
      </c>
      <c r="M87" s="64">
        <v>98.89</v>
      </c>
      <c r="N87" s="64">
        <v>37</v>
      </c>
      <c r="O87" s="64">
        <v>0</v>
      </c>
      <c r="P87" s="64">
        <v>0.92</v>
      </c>
      <c r="Q87" s="64">
        <v>9.0299999999999994</v>
      </c>
      <c r="R87" s="198"/>
      <c r="S87" s="198"/>
      <c r="T87" s="198"/>
      <c r="U87" s="198"/>
    </row>
    <row r="88" spans="1:26" s="12" customFormat="1" x14ac:dyDescent="0.25">
      <c r="A88" s="215" t="s">
        <v>423</v>
      </c>
      <c r="B88" s="64">
        <v>24.35</v>
      </c>
      <c r="C88" s="64">
        <v>38.619999999999997</v>
      </c>
      <c r="D88" s="64">
        <v>38.33</v>
      </c>
      <c r="E88" s="64">
        <v>6.29</v>
      </c>
      <c r="F88" s="64">
        <v>4</v>
      </c>
      <c r="G88" s="64">
        <v>61.07</v>
      </c>
      <c r="H88" s="64">
        <v>32.75</v>
      </c>
      <c r="I88" s="64">
        <v>6.65</v>
      </c>
      <c r="J88" s="64">
        <v>0.49</v>
      </c>
      <c r="K88" s="64">
        <v>33.380000000000003</v>
      </c>
      <c r="L88" s="64">
        <v>17.84</v>
      </c>
      <c r="M88" s="64">
        <v>99.42</v>
      </c>
      <c r="N88" s="64">
        <v>37</v>
      </c>
      <c r="O88" s="64">
        <v>0</v>
      </c>
      <c r="P88" s="64">
        <v>0.94</v>
      </c>
      <c r="Q88" s="64">
        <v>9.16</v>
      </c>
      <c r="R88" s="198"/>
      <c r="S88" s="198"/>
      <c r="T88" s="198"/>
      <c r="U88" s="198"/>
    </row>
    <row r="89" spans="1:26" s="12" customFormat="1" x14ac:dyDescent="0.25">
      <c r="A89" s="215" t="s">
        <v>424</v>
      </c>
      <c r="B89" s="64">
        <v>24.82</v>
      </c>
      <c r="C89" s="64">
        <v>39.01</v>
      </c>
      <c r="D89" s="64">
        <v>38.909999999999997</v>
      </c>
      <c r="E89" s="64">
        <v>6.31</v>
      </c>
      <c r="F89" s="64">
        <v>3.45</v>
      </c>
      <c r="G89" s="64">
        <v>63.42</v>
      </c>
      <c r="H89" s="64">
        <v>32.08</v>
      </c>
      <c r="I89" s="64">
        <v>6.94</v>
      </c>
      <c r="J89" s="64">
        <v>0.62</v>
      </c>
      <c r="K89" s="64">
        <v>355.3</v>
      </c>
      <c r="L89" s="64">
        <v>17.75</v>
      </c>
      <c r="M89" s="64">
        <v>100.3</v>
      </c>
      <c r="N89" s="64">
        <v>37</v>
      </c>
      <c r="O89" s="64">
        <v>0</v>
      </c>
      <c r="P89" s="64">
        <v>0.95</v>
      </c>
      <c r="Q89" s="64">
        <v>9.2200000000000006</v>
      </c>
      <c r="R89" s="198"/>
      <c r="S89" s="198"/>
      <c r="T89" s="198"/>
      <c r="U89" s="198"/>
    </row>
    <row r="90" spans="1:26" s="12" customFormat="1" x14ac:dyDescent="0.25">
      <c r="A90" s="215" t="s">
        <v>425</v>
      </c>
      <c r="B90" s="64">
        <v>25.47</v>
      </c>
      <c r="C90" s="64">
        <v>38.42</v>
      </c>
      <c r="D90" s="64">
        <v>39.119999999999997</v>
      </c>
      <c r="E90" s="64">
        <v>6.34</v>
      </c>
      <c r="F90" s="64">
        <v>3.78</v>
      </c>
      <c r="G90" s="64">
        <v>63.42</v>
      </c>
      <c r="H90" s="64">
        <v>32.08</v>
      </c>
      <c r="I90" s="64">
        <v>6.53</v>
      </c>
      <c r="J90" s="64">
        <v>0.46</v>
      </c>
      <c r="K90" s="64">
        <v>78.63</v>
      </c>
      <c r="L90" s="64">
        <v>17.59</v>
      </c>
      <c r="M90" s="64">
        <v>101.23</v>
      </c>
      <c r="N90" s="64">
        <v>37</v>
      </c>
      <c r="O90" s="64">
        <v>0</v>
      </c>
      <c r="P90" s="64">
        <v>0.93</v>
      </c>
      <c r="Q90" s="64">
        <v>9.36</v>
      </c>
      <c r="R90" s="198"/>
      <c r="S90" s="198"/>
      <c r="T90" s="198"/>
      <c r="U90" s="198"/>
    </row>
    <row r="91" spans="1:26" s="12" customFormat="1" x14ac:dyDescent="0.25">
      <c r="A91" s="215" t="s">
        <v>426</v>
      </c>
      <c r="B91" s="64">
        <v>25.99</v>
      </c>
      <c r="C91" s="64">
        <v>37.99</v>
      </c>
      <c r="D91" s="64">
        <v>39.32</v>
      </c>
      <c r="E91" s="64">
        <v>6.43</v>
      </c>
      <c r="F91" s="64">
        <v>3.67</v>
      </c>
      <c r="G91" s="64">
        <v>63.42</v>
      </c>
      <c r="H91" s="64">
        <v>32.08</v>
      </c>
      <c r="I91" s="64">
        <v>7.28</v>
      </c>
      <c r="J91" s="64">
        <v>0.68</v>
      </c>
      <c r="K91" s="64">
        <v>86.9</v>
      </c>
      <c r="L91" s="64">
        <v>17.48</v>
      </c>
      <c r="M91" s="64">
        <v>101.79</v>
      </c>
      <c r="N91" s="64">
        <v>37</v>
      </c>
      <c r="O91" s="64">
        <v>0</v>
      </c>
      <c r="P91" s="64">
        <v>0.94</v>
      </c>
      <c r="Q91" s="64">
        <v>9.42</v>
      </c>
      <c r="R91" s="198"/>
      <c r="S91" s="198"/>
      <c r="T91" s="198"/>
      <c r="U91" s="198"/>
    </row>
    <row r="92" spans="1:26" s="12" customFormat="1" x14ac:dyDescent="0.25">
      <c r="A92" s="215" t="s">
        <v>427</v>
      </c>
      <c r="B92" s="64">
        <v>26.55</v>
      </c>
      <c r="C92" s="64">
        <v>39.67</v>
      </c>
      <c r="D92" s="64">
        <v>40.64</v>
      </c>
      <c r="E92" s="64">
        <v>6.43</v>
      </c>
      <c r="F92" s="64">
        <v>4.26</v>
      </c>
      <c r="G92" s="64">
        <v>63.86</v>
      </c>
      <c r="H92" s="64">
        <v>35.54</v>
      </c>
      <c r="I92" s="64">
        <v>6.89</v>
      </c>
      <c r="J92" s="64">
        <v>0.22</v>
      </c>
      <c r="K92" s="64">
        <v>188.34</v>
      </c>
      <c r="L92" s="64">
        <v>17.46</v>
      </c>
      <c r="M92" s="64">
        <v>101.47</v>
      </c>
      <c r="N92" s="64">
        <v>36.9</v>
      </c>
      <c r="O92" s="64">
        <v>0</v>
      </c>
      <c r="P92" s="64">
        <v>0.95</v>
      </c>
      <c r="Q92" s="64">
        <v>9.5500000000000007</v>
      </c>
      <c r="R92" s="198"/>
      <c r="S92" s="198"/>
      <c r="T92" s="198"/>
      <c r="U92" s="198"/>
    </row>
    <row r="93" spans="1:26" s="12" customFormat="1" x14ac:dyDescent="0.25">
      <c r="A93" s="215" t="s">
        <v>428</v>
      </c>
      <c r="B93" s="64">
        <v>27.37</v>
      </c>
      <c r="C93" s="64">
        <v>42.37</v>
      </c>
      <c r="D93" s="64">
        <v>42.71</v>
      </c>
      <c r="E93" s="64">
        <v>6.55</v>
      </c>
      <c r="F93" s="64">
        <v>3.81</v>
      </c>
      <c r="G93" s="64">
        <v>64.2</v>
      </c>
      <c r="H93" s="64">
        <v>36.65</v>
      </c>
      <c r="I93" s="64">
        <v>7.12</v>
      </c>
      <c r="J93" s="64">
        <v>0.75</v>
      </c>
      <c r="K93" s="64">
        <v>101.01</v>
      </c>
      <c r="L93" s="64">
        <v>17.36</v>
      </c>
      <c r="M93" s="64">
        <v>101.52</v>
      </c>
      <c r="N93" s="64">
        <v>37</v>
      </c>
      <c r="O93" s="64">
        <v>0</v>
      </c>
      <c r="P93" s="64">
        <v>0.96</v>
      </c>
      <c r="Q93" s="64">
        <v>9.76</v>
      </c>
      <c r="R93" s="198"/>
      <c r="S93" s="198"/>
      <c r="T93" s="198"/>
      <c r="U93" s="198"/>
    </row>
    <row r="94" spans="1:26" s="12" customFormat="1" x14ac:dyDescent="0.25">
      <c r="A94" s="215" t="s">
        <v>429</v>
      </c>
      <c r="B94" s="64">
        <v>27.69</v>
      </c>
      <c r="C94" s="64">
        <v>33.89</v>
      </c>
      <c r="D94" s="64">
        <v>38.54</v>
      </c>
      <c r="E94" s="64">
        <v>5.88</v>
      </c>
      <c r="F94" s="64">
        <v>4.26</v>
      </c>
      <c r="G94" s="64">
        <v>64.2</v>
      </c>
      <c r="H94" s="64">
        <v>36.65</v>
      </c>
      <c r="I94" s="64">
        <v>7.69</v>
      </c>
      <c r="J94" s="64">
        <v>0.57999999999999996</v>
      </c>
      <c r="K94" s="64">
        <v>55.04</v>
      </c>
      <c r="L94" s="64">
        <v>17.27</v>
      </c>
      <c r="M94" s="64">
        <v>102.01</v>
      </c>
      <c r="N94" s="64">
        <v>37</v>
      </c>
      <c r="O94" s="64">
        <v>0</v>
      </c>
      <c r="P94" s="64">
        <v>0.96</v>
      </c>
      <c r="Q94" s="64">
        <v>9.69</v>
      </c>
      <c r="R94" s="198"/>
      <c r="S94" s="198"/>
      <c r="T94" s="198"/>
      <c r="U94" s="198"/>
    </row>
    <row r="95" spans="1:26" s="12" customFormat="1" x14ac:dyDescent="0.25">
      <c r="A95" s="215" t="s">
        <v>430</v>
      </c>
      <c r="B95" s="64">
        <v>28</v>
      </c>
      <c r="C95" s="64">
        <v>38.74</v>
      </c>
      <c r="D95" s="64">
        <v>41.32</v>
      </c>
      <c r="E95" s="64">
        <v>6.43</v>
      </c>
      <c r="F95" s="64">
        <v>3.98</v>
      </c>
      <c r="G95" s="64">
        <v>64.2</v>
      </c>
      <c r="H95" s="64">
        <v>36.65</v>
      </c>
      <c r="I95" s="64">
        <v>7.71</v>
      </c>
      <c r="J95" s="64">
        <v>0.88</v>
      </c>
      <c r="K95" s="64">
        <v>89.76</v>
      </c>
      <c r="L95" s="64">
        <v>17.149999999999999</v>
      </c>
      <c r="M95" s="64">
        <v>103.15</v>
      </c>
      <c r="N95" s="64">
        <v>37</v>
      </c>
      <c r="O95" s="64">
        <v>0</v>
      </c>
      <c r="P95" s="64">
        <v>0.96</v>
      </c>
      <c r="Q95" s="64">
        <v>9.67</v>
      </c>
      <c r="R95" s="198"/>
      <c r="S95" s="198"/>
      <c r="T95" s="198"/>
      <c r="U95" s="198"/>
    </row>
    <row r="96" spans="1:26" s="12" customFormat="1" x14ac:dyDescent="0.25">
      <c r="A96" s="215" t="s">
        <v>431</v>
      </c>
      <c r="B96" s="64">
        <v>28.09</v>
      </c>
      <c r="C96" s="64">
        <v>33.119999999999997</v>
      </c>
      <c r="D96" s="64">
        <v>38.450000000000003</v>
      </c>
      <c r="E96" s="64">
        <v>6.01</v>
      </c>
      <c r="F96" s="64">
        <v>4.34</v>
      </c>
      <c r="G96" s="64">
        <v>61.37</v>
      </c>
      <c r="H96" s="64">
        <v>35.630000000000003</v>
      </c>
      <c r="I96" s="64">
        <v>7.33</v>
      </c>
      <c r="J96" s="64">
        <v>1.51</v>
      </c>
      <c r="K96" s="64">
        <v>100.05</v>
      </c>
      <c r="L96" s="64">
        <v>17.12</v>
      </c>
      <c r="M96" s="64">
        <v>103.84</v>
      </c>
      <c r="N96" s="64">
        <v>37</v>
      </c>
      <c r="O96" s="64">
        <v>0</v>
      </c>
      <c r="P96" s="64">
        <v>0.97</v>
      </c>
      <c r="Q96" s="64">
        <v>9.44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432</v>
      </c>
      <c r="B97" s="64">
        <v>27.75</v>
      </c>
      <c r="C97" s="64">
        <v>40.479999999999997</v>
      </c>
      <c r="D97" s="64">
        <v>42.02</v>
      </c>
      <c r="E97" s="64">
        <v>6.18</v>
      </c>
      <c r="F97" s="64">
        <v>4.1100000000000003</v>
      </c>
      <c r="G97" s="64">
        <v>59.21</v>
      </c>
      <c r="H97" s="64">
        <v>34.99</v>
      </c>
      <c r="I97" s="64">
        <v>7.51</v>
      </c>
      <c r="J97" s="64">
        <v>2.12</v>
      </c>
      <c r="K97" s="64">
        <v>111.02</v>
      </c>
      <c r="L97" s="64">
        <v>17</v>
      </c>
      <c r="M97" s="64">
        <v>104.73</v>
      </c>
      <c r="N97" s="64">
        <v>37</v>
      </c>
      <c r="O97" s="64">
        <v>0</v>
      </c>
      <c r="P97" s="64">
        <v>0.96</v>
      </c>
      <c r="Q97" s="64">
        <v>9.59</v>
      </c>
      <c r="R97" s="198"/>
      <c r="S97" s="198"/>
      <c r="T97" s="198"/>
      <c r="U97" s="198"/>
    </row>
    <row r="98" spans="1:33" s="12" customFormat="1" x14ac:dyDescent="0.25">
      <c r="A98" s="215" t="s">
        <v>433</v>
      </c>
      <c r="B98" s="64">
        <v>27.45</v>
      </c>
      <c r="C98" s="64">
        <v>35.020000000000003</v>
      </c>
      <c r="D98" s="64">
        <v>38.93</v>
      </c>
      <c r="E98" s="64">
        <v>6.34</v>
      </c>
      <c r="F98" s="64">
        <v>3.67</v>
      </c>
      <c r="G98" s="64">
        <v>59.21</v>
      </c>
      <c r="H98" s="64">
        <v>34.99</v>
      </c>
      <c r="I98" s="64">
        <v>7.3</v>
      </c>
      <c r="J98" s="64">
        <v>2.14</v>
      </c>
      <c r="K98" s="64">
        <v>112.81</v>
      </c>
      <c r="L98" s="64">
        <v>16.97</v>
      </c>
      <c r="M98" s="64">
        <v>103.99</v>
      </c>
      <c r="N98" s="64">
        <v>37</v>
      </c>
      <c r="O98" s="64">
        <v>0</v>
      </c>
      <c r="P98" s="64">
        <v>0.94</v>
      </c>
      <c r="Q98" s="64">
        <v>9.59</v>
      </c>
      <c r="R98" s="198"/>
      <c r="S98" s="198"/>
      <c r="T98" s="198"/>
      <c r="U98" s="198"/>
    </row>
    <row r="99" spans="1:33" s="12" customFormat="1" x14ac:dyDescent="0.25">
      <c r="A99" s="215" t="s">
        <v>434</v>
      </c>
      <c r="B99" s="64">
        <v>26.83</v>
      </c>
      <c r="C99" s="64">
        <v>38.32</v>
      </c>
      <c r="D99" s="64">
        <v>40.159999999999997</v>
      </c>
      <c r="E99" s="64">
        <v>6.05</v>
      </c>
      <c r="F99" s="64">
        <v>3.69</v>
      </c>
      <c r="G99" s="64">
        <v>59.21</v>
      </c>
      <c r="H99" s="64">
        <v>34.99</v>
      </c>
      <c r="I99" s="64">
        <v>7.23</v>
      </c>
      <c r="J99" s="64">
        <v>2.76</v>
      </c>
      <c r="K99" s="64">
        <v>107.53</v>
      </c>
      <c r="L99" s="64">
        <v>16.93</v>
      </c>
      <c r="M99" s="64">
        <v>103.97</v>
      </c>
      <c r="N99" s="64">
        <v>37</v>
      </c>
      <c r="O99" s="64">
        <v>0</v>
      </c>
      <c r="P99" s="64">
        <v>0.93</v>
      </c>
      <c r="Q99" s="64">
        <v>9.4600000000000009</v>
      </c>
      <c r="R99" s="198"/>
      <c r="S99" s="198"/>
      <c r="T99" s="198"/>
      <c r="U99" s="198"/>
    </row>
    <row r="100" spans="1:33" s="12" customFormat="1" x14ac:dyDescent="0.25">
      <c r="A100" s="215" t="s">
        <v>435</v>
      </c>
      <c r="B100" s="64">
        <v>26.41</v>
      </c>
      <c r="C100" s="64">
        <v>34.53</v>
      </c>
      <c r="D100" s="64">
        <v>37.840000000000003</v>
      </c>
      <c r="E100" s="64">
        <v>5.76</v>
      </c>
      <c r="F100" s="64">
        <v>3.59</v>
      </c>
      <c r="G100" s="64">
        <v>57.92</v>
      </c>
      <c r="H100" s="64">
        <v>33.82</v>
      </c>
      <c r="I100" s="64">
        <v>7.3</v>
      </c>
      <c r="J100" s="64">
        <v>2.2200000000000002</v>
      </c>
      <c r="K100" s="64">
        <v>110</v>
      </c>
      <c r="L100" s="64">
        <v>16.899999999999999</v>
      </c>
      <c r="M100" s="64">
        <v>103.84</v>
      </c>
      <c r="N100" s="64">
        <v>37</v>
      </c>
      <c r="O100" s="64">
        <v>0</v>
      </c>
      <c r="P100" s="64">
        <v>0.91</v>
      </c>
      <c r="Q100" s="64">
        <v>9.16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436</v>
      </c>
      <c r="B101" s="64">
        <v>26.2</v>
      </c>
      <c r="C101" s="64">
        <v>39.79</v>
      </c>
      <c r="D101" s="64">
        <v>40.42</v>
      </c>
      <c r="E101" s="64">
        <v>5.63</v>
      </c>
      <c r="F101" s="64">
        <v>3.42</v>
      </c>
      <c r="G101" s="64">
        <v>56.94</v>
      </c>
      <c r="H101" s="64">
        <v>33.43</v>
      </c>
      <c r="I101" s="64">
        <v>7.34</v>
      </c>
      <c r="J101" s="64">
        <v>1.95</v>
      </c>
      <c r="K101" s="64">
        <v>103.95</v>
      </c>
      <c r="L101" s="64">
        <v>16.850000000000001</v>
      </c>
      <c r="M101" s="64">
        <v>103.79</v>
      </c>
      <c r="N101" s="64">
        <v>37</v>
      </c>
      <c r="O101" s="64">
        <v>0</v>
      </c>
      <c r="P101" s="64">
        <v>0.9</v>
      </c>
      <c r="Q101" s="64">
        <v>9.2799999999999994</v>
      </c>
      <c r="R101" s="198"/>
      <c r="S101" s="198"/>
      <c r="T101" s="198"/>
      <c r="U101" s="198"/>
    </row>
    <row r="102" spans="1:33" s="12" customFormat="1" x14ac:dyDescent="0.25">
      <c r="A102" s="215" t="s">
        <v>437</v>
      </c>
      <c r="B102" s="64">
        <v>26.12</v>
      </c>
      <c r="C102" s="64">
        <v>33.770000000000003</v>
      </c>
      <c r="D102" s="64">
        <v>37.22</v>
      </c>
      <c r="E102" s="64">
        <v>6.05</v>
      </c>
      <c r="F102" s="64">
        <v>4.05</v>
      </c>
      <c r="G102" s="64">
        <v>56.94</v>
      </c>
      <c r="H102" s="64">
        <v>33.43</v>
      </c>
      <c r="I102" s="64">
        <v>7.37</v>
      </c>
      <c r="J102" s="64">
        <v>2.11</v>
      </c>
      <c r="K102" s="64">
        <v>112.61</v>
      </c>
      <c r="L102" s="64">
        <v>16.78</v>
      </c>
      <c r="M102" s="64">
        <v>103.76</v>
      </c>
      <c r="N102" s="64">
        <v>37</v>
      </c>
      <c r="O102" s="64">
        <v>0</v>
      </c>
      <c r="P102" s="64">
        <v>0.87</v>
      </c>
      <c r="Q102" s="64">
        <v>9.06</v>
      </c>
      <c r="R102" s="198"/>
      <c r="S102" s="198"/>
      <c r="T102" s="198"/>
      <c r="U102" s="198"/>
    </row>
    <row r="103" spans="1:33" s="12" customFormat="1" x14ac:dyDescent="0.25">
      <c r="A103" s="215" t="s">
        <v>438</v>
      </c>
      <c r="B103" s="64">
        <v>25.92</v>
      </c>
      <c r="C103" s="64">
        <v>32.68</v>
      </c>
      <c r="D103" s="64">
        <v>36.479999999999997</v>
      </c>
      <c r="E103" s="64">
        <v>5.82</v>
      </c>
      <c r="F103" s="64">
        <v>3.79</v>
      </c>
      <c r="G103" s="64">
        <v>56.94</v>
      </c>
      <c r="H103" s="64">
        <v>33.43</v>
      </c>
      <c r="I103" s="64">
        <v>7.2</v>
      </c>
      <c r="J103" s="64">
        <v>0.96</v>
      </c>
      <c r="K103" s="64">
        <v>102.96</v>
      </c>
      <c r="L103" s="64">
        <v>16.79</v>
      </c>
      <c r="M103" s="64">
        <v>103.81</v>
      </c>
      <c r="N103" s="64">
        <v>37</v>
      </c>
      <c r="O103" s="64">
        <v>0</v>
      </c>
      <c r="P103" s="64">
        <v>0.85</v>
      </c>
      <c r="Q103" s="64">
        <v>8.98</v>
      </c>
      <c r="R103" s="198"/>
      <c r="S103" s="198"/>
      <c r="T103" s="198"/>
      <c r="U103" s="198"/>
    </row>
    <row r="104" spans="1:33" s="12" customFormat="1" x14ac:dyDescent="0.25">
      <c r="A104" s="215" t="s">
        <v>439</v>
      </c>
      <c r="B104" s="64">
        <v>25.99</v>
      </c>
      <c r="C104" s="64">
        <v>34</v>
      </c>
      <c r="D104" s="64">
        <v>37.229999999999997</v>
      </c>
      <c r="E104" s="64">
        <v>5.23</v>
      </c>
      <c r="F104" s="64">
        <v>3.98</v>
      </c>
      <c r="G104" s="64">
        <v>55.43</v>
      </c>
      <c r="H104" s="64">
        <v>34.200000000000003</v>
      </c>
      <c r="I104" s="64">
        <v>7.07</v>
      </c>
      <c r="J104" s="64">
        <v>1.84</v>
      </c>
      <c r="K104" s="64">
        <v>105.46</v>
      </c>
      <c r="L104" s="64">
        <v>16.73</v>
      </c>
      <c r="M104" s="64">
        <v>103.8</v>
      </c>
      <c r="N104" s="64">
        <v>37</v>
      </c>
      <c r="O104" s="64">
        <v>0</v>
      </c>
      <c r="P104" s="64">
        <v>0.85</v>
      </c>
      <c r="Q104" s="64">
        <v>9.15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10.89</v>
      </c>
      <c r="C106" s="67">
        <f>MIN(C9:C104)</f>
        <v>29.98</v>
      </c>
      <c r="D106" s="67">
        <f t="shared" ref="D106:Q106" si="0">MIN(D9:D104)</f>
        <v>23.02</v>
      </c>
      <c r="E106" s="67">
        <f t="shared" si="0"/>
        <v>4.9000000000000004</v>
      </c>
      <c r="F106" s="67">
        <f t="shared" si="0"/>
        <v>2.54</v>
      </c>
      <c r="G106" s="67">
        <f t="shared" si="0"/>
        <v>10.67</v>
      </c>
      <c r="H106" s="67">
        <f t="shared" si="0"/>
        <v>7.26</v>
      </c>
      <c r="I106" s="67">
        <f t="shared" si="0"/>
        <v>4.6100000000000003</v>
      </c>
      <c r="J106" s="67">
        <f t="shared" si="0"/>
        <v>0.22</v>
      </c>
      <c r="K106" s="67">
        <f t="shared" si="0"/>
        <v>3.89</v>
      </c>
      <c r="L106" s="67">
        <f t="shared" si="0"/>
        <v>15.51</v>
      </c>
      <c r="M106" s="67">
        <f t="shared" si="0"/>
        <v>81.239999999999995</v>
      </c>
      <c r="N106" s="67">
        <f t="shared" si="0"/>
        <v>35.200000000000003</v>
      </c>
      <c r="O106" s="67">
        <f t="shared" si="0"/>
        <v>0</v>
      </c>
      <c r="P106" s="67">
        <f t="shared" si="0"/>
        <v>0.45</v>
      </c>
      <c r="Q106" s="67">
        <f t="shared" si="0"/>
        <v>8.2100000000000009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28.09</v>
      </c>
      <c r="C107" s="66">
        <f t="shared" ref="C107:Q107" si="1">MAX(C9:C104)</f>
        <v>42.37</v>
      </c>
      <c r="D107" s="66">
        <f t="shared" si="1"/>
        <v>42.71</v>
      </c>
      <c r="E107" s="66">
        <f t="shared" si="1"/>
        <v>7.22</v>
      </c>
      <c r="F107" s="66">
        <f t="shared" si="1"/>
        <v>5.42</v>
      </c>
      <c r="G107" s="66">
        <f t="shared" si="1"/>
        <v>64.2</v>
      </c>
      <c r="H107" s="66">
        <f t="shared" si="1"/>
        <v>36.65</v>
      </c>
      <c r="I107" s="66">
        <f t="shared" si="1"/>
        <v>8.24</v>
      </c>
      <c r="J107" s="66">
        <f t="shared" si="1"/>
        <v>3.92</v>
      </c>
      <c r="K107" s="66">
        <f t="shared" si="1"/>
        <v>359.18</v>
      </c>
      <c r="L107" s="66">
        <f t="shared" si="1"/>
        <v>21.77</v>
      </c>
      <c r="M107" s="66">
        <f t="shared" si="1"/>
        <v>104.73</v>
      </c>
      <c r="N107" s="66">
        <f t="shared" si="1"/>
        <v>479</v>
      </c>
      <c r="O107" s="66">
        <f t="shared" si="1"/>
        <v>0</v>
      </c>
      <c r="P107" s="66">
        <f t="shared" si="1"/>
        <v>0.97</v>
      </c>
      <c r="Q107" s="66">
        <f t="shared" si="1"/>
        <v>9.84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20.427000000000003</v>
      </c>
      <c r="C108" s="67">
        <f t="shared" ref="C108:Q108" si="2">AVERAGE(C9:C104)</f>
        <v>37.74799999999999</v>
      </c>
      <c r="D108" s="67">
        <f t="shared" si="2"/>
        <v>34.725750000000012</v>
      </c>
      <c r="E108" s="67">
        <f t="shared" si="2"/>
        <v>5.8250000000000002</v>
      </c>
      <c r="F108" s="67">
        <f t="shared" si="2"/>
        <v>3.758541666666666</v>
      </c>
      <c r="G108" s="67">
        <f t="shared" si="2"/>
        <v>39.890833333333354</v>
      </c>
      <c r="H108" s="67">
        <f t="shared" si="2"/>
        <v>23.421562499999997</v>
      </c>
      <c r="I108" s="67">
        <f t="shared" si="2"/>
        <v>6.4865625000000025</v>
      </c>
      <c r="J108" s="67">
        <f t="shared" si="2"/>
        <v>1.6259375000000007</v>
      </c>
      <c r="K108" s="67">
        <f t="shared" si="2"/>
        <v>189.24572916666662</v>
      </c>
      <c r="L108" s="67">
        <f t="shared" si="2"/>
        <v>17.708229166666666</v>
      </c>
      <c r="M108" s="67">
        <f t="shared" si="2"/>
        <v>98.131875000000022</v>
      </c>
      <c r="N108" s="67">
        <f t="shared" si="2"/>
        <v>103.65833333333335</v>
      </c>
      <c r="O108" s="67">
        <f t="shared" si="2"/>
        <v>0</v>
      </c>
      <c r="P108" s="67">
        <f t="shared" si="2"/>
        <v>0.6836458333333334</v>
      </c>
      <c r="Q108" s="67">
        <f t="shared" si="2"/>
        <v>8.7186458333333352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6.2434241098442618</v>
      </c>
      <c r="C109" s="67">
        <f t="shared" ref="C109:Q109" si="3">STDEV(C9:C104)</f>
        <v>2.7159247374489559</v>
      </c>
      <c r="D109" s="67">
        <f t="shared" si="3"/>
        <v>5.1179988514641961</v>
      </c>
      <c r="E109" s="67">
        <f t="shared" si="3"/>
        <v>0.57632410472251694</v>
      </c>
      <c r="F109" s="67">
        <f t="shared" si="3"/>
        <v>0.44674254723360995</v>
      </c>
      <c r="G109" s="67">
        <f t="shared" si="3"/>
        <v>16.791067027733025</v>
      </c>
      <c r="H109" s="67">
        <f t="shared" si="3"/>
        <v>8.9626611800085136</v>
      </c>
      <c r="I109" s="67">
        <f t="shared" si="3"/>
        <v>1.0495029682011932</v>
      </c>
      <c r="J109" s="67">
        <f t="shared" si="3"/>
        <v>0.84784380155905104</v>
      </c>
      <c r="K109" s="67">
        <f t="shared" si="3"/>
        <v>131.15159477526115</v>
      </c>
      <c r="L109" s="67">
        <f t="shared" si="3"/>
        <v>1.9003927543047678</v>
      </c>
      <c r="M109" s="67">
        <f t="shared" si="3"/>
        <v>7.2820243444135464</v>
      </c>
      <c r="N109" s="67">
        <f t="shared" si="3"/>
        <v>114.27729863125109</v>
      </c>
      <c r="O109" s="67">
        <f t="shared" si="3"/>
        <v>0</v>
      </c>
      <c r="P109" s="67">
        <f t="shared" si="3"/>
        <v>0.17280423844501422</v>
      </c>
      <c r="Q109" s="67">
        <f t="shared" si="3"/>
        <v>0.5833562056919408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COUNT(B9:B104)+56</f>
        <v>96</v>
      </c>
      <c r="C110" s="66">
        <f t="shared" ref="C110:D110" si="4">COUNT(C9:C104)+56</f>
        <v>96</v>
      </c>
      <c r="D110" s="66">
        <f t="shared" si="4"/>
        <v>96</v>
      </c>
      <c r="E110" s="66">
        <f t="shared" ref="E110:Q110" si="5">COUNT(E9:E104)</f>
        <v>96</v>
      </c>
      <c r="F110" s="66">
        <f t="shared" si="5"/>
        <v>96</v>
      </c>
      <c r="G110" s="66">
        <f t="shared" si="5"/>
        <v>96</v>
      </c>
      <c r="H110" s="66">
        <f t="shared" si="5"/>
        <v>96</v>
      </c>
      <c r="I110" s="66">
        <f>COUNT(I9:I104)</f>
        <v>96</v>
      </c>
      <c r="J110" s="66">
        <f t="shared" si="5"/>
        <v>96</v>
      </c>
      <c r="K110" s="66">
        <f t="shared" si="5"/>
        <v>96</v>
      </c>
      <c r="L110" s="66">
        <f t="shared" si="5"/>
        <v>96</v>
      </c>
      <c r="M110" s="66">
        <f t="shared" si="5"/>
        <v>96</v>
      </c>
      <c r="N110" s="66">
        <f t="shared" si="5"/>
        <v>96</v>
      </c>
      <c r="O110" s="66">
        <f t="shared" si="5"/>
        <v>96</v>
      </c>
      <c r="P110" s="66">
        <f t="shared" si="5"/>
        <v>96</v>
      </c>
      <c r="Q110" s="66">
        <f t="shared" si="5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6">IF(C110&gt;=87,"&gt;90%",IF(C110&lt;=87,"&lt;90%"))</f>
        <v>&gt;90%</v>
      </c>
      <c r="D111" s="13" t="str">
        <f t="shared" si="6"/>
        <v>&gt;90%</v>
      </c>
      <c r="E111" s="13" t="str">
        <f t="shared" si="6"/>
        <v>&gt;90%</v>
      </c>
      <c r="F111" s="13" t="str">
        <f t="shared" si="6"/>
        <v>&gt;90%</v>
      </c>
      <c r="G111" s="13" t="str">
        <f t="shared" si="6"/>
        <v>&gt;90%</v>
      </c>
      <c r="H111" s="13" t="str">
        <f t="shared" si="6"/>
        <v>&gt;90%</v>
      </c>
      <c r="I111" s="13" t="str">
        <f t="shared" si="6"/>
        <v>&gt;90%</v>
      </c>
      <c r="J111" s="13" t="str">
        <f t="shared" si="6"/>
        <v>&gt;90%</v>
      </c>
      <c r="K111" s="13" t="str">
        <f t="shared" si="6"/>
        <v>&gt;90%</v>
      </c>
      <c r="L111" s="13" t="str">
        <f t="shared" si="6"/>
        <v>&gt;90%</v>
      </c>
      <c r="M111" s="13" t="str">
        <f t="shared" si="6"/>
        <v>&gt;90%</v>
      </c>
      <c r="N111" s="13" t="str">
        <f t="shared" si="6"/>
        <v>&gt;90%</v>
      </c>
      <c r="O111" s="13" t="str">
        <f t="shared" si="6"/>
        <v>&gt;90%</v>
      </c>
      <c r="P111" s="13" t="str">
        <f t="shared" si="6"/>
        <v>&gt;90%</v>
      </c>
      <c r="Q111" s="13" t="str">
        <f t="shared" si="6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7">IF(C110&gt;=87,"OK",IF(C110&lt;=87,"LESS"))</f>
        <v>OK</v>
      </c>
      <c r="D112" s="13" t="str">
        <f t="shared" si="7"/>
        <v>OK</v>
      </c>
      <c r="E112" s="13" t="str">
        <f t="shared" si="7"/>
        <v>OK</v>
      </c>
      <c r="F112" s="13" t="str">
        <f t="shared" si="7"/>
        <v>OK</v>
      </c>
      <c r="G112" s="13" t="str">
        <f t="shared" si="7"/>
        <v>OK</v>
      </c>
      <c r="H112" s="13" t="str">
        <f t="shared" si="7"/>
        <v>OK</v>
      </c>
      <c r="I112" s="13" t="str">
        <f t="shared" si="7"/>
        <v>OK</v>
      </c>
      <c r="J112" s="13" t="str">
        <f t="shared" si="7"/>
        <v>OK</v>
      </c>
      <c r="K112" s="13" t="str">
        <f t="shared" si="7"/>
        <v>OK</v>
      </c>
      <c r="L112" s="13" t="str">
        <f t="shared" si="7"/>
        <v>OK</v>
      </c>
      <c r="M112" s="13" t="str">
        <f t="shared" si="7"/>
        <v>OK</v>
      </c>
      <c r="N112" s="13" t="str">
        <f t="shared" si="7"/>
        <v>OK</v>
      </c>
      <c r="O112" s="13" t="str">
        <f t="shared" si="7"/>
        <v>OK</v>
      </c>
      <c r="P112" s="13" t="str">
        <f t="shared" si="7"/>
        <v>OK</v>
      </c>
      <c r="Q112" s="13" t="str">
        <f t="shared" si="7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247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03/12/2024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231</v>
      </c>
      <c r="C7" s="198" t="s">
        <v>232</v>
      </c>
      <c r="D7" s="198" t="s">
        <v>233</v>
      </c>
      <c r="E7" s="198" t="s">
        <v>234</v>
      </c>
      <c r="F7" s="198" t="s">
        <v>235</v>
      </c>
      <c r="G7" s="198" t="s">
        <v>236</v>
      </c>
      <c r="H7" s="198" t="s">
        <v>237</v>
      </c>
      <c r="I7" s="198" t="s">
        <v>238</v>
      </c>
      <c r="J7" s="198" t="s">
        <v>239</v>
      </c>
      <c r="K7" s="198" t="s">
        <v>240</v>
      </c>
      <c r="L7" s="198" t="s">
        <v>241</v>
      </c>
      <c r="M7" s="198" t="s">
        <v>242</v>
      </c>
      <c r="N7" s="198" t="s">
        <v>243</v>
      </c>
      <c r="O7" s="198" t="s">
        <v>244</v>
      </c>
      <c r="P7" s="198" t="s">
        <v>245</v>
      </c>
      <c r="Q7" s="198" t="s">
        <v>246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440</v>
      </c>
      <c r="B9" s="64">
        <v>25.81</v>
      </c>
      <c r="C9" s="64">
        <v>34.68</v>
      </c>
      <c r="D9" s="64">
        <v>37.44</v>
      </c>
      <c r="E9" s="64">
        <v>4.6900000000000004</v>
      </c>
      <c r="F9" s="64">
        <v>4.03</v>
      </c>
      <c r="G9" s="64">
        <v>54.28</v>
      </c>
      <c r="H9" s="64">
        <v>34.450000000000003</v>
      </c>
      <c r="I9" s="64">
        <v>6.56</v>
      </c>
      <c r="J9" s="64">
        <v>2.7</v>
      </c>
      <c r="K9" s="64">
        <v>112.6</v>
      </c>
      <c r="L9" s="64">
        <v>16.670000000000002</v>
      </c>
      <c r="M9" s="64">
        <v>103.74</v>
      </c>
      <c r="N9" s="64">
        <v>37</v>
      </c>
      <c r="O9" s="64">
        <v>0</v>
      </c>
      <c r="P9" s="64">
        <v>0.84</v>
      </c>
      <c r="Q9" s="64">
        <v>9.23</v>
      </c>
      <c r="R9" s="198"/>
      <c r="S9" s="198"/>
      <c r="T9" s="198"/>
      <c r="U9" s="198"/>
    </row>
    <row r="10" spans="1:21" s="12" customFormat="1" x14ac:dyDescent="0.25">
      <c r="A10" s="215" t="s">
        <v>441</v>
      </c>
      <c r="B10" s="64">
        <v>25.43</v>
      </c>
      <c r="C10" s="64">
        <v>34.65</v>
      </c>
      <c r="D10" s="64">
        <v>37.119999999999997</v>
      </c>
      <c r="E10" s="64">
        <v>5.08</v>
      </c>
      <c r="F10" s="64">
        <v>3.47</v>
      </c>
      <c r="G10" s="64">
        <v>54.28</v>
      </c>
      <c r="H10" s="64">
        <v>34.450000000000003</v>
      </c>
      <c r="I10" s="64">
        <v>7.04</v>
      </c>
      <c r="J10" s="64">
        <v>3.32</v>
      </c>
      <c r="K10" s="64">
        <v>117.83</v>
      </c>
      <c r="L10" s="64">
        <v>16.63</v>
      </c>
      <c r="M10" s="64">
        <v>103.61</v>
      </c>
      <c r="N10" s="64">
        <v>37</v>
      </c>
      <c r="O10" s="64">
        <v>0</v>
      </c>
      <c r="P10" s="64">
        <v>0.81</v>
      </c>
      <c r="Q10" s="64">
        <v>9.27</v>
      </c>
      <c r="R10" s="198"/>
      <c r="S10" s="198"/>
      <c r="T10" s="198"/>
      <c r="U10" s="198"/>
    </row>
    <row r="11" spans="1:21" s="12" customFormat="1" x14ac:dyDescent="0.25">
      <c r="A11" s="215" t="s">
        <v>442</v>
      </c>
      <c r="B11" s="64">
        <v>24.8</v>
      </c>
      <c r="C11" s="64">
        <v>34.799999999999997</v>
      </c>
      <c r="D11" s="64">
        <v>36.69</v>
      </c>
      <c r="E11" s="64">
        <v>4.92</v>
      </c>
      <c r="F11" s="64">
        <v>3.43</v>
      </c>
      <c r="G11" s="64">
        <v>54.28</v>
      </c>
      <c r="H11" s="64">
        <v>34.450000000000003</v>
      </c>
      <c r="I11" s="64">
        <v>7.35</v>
      </c>
      <c r="J11" s="64">
        <v>3.22</v>
      </c>
      <c r="K11" s="64">
        <v>114.12</v>
      </c>
      <c r="L11" s="64">
        <v>16.59</v>
      </c>
      <c r="M11" s="64">
        <v>103.58</v>
      </c>
      <c r="N11" s="64">
        <v>37</v>
      </c>
      <c r="O11" s="64">
        <v>0</v>
      </c>
      <c r="P11" s="64">
        <v>0.8</v>
      </c>
      <c r="Q11" s="64">
        <v>9.2200000000000006</v>
      </c>
      <c r="R11" s="198"/>
      <c r="S11" s="198"/>
      <c r="T11" s="198"/>
      <c r="U11" s="198"/>
    </row>
    <row r="12" spans="1:21" s="12" customFormat="1" x14ac:dyDescent="0.25">
      <c r="A12" s="215" t="s">
        <v>443</v>
      </c>
      <c r="B12" s="64">
        <v>24.18</v>
      </c>
      <c r="C12" s="64">
        <v>34.770000000000003</v>
      </c>
      <c r="D12" s="64">
        <v>36.18</v>
      </c>
      <c r="E12" s="64">
        <v>5.0599999999999996</v>
      </c>
      <c r="F12" s="64">
        <v>3.64</v>
      </c>
      <c r="G12" s="64">
        <v>54.01</v>
      </c>
      <c r="H12" s="64">
        <v>32.549999999999997</v>
      </c>
      <c r="I12" s="64">
        <v>7.85</v>
      </c>
      <c r="J12" s="64">
        <v>3.69</v>
      </c>
      <c r="K12" s="64">
        <v>115.09</v>
      </c>
      <c r="L12" s="64">
        <v>16.600000000000001</v>
      </c>
      <c r="M12" s="64">
        <v>103.57</v>
      </c>
      <c r="N12" s="64">
        <v>37</v>
      </c>
      <c r="O12" s="64">
        <v>0</v>
      </c>
      <c r="P12" s="64">
        <v>0.78</v>
      </c>
      <c r="Q12" s="64">
        <v>9.1999999999999993</v>
      </c>
      <c r="R12" s="198"/>
      <c r="S12" s="198"/>
      <c r="T12" s="198"/>
      <c r="U12" s="198"/>
    </row>
    <row r="13" spans="1:21" s="12" customFormat="1" x14ac:dyDescent="0.25">
      <c r="A13" s="215" t="s">
        <v>444</v>
      </c>
      <c r="B13" s="64">
        <v>23.44</v>
      </c>
      <c r="C13" s="64">
        <v>34.979999999999997</v>
      </c>
      <c r="D13" s="64">
        <v>35.69</v>
      </c>
      <c r="E13" s="64">
        <v>4.66</v>
      </c>
      <c r="F13" s="64">
        <v>3.78</v>
      </c>
      <c r="G13" s="64">
        <v>53.81</v>
      </c>
      <c r="H13" s="64">
        <v>31.94</v>
      </c>
      <c r="I13" s="64">
        <v>7.67</v>
      </c>
      <c r="J13" s="64">
        <v>4.25</v>
      </c>
      <c r="K13" s="64">
        <v>113.23</v>
      </c>
      <c r="L13" s="64">
        <v>16.600000000000001</v>
      </c>
      <c r="M13" s="64">
        <v>103.58</v>
      </c>
      <c r="N13" s="64">
        <v>37</v>
      </c>
      <c r="O13" s="64">
        <v>0</v>
      </c>
      <c r="P13" s="64">
        <v>0.74</v>
      </c>
      <c r="Q13" s="64">
        <v>9.1300000000000008</v>
      </c>
      <c r="R13" s="198"/>
      <c r="S13" s="198"/>
      <c r="T13" s="198"/>
      <c r="U13" s="198"/>
    </row>
    <row r="14" spans="1:21" s="12" customFormat="1" x14ac:dyDescent="0.25">
      <c r="A14" s="215" t="s">
        <v>445</v>
      </c>
      <c r="B14" s="64">
        <v>22.49</v>
      </c>
      <c r="C14" s="64">
        <v>33.06</v>
      </c>
      <c r="D14" s="64">
        <v>33.93</v>
      </c>
      <c r="E14" s="64">
        <v>4.87</v>
      </c>
      <c r="F14" s="64">
        <v>3.52</v>
      </c>
      <c r="G14" s="64">
        <v>53.81</v>
      </c>
      <c r="H14" s="64">
        <v>31.94</v>
      </c>
      <c r="I14" s="64">
        <v>8</v>
      </c>
      <c r="J14" s="64">
        <v>4.47</v>
      </c>
      <c r="K14" s="64">
        <v>113.39</v>
      </c>
      <c r="L14" s="64">
        <v>16.55</v>
      </c>
      <c r="M14" s="64">
        <v>103.51</v>
      </c>
      <c r="N14" s="64">
        <v>37</v>
      </c>
      <c r="O14" s="64">
        <v>0</v>
      </c>
      <c r="P14" s="64">
        <v>0.75</v>
      </c>
      <c r="Q14" s="64">
        <v>8.86</v>
      </c>
      <c r="R14" s="198"/>
      <c r="S14" s="198"/>
      <c r="T14" s="198"/>
      <c r="U14" s="198"/>
    </row>
    <row r="15" spans="1:21" s="12" customFormat="1" x14ac:dyDescent="0.25">
      <c r="A15" s="215" t="s">
        <v>446</v>
      </c>
      <c r="B15" s="64">
        <v>21.29</v>
      </c>
      <c r="C15" s="64">
        <v>32.08</v>
      </c>
      <c r="D15" s="64">
        <v>32.46</v>
      </c>
      <c r="E15" s="64">
        <v>4.62</v>
      </c>
      <c r="F15" s="64">
        <v>4.12</v>
      </c>
      <c r="G15" s="64">
        <v>53.81</v>
      </c>
      <c r="H15" s="64">
        <v>31.94</v>
      </c>
      <c r="I15" s="64">
        <v>8.5299999999999994</v>
      </c>
      <c r="J15" s="64">
        <v>3.09</v>
      </c>
      <c r="K15" s="64">
        <v>109.77</v>
      </c>
      <c r="L15" s="64">
        <v>16.489999999999998</v>
      </c>
      <c r="M15" s="64">
        <v>103.43</v>
      </c>
      <c r="N15" s="64">
        <v>37</v>
      </c>
      <c r="O15" s="64">
        <v>0</v>
      </c>
      <c r="P15" s="64">
        <v>0.74</v>
      </c>
      <c r="Q15" s="64">
        <v>8.52</v>
      </c>
      <c r="R15" s="198"/>
      <c r="S15" s="198"/>
      <c r="T15" s="198"/>
      <c r="U15" s="198"/>
    </row>
    <row r="16" spans="1:21" s="12" customFormat="1" x14ac:dyDescent="0.25">
      <c r="A16" s="215" t="s">
        <v>447</v>
      </c>
      <c r="B16" s="64">
        <v>20.309999999999999</v>
      </c>
      <c r="C16" s="64">
        <v>32.92</v>
      </c>
      <c r="D16" s="64">
        <v>32.11</v>
      </c>
      <c r="E16" s="64">
        <v>4.8600000000000003</v>
      </c>
      <c r="F16" s="64">
        <v>3.5</v>
      </c>
      <c r="G16" s="64">
        <v>52.37</v>
      </c>
      <c r="H16" s="64">
        <v>29.62</v>
      </c>
      <c r="I16" s="64">
        <v>8.65</v>
      </c>
      <c r="J16" s="64">
        <v>2.87</v>
      </c>
      <c r="K16" s="64">
        <v>103.83</v>
      </c>
      <c r="L16" s="64">
        <v>16.440000000000001</v>
      </c>
      <c r="M16" s="64">
        <v>103.39</v>
      </c>
      <c r="N16" s="64">
        <v>37</v>
      </c>
      <c r="O16" s="64">
        <v>0</v>
      </c>
      <c r="P16" s="64">
        <v>0.72</v>
      </c>
      <c r="Q16" s="64">
        <v>8.41</v>
      </c>
      <c r="R16" s="198"/>
      <c r="S16" s="198"/>
      <c r="T16" s="198"/>
      <c r="U16" s="198"/>
    </row>
    <row r="17" spans="1:21" s="12" customFormat="1" x14ac:dyDescent="0.25">
      <c r="A17" s="215" t="s">
        <v>448</v>
      </c>
      <c r="B17" s="64">
        <v>19.32</v>
      </c>
      <c r="C17" s="64">
        <v>34.229999999999997</v>
      </c>
      <c r="D17" s="64">
        <v>32</v>
      </c>
      <c r="E17" s="64">
        <v>4.4000000000000004</v>
      </c>
      <c r="F17" s="64">
        <v>3.94</v>
      </c>
      <c r="G17" s="64">
        <v>51.27</v>
      </c>
      <c r="H17" s="64">
        <v>28.15</v>
      </c>
      <c r="I17" s="64">
        <v>8.65</v>
      </c>
      <c r="J17" s="64">
        <v>2.38</v>
      </c>
      <c r="K17" s="64">
        <v>105.75</v>
      </c>
      <c r="L17" s="64">
        <v>16.41</v>
      </c>
      <c r="M17" s="64">
        <v>103.37</v>
      </c>
      <c r="N17" s="64">
        <v>37</v>
      </c>
      <c r="O17" s="64">
        <v>0</v>
      </c>
      <c r="P17" s="64">
        <v>0.71</v>
      </c>
      <c r="Q17" s="64">
        <v>8.33</v>
      </c>
      <c r="R17" s="198"/>
      <c r="S17" s="198"/>
      <c r="T17" s="198"/>
      <c r="U17" s="198"/>
    </row>
    <row r="18" spans="1:21" s="12" customFormat="1" x14ac:dyDescent="0.25">
      <c r="A18" s="215" t="s">
        <v>449</v>
      </c>
      <c r="B18" s="64">
        <v>18.61</v>
      </c>
      <c r="C18" s="64">
        <v>30.87</v>
      </c>
      <c r="D18" s="64">
        <v>29.67</v>
      </c>
      <c r="E18" s="64">
        <v>4.22</v>
      </c>
      <c r="F18" s="64">
        <v>3.84</v>
      </c>
      <c r="G18" s="64">
        <v>51.27</v>
      </c>
      <c r="H18" s="64">
        <v>28.15</v>
      </c>
      <c r="I18" s="64">
        <v>8.69</v>
      </c>
      <c r="J18" s="64">
        <v>2.1</v>
      </c>
      <c r="K18" s="64">
        <v>113.33</v>
      </c>
      <c r="L18" s="64">
        <v>16.36</v>
      </c>
      <c r="M18" s="64">
        <v>103.31</v>
      </c>
      <c r="N18" s="64">
        <v>37</v>
      </c>
      <c r="O18" s="64">
        <v>0</v>
      </c>
      <c r="P18" s="64">
        <v>0.69</v>
      </c>
      <c r="Q18" s="64">
        <v>8.26</v>
      </c>
      <c r="R18" s="198"/>
      <c r="S18" s="198"/>
      <c r="T18" s="198"/>
      <c r="U18" s="198"/>
    </row>
    <row r="19" spans="1:21" s="12" customFormat="1" x14ac:dyDescent="0.25">
      <c r="A19" s="215" t="s">
        <v>450</v>
      </c>
      <c r="B19" s="64">
        <v>18.13</v>
      </c>
      <c r="C19" s="64">
        <v>34.28</v>
      </c>
      <c r="D19" s="64">
        <v>31.07</v>
      </c>
      <c r="E19" s="64">
        <v>4.6399999999999997</v>
      </c>
      <c r="F19" s="64">
        <v>4.01</v>
      </c>
      <c r="G19" s="64">
        <v>51.27</v>
      </c>
      <c r="H19" s="64">
        <v>28.15</v>
      </c>
      <c r="I19" s="64">
        <v>8.6300000000000008</v>
      </c>
      <c r="J19" s="64">
        <v>0.85</v>
      </c>
      <c r="K19" s="64">
        <v>29.48</v>
      </c>
      <c r="L19" s="64">
        <v>16.29</v>
      </c>
      <c r="M19" s="64">
        <v>103.28</v>
      </c>
      <c r="N19" s="64">
        <v>37</v>
      </c>
      <c r="O19" s="64">
        <v>0</v>
      </c>
      <c r="P19" s="64">
        <v>0.69</v>
      </c>
      <c r="Q19" s="64">
        <v>8.2200000000000006</v>
      </c>
      <c r="R19" s="198"/>
      <c r="S19" s="198"/>
      <c r="T19" s="198"/>
      <c r="U19" s="198"/>
    </row>
    <row r="20" spans="1:21" s="12" customFormat="1" x14ac:dyDescent="0.25">
      <c r="A20" s="215" t="s">
        <v>451</v>
      </c>
      <c r="B20" s="64">
        <v>17.93</v>
      </c>
      <c r="C20" s="64">
        <v>30.4</v>
      </c>
      <c r="D20" s="64">
        <v>28.88</v>
      </c>
      <c r="E20" s="64">
        <v>4.37</v>
      </c>
      <c r="F20" s="64">
        <v>3.67</v>
      </c>
      <c r="G20" s="64">
        <v>49.19</v>
      </c>
      <c r="H20" s="64">
        <v>25.44</v>
      </c>
      <c r="I20" s="64">
        <v>8.4499999999999993</v>
      </c>
      <c r="J20" s="64">
        <v>2.74</v>
      </c>
      <c r="K20" s="64">
        <v>340.43</v>
      </c>
      <c r="L20" s="64">
        <v>16.21</v>
      </c>
      <c r="M20" s="64">
        <v>103.3</v>
      </c>
      <c r="N20" s="64">
        <v>36.6</v>
      </c>
      <c r="O20" s="64">
        <v>0</v>
      </c>
      <c r="P20" s="64">
        <v>0.67</v>
      </c>
      <c r="Q20" s="64">
        <v>8.2100000000000009</v>
      </c>
      <c r="R20" s="198"/>
      <c r="S20" s="198"/>
      <c r="T20" s="198"/>
      <c r="U20" s="198"/>
    </row>
    <row r="21" spans="1:21" s="12" customFormat="1" x14ac:dyDescent="0.25">
      <c r="A21" s="215" t="s">
        <v>452</v>
      </c>
      <c r="B21" s="64">
        <v>17.71</v>
      </c>
      <c r="C21" s="64">
        <v>34.9</v>
      </c>
      <c r="D21" s="64">
        <v>31.06</v>
      </c>
      <c r="E21" s="64">
        <v>4.08</v>
      </c>
      <c r="F21" s="64">
        <v>3.62</v>
      </c>
      <c r="G21" s="64">
        <v>47.53</v>
      </c>
      <c r="H21" s="64">
        <v>24.52</v>
      </c>
      <c r="I21" s="64">
        <v>8.15</v>
      </c>
      <c r="J21" s="64">
        <v>1.25</v>
      </c>
      <c r="K21" s="64">
        <v>10.91</v>
      </c>
      <c r="L21" s="64">
        <v>16.2</v>
      </c>
      <c r="M21" s="64">
        <v>103.28</v>
      </c>
      <c r="N21" s="64">
        <v>36.6</v>
      </c>
      <c r="O21" s="64">
        <v>0</v>
      </c>
      <c r="P21" s="64">
        <v>0.67</v>
      </c>
      <c r="Q21" s="64">
        <v>8.2100000000000009</v>
      </c>
      <c r="R21" s="198"/>
      <c r="S21" s="198"/>
      <c r="T21" s="198"/>
      <c r="U21" s="198"/>
    </row>
    <row r="22" spans="1:21" s="12" customFormat="1" x14ac:dyDescent="0.25">
      <c r="A22" s="215" t="s">
        <v>453</v>
      </c>
      <c r="B22" s="64">
        <v>17.79</v>
      </c>
      <c r="C22" s="64">
        <v>33.75</v>
      </c>
      <c r="D22" s="64">
        <v>30.52</v>
      </c>
      <c r="E22" s="64">
        <v>4.21</v>
      </c>
      <c r="F22" s="64">
        <v>3.5</v>
      </c>
      <c r="G22" s="64">
        <v>47.53</v>
      </c>
      <c r="H22" s="64">
        <v>24.52</v>
      </c>
      <c r="I22" s="64">
        <v>7.92</v>
      </c>
      <c r="J22" s="64">
        <v>2.42</v>
      </c>
      <c r="K22" s="64">
        <v>348.25</v>
      </c>
      <c r="L22" s="64">
        <v>16.32</v>
      </c>
      <c r="M22" s="64">
        <v>103.25</v>
      </c>
      <c r="N22" s="64">
        <v>36.700000000000003</v>
      </c>
      <c r="O22" s="64">
        <v>0</v>
      </c>
      <c r="P22" s="64">
        <v>0.64</v>
      </c>
      <c r="Q22" s="64">
        <v>8.2100000000000009</v>
      </c>
      <c r="R22" s="198"/>
      <c r="S22" s="198"/>
      <c r="T22" s="198"/>
      <c r="U22" s="198"/>
    </row>
    <row r="23" spans="1:21" s="12" customFormat="1" x14ac:dyDescent="0.25">
      <c r="A23" s="215" t="s">
        <v>454</v>
      </c>
      <c r="B23" s="64">
        <v>17.71</v>
      </c>
      <c r="C23" s="64">
        <v>34.479999999999997</v>
      </c>
      <c r="D23" s="64">
        <v>30.84</v>
      </c>
      <c r="E23" s="64">
        <v>4.12</v>
      </c>
      <c r="F23" s="64">
        <v>3.72</v>
      </c>
      <c r="G23" s="64">
        <v>47.53</v>
      </c>
      <c r="H23" s="64">
        <v>24.52</v>
      </c>
      <c r="I23" s="64">
        <v>7.34</v>
      </c>
      <c r="J23" s="64">
        <v>2.5499999999999998</v>
      </c>
      <c r="K23" s="64">
        <v>346.84</v>
      </c>
      <c r="L23" s="64">
        <v>16.46</v>
      </c>
      <c r="M23" s="64">
        <v>103.2</v>
      </c>
      <c r="N23" s="64">
        <v>36.799999999999997</v>
      </c>
      <c r="O23" s="64">
        <v>0</v>
      </c>
      <c r="P23" s="64">
        <v>0.64</v>
      </c>
      <c r="Q23" s="64">
        <v>8.2100000000000009</v>
      </c>
      <c r="R23" s="198"/>
      <c r="S23" s="198"/>
      <c r="T23" s="198"/>
      <c r="U23" s="198"/>
    </row>
    <row r="24" spans="1:21" s="12" customFormat="1" x14ac:dyDescent="0.25">
      <c r="A24" s="215" t="s">
        <v>455</v>
      </c>
      <c r="B24" s="64">
        <v>17.7</v>
      </c>
      <c r="C24" s="64">
        <v>35.67</v>
      </c>
      <c r="D24" s="64">
        <v>31.46</v>
      </c>
      <c r="E24" s="64">
        <v>4.18</v>
      </c>
      <c r="F24" s="64">
        <v>3.51</v>
      </c>
      <c r="G24" s="64">
        <v>46</v>
      </c>
      <c r="H24" s="64">
        <v>26.22</v>
      </c>
      <c r="I24" s="64">
        <v>7.13</v>
      </c>
      <c r="J24" s="64">
        <v>2.16</v>
      </c>
      <c r="K24" s="64">
        <v>338.64</v>
      </c>
      <c r="L24" s="64">
        <v>16.510000000000002</v>
      </c>
      <c r="M24" s="64">
        <v>103.19</v>
      </c>
      <c r="N24" s="64">
        <v>36.799999999999997</v>
      </c>
      <c r="O24" s="64">
        <v>0</v>
      </c>
      <c r="P24" s="64">
        <v>0.62</v>
      </c>
      <c r="Q24" s="64">
        <v>8.2100000000000009</v>
      </c>
      <c r="R24" s="198"/>
      <c r="S24" s="198"/>
      <c r="T24" s="198"/>
      <c r="U24" s="198"/>
    </row>
    <row r="25" spans="1:21" s="12" customFormat="1" x14ac:dyDescent="0.25">
      <c r="A25" s="215" t="s">
        <v>456</v>
      </c>
      <c r="B25" s="64">
        <v>17.97</v>
      </c>
      <c r="C25" s="64">
        <v>35.93</v>
      </c>
      <c r="D25" s="64">
        <v>31.8</v>
      </c>
      <c r="E25" s="64">
        <v>4.46</v>
      </c>
      <c r="F25" s="64">
        <v>3.77</v>
      </c>
      <c r="G25" s="64">
        <v>44.83</v>
      </c>
      <c r="H25" s="64">
        <v>26.79</v>
      </c>
      <c r="I25" s="64">
        <v>5.81</v>
      </c>
      <c r="J25" s="64">
        <v>2.02</v>
      </c>
      <c r="K25" s="64">
        <v>352.14</v>
      </c>
      <c r="L25" s="64">
        <v>16.579999999999998</v>
      </c>
      <c r="M25" s="64">
        <v>103.19</v>
      </c>
      <c r="N25" s="64">
        <v>37</v>
      </c>
      <c r="O25" s="64">
        <v>0</v>
      </c>
      <c r="P25" s="64">
        <v>0.64</v>
      </c>
      <c r="Q25" s="64">
        <v>8.2100000000000009</v>
      </c>
      <c r="R25" s="198"/>
      <c r="S25" s="198"/>
      <c r="T25" s="198"/>
      <c r="U25" s="198"/>
    </row>
    <row r="26" spans="1:21" s="12" customFormat="1" x14ac:dyDescent="0.25">
      <c r="A26" s="215" t="s">
        <v>457</v>
      </c>
      <c r="B26" s="64">
        <v>18.38</v>
      </c>
      <c r="C26" s="64">
        <v>36.299999999999997</v>
      </c>
      <c r="D26" s="64">
        <v>32.33</v>
      </c>
      <c r="E26" s="64">
        <v>4.79</v>
      </c>
      <c r="F26" s="64">
        <v>3.42</v>
      </c>
      <c r="G26" s="64">
        <v>44.83</v>
      </c>
      <c r="H26" s="64">
        <v>26.79</v>
      </c>
      <c r="I26" s="64">
        <v>5.83</v>
      </c>
      <c r="J26" s="64">
        <v>1.42</v>
      </c>
      <c r="K26" s="64">
        <v>335.48</v>
      </c>
      <c r="L26" s="64">
        <v>16.59</v>
      </c>
      <c r="M26" s="64">
        <v>103.22</v>
      </c>
      <c r="N26" s="64">
        <v>36.9</v>
      </c>
      <c r="O26" s="64">
        <v>0</v>
      </c>
      <c r="P26" s="64">
        <v>0.63</v>
      </c>
      <c r="Q26" s="64">
        <v>8.25</v>
      </c>
      <c r="R26" s="198"/>
      <c r="S26" s="198"/>
      <c r="T26" s="198"/>
      <c r="U26" s="198"/>
    </row>
    <row r="27" spans="1:21" s="12" customFormat="1" x14ac:dyDescent="0.25">
      <c r="A27" s="215" t="s">
        <v>458</v>
      </c>
      <c r="B27" s="64">
        <v>18.61</v>
      </c>
      <c r="C27" s="64">
        <v>35.590000000000003</v>
      </c>
      <c r="D27" s="64">
        <v>32.14</v>
      </c>
      <c r="E27" s="64">
        <v>4.8099999999999996</v>
      </c>
      <c r="F27" s="64">
        <v>3.81</v>
      </c>
      <c r="G27" s="64">
        <v>44.83</v>
      </c>
      <c r="H27" s="64">
        <v>26.79</v>
      </c>
      <c r="I27" s="64">
        <v>5.24</v>
      </c>
      <c r="J27" s="64">
        <v>1.01</v>
      </c>
      <c r="K27" s="64">
        <v>84.72</v>
      </c>
      <c r="L27" s="64">
        <v>16.5</v>
      </c>
      <c r="M27" s="64">
        <v>103.2</v>
      </c>
      <c r="N27" s="64">
        <v>37</v>
      </c>
      <c r="O27" s="64">
        <v>0</v>
      </c>
      <c r="P27" s="64">
        <v>0.63</v>
      </c>
      <c r="Q27" s="64">
        <v>8.32</v>
      </c>
      <c r="R27" s="198"/>
      <c r="S27" s="198"/>
      <c r="T27" s="198"/>
      <c r="U27" s="198"/>
    </row>
    <row r="28" spans="1:21" s="12" customFormat="1" x14ac:dyDescent="0.25">
      <c r="A28" s="215" t="s">
        <v>459</v>
      </c>
      <c r="B28" s="64">
        <v>18.7</v>
      </c>
      <c r="C28" s="64">
        <v>35.68</v>
      </c>
      <c r="D28" s="64">
        <v>32.26</v>
      </c>
      <c r="E28" s="64">
        <v>4.8499999999999996</v>
      </c>
      <c r="F28" s="64">
        <v>3.8</v>
      </c>
      <c r="G28" s="64">
        <v>44.28</v>
      </c>
      <c r="H28" s="64">
        <v>26.98</v>
      </c>
      <c r="I28" s="64">
        <v>5.64</v>
      </c>
      <c r="J28" s="64">
        <v>2.36</v>
      </c>
      <c r="K28" s="64">
        <v>106.87</v>
      </c>
      <c r="L28" s="64">
        <v>16.329999999999998</v>
      </c>
      <c r="M28" s="64">
        <v>103.21</v>
      </c>
      <c r="N28" s="64">
        <v>37</v>
      </c>
      <c r="O28" s="64">
        <v>0</v>
      </c>
      <c r="P28" s="64">
        <v>0.62</v>
      </c>
      <c r="Q28" s="64">
        <v>8.3800000000000008</v>
      </c>
      <c r="R28" s="198"/>
      <c r="S28" s="198"/>
      <c r="T28" s="198"/>
      <c r="U28" s="198"/>
    </row>
    <row r="29" spans="1:21" s="12" customFormat="1" x14ac:dyDescent="0.25">
      <c r="A29" s="215" t="s">
        <v>460</v>
      </c>
      <c r="B29" s="64">
        <v>18.82</v>
      </c>
      <c r="C29" s="64">
        <v>35.770000000000003</v>
      </c>
      <c r="D29" s="64">
        <v>32.409999999999997</v>
      </c>
      <c r="E29" s="64">
        <v>4.75</v>
      </c>
      <c r="F29" s="64">
        <v>3.68</v>
      </c>
      <c r="G29" s="64">
        <v>43.84</v>
      </c>
      <c r="H29" s="64">
        <v>27.05</v>
      </c>
      <c r="I29" s="64">
        <v>5.32</v>
      </c>
      <c r="J29" s="64">
        <v>0.69</v>
      </c>
      <c r="K29" s="64">
        <v>73.86</v>
      </c>
      <c r="L29" s="64">
        <v>16.32</v>
      </c>
      <c r="M29" s="64">
        <v>103.21</v>
      </c>
      <c r="N29" s="64">
        <v>37</v>
      </c>
      <c r="O29" s="64">
        <v>0</v>
      </c>
      <c r="P29" s="64">
        <v>0.63</v>
      </c>
      <c r="Q29" s="64">
        <v>8.4700000000000006</v>
      </c>
      <c r="R29" s="198"/>
      <c r="S29" s="198"/>
      <c r="T29" s="198"/>
      <c r="U29" s="198"/>
    </row>
    <row r="30" spans="1:21" s="12" customFormat="1" x14ac:dyDescent="0.25">
      <c r="A30" s="215" t="s">
        <v>461</v>
      </c>
      <c r="B30" s="64">
        <v>19</v>
      </c>
      <c r="C30" s="64">
        <v>40.53</v>
      </c>
      <c r="D30" s="64">
        <v>35.03</v>
      </c>
      <c r="E30" s="64">
        <v>4.91</v>
      </c>
      <c r="F30" s="64">
        <v>4.1100000000000003</v>
      </c>
      <c r="G30" s="64">
        <v>43.84</v>
      </c>
      <c r="H30" s="64">
        <v>27.05</v>
      </c>
      <c r="I30" s="64">
        <v>6.11</v>
      </c>
      <c r="J30" s="64">
        <v>0.74</v>
      </c>
      <c r="K30" s="64">
        <v>76.23</v>
      </c>
      <c r="L30" s="64">
        <v>16.34</v>
      </c>
      <c r="M30" s="64">
        <v>103.22</v>
      </c>
      <c r="N30" s="64">
        <v>37</v>
      </c>
      <c r="O30" s="64">
        <v>0</v>
      </c>
      <c r="P30" s="64">
        <v>0.64</v>
      </c>
      <c r="Q30" s="64">
        <v>8.56</v>
      </c>
      <c r="R30" s="198"/>
      <c r="S30" s="198"/>
      <c r="T30" s="198"/>
      <c r="U30" s="198"/>
    </row>
    <row r="31" spans="1:21" s="12" customFormat="1" x14ac:dyDescent="0.25">
      <c r="A31" s="215" t="s">
        <v>462</v>
      </c>
      <c r="B31" s="64">
        <v>19.32</v>
      </c>
      <c r="C31" s="64">
        <v>36.950000000000003</v>
      </c>
      <c r="D31" s="64">
        <v>33.42</v>
      </c>
      <c r="E31" s="64">
        <v>4.83</v>
      </c>
      <c r="F31" s="64">
        <v>3.35</v>
      </c>
      <c r="G31" s="64">
        <v>43.84</v>
      </c>
      <c r="H31" s="64">
        <v>27.05</v>
      </c>
      <c r="I31" s="64">
        <v>6.67</v>
      </c>
      <c r="J31" s="64">
        <v>2.02</v>
      </c>
      <c r="K31" s="64">
        <v>330.01</v>
      </c>
      <c r="L31" s="64">
        <v>16.329999999999998</v>
      </c>
      <c r="M31" s="64">
        <v>103.22</v>
      </c>
      <c r="N31" s="64">
        <v>37</v>
      </c>
      <c r="O31" s="64">
        <v>0</v>
      </c>
      <c r="P31" s="64">
        <v>0.63</v>
      </c>
      <c r="Q31" s="64">
        <v>8.51</v>
      </c>
      <c r="R31" s="198"/>
      <c r="S31" s="198"/>
      <c r="T31" s="198"/>
      <c r="U31" s="198"/>
    </row>
    <row r="32" spans="1:21" s="12" customFormat="1" x14ac:dyDescent="0.25">
      <c r="A32" s="215" t="s">
        <v>463</v>
      </c>
      <c r="B32" s="64">
        <v>19.68</v>
      </c>
      <c r="C32" s="64">
        <v>32.380000000000003</v>
      </c>
      <c r="D32" s="64">
        <v>31.32</v>
      </c>
      <c r="E32" s="64">
        <v>4.18</v>
      </c>
      <c r="F32" s="64">
        <v>4.4000000000000004</v>
      </c>
      <c r="G32" s="64">
        <v>46.47</v>
      </c>
      <c r="H32" s="64">
        <v>26.28</v>
      </c>
      <c r="I32" s="64">
        <v>6.84</v>
      </c>
      <c r="J32" s="64">
        <v>2.31</v>
      </c>
      <c r="K32" s="64">
        <v>338.97</v>
      </c>
      <c r="L32" s="64">
        <v>16.32</v>
      </c>
      <c r="M32" s="64">
        <v>103.2</v>
      </c>
      <c r="N32" s="64">
        <v>37</v>
      </c>
      <c r="O32" s="64">
        <v>0</v>
      </c>
      <c r="P32" s="64">
        <v>0.64</v>
      </c>
      <c r="Q32" s="64">
        <v>8.32</v>
      </c>
      <c r="R32" s="198"/>
      <c r="S32" s="198"/>
      <c r="T32" s="198"/>
      <c r="U32" s="198"/>
    </row>
    <row r="33" spans="1:21" s="12" customFormat="1" x14ac:dyDescent="0.25">
      <c r="A33" s="215" t="s">
        <v>464</v>
      </c>
      <c r="B33" s="64">
        <v>20.65</v>
      </c>
      <c r="C33" s="64">
        <v>36.380000000000003</v>
      </c>
      <c r="D33" s="64">
        <v>34.19</v>
      </c>
      <c r="E33" s="64">
        <v>4.26</v>
      </c>
      <c r="F33" s="64">
        <v>3.42</v>
      </c>
      <c r="G33" s="64">
        <v>48.58</v>
      </c>
      <c r="H33" s="64">
        <v>25.79</v>
      </c>
      <c r="I33" s="64">
        <v>6.69</v>
      </c>
      <c r="J33" s="64">
        <v>3.25</v>
      </c>
      <c r="K33" s="64">
        <v>346.34</v>
      </c>
      <c r="L33" s="64">
        <v>16.28</v>
      </c>
      <c r="M33" s="64">
        <v>103.2</v>
      </c>
      <c r="N33" s="64">
        <v>37.1</v>
      </c>
      <c r="O33" s="64">
        <v>0</v>
      </c>
      <c r="P33" s="64">
        <v>0.64</v>
      </c>
      <c r="Q33" s="64">
        <v>8.5299999999999994</v>
      </c>
      <c r="R33" s="198"/>
      <c r="S33" s="198"/>
      <c r="T33" s="198"/>
      <c r="U33" s="198"/>
    </row>
    <row r="34" spans="1:21" s="12" customFormat="1" x14ac:dyDescent="0.25">
      <c r="A34" s="215" t="s">
        <v>465</v>
      </c>
      <c r="B34" s="64">
        <v>21.15</v>
      </c>
      <c r="C34" s="64">
        <v>32.68</v>
      </c>
      <c r="D34" s="64">
        <v>32.65</v>
      </c>
      <c r="E34" s="64">
        <v>4.41</v>
      </c>
      <c r="F34" s="64">
        <v>4.8899999999999997</v>
      </c>
      <c r="G34" s="64">
        <v>48.58</v>
      </c>
      <c r="H34" s="64">
        <v>25.79</v>
      </c>
      <c r="I34" s="64">
        <v>6.55</v>
      </c>
      <c r="J34" s="64">
        <v>3.01</v>
      </c>
      <c r="K34" s="64">
        <v>340.59</v>
      </c>
      <c r="L34" s="64">
        <v>16.23</v>
      </c>
      <c r="M34" s="64">
        <v>103.2</v>
      </c>
      <c r="N34" s="64">
        <v>38.799999999999997</v>
      </c>
      <c r="O34" s="64">
        <v>0</v>
      </c>
      <c r="P34" s="64">
        <v>0.64</v>
      </c>
      <c r="Q34" s="64">
        <v>8.49</v>
      </c>
      <c r="R34" s="198"/>
      <c r="S34" s="198"/>
      <c r="T34" s="198"/>
      <c r="U34" s="198"/>
    </row>
    <row r="35" spans="1:21" s="12" customFormat="1" x14ac:dyDescent="0.25">
      <c r="A35" s="215" t="s">
        <v>466</v>
      </c>
      <c r="B35" s="64">
        <v>21.46</v>
      </c>
      <c r="C35" s="64">
        <v>33.9</v>
      </c>
      <c r="D35" s="64">
        <v>33.549999999999997</v>
      </c>
      <c r="E35" s="64">
        <v>4.53</v>
      </c>
      <c r="F35" s="64">
        <v>3.71</v>
      </c>
      <c r="G35" s="64">
        <v>48.58</v>
      </c>
      <c r="H35" s="64">
        <v>25.79</v>
      </c>
      <c r="I35" s="64">
        <v>6.37</v>
      </c>
      <c r="J35" s="64">
        <v>2.36</v>
      </c>
      <c r="K35" s="64">
        <v>347.31</v>
      </c>
      <c r="L35" s="64">
        <v>16.190000000000001</v>
      </c>
      <c r="M35" s="64">
        <v>103.2</v>
      </c>
      <c r="N35" s="64">
        <v>43.2</v>
      </c>
      <c r="O35" s="64">
        <v>0</v>
      </c>
      <c r="P35" s="64">
        <v>0.65</v>
      </c>
      <c r="Q35" s="64">
        <v>8.64</v>
      </c>
      <c r="R35" s="198"/>
      <c r="S35" s="198"/>
      <c r="T35" s="198"/>
      <c r="U35" s="198"/>
    </row>
    <row r="36" spans="1:21" s="12" customFormat="1" x14ac:dyDescent="0.25">
      <c r="A36" s="215" t="s">
        <v>467</v>
      </c>
      <c r="B36" s="64">
        <v>22</v>
      </c>
      <c r="C36" s="64">
        <v>36.31</v>
      </c>
      <c r="D36" s="64">
        <v>35.229999999999997</v>
      </c>
      <c r="E36" s="64">
        <v>4.3899999999999997</v>
      </c>
      <c r="F36" s="64">
        <v>4.34</v>
      </c>
      <c r="G36" s="64">
        <v>51.99</v>
      </c>
      <c r="H36" s="64">
        <v>25.19</v>
      </c>
      <c r="I36" s="64">
        <v>6.21</v>
      </c>
      <c r="J36" s="64">
        <v>2.48</v>
      </c>
      <c r="K36" s="64">
        <v>351.94</v>
      </c>
      <c r="L36" s="64">
        <v>16.260000000000002</v>
      </c>
      <c r="M36" s="64">
        <v>103.21</v>
      </c>
      <c r="N36" s="64">
        <v>49.5</v>
      </c>
      <c r="O36" s="64">
        <v>0</v>
      </c>
      <c r="P36" s="64">
        <v>0.67</v>
      </c>
      <c r="Q36" s="64">
        <v>8.7100000000000009</v>
      </c>
      <c r="R36" s="198"/>
      <c r="S36" s="198"/>
      <c r="T36" s="198"/>
      <c r="U36" s="198"/>
    </row>
    <row r="37" spans="1:21" s="12" customFormat="1" x14ac:dyDescent="0.25">
      <c r="A37" s="215" t="s">
        <v>468</v>
      </c>
      <c r="B37" s="64">
        <v>22.92</v>
      </c>
      <c r="C37" s="64">
        <v>32.9</v>
      </c>
      <c r="D37" s="64">
        <v>34.19</v>
      </c>
      <c r="E37" s="64">
        <v>5.14</v>
      </c>
      <c r="F37" s="64">
        <v>3.59</v>
      </c>
      <c r="G37" s="64">
        <v>54.6</v>
      </c>
      <c r="H37" s="64">
        <v>24.98</v>
      </c>
      <c r="I37" s="64">
        <v>6.05</v>
      </c>
      <c r="J37" s="64">
        <v>1.72</v>
      </c>
      <c r="K37" s="64">
        <v>338.83</v>
      </c>
      <c r="L37" s="64">
        <v>16.46</v>
      </c>
      <c r="M37" s="64">
        <v>102.83</v>
      </c>
      <c r="N37" s="64">
        <v>62.2</v>
      </c>
      <c r="O37" s="64">
        <v>0</v>
      </c>
      <c r="P37" s="64">
        <v>0.65</v>
      </c>
      <c r="Q37" s="64">
        <v>8.7799999999999994</v>
      </c>
      <c r="R37" s="198"/>
      <c r="S37" s="198"/>
      <c r="T37" s="198"/>
      <c r="U37" s="198"/>
    </row>
    <row r="38" spans="1:21" s="12" customFormat="1" x14ac:dyDescent="0.25">
      <c r="A38" s="215" t="s">
        <v>469</v>
      </c>
      <c r="B38" s="64">
        <v>24.16</v>
      </c>
      <c r="C38" s="64">
        <v>35.65</v>
      </c>
      <c r="D38" s="64">
        <v>36.630000000000003</v>
      </c>
      <c r="E38" s="64">
        <v>4.68</v>
      </c>
      <c r="F38" s="64">
        <v>3.99</v>
      </c>
      <c r="G38" s="64">
        <v>54.6</v>
      </c>
      <c r="H38" s="64">
        <v>24.98</v>
      </c>
      <c r="I38" s="64">
        <v>5.94</v>
      </c>
      <c r="J38" s="64">
        <v>0.65</v>
      </c>
      <c r="K38" s="64">
        <v>26.49</v>
      </c>
      <c r="L38" s="64">
        <v>16.47</v>
      </c>
      <c r="M38" s="64">
        <v>102.53</v>
      </c>
      <c r="N38" s="64">
        <v>72.3</v>
      </c>
      <c r="O38" s="64">
        <v>0</v>
      </c>
      <c r="P38" s="64">
        <v>0.68</v>
      </c>
      <c r="Q38" s="64">
        <v>8.85</v>
      </c>
      <c r="R38" s="198"/>
      <c r="S38" s="198"/>
      <c r="T38" s="198"/>
      <c r="U38" s="198"/>
    </row>
    <row r="39" spans="1:21" s="12" customFormat="1" x14ac:dyDescent="0.25">
      <c r="A39" s="215" t="s">
        <v>470</v>
      </c>
      <c r="B39" s="64">
        <v>25.69</v>
      </c>
      <c r="C39" s="64">
        <v>34.700000000000003</v>
      </c>
      <c r="D39" s="64">
        <v>37.36</v>
      </c>
      <c r="E39" s="64">
        <v>5.15</v>
      </c>
      <c r="F39" s="64">
        <v>3.71</v>
      </c>
      <c r="G39" s="64">
        <v>54.6</v>
      </c>
      <c r="H39" s="64">
        <v>24.98</v>
      </c>
      <c r="I39" s="64">
        <v>5.86</v>
      </c>
      <c r="J39" s="64">
        <v>2.09</v>
      </c>
      <c r="K39" s="64">
        <v>342.51</v>
      </c>
      <c r="L39" s="64">
        <v>16.690000000000001</v>
      </c>
      <c r="M39" s="64">
        <v>101.4</v>
      </c>
      <c r="N39" s="64">
        <v>86.6</v>
      </c>
      <c r="O39" s="64">
        <v>0</v>
      </c>
      <c r="P39" s="64">
        <v>0.69</v>
      </c>
      <c r="Q39" s="64">
        <v>8.9</v>
      </c>
      <c r="R39" s="198"/>
      <c r="S39" s="198"/>
      <c r="T39" s="198"/>
      <c r="U39" s="198"/>
    </row>
    <row r="40" spans="1:21" s="12" customFormat="1" x14ac:dyDescent="0.25">
      <c r="A40" s="215" t="s">
        <v>471</v>
      </c>
      <c r="B40" s="64">
        <v>26.95</v>
      </c>
      <c r="C40" s="64">
        <v>31.69</v>
      </c>
      <c r="D40" s="64">
        <v>36.79</v>
      </c>
      <c r="E40" s="64">
        <v>5.37</v>
      </c>
      <c r="F40" s="64">
        <v>3.69</v>
      </c>
      <c r="G40" s="64">
        <v>53.86</v>
      </c>
      <c r="H40" s="64">
        <v>26.97</v>
      </c>
      <c r="I40" s="64">
        <v>5.8</v>
      </c>
      <c r="J40" s="64">
        <v>0.79</v>
      </c>
      <c r="K40" s="64">
        <v>18.38</v>
      </c>
      <c r="L40" s="64">
        <v>16.93</v>
      </c>
      <c r="M40" s="64">
        <v>100.89</v>
      </c>
      <c r="N40" s="64">
        <v>105.3</v>
      </c>
      <c r="O40" s="64">
        <v>0</v>
      </c>
      <c r="P40" s="64">
        <v>0.71</v>
      </c>
      <c r="Q40" s="64">
        <v>9</v>
      </c>
      <c r="R40" s="198"/>
      <c r="S40" s="198"/>
      <c r="T40" s="198"/>
      <c r="U40" s="198"/>
    </row>
    <row r="41" spans="1:21" s="12" customFormat="1" x14ac:dyDescent="0.25">
      <c r="A41" s="215" t="s">
        <v>472</v>
      </c>
      <c r="B41" s="64">
        <v>28.33</v>
      </c>
      <c r="C41" s="64">
        <v>32.78</v>
      </c>
      <c r="D41" s="64">
        <v>38.47</v>
      </c>
      <c r="E41" s="64">
        <v>5.97</v>
      </c>
      <c r="F41" s="64">
        <v>4.17</v>
      </c>
      <c r="G41" s="64">
        <v>53.27</v>
      </c>
      <c r="H41" s="64">
        <v>27.65</v>
      </c>
      <c r="I41" s="64">
        <v>5.89</v>
      </c>
      <c r="J41" s="64">
        <v>1.07</v>
      </c>
      <c r="K41" s="64">
        <v>33.880000000000003</v>
      </c>
      <c r="L41" s="64">
        <v>17.18</v>
      </c>
      <c r="M41" s="64">
        <v>99.97</v>
      </c>
      <c r="N41" s="64">
        <v>138.5</v>
      </c>
      <c r="O41" s="64">
        <v>0</v>
      </c>
      <c r="P41" s="64">
        <v>0.71</v>
      </c>
      <c r="Q41" s="64">
        <v>9.2200000000000006</v>
      </c>
      <c r="R41" s="198"/>
      <c r="S41" s="198"/>
      <c r="T41" s="198"/>
      <c r="U41" s="198"/>
    </row>
    <row r="42" spans="1:21" s="12" customFormat="1" x14ac:dyDescent="0.25">
      <c r="A42" s="215" t="s">
        <v>473</v>
      </c>
      <c r="B42" s="64">
        <v>30.14</v>
      </c>
      <c r="C42" s="64">
        <v>34.03</v>
      </c>
      <c r="D42" s="64">
        <v>40.57</v>
      </c>
      <c r="E42" s="64">
        <v>5.66</v>
      </c>
      <c r="F42" s="64">
        <v>3.83</v>
      </c>
      <c r="G42" s="64">
        <v>53.27</v>
      </c>
      <c r="H42" s="64">
        <v>27.65</v>
      </c>
      <c r="I42" s="64">
        <v>5.99</v>
      </c>
      <c r="J42" s="64">
        <v>1.26</v>
      </c>
      <c r="K42" s="64">
        <v>336.81</v>
      </c>
      <c r="L42" s="64">
        <v>17.809999999999999</v>
      </c>
      <c r="M42" s="64">
        <v>96.96</v>
      </c>
      <c r="N42" s="64">
        <v>175.8</v>
      </c>
      <c r="O42" s="64">
        <v>0</v>
      </c>
      <c r="P42" s="64">
        <v>0.73</v>
      </c>
      <c r="Q42" s="64">
        <v>9.48</v>
      </c>
      <c r="R42" s="198"/>
      <c r="S42" s="198"/>
      <c r="T42" s="198"/>
      <c r="U42" s="198"/>
    </row>
    <row r="43" spans="1:21" s="12" customFormat="1" x14ac:dyDescent="0.25">
      <c r="A43" s="215" t="s">
        <v>474</v>
      </c>
      <c r="B43" s="64">
        <v>31.6</v>
      </c>
      <c r="C43" s="64">
        <v>34.4</v>
      </c>
      <c r="D43" s="64">
        <v>41.94</v>
      </c>
      <c r="E43" s="64">
        <v>5.99</v>
      </c>
      <c r="F43" s="64">
        <v>3.98</v>
      </c>
      <c r="G43" s="64">
        <v>53.27</v>
      </c>
      <c r="H43" s="64">
        <v>27.65</v>
      </c>
      <c r="I43" s="64">
        <v>6.13</v>
      </c>
      <c r="J43" s="64">
        <v>0.94</v>
      </c>
      <c r="K43" s="64">
        <v>32</v>
      </c>
      <c r="L43" s="64">
        <v>18.11</v>
      </c>
      <c r="M43" s="64">
        <v>95.21</v>
      </c>
      <c r="N43" s="64">
        <v>188.1</v>
      </c>
      <c r="O43" s="64">
        <v>0</v>
      </c>
      <c r="P43" s="64">
        <v>0.74</v>
      </c>
      <c r="Q43" s="64">
        <v>9.81</v>
      </c>
      <c r="R43" s="198"/>
      <c r="S43" s="198"/>
      <c r="T43" s="198"/>
      <c r="U43" s="198"/>
    </row>
    <row r="44" spans="1:21" s="12" customFormat="1" x14ac:dyDescent="0.25">
      <c r="A44" s="215" t="s">
        <v>475</v>
      </c>
      <c r="B44" s="64">
        <v>32.619999999999997</v>
      </c>
      <c r="C44" s="64">
        <v>35.340000000000003</v>
      </c>
      <c r="D44" s="64">
        <v>43.24</v>
      </c>
      <c r="E44" s="64">
        <v>6.36</v>
      </c>
      <c r="F44" s="64">
        <v>3.5</v>
      </c>
      <c r="G44" s="64">
        <v>57.92</v>
      </c>
      <c r="H44" s="64">
        <v>29.04</v>
      </c>
      <c r="I44" s="64">
        <v>6.27</v>
      </c>
      <c r="J44" s="64">
        <v>1.05</v>
      </c>
      <c r="K44" s="64">
        <v>71.739999999999995</v>
      </c>
      <c r="L44" s="64">
        <v>18.63</v>
      </c>
      <c r="M44" s="64">
        <v>92.62</v>
      </c>
      <c r="N44" s="64">
        <v>234.9</v>
      </c>
      <c r="O44" s="64">
        <v>0</v>
      </c>
      <c r="P44" s="64">
        <v>0.75</v>
      </c>
      <c r="Q44" s="64">
        <v>10.039999999999999</v>
      </c>
      <c r="R44" s="198"/>
      <c r="S44" s="198"/>
      <c r="T44" s="198"/>
      <c r="U44" s="198"/>
    </row>
    <row r="45" spans="1:21" s="12" customFormat="1" x14ac:dyDescent="0.25">
      <c r="A45" s="215" t="s">
        <v>476</v>
      </c>
      <c r="B45" s="64">
        <v>32.86</v>
      </c>
      <c r="C45" s="64">
        <v>35.46</v>
      </c>
      <c r="D45" s="64">
        <v>43.5</v>
      </c>
      <c r="E45" s="64">
        <v>5.94</v>
      </c>
      <c r="F45" s="64">
        <v>4.12</v>
      </c>
      <c r="G45" s="64">
        <v>61.47</v>
      </c>
      <c r="H45" s="64">
        <v>29.52</v>
      </c>
      <c r="I45" s="64">
        <v>6.31</v>
      </c>
      <c r="J45" s="64">
        <v>1</v>
      </c>
      <c r="K45" s="64">
        <v>62.61</v>
      </c>
      <c r="L45" s="64">
        <v>18.41</v>
      </c>
      <c r="M45" s="64">
        <v>93.42</v>
      </c>
      <c r="N45" s="64">
        <v>214.2</v>
      </c>
      <c r="O45" s="64">
        <v>0</v>
      </c>
      <c r="P45" s="64">
        <v>0.75</v>
      </c>
      <c r="Q45" s="64">
        <v>10.15</v>
      </c>
      <c r="R45" s="198"/>
      <c r="S45" s="198"/>
      <c r="T45" s="198"/>
      <c r="U45" s="198"/>
    </row>
    <row r="46" spans="1:21" s="12" customFormat="1" x14ac:dyDescent="0.25">
      <c r="A46" s="215" t="s">
        <v>477</v>
      </c>
      <c r="B46" s="64">
        <v>32.71</v>
      </c>
      <c r="C46" s="64">
        <v>36</v>
      </c>
      <c r="D46" s="64">
        <v>43.66</v>
      </c>
      <c r="E46" s="64">
        <v>6.05</v>
      </c>
      <c r="F46" s="64">
        <v>4.0599999999999996</v>
      </c>
      <c r="G46" s="64">
        <v>61.47</v>
      </c>
      <c r="H46" s="64">
        <v>29.52</v>
      </c>
      <c r="I46" s="64">
        <v>6.56</v>
      </c>
      <c r="J46" s="64">
        <v>2.82</v>
      </c>
      <c r="K46" s="64">
        <v>111.36</v>
      </c>
      <c r="L46" s="64">
        <v>18.3</v>
      </c>
      <c r="M46" s="64">
        <v>94.44</v>
      </c>
      <c r="N46" s="64">
        <v>264</v>
      </c>
      <c r="O46" s="64">
        <v>0</v>
      </c>
      <c r="P46" s="64">
        <v>0.75</v>
      </c>
      <c r="Q46" s="64">
        <v>10</v>
      </c>
      <c r="R46" s="198"/>
      <c r="S46" s="198"/>
      <c r="T46" s="198"/>
      <c r="U46" s="198"/>
    </row>
    <row r="47" spans="1:21" s="12" customFormat="1" x14ac:dyDescent="0.25">
      <c r="A47" s="215" t="s">
        <v>478</v>
      </c>
      <c r="B47" s="64">
        <v>32.020000000000003</v>
      </c>
      <c r="C47" s="64">
        <v>35.9</v>
      </c>
      <c r="D47" s="64">
        <v>43.06</v>
      </c>
      <c r="E47" s="64">
        <v>5.7</v>
      </c>
      <c r="F47" s="64">
        <v>4.28</v>
      </c>
      <c r="G47" s="64">
        <v>61.47</v>
      </c>
      <c r="H47" s="64">
        <v>29.52</v>
      </c>
      <c r="I47" s="64">
        <v>6.8</v>
      </c>
      <c r="J47" s="64">
        <v>1</v>
      </c>
      <c r="K47" s="64">
        <v>6.76</v>
      </c>
      <c r="L47" s="64">
        <v>19.52</v>
      </c>
      <c r="M47" s="64">
        <v>89.01</v>
      </c>
      <c r="N47" s="64">
        <v>312.39999999999998</v>
      </c>
      <c r="O47" s="64">
        <v>0</v>
      </c>
      <c r="P47" s="64">
        <v>0.75</v>
      </c>
      <c r="Q47" s="64">
        <v>9.7799999999999994</v>
      </c>
      <c r="R47" s="198"/>
      <c r="S47" s="198"/>
      <c r="T47" s="198"/>
      <c r="U47" s="198"/>
    </row>
    <row r="48" spans="1:21" s="12" customFormat="1" x14ac:dyDescent="0.25">
      <c r="A48" s="215" t="s">
        <v>479</v>
      </c>
      <c r="B48" s="64">
        <v>31.37</v>
      </c>
      <c r="C48" s="64">
        <v>33.94</v>
      </c>
      <c r="D48" s="64">
        <v>41.51</v>
      </c>
      <c r="E48" s="64">
        <v>5.88</v>
      </c>
      <c r="F48" s="64">
        <v>4.28</v>
      </c>
      <c r="G48" s="64">
        <v>62.14</v>
      </c>
      <c r="H48" s="64">
        <v>30.42</v>
      </c>
      <c r="I48" s="64">
        <v>7.39</v>
      </c>
      <c r="J48" s="64">
        <v>1.18</v>
      </c>
      <c r="K48" s="64">
        <v>96.04</v>
      </c>
      <c r="L48" s="64">
        <v>19.809999999999999</v>
      </c>
      <c r="M48" s="64">
        <v>87.71</v>
      </c>
      <c r="N48" s="64">
        <v>285.60000000000002</v>
      </c>
      <c r="O48" s="64">
        <v>0</v>
      </c>
      <c r="P48" s="64">
        <v>0.77</v>
      </c>
      <c r="Q48" s="64">
        <v>9.4499999999999993</v>
      </c>
      <c r="R48" s="198"/>
      <c r="S48" s="198"/>
      <c r="T48" s="198"/>
      <c r="U48" s="198"/>
    </row>
    <row r="49" spans="1:21" s="12" customFormat="1" x14ac:dyDescent="0.25">
      <c r="A49" s="215" t="s">
        <v>480</v>
      </c>
      <c r="B49" s="64">
        <v>30.73</v>
      </c>
      <c r="C49" s="64">
        <v>35.43</v>
      </c>
      <c r="D49" s="64">
        <v>41.78</v>
      </c>
      <c r="E49" s="64">
        <v>5.48</v>
      </c>
      <c r="F49" s="64">
        <v>3.78</v>
      </c>
      <c r="G49" s="64">
        <v>62.65</v>
      </c>
      <c r="H49" s="64">
        <v>30.99</v>
      </c>
      <c r="I49" s="64">
        <v>7.43</v>
      </c>
      <c r="J49" s="64">
        <v>1.21</v>
      </c>
      <c r="K49" s="64">
        <v>83.58</v>
      </c>
      <c r="L49" s="64">
        <v>19.71</v>
      </c>
      <c r="M49" s="64">
        <v>88.13</v>
      </c>
      <c r="N49" s="64">
        <v>226.4</v>
      </c>
      <c r="O49" s="64">
        <v>0</v>
      </c>
      <c r="P49" s="64">
        <v>0.77</v>
      </c>
      <c r="Q49" s="64">
        <v>9.5</v>
      </c>
      <c r="R49" s="198"/>
      <c r="S49" s="198"/>
      <c r="T49" s="198"/>
      <c r="U49" s="198"/>
    </row>
    <row r="50" spans="1:21" s="12" customFormat="1" x14ac:dyDescent="0.25">
      <c r="A50" s="215" t="s">
        <v>481</v>
      </c>
      <c r="B50" s="64">
        <v>30.1</v>
      </c>
      <c r="C50" s="64">
        <v>36.28</v>
      </c>
      <c r="D50" s="64">
        <v>41.71</v>
      </c>
      <c r="E50" s="64">
        <v>5.64</v>
      </c>
      <c r="F50" s="64">
        <v>4.1399999999999997</v>
      </c>
      <c r="G50" s="64">
        <v>62.65</v>
      </c>
      <c r="H50" s="64">
        <v>30.99</v>
      </c>
      <c r="I50" s="64">
        <v>7.58</v>
      </c>
      <c r="J50" s="64">
        <v>1</v>
      </c>
      <c r="K50" s="64">
        <v>48.74</v>
      </c>
      <c r="L50" s="64">
        <v>20.38</v>
      </c>
      <c r="M50" s="64">
        <v>85.26</v>
      </c>
      <c r="N50" s="64">
        <v>380.6</v>
      </c>
      <c r="O50" s="64">
        <v>0</v>
      </c>
      <c r="P50" s="64">
        <v>0.78</v>
      </c>
      <c r="Q50" s="64">
        <v>9.49</v>
      </c>
      <c r="R50" s="198"/>
      <c r="S50" s="198"/>
      <c r="T50" s="198"/>
      <c r="U50" s="198"/>
    </row>
    <row r="51" spans="1:21" s="12" customFormat="1" x14ac:dyDescent="0.25">
      <c r="A51" s="215" t="s">
        <v>482</v>
      </c>
      <c r="B51" s="64">
        <v>29.04</v>
      </c>
      <c r="C51" s="64">
        <v>33.53</v>
      </c>
      <c r="D51" s="64">
        <v>39.43</v>
      </c>
      <c r="E51" s="64">
        <v>5.48</v>
      </c>
      <c r="F51" s="64">
        <v>3.83</v>
      </c>
      <c r="G51" s="64">
        <v>62.65</v>
      </c>
      <c r="H51" s="64">
        <v>30.99</v>
      </c>
      <c r="I51" s="64">
        <v>7.66</v>
      </c>
      <c r="J51" s="64">
        <v>1.5</v>
      </c>
      <c r="K51" s="64">
        <v>8.39</v>
      </c>
      <c r="L51" s="64">
        <v>21.67</v>
      </c>
      <c r="M51" s="64">
        <v>79.62</v>
      </c>
      <c r="N51" s="64">
        <v>417.1</v>
      </c>
      <c r="O51" s="64">
        <v>0</v>
      </c>
      <c r="P51" s="64">
        <v>0.77</v>
      </c>
      <c r="Q51" s="64">
        <v>9.39</v>
      </c>
      <c r="R51" s="198"/>
      <c r="S51" s="198"/>
      <c r="T51" s="198"/>
      <c r="U51" s="198"/>
    </row>
    <row r="52" spans="1:21" s="12" customFormat="1" x14ac:dyDescent="0.25">
      <c r="A52" s="215" t="s">
        <v>483</v>
      </c>
      <c r="B52" s="64">
        <v>28.02</v>
      </c>
      <c r="C52" s="64">
        <v>39.04</v>
      </c>
      <c r="D52" s="64">
        <v>41.49</v>
      </c>
      <c r="E52" s="64">
        <v>5.46</v>
      </c>
      <c r="F52" s="64">
        <v>3.92</v>
      </c>
      <c r="G52" s="64">
        <v>63.12</v>
      </c>
      <c r="H52" s="64">
        <v>24.84</v>
      </c>
      <c r="I52" s="64">
        <v>7.58</v>
      </c>
      <c r="J52" s="64">
        <v>1.49</v>
      </c>
      <c r="K52" s="64">
        <v>11.71</v>
      </c>
      <c r="L52" s="64">
        <v>22.38</v>
      </c>
      <c r="M52" s="64">
        <v>77.11</v>
      </c>
      <c r="N52" s="64">
        <v>448.9</v>
      </c>
      <c r="O52" s="64">
        <v>0</v>
      </c>
      <c r="P52" s="64">
        <v>0.79</v>
      </c>
      <c r="Q52" s="64">
        <v>9.24</v>
      </c>
      <c r="R52" s="198"/>
      <c r="S52" s="198"/>
      <c r="T52" s="198"/>
      <c r="U52" s="198"/>
    </row>
    <row r="53" spans="1:21" s="12" customFormat="1" x14ac:dyDescent="0.25">
      <c r="A53" s="215" t="s">
        <v>484</v>
      </c>
      <c r="B53" s="64">
        <v>27.42</v>
      </c>
      <c r="C53" s="64">
        <v>34.42</v>
      </c>
      <c r="D53" s="64">
        <v>38.590000000000003</v>
      </c>
      <c r="E53" s="64">
        <v>5.24</v>
      </c>
      <c r="F53" s="64">
        <v>3.99</v>
      </c>
      <c r="G53" s="64">
        <v>63.48</v>
      </c>
      <c r="H53" s="64">
        <v>22.75</v>
      </c>
      <c r="I53" s="64">
        <v>7.57</v>
      </c>
      <c r="J53" s="64">
        <v>1.05</v>
      </c>
      <c r="K53" s="64">
        <v>27.2</v>
      </c>
      <c r="L53" s="64">
        <v>22.75</v>
      </c>
      <c r="M53" s="64">
        <v>74.97</v>
      </c>
      <c r="N53" s="64">
        <v>379.8</v>
      </c>
      <c r="O53" s="64">
        <v>0</v>
      </c>
      <c r="P53" s="64">
        <v>0.8</v>
      </c>
      <c r="Q53" s="64">
        <v>9.17</v>
      </c>
      <c r="R53" s="198"/>
      <c r="S53" s="198"/>
      <c r="T53" s="198"/>
      <c r="U53" s="198"/>
    </row>
    <row r="54" spans="1:21" s="12" customFormat="1" x14ac:dyDescent="0.25">
      <c r="A54" s="215" t="s">
        <v>485</v>
      </c>
      <c r="B54" s="64">
        <v>26.02</v>
      </c>
      <c r="C54" s="64">
        <v>39.409999999999997</v>
      </c>
      <c r="D54" s="64">
        <v>40.08</v>
      </c>
      <c r="E54" s="64">
        <v>5.34</v>
      </c>
      <c r="F54" s="64">
        <v>4.09</v>
      </c>
      <c r="G54" s="64">
        <v>63.48</v>
      </c>
      <c r="H54" s="64">
        <v>22.75</v>
      </c>
      <c r="I54" s="64">
        <v>7.55</v>
      </c>
      <c r="J54" s="64">
        <v>2.16</v>
      </c>
      <c r="K54" s="64">
        <v>103.97</v>
      </c>
      <c r="L54" s="64">
        <v>21.5</v>
      </c>
      <c r="M54" s="64">
        <v>80.44</v>
      </c>
      <c r="N54" s="64">
        <v>440.1</v>
      </c>
      <c r="O54" s="64">
        <v>0</v>
      </c>
      <c r="P54" s="64">
        <v>0.81</v>
      </c>
      <c r="Q54" s="64">
        <v>9.26</v>
      </c>
      <c r="R54" s="198"/>
      <c r="S54" s="198"/>
      <c r="T54" s="198"/>
      <c r="U54" s="198"/>
    </row>
    <row r="55" spans="1:21" s="12" customFormat="1" x14ac:dyDescent="0.25">
      <c r="A55" s="215" t="s">
        <v>486</v>
      </c>
      <c r="B55" s="64">
        <v>24.65</v>
      </c>
      <c r="C55" s="64">
        <v>37.69</v>
      </c>
      <c r="D55" s="64">
        <v>38.08</v>
      </c>
      <c r="E55" s="64">
        <v>5.45</v>
      </c>
      <c r="F55" s="64">
        <v>3.8</v>
      </c>
      <c r="G55" s="64">
        <v>63.48</v>
      </c>
      <c r="H55" s="64">
        <v>22.75</v>
      </c>
      <c r="I55" s="64">
        <v>7.55</v>
      </c>
      <c r="J55" s="64">
        <v>0.99</v>
      </c>
      <c r="K55" s="64">
        <v>42.85</v>
      </c>
      <c r="L55" s="64">
        <v>22.39</v>
      </c>
      <c r="M55" s="64">
        <v>77.27</v>
      </c>
      <c r="N55" s="64">
        <v>475.8</v>
      </c>
      <c r="O55" s="64">
        <v>0</v>
      </c>
      <c r="P55" s="64">
        <v>0.78</v>
      </c>
      <c r="Q55" s="64">
        <v>9.08</v>
      </c>
      <c r="R55" s="198"/>
      <c r="S55" s="198"/>
      <c r="T55" s="198"/>
      <c r="U55" s="198"/>
    </row>
    <row r="56" spans="1:21" s="12" customFormat="1" x14ac:dyDescent="0.25">
      <c r="A56" s="215" t="s">
        <v>487</v>
      </c>
      <c r="B56" s="64">
        <v>23.43</v>
      </c>
      <c r="C56" s="64">
        <v>38.880000000000003</v>
      </c>
      <c r="D56" s="64">
        <v>37.729999999999997</v>
      </c>
      <c r="E56" s="64">
        <v>5.04</v>
      </c>
      <c r="F56" s="64">
        <v>3.86</v>
      </c>
      <c r="G56" s="64">
        <v>62.25</v>
      </c>
      <c r="H56" s="64">
        <v>25.79</v>
      </c>
      <c r="I56" s="64">
        <v>7.65</v>
      </c>
      <c r="J56" s="64">
        <v>1.66</v>
      </c>
      <c r="K56" s="64">
        <v>355.72</v>
      </c>
      <c r="L56" s="64">
        <v>23.62</v>
      </c>
      <c r="M56" s="64">
        <v>71.56</v>
      </c>
      <c r="N56" s="64">
        <v>391.5</v>
      </c>
      <c r="O56" s="64">
        <v>0</v>
      </c>
      <c r="P56" s="64">
        <v>0.8</v>
      </c>
      <c r="Q56" s="64">
        <v>8.7799999999999994</v>
      </c>
      <c r="R56" s="198"/>
      <c r="S56" s="198"/>
      <c r="T56" s="198"/>
      <c r="U56" s="198"/>
    </row>
    <row r="57" spans="1:21" s="12" customFormat="1" x14ac:dyDescent="0.25">
      <c r="A57" s="215" t="s">
        <v>488</v>
      </c>
      <c r="B57" s="64">
        <v>22.42</v>
      </c>
      <c r="C57" s="64">
        <v>38.92</v>
      </c>
      <c r="D57" s="64">
        <v>36.93</v>
      </c>
      <c r="E57" s="64">
        <v>5.16</v>
      </c>
      <c r="F57" s="64">
        <v>3.97</v>
      </c>
      <c r="G57" s="64">
        <v>61.31</v>
      </c>
      <c r="H57" s="64">
        <v>26.83</v>
      </c>
      <c r="I57" s="64">
        <v>7.47</v>
      </c>
      <c r="J57" s="64">
        <v>0.81</v>
      </c>
      <c r="K57" s="64">
        <v>50.13</v>
      </c>
      <c r="L57" s="64">
        <v>22.86</v>
      </c>
      <c r="M57" s="64">
        <v>75.39</v>
      </c>
      <c r="N57" s="64">
        <v>343.2</v>
      </c>
      <c r="O57" s="64">
        <v>0</v>
      </c>
      <c r="P57" s="64">
        <v>0.78</v>
      </c>
      <c r="Q57" s="64">
        <v>8.73</v>
      </c>
      <c r="R57" s="198"/>
      <c r="S57" s="198"/>
      <c r="T57" s="198"/>
      <c r="U57" s="198"/>
    </row>
    <row r="58" spans="1:21" s="12" customFormat="1" x14ac:dyDescent="0.25">
      <c r="A58" s="215" t="s">
        <v>489</v>
      </c>
      <c r="B58" s="64">
        <v>21.47</v>
      </c>
      <c r="C58" s="64">
        <v>38.93</v>
      </c>
      <c r="D58" s="64">
        <v>36.18</v>
      </c>
      <c r="E58" s="64">
        <v>5.43</v>
      </c>
      <c r="F58" s="64">
        <v>3.97</v>
      </c>
      <c r="G58" s="64">
        <v>61.31</v>
      </c>
      <c r="H58" s="64">
        <v>26.83</v>
      </c>
      <c r="I58" s="64">
        <v>7.58</v>
      </c>
      <c r="J58" s="64">
        <v>1.4</v>
      </c>
      <c r="K58" s="64">
        <v>82.7</v>
      </c>
      <c r="L58" s="64">
        <v>22.89</v>
      </c>
      <c r="M58" s="64">
        <v>74.7</v>
      </c>
      <c r="N58" s="64">
        <v>449.2</v>
      </c>
      <c r="O58" s="64">
        <v>0</v>
      </c>
      <c r="P58" s="64">
        <v>0.8</v>
      </c>
      <c r="Q58" s="64">
        <v>8.74</v>
      </c>
      <c r="R58" s="198"/>
      <c r="S58" s="198"/>
      <c r="T58" s="198"/>
      <c r="U58" s="198"/>
    </row>
    <row r="59" spans="1:21" s="12" customFormat="1" x14ac:dyDescent="0.25">
      <c r="A59" s="215" t="s">
        <v>490</v>
      </c>
      <c r="B59" s="64">
        <v>20.420000000000002</v>
      </c>
      <c r="C59" s="64">
        <v>38.85</v>
      </c>
      <c r="D59" s="64">
        <v>35.299999999999997</v>
      </c>
      <c r="E59" s="64">
        <v>5.31</v>
      </c>
      <c r="F59" s="64">
        <v>4.12</v>
      </c>
      <c r="G59" s="64">
        <v>61.31</v>
      </c>
      <c r="H59" s="64">
        <v>26.83</v>
      </c>
      <c r="I59" s="64">
        <v>7.35</v>
      </c>
      <c r="J59" s="64">
        <v>1.1200000000000001</v>
      </c>
      <c r="K59" s="64">
        <v>34.229999999999997</v>
      </c>
      <c r="L59" s="64">
        <v>23.32</v>
      </c>
      <c r="M59" s="64">
        <v>72.48</v>
      </c>
      <c r="N59" s="64">
        <v>521.1</v>
      </c>
      <c r="O59" s="64">
        <v>0</v>
      </c>
      <c r="P59" s="64">
        <v>0.74</v>
      </c>
      <c r="Q59" s="64">
        <v>8.77</v>
      </c>
      <c r="R59" s="198"/>
      <c r="S59" s="198"/>
      <c r="T59" s="198"/>
      <c r="U59" s="198"/>
    </row>
    <row r="60" spans="1:21" s="12" customFormat="1" x14ac:dyDescent="0.25">
      <c r="A60" s="215" t="s">
        <v>491</v>
      </c>
      <c r="B60" s="64">
        <v>19.350000000000001</v>
      </c>
      <c r="C60" s="64">
        <v>38.82</v>
      </c>
      <c r="D60" s="64">
        <v>34.42</v>
      </c>
      <c r="E60" s="64">
        <v>5.27</v>
      </c>
      <c r="F60" s="64">
        <v>3.4</v>
      </c>
      <c r="G60" s="64">
        <v>62.22</v>
      </c>
      <c r="H60" s="64">
        <v>28.34</v>
      </c>
      <c r="I60" s="64">
        <v>6.91</v>
      </c>
      <c r="J60" s="64">
        <v>1.37</v>
      </c>
      <c r="K60" s="64">
        <v>332.64</v>
      </c>
      <c r="L60" s="64">
        <v>25.26</v>
      </c>
      <c r="M60" s="64">
        <v>64.430000000000007</v>
      </c>
      <c r="N60" s="64">
        <v>450.8</v>
      </c>
      <c r="O60" s="64">
        <v>0</v>
      </c>
      <c r="P60" s="64">
        <v>0.76</v>
      </c>
      <c r="Q60" s="64">
        <v>8.75</v>
      </c>
      <c r="R60" s="198"/>
      <c r="S60" s="198"/>
      <c r="T60" s="198"/>
      <c r="U60" s="198"/>
    </row>
    <row r="61" spans="1:21" s="12" customFormat="1" x14ac:dyDescent="0.25">
      <c r="A61" s="215" t="s">
        <v>492</v>
      </c>
      <c r="B61" s="64">
        <v>18.77</v>
      </c>
      <c r="C61" s="64">
        <v>38.380000000000003</v>
      </c>
      <c r="D61" s="64">
        <v>33.729999999999997</v>
      </c>
      <c r="E61" s="64">
        <v>5.27</v>
      </c>
      <c r="F61" s="64">
        <v>3.91</v>
      </c>
      <c r="G61" s="64">
        <v>62.92</v>
      </c>
      <c r="H61" s="64">
        <v>28.86</v>
      </c>
      <c r="I61" s="64">
        <v>6.77</v>
      </c>
      <c r="J61" s="64">
        <v>2.09</v>
      </c>
      <c r="K61" s="64">
        <v>347.58</v>
      </c>
      <c r="L61" s="64">
        <v>24.47</v>
      </c>
      <c r="M61" s="64">
        <v>66.92</v>
      </c>
      <c r="N61" s="64">
        <v>309.2</v>
      </c>
      <c r="O61" s="64">
        <v>0</v>
      </c>
      <c r="P61" s="64">
        <v>0.68</v>
      </c>
      <c r="Q61" s="64">
        <v>8.68</v>
      </c>
      <c r="R61" s="198"/>
      <c r="S61" s="198"/>
      <c r="T61" s="198"/>
      <c r="U61" s="198"/>
    </row>
    <row r="62" spans="1:21" s="12" customFormat="1" x14ac:dyDescent="0.25">
      <c r="A62" s="215" t="s">
        <v>493</v>
      </c>
      <c r="B62" s="64">
        <v>18.34</v>
      </c>
      <c r="C62" s="64">
        <v>38.31</v>
      </c>
      <c r="D62" s="64">
        <v>33.35</v>
      </c>
      <c r="E62" s="64">
        <v>5.6</v>
      </c>
      <c r="F62" s="64">
        <v>4.08</v>
      </c>
      <c r="G62" s="64">
        <v>62.92</v>
      </c>
      <c r="H62" s="64">
        <v>28.86</v>
      </c>
      <c r="I62" s="64">
        <v>7.24</v>
      </c>
      <c r="J62" s="64">
        <v>1.47</v>
      </c>
      <c r="K62" s="64">
        <v>356.37</v>
      </c>
      <c r="L62" s="64">
        <v>24.7</v>
      </c>
      <c r="M62" s="64">
        <v>66.040000000000006</v>
      </c>
      <c r="N62" s="64">
        <v>366.7</v>
      </c>
      <c r="O62" s="64">
        <v>0</v>
      </c>
      <c r="P62" s="64">
        <v>0.69</v>
      </c>
      <c r="Q62" s="64">
        <v>8.6300000000000008</v>
      </c>
      <c r="R62" s="198"/>
      <c r="S62" s="198"/>
      <c r="T62" s="198"/>
      <c r="U62" s="198"/>
    </row>
    <row r="63" spans="1:21" s="12" customFormat="1" x14ac:dyDescent="0.25">
      <c r="A63" s="215" t="s">
        <v>494</v>
      </c>
      <c r="B63" s="64">
        <v>17.86</v>
      </c>
      <c r="C63" s="64">
        <v>42.65</v>
      </c>
      <c r="D63" s="64">
        <v>35.229999999999997</v>
      </c>
      <c r="E63" s="64">
        <v>5.72</v>
      </c>
      <c r="F63" s="64">
        <v>4.46</v>
      </c>
      <c r="G63" s="64">
        <v>62.92</v>
      </c>
      <c r="H63" s="64">
        <v>28.86</v>
      </c>
      <c r="I63" s="64">
        <v>6.37</v>
      </c>
      <c r="J63" s="64">
        <v>1.17</v>
      </c>
      <c r="K63" s="64">
        <v>12.77</v>
      </c>
      <c r="L63" s="64">
        <v>24.41</v>
      </c>
      <c r="M63" s="64">
        <v>67.31</v>
      </c>
      <c r="N63" s="64">
        <v>312.89999999999998</v>
      </c>
      <c r="O63" s="64">
        <v>0</v>
      </c>
      <c r="P63" s="64">
        <v>0.72</v>
      </c>
      <c r="Q63" s="64">
        <v>8.66</v>
      </c>
      <c r="R63" s="198"/>
      <c r="S63" s="198"/>
      <c r="T63" s="198"/>
      <c r="U63" s="198"/>
    </row>
    <row r="64" spans="1:21" s="12" customFormat="1" x14ac:dyDescent="0.25">
      <c r="A64" s="215" t="s">
        <v>495</v>
      </c>
      <c r="B64" s="64">
        <v>17.510000000000002</v>
      </c>
      <c r="C64" s="64">
        <v>42.05</v>
      </c>
      <c r="D64" s="64">
        <v>34.630000000000003</v>
      </c>
      <c r="E64" s="64">
        <v>5.42</v>
      </c>
      <c r="F64" s="64">
        <v>3.94</v>
      </c>
      <c r="G64" s="64">
        <v>58.63</v>
      </c>
      <c r="H64" s="64">
        <v>25.8</v>
      </c>
      <c r="I64" s="64">
        <v>6.5</v>
      </c>
      <c r="J64" s="64">
        <v>2.31</v>
      </c>
      <c r="K64" s="64">
        <v>112.93</v>
      </c>
      <c r="L64" s="64">
        <v>23.81</v>
      </c>
      <c r="M64" s="64">
        <v>68.95</v>
      </c>
      <c r="N64" s="64">
        <v>395.7</v>
      </c>
      <c r="O64" s="64">
        <v>0</v>
      </c>
      <c r="P64" s="64">
        <v>0.72</v>
      </c>
      <c r="Q64" s="64">
        <v>8.65</v>
      </c>
      <c r="R64" s="198"/>
      <c r="S64" s="198"/>
      <c r="T64" s="198"/>
      <c r="U64" s="198"/>
    </row>
    <row r="65" spans="1:21" s="12" customFormat="1" x14ac:dyDescent="0.25">
      <c r="A65" s="215" t="s">
        <v>496</v>
      </c>
      <c r="B65" s="64">
        <v>16.64</v>
      </c>
      <c r="C65" s="64">
        <v>34.619999999999997</v>
      </c>
      <c r="D65" s="64">
        <v>30.06</v>
      </c>
      <c r="E65" s="64">
        <v>5.12</v>
      </c>
      <c r="F65" s="64">
        <v>4.58</v>
      </c>
      <c r="G65" s="64">
        <v>55.36</v>
      </c>
      <c r="H65" s="64">
        <v>23.88</v>
      </c>
      <c r="I65" s="64">
        <v>7.81</v>
      </c>
      <c r="J65" s="64">
        <v>0.83</v>
      </c>
      <c r="K65" s="64">
        <v>20.7</v>
      </c>
      <c r="L65" s="64">
        <v>24.05</v>
      </c>
      <c r="M65" s="64">
        <v>68.349999999999994</v>
      </c>
      <c r="N65" s="64">
        <v>184</v>
      </c>
      <c r="O65" s="64">
        <v>0</v>
      </c>
      <c r="P65" s="64">
        <v>0.71</v>
      </c>
      <c r="Q65" s="64">
        <v>8.2799999999999994</v>
      </c>
      <c r="R65" s="198"/>
      <c r="S65" s="198"/>
      <c r="T65" s="198"/>
      <c r="U65" s="198"/>
    </row>
    <row r="66" spans="1:21" s="12" customFormat="1" x14ac:dyDescent="0.25">
      <c r="A66" s="215" t="s">
        <v>497</v>
      </c>
      <c r="B66" s="64">
        <v>15.7</v>
      </c>
      <c r="C66" s="64">
        <v>41.53</v>
      </c>
      <c r="D66" s="64">
        <v>32.909999999999997</v>
      </c>
      <c r="E66" s="64">
        <v>5.0999999999999996</v>
      </c>
      <c r="F66" s="64">
        <v>3.86</v>
      </c>
      <c r="G66" s="64">
        <v>55.36</v>
      </c>
      <c r="H66" s="64">
        <v>23.88</v>
      </c>
      <c r="I66" s="64">
        <v>7.78</v>
      </c>
      <c r="J66" s="64">
        <v>0.77</v>
      </c>
      <c r="K66" s="64">
        <v>142.22</v>
      </c>
      <c r="L66" s="64">
        <v>24.22</v>
      </c>
      <c r="M66" s="64">
        <v>66.510000000000005</v>
      </c>
      <c r="N66" s="64">
        <v>173</v>
      </c>
      <c r="O66" s="64">
        <v>0</v>
      </c>
      <c r="P66" s="64">
        <v>0.7</v>
      </c>
      <c r="Q66" s="64">
        <v>8.3800000000000008</v>
      </c>
      <c r="R66" s="198"/>
      <c r="S66" s="198"/>
      <c r="T66" s="198"/>
      <c r="U66" s="198"/>
    </row>
    <row r="67" spans="1:21" s="12" customFormat="1" x14ac:dyDescent="0.25">
      <c r="A67" s="215" t="s">
        <v>498</v>
      </c>
      <c r="B67" s="64">
        <v>14.59</v>
      </c>
      <c r="C67" s="64">
        <v>33.43</v>
      </c>
      <c r="D67" s="64">
        <v>27.79</v>
      </c>
      <c r="E67" s="64">
        <v>4.67</v>
      </c>
      <c r="F67" s="64">
        <v>3.83</v>
      </c>
      <c r="G67" s="64">
        <v>55.36</v>
      </c>
      <c r="H67" s="64">
        <v>23.88</v>
      </c>
      <c r="I67" s="64">
        <v>8.09</v>
      </c>
      <c r="J67" s="64">
        <v>3.87</v>
      </c>
      <c r="K67" s="64">
        <v>121.4</v>
      </c>
      <c r="L67" s="64">
        <v>23.16</v>
      </c>
      <c r="M67" s="64">
        <v>70.58</v>
      </c>
      <c r="N67" s="64">
        <v>141.80000000000001</v>
      </c>
      <c r="O67" s="64">
        <v>0</v>
      </c>
      <c r="P67" s="64">
        <v>0.68</v>
      </c>
      <c r="Q67" s="64">
        <v>8.24</v>
      </c>
      <c r="R67" s="198"/>
      <c r="S67" s="198"/>
      <c r="T67" s="198"/>
      <c r="U67" s="198"/>
    </row>
    <row r="68" spans="1:21" s="12" customFormat="1" x14ac:dyDescent="0.25">
      <c r="A68" s="215" t="s">
        <v>499</v>
      </c>
      <c r="B68" s="64">
        <v>13.06</v>
      </c>
      <c r="C68" s="64">
        <v>35.35</v>
      </c>
      <c r="D68" s="64">
        <v>27.57</v>
      </c>
      <c r="E68" s="64">
        <v>4.37</v>
      </c>
      <c r="F68" s="64">
        <v>4.59</v>
      </c>
      <c r="G68" s="64">
        <v>47.27</v>
      </c>
      <c r="H68" s="64">
        <v>22.11</v>
      </c>
      <c r="I68" s="64">
        <v>7.84</v>
      </c>
      <c r="J68" s="64">
        <v>2.82</v>
      </c>
      <c r="K68" s="64">
        <v>101.99</v>
      </c>
      <c r="L68" s="64">
        <v>22.88</v>
      </c>
      <c r="M68" s="64">
        <v>71.63</v>
      </c>
      <c r="N68" s="64">
        <v>129.9</v>
      </c>
      <c r="O68" s="64">
        <v>0</v>
      </c>
      <c r="P68" s="64">
        <v>0.67</v>
      </c>
      <c r="Q68" s="64">
        <v>8.2100000000000009</v>
      </c>
      <c r="R68" s="198"/>
      <c r="S68" s="198"/>
      <c r="T68" s="198"/>
      <c r="U68" s="198"/>
    </row>
    <row r="69" spans="1:21" s="12" customFormat="1" x14ac:dyDescent="0.25">
      <c r="A69" s="215" t="s">
        <v>500</v>
      </c>
      <c r="B69" s="64">
        <v>12.22</v>
      </c>
      <c r="C69" s="64">
        <v>42.31</v>
      </c>
      <c r="D69" s="64">
        <v>30.53</v>
      </c>
      <c r="E69" s="64">
        <v>4.78</v>
      </c>
      <c r="F69" s="64">
        <v>3.52</v>
      </c>
      <c r="G69" s="64">
        <v>41.08</v>
      </c>
      <c r="H69" s="64">
        <v>21.51</v>
      </c>
      <c r="I69" s="64">
        <v>7.63</v>
      </c>
      <c r="J69" s="64">
        <v>3.71</v>
      </c>
      <c r="K69" s="64">
        <v>111.31</v>
      </c>
      <c r="L69" s="64">
        <v>22.86</v>
      </c>
      <c r="M69" s="64">
        <v>70.8</v>
      </c>
      <c r="N69" s="64">
        <v>130.6</v>
      </c>
      <c r="O69" s="64">
        <v>0</v>
      </c>
      <c r="P69" s="64">
        <v>0.65</v>
      </c>
      <c r="Q69" s="64">
        <v>8.2100000000000009</v>
      </c>
      <c r="R69" s="198"/>
      <c r="S69" s="198"/>
      <c r="T69" s="198"/>
      <c r="U69" s="198"/>
    </row>
    <row r="70" spans="1:21" s="12" customFormat="1" x14ac:dyDescent="0.25">
      <c r="A70" s="215" t="s">
        <v>501</v>
      </c>
      <c r="B70" s="64">
        <v>11.39</v>
      </c>
      <c r="C70" s="64">
        <v>32.770000000000003</v>
      </c>
      <c r="D70" s="64">
        <v>24.87</v>
      </c>
      <c r="E70" s="64">
        <v>4.88</v>
      </c>
      <c r="F70" s="64">
        <v>3.99</v>
      </c>
      <c r="G70" s="64">
        <v>41.08</v>
      </c>
      <c r="H70" s="64">
        <v>21.51</v>
      </c>
      <c r="I70" s="64">
        <v>7.8</v>
      </c>
      <c r="J70" s="64">
        <v>3.7</v>
      </c>
      <c r="K70" s="64">
        <v>114.68</v>
      </c>
      <c r="L70" s="64">
        <v>22.78</v>
      </c>
      <c r="M70" s="64">
        <v>71.64</v>
      </c>
      <c r="N70" s="64">
        <v>114.2</v>
      </c>
      <c r="O70" s="64">
        <v>0</v>
      </c>
      <c r="P70" s="64">
        <v>0.62</v>
      </c>
      <c r="Q70" s="64">
        <v>8.2100000000000009</v>
      </c>
      <c r="R70" s="198"/>
      <c r="S70" s="198"/>
      <c r="T70" s="198"/>
      <c r="U70" s="198"/>
    </row>
    <row r="71" spans="1:21" s="12" customFormat="1" x14ac:dyDescent="0.25">
      <c r="A71" s="215" t="s">
        <v>502</v>
      </c>
      <c r="B71" s="64">
        <v>10.51</v>
      </c>
      <c r="C71" s="64">
        <v>36.82</v>
      </c>
      <c r="D71" s="64">
        <v>26.29</v>
      </c>
      <c r="E71" s="64">
        <v>4.47</v>
      </c>
      <c r="F71" s="64">
        <v>4.41</v>
      </c>
      <c r="G71" s="64">
        <v>41.08</v>
      </c>
      <c r="H71" s="64">
        <v>21.51</v>
      </c>
      <c r="I71" s="64">
        <v>7.7</v>
      </c>
      <c r="J71" s="64">
        <v>3.19</v>
      </c>
      <c r="K71" s="64">
        <v>110.24</v>
      </c>
      <c r="L71" s="64">
        <v>22.83</v>
      </c>
      <c r="M71" s="64">
        <v>72.290000000000006</v>
      </c>
      <c r="N71" s="64">
        <v>104</v>
      </c>
      <c r="O71" s="64">
        <v>0</v>
      </c>
      <c r="P71" s="64">
        <v>0.61</v>
      </c>
      <c r="Q71" s="64">
        <v>8.2100000000000009</v>
      </c>
      <c r="R71" s="198"/>
      <c r="S71" s="198"/>
      <c r="T71" s="198"/>
      <c r="U71" s="198"/>
    </row>
    <row r="72" spans="1:21" s="12" customFormat="1" x14ac:dyDescent="0.25">
      <c r="A72" s="215" t="s">
        <v>503</v>
      </c>
      <c r="B72" s="64">
        <v>10.19</v>
      </c>
      <c r="C72" s="64">
        <v>42.61</v>
      </c>
      <c r="D72" s="64">
        <v>29.06</v>
      </c>
      <c r="E72" s="64">
        <v>4.5</v>
      </c>
      <c r="F72" s="64">
        <v>3.54</v>
      </c>
      <c r="G72" s="64">
        <v>38.979999999999997</v>
      </c>
      <c r="H72" s="64">
        <v>18.41</v>
      </c>
      <c r="I72" s="64">
        <v>7.57</v>
      </c>
      <c r="J72" s="64">
        <v>0.95</v>
      </c>
      <c r="K72" s="64">
        <v>39.409999999999997</v>
      </c>
      <c r="L72" s="64">
        <v>22.92</v>
      </c>
      <c r="M72" s="64">
        <v>71.739999999999995</v>
      </c>
      <c r="N72" s="64">
        <v>99.6</v>
      </c>
      <c r="O72" s="64">
        <v>0</v>
      </c>
      <c r="P72" s="64">
        <v>0.72</v>
      </c>
      <c r="Q72" s="64">
        <v>8.2100000000000009</v>
      </c>
      <c r="R72" s="198"/>
      <c r="S72" s="198"/>
      <c r="T72" s="198"/>
      <c r="U72" s="198"/>
    </row>
    <row r="73" spans="1:21" s="12" customFormat="1" x14ac:dyDescent="0.25">
      <c r="A73" s="215" t="s">
        <v>504</v>
      </c>
      <c r="B73" s="64">
        <v>10.51</v>
      </c>
      <c r="C73" s="64">
        <v>35.29</v>
      </c>
      <c r="D73" s="64">
        <v>25.49</v>
      </c>
      <c r="E73" s="64">
        <v>5.3</v>
      </c>
      <c r="F73" s="64">
        <v>3.81</v>
      </c>
      <c r="G73" s="64">
        <v>37.369999999999997</v>
      </c>
      <c r="H73" s="64">
        <v>17.350000000000001</v>
      </c>
      <c r="I73" s="64">
        <v>7.61</v>
      </c>
      <c r="J73" s="64">
        <v>2.87</v>
      </c>
      <c r="K73" s="64">
        <v>108.65</v>
      </c>
      <c r="L73" s="64">
        <v>22.88</v>
      </c>
      <c r="M73" s="64">
        <v>71.12</v>
      </c>
      <c r="N73" s="64">
        <v>88.6</v>
      </c>
      <c r="O73" s="64">
        <v>0</v>
      </c>
      <c r="P73" s="64">
        <v>0.55000000000000004</v>
      </c>
      <c r="Q73" s="64">
        <v>8.2100000000000009</v>
      </c>
      <c r="R73" s="198"/>
      <c r="S73" s="198"/>
      <c r="T73" s="198"/>
      <c r="U73" s="198"/>
    </row>
    <row r="74" spans="1:21" s="12" customFormat="1" x14ac:dyDescent="0.25">
      <c r="A74" s="215" t="s">
        <v>505</v>
      </c>
      <c r="B74" s="64">
        <v>10.43</v>
      </c>
      <c r="C74" s="64">
        <v>33.72</v>
      </c>
      <c r="D74" s="64">
        <v>24.6</v>
      </c>
      <c r="E74" s="64">
        <v>5.25</v>
      </c>
      <c r="F74" s="64">
        <v>3.83</v>
      </c>
      <c r="G74" s="64">
        <v>37.369999999999997</v>
      </c>
      <c r="H74" s="64">
        <v>17.350000000000001</v>
      </c>
      <c r="I74" s="64">
        <v>5.09</v>
      </c>
      <c r="J74" s="64">
        <v>0.86</v>
      </c>
      <c r="K74" s="64">
        <v>108.35</v>
      </c>
      <c r="L74" s="64">
        <v>22.71</v>
      </c>
      <c r="M74" s="64">
        <v>72.510000000000005</v>
      </c>
      <c r="N74" s="64">
        <v>71.400000000000006</v>
      </c>
      <c r="O74" s="64">
        <v>0</v>
      </c>
      <c r="P74" s="64">
        <v>0.62</v>
      </c>
      <c r="Q74" s="64">
        <v>8.2100000000000009</v>
      </c>
      <c r="R74" s="198"/>
      <c r="S74" s="198"/>
      <c r="T74" s="198"/>
      <c r="U74" s="198"/>
    </row>
    <row r="75" spans="1:21" s="12" customFormat="1" x14ac:dyDescent="0.25">
      <c r="A75" s="215" t="s">
        <v>506</v>
      </c>
      <c r="B75" s="64">
        <v>10.68</v>
      </c>
      <c r="C75" s="64">
        <v>33.97</v>
      </c>
      <c r="D75" s="64">
        <v>24.94</v>
      </c>
      <c r="E75" s="64">
        <v>5.42</v>
      </c>
      <c r="F75" s="64">
        <v>3.81</v>
      </c>
      <c r="G75" s="64">
        <v>37.369999999999997</v>
      </c>
      <c r="H75" s="64">
        <v>17.350000000000001</v>
      </c>
      <c r="I75" s="64">
        <v>4.45</v>
      </c>
      <c r="J75" s="64">
        <v>1.21</v>
      </c>
      <c r="K75" s="64">
        <v>77.069999999999993</v>
      </c>
      <c r="L75" s="64">
        <v>22.82</v>
      </c>
      <c r="M75" s="64">
        <v>72.92</v>
      </c>
      <c r="N75" s="64">
        <v>68.099999999999994</v>
      </c>
      <c r="O75" s="64">
        <v>0</v>
      </c>
      <c r="P75" s="64">
        <v>0.7</v>
      </c>
      <c r="Q75" s="64">
        <v>8.2100000000000009</v>
      </c>
      <c r="R75" s="198"/>
      <c r="S75" s="198"/>
      <c r="T75" s="198"/>
      <c r="U75" s="198"/>
    </row>
    <row r="76" spans="1:21" s="12" customFormat="1" x14ac:dyDescent="0.25">
      <c r="A76" s="215" t="s">
        <v>507</v>
      </c>
      <c r="B76" s="64">
        <v>11.14</v>
      </c>
      <c r="C76" s="64">
        <v>33.909999999999997</v>
      </c>
      <c r="D76" s="64">
        <v>25.28</v>
      </c>
      <c r="E76" s="64">
        <v>5.43</v>
      </c>
      <c r="F76" s="64">
        <v>3.87</v>
      </c>
      <c r="G76" s="64">
        <v>41.59</v>
      </c>
      <c r="H76" s="64">
        <v>18.71</v>
      </c>
      <c r="I76" s="64">
        <v>4.4800000000000004</v>
      </c>
      <c r="J76" s="64">
        <v>1.06</v>
      </c>
      <c r="K76" s="64">
        <v>98.41</v>
      </c>
      <c r="L76" s="64">
        <v>22.45</v>
      </c>
      <c r="M76" s="64">
        <v>73.709999999999994</v>
      </c>
      <c r="N76" s="64">
        <v>48.5</v>
      </c>
      <c r="O76" s="64">
        <v>0</v>
      </c>
      <c r="P76" s="64">
        <v>0.65</v>
      </c>
      <c r="Q76" s="64">
        <v>8.2100000000000009</v>
      </c>
      <c r="R76" s="198"/>
      <c r="S76" s="198"/>
      <c r="T76" s="198"/>
      <c r="U76" s="198"/>
    </row>
    <row r="77" spans="1:21" s="12" customFormat="1" x14ac:dyDescent="0.25">
      <c r="A77" s="215" t="s">
        <v>508</v>
      </c>
      <c r="B77" s="64">
        <v>11.31</v>
      </c>
      <c r="C77" s="64">
        <v>34.11</v>
      </c>
      <c r="D77" s="64">
        <v>25.51</v>
      </c>
      <c r="E77" s="64">
        <v>5.51</v>
      </c>
      <c r="F77" s="64">
        <v>3.82</v>
      </c>
      <c r="G77" s="64">
        <v>44.82</v>
      </c>
      <c r="H77" s="64">
        <v>19.18</v>
      </c>
      <c r="I77" s="64">
        <v>4.63</v>
      </c>
      <c r="J77" s="64">
        <v>2.74</v>
      </c>
      <c r="K77" s="64">
        <v>102.14</v>
      </c>
      <c r="L77" s="64">
        <v>22.06</v>
      </c>
      <c r="M77" s="64">
        <v>75.55</v>
      </c>
      <c r="N77" s="64">
        <v>42</v>
      </c>
      <c r="O77" s="64">
        <v>0</v>
      </c>
      <c r="P77" s="64">
        <v>0.57999999999999996</v>
      </c>
      <c r="Q77" s="64">
        <v>8.2100000000000009</v>
      </c>
      <c r="R77" s="198"/>
      <c r="S77" s="198"/>
      <c r="T77" s="198"/>
      <c r="U77" s="198"/>
    </row>
    <row r="78" spans="1:21" s="12" customFormat="1" x14ac:dyDescent="0.25">
      <c r="A78" s="215" t="s">
        <v>509</v>
      </c>
      <c r="B78" s="64">
        <v>11.28</v>
      </c>
      <c r="C78" s="64">
        <v>34.090000000000003</v>
      </c>
      <c r="D78" s="64">
        <v>25.48</v>
      </c>
      <c r="E78" s="64">
        <v>5.31</v>
      </c>
      <c r="F78" s="64">
        <v>3.65</v>
      </c>
      <c r="G78" s="64">
        <v>44.82</v>
      </c>
      <c r="H78" s="64">
        <v>19.18</v>
      </c>
      <c r="I78" s="64">
        <v>3.98</v>
      </c>
      <c r="J78" s="64">
        <v>2.46</v>
      </c>
      <c r="K78" s="64">
        <v>114.25</v>
      </c>
      <c r="L78" s="64">
        <v>21.87</v>
      </c>
      <c r="M78" s="64">
        <v>76.72</v>
      </c>
      <c r="N78" s="64">
        <v>38.4</v>
      </c>
      <c r="O78" s="64">
        <v>0</v>
      </c>
      <c r="P78" s="64">
        <v>0.74</v>
      </c>
      <c r="Q78" s="64">
        <v>8.2100000000000009</v>
      </c>
      <c r="R78" s="198"/>
      <c r="S78" s="198"/>
      <c r="T78" s="198"/>
      <c r="U78" s="198"/>
    </row>
    <row r="79" spans="1:21" s="12" customFormat="1" x14ac:dyDescent="0.25">
      <c r="A79" s="215" t="s">
        <v>510</v>
      </c>
      <c r="B79" s="64">
        <v>11.43</v>
      </c>
      <c r="C79" s="64">
        <v>34.299999999999997</v>
      </c>
      <c r="D79" s="64">
        <v>25.71</v>
      </c>
      <c r="E79" s="64">
        <v>5.31</v>
      </c>
      <c r="F79" s="64">
        <v>3.63</v>
      </c>
      <c r="G79" s="64">
        <v>44.82</v>
      </c>
      <c r="H79" s="64">
        <v>19.18</v>
      </c>
      <c r="I79" s="64">
        <v>3.13</v>
      </c>
      <c r="J79" s="64">
        <v>2.14</v>
      </c>
      <c r="K79" s="64">
        <v>98.81</v>
      </c>
      <c r="L79" s="64">
        <v>21.74</v>
      </c>
      <c r="M79" s="64">
        <v>78.260000000000005</v>
      </c>
      <c r="N79" s="64">
        <v>37.200000000000003</v>
      </c>
      <c r="O79" s="64">
        <v>0</v>
      </c>
      <c r="P79" s="64">
        <v>0.74</v>
      </c>
      <c r="Q79" s="64">
        <v>8.2100000000000009</v>
      </c>
      <c r="R79" s="198"/>
      <c r="S79" s="198"/>
      <c r="T79" s="198"/>
      <c r="U79" s="198"/>
    </row>
    <row r="80" spans="1:21" s="12" customFormat="1" x14ac:dyDescent="0.25">
      <c r="A80" s="215" t="s">
        <v>511</v>
      </c>
      <c r="B80" s="64">
        <v>11.62</v>
      </c>
      <c r="C80" s="64">
        <v>38.36</v>
      </c>
      <c r="D80" s="64">
        <v>27.99</v>
      </c>
      <c r="E80" s="64">
        <v>5.88</v>
      </c>
      <c r="F80" s="64">
        <v>3.85</v>
      </c>
      <c r="G80" s="64">
        <v>44.17</v>
      </c>
      <c r="H80" s="64">
        <v>20.66</v>
      </c>
      <c r="I80" s="64">
        <v>3.88</v>
      </c>
      <c r="J80" s="64">
        <v>2.68</v>
      </c>
      <c r="K80" s="64">
        <v>112.61</v>
      </c>
      <c r="L80" s="64">
        <v>21.53</v>
      </c>
      <c r="M80" s="64">
        <v>79.28</v>
      </c>
      <c r="N80" s="64">
        <v>37</v>
      </c>
      <c r="O80" s="64">
        <v>0</v>
      </c>
      <c r="P80" s="64">
        <v>0.65</v>
      </c>
      <c r="Q80" s="64">
        <v>8.2100000000000009</v>
      </c>
      <c r="R80" s="198"/>
      <c r="S80" s="198"/>
      <c r="T80" s="198"/>
      <c r="U80" s="198"/>
    </row>
    <row r="81" spans="1:26" s="12" customFormat="1" x14ac:dyDescent="0.25">
      <c r="A81" s="215" t="s">
        <v>512</v>
      </c>
      <c r="B81" s="64">
        <v>11.6</v>
      </c>
      <c r="C81" s="64">
        <v>34.69</v>
      </c>
      <c r="D81" s="64">
        <v>26.05</v>
      </c>
      <c r="E81" s="64">
        <v>5.79</v>
      </c>
      <c r="F81" s="64">
        <v>3.66</v>
      </c>
      <c r="G81" s="64">
        <v>43.67</v>
      </c>
      <c r="H81" s="64">
        <v>21.63</v>
      </c>
      <c r="I81" s="64">
        <v>5.87</v>
      </c>
      <c r="J81" s="64">
        <v>3.23</v>
      </c>
      <c r="K81" s="64">
        <v>114.93</v>
      </c>
      <c r="L81" s="64">
        <v>21.53</v>
      </c>
      <c r="M81" s="64">
        <v>80.14</v>
      </c>
      <c r="N81" s="64">
        <v>37</v>
      </c>
      <c r="O81" s="64">
        <v>0</v>
      </c>
      <c r="P81" s="64">
        <v>0.69</v>
      </c>
      <c r="Q81" s="64">
        <v>8.2100000000000009</v>
      </c>
      <c r="R81" s="198"/>
      <c r="S81" s="198"/>
      <c r="T81" s="198"/>
      <c r="U81" s="198"/>
    </row>
    <row r="82" spans="1:26" s="12" customFormat="1" x14ac:dyDescent="0.25">
      <c r="A82" s="215" t="s">
        <v>513</v>
      </c>
      <c r="B82" s="64">
        <v>11.56</v>
      </c>
      <c r="C82" s="64">
        <v>28.78</v>
      </c>
      <c r="D82" s="64">
        <v>22.93</v>
      </c>
      <c r="E82" s="64">
        <v>5.73</v>
      </c>
      <c r="F82" s="64">
        <v>4.04</v>
      </c>
      <c r="G82" s="64">
        <v>43.67</v>
      </c>
      <c r="H82" s="64">
        <v>21.63</v>
      </c>
      <c r="I82" s="64">
        <v>6.96</v>
      </c>
      <c r="J82" s="64">
        <v>2.4500000000000002</v>
      </c>
      <c r="K82" s="64">
        <v>117.79</v>
      </c>
      <c r="L82" s="64">
        <v>21.41</v>
      </c>
      <c r="M82" s="64">
        <v>80.989999999999995</v>
      </c>
      <c r="N82" s="64">
        <v>37</v>
      </c>
      <c r="O82" s="64">
        <v>0</v>
      </c>
      <c r="P82" s="64">
        <v>0.75</v>
      </c>
      <c r="Q82" s="64">
        <v>8.2100000000000009</v>
      </c>
      <c r="R82" s="198"/>
      <c r="S82" s="198"/>
      <c r="T82" s="198"/>
      <c r="U82" s="198"/>
    </row>
    <row r="83" spans="1:26" s="12" customFormat="1" x14ac:dyDescent="0.25">
      <c r="A83" s="215" t="s">
        <v>514</v>
      </c>
      <c r="B83" s="64">
        <v>11.49</v>
      </c>
      <c r="C83" s="64">
        <v>37.9</v>
      </c>
      <c r="D83" s="64">
        <v>27.64</v>
      </c>
      <c r="E83" s="64">
        <v>5.79</v>
      </c>
      <c r="F83" s="64">
        <v>3.85</v>
      </c>
      <c r="G83" s="64">
        <v>43.67</v>
      </c>
      <c r="H83" s="64">
        <v>21.63</v>
      </c>
      <c r="I83" s="64">
        <v>6.75</v>
      </c>
      <c r="J83" s="64">
        <v>2.58</v>
      </c>
      <c r="K83" s="64">
        <v>109.73</v>
      </c>
      <c r="L83" s="64">
        <v>21.35</v>
      </c>
      <c r="M83" s="64">
        <v>81.430000000000007</v>
      </c>
      <c r="N83" s="64">
        <v>37</v>
      </c>
      <c r="O83" s="64">
        <v>0</v>
      </c>
      <c r="P83" s="64">
        <v>0.73</v>
      </c>
      <c r="Q83" s="64">
        <v>8.2100000000000009</v>
      </c>
      <c r="R83" s="198"/>
      <c r="S83" s="198"/>
      <c r="T83" s="198"/>
      <c r="U83" s="198"/>
    </row>
    <row r="84" spans="1:26" s="12" customFormat="1" x14ac:dyDescent="0.25">
      <c r="A84" s="215" t="s">
        <v>515</v>
      </c>
      <c r="B84" s="64">
        <v>11.59</v>
      </c>
      <c r="C84" s="64">
        <v>34.54</v>
      </c>
      <c r="D84" s="64">
        <v>25.96</v>
      </c>
      <c r="E84" s="64">
        <v>5.69</v>
      </c>
      <c r="F84" s="64">
        <v>3.49</v>
      </c>
      <c r="G84" s="64">
        <v>43.79</v>
      </c>
      <c r="H84" s="64">
        <v>19.010000000000002</v>
      </c>
      <c r="I84" s="64">
        <v>6.75</v>
      </c>
      <c r="J84" s="64">
        <v>1.74</v>
      </c>
      <c r="K84" s="64">
        <v>95.34</v>
      </c>
      <c r="L84" s="64">
        <v>21.27</v>
      </c>
      <c r="M84" s="64">
        <v>82.02</v>
      </c>
      <c r="N84" s="64">
        <v>37</v>
      </c>
      <c r="O84" s="64">
        <v>0</v>
      </c>
      <c r="P84" s="64">
        <v>0.88</v>
      </c>
      <c r="Q84" s="64">
        <v>8.2100000000000009</v>
      </c>
      <c r="R84" s="198"/>
      <c r="S84" s="198"/>
      <c r="T84" s="198"/>
      <c r="U84" s="198"/>
    </row>
    <row r="85" spans="1:26" s="12" customFormat="1" x14ac:dyDescent="0.25">
      <c r="A85" s="215" t="s">
        <v>516</v>
      </c>
      <c r="B85" s="64">
        <v>11.6</v>
      </c>
      <c r="C85" s="64">
        <v>33.31</v>
      </c>
      <c r="D85" s="64">
        <v>25.33</v>
      </c>
      <c r="E85" s="64">
        <v>5.52</v>
      </c>
      <c r="F85" s="64">
        <v>4.46</v>
      </c>
      <c r="G85" s="64">
        <v>43.88</v>
      </c>
      <c r="H85" s="64">
        <v>18.12</v>
      </c>
      <c r="I85" s="64">
        <v>6.83</v>
      </c>
      <c r="J85" s="64">
        <v>2.5</v>
      </c>
      <c r="K85" s="64">
        <v>113.8</v>
      </c>
      <c r="L85" s="64">
        <v>21.18</v>
      </c>
      <c r="M85" s="64">
        <v>82.61</v>
      </c>
      <c r="N85" s="64">
        <v>37</v>
      </c>
      <c r="O85" s="64">
        <v>0</v>
      </c>
      <c r="P85" s="64">
        <v>0.73</v>
      </c>
      <c r="Q85" s="64">
        <v>8.2100000000000009</v>
      </c>
      <c r="R85" s="198"/>
      <c r="S85" s="198"/>
      <c r="T85" s="198"/>
      <c r="U85" s="198"/>
    </row>
    <row r="86" spans="1:26" s="12" customFormat="1" x14ac:dyDescent="0.25">
      <c r="A86" s="215" t="s">
        <v>517</v>
      </c>
      <c r="B86" s="64">
        <v>11.72</v>
      </c>
      <c r="C86" s="64">
        <v>39.29</v>
      </c>
      <c r="D86" s="64">
        <v>28.55</v>
      </c>
      <c r="E86" s="64">
        <v>5.69</v>
      </c>
      <c r="F86" s="64">
        <v>3.39</v>
      </c>
      <c r="G86" s="64">
        <v>43.88</v>
      </c>
      <c r="H86" s="64">
        <v>18.12</v>
      </c>
      <c r="I86" s="64">
        <v>5.1100000000000003</v>
      </c>
      <c r="J86" s="64">
        <v>1.08</v>
      </c>
      <c r="K86" s="64">
        <v>72.62</v>
      </c>
      <c r="L86" s="64">
        <v>21.1</v>
      </c>
      <c r="M86" s="64">
        <v>83.22</v>
      </c>
      <c r="N86" s="64">
        <v>37</v>
      </c>
      <c r="O86" s="64">
        <v>0</v>
      </c>
      <c r="P86" s="64">
        <v>0.92</v>
      </c>
      <c r="Q86" s="64">
        <v>8.2100000000000009</v>
      </c>
      <c r="R86" s="198"/>
      <c r="S86" s="198"/>
      <c r="T86" s="198"/>
      <c r="U86" s="198"/>
    </row>
    <row r="87" spans="1:26" s="12" customFormat="1" x14ac:dyDescent="0.25">
      <c r="A87" s="215" t="s">
        <v>518</v>
      </c>
      <c r="B87" s="64">
        <v>12.7</v>
      </c>
      <c r="C87" s="64">
        <v>33.08</v>
      </c>
      <c r="D87" s="64">
        <v>26.09</v>
      </c>
      <c r="E87" s="64">
        <v>5.88</v>
      </c>
      <c r="F87" s="64">
        <v>3.77</v>
      </c>
      <c r="G87" s="64">
        <v>43.88</v>
      </c>
      <c r="H87" s="64">
        <v>18.12</v>
      </c>
      <c r="I87" s="64">
        <v>6.82</v>
      </c>
      <c r="J87" s="64">
        <v>0.72</v>
      </c>
      <c r="K87" s="64">
        <v>91.85</v>
      </c>
      <c r="L87" s="64">
        <v>20.99</v>
      </c>
      <c r="M87" s="64">
        <v>84.18</v>
      </c>
      <c r="N87" s="64">
        <v>37</v>
      </c>
      <c r="O87" s="64">
        <v>0</v>
      </c>
      <c r="P87" s="64">
        <v>0.95</v>
      </c>
      <c r="Q87" s="64">
        <v>8.2100000000000009</v>
      </c>
      <c r="R87" s="198"/>
      <c r="S87" s="198"/>
      <c r="T87" s="198"/>
      <c r="U87" s="198"/>
    </row>
    <row r="88" spans="1:26" s="12" customFormat="1" x14ac:dyDescent="0.25">
      <c r="A88" s="215" t="s">
        <v>519</v>
      </c>
      <c r="B88" s="64">
        <v>13.68</v>
      </c>
      <c r="C88" s="64">
        <v>41.83</v>
      </c>
      <c r="D88" s="64">
        <v>31.45</v>
      </c>
      <c r="E88" s="64">
        <v>5.94</v>
      </c>
      <c r="F88" s="64">
        <v>3.73</v>
      </c>
      <c r="G88" s="64">
        <v>44.73</v>
      </c>
      <c r="H88" s="64">
        <v>22.68</v>
      </c>
      <c r="I88" s="64">
        <v>6.83</v>
      </c>
      <c r="J88" s="64">
        <v>0.36</v>
      </c>
      <c r="K88" s="64">
        <v>96.15</v>
      </c>
      <c r="L88" s="64">
        <v>20.86</v>
      </c>
      <c r="M88" s="64">
        <v>84.36</v>
      </c>
      <c r="N88" s="64">
        <v>37</v>
      </c>
      <c r="O88" s="64">
        <v>0</v>
      </c>
      <c r="P88" s="64">
        <v>0.91</v>
      </c>
      <c r="Q88" s="64">
        <v>8.2100000000000009</v>
      </c>
      <c r="R88" s="198"/>
      <c r="S88" s="198"/>
      <c r="T88" s="198"/>
      <c r="U88" s="198"/>
    </row>
    <row r="89" spans="1:26" s="12" customFormat="1" x14ac:dyDescent="0.25">
      <c r="A89" s="215" t="s">
        <v>520</v>
      </c>
      <c r="B89" s="64">
        <v>14.44</v>
      </c>
      <c r="C89" s="64">
        <v>40.049999999999997</v>
      </c>
      <c r="D89" s="64">
        <v>31.13</v>
      </c>
      <c r="E89" s="64">
        <v>5.83</v>
      </c>
      <c r="F89" s="64">
        <v>3.99</v>
      </c>
      <c r="G89" s="64">
        <v>45.39</v>
      </c>
      <c r="H89" s="64">
        <v>24.23</v>
      </c>
      <c r="I89" s="64">
        <v>7.13</v>
      </c>
      <c r="J89" s="64">
        <v>0.57999999999999996</v>
      </c>
      <c r="K89" s="64">
        <v>281.81</v>
      </c>
      <c r="L89" s="64">
        <v>20.88</v>
      </c>
      <c r="M89" s="64">
        <v>83.28</v>
      </c>
      <c r="N89" s="64">
        <v>37</v>
      </c>
      <c r="O89" s="64">
        <v>0</v>
      </c>
      <c r="P89" s="64">
        <v>0.95</v>
      </c>
      <c r="Q89" s="64">
        <v>8.2100000000000009</v>
      </c>
      <c r="R89" s="198"/>
      <c r="S89" s="198"/>
      <c r="T89" s="198"/>
      <c r="U89" s="198"/>
    </row>
    <row r="90" spans="1:26" s="12" customFormat="1" x14ac:dyDescent="0.25">
      <c r="A90" s="215" t="s">
        <v>521</v>
      </c>
      <c r="B90" s="64">
        <v>14.91</v>
      </c>
      <c r="C90" s="64">
        <v>34.08</v>
      </c>
      <c r="D90" s="64">
        <v>28.39</v>
      </c>
      <c r="E90" s="64">
        <v>5.84</v>
      </c>
      <c r="F90" s="64">
        <v>3.83</v>
      </c>
      <c r="G90" s="64">
        <v>45.39</v>
      </c>
      <c r="H90" s="64">
        <v>24.23</v>
      </c>
      <c r="I90" s="64">
        <v>6.41</v>
      </c>
      <c r="J90" s="64">
        <v>0.64</v>
      </c>
      <c r="K90" s="64">
        <v>102.26</v>
      </c>
      <c r="L90" s="64">
        <v>20.77</v>
      </c>
      <c r="M90" s="64">
        <v>83.42</v>
      </c>
      <c r="N90" s="64">
        <v>37</v>
      </c>
      <c r="O90" s="64">
        <v>0</v>
      </c>
      <c r="P90" s="64">
        <v>0.96</v>
      </c>
      <c r="Q90" s="64">
        <v>8.2100000000000009</v>
      </c>
      <c r="R90" s="198"/>
      <c r="S90" s="198"/>
      <c r="T90" s="198"/>
      <c r="U90" s="198"/>
    </row>
    <row r="91" spans="1:26" s="12" customFormat="1" x14ac:dyDescent="0.25">
      <c r="A91" s="215" t="s">
        <v>522</v>
      </c>
      <c r="B91" s="64">
        <v>15.4</v>
      </c>
      <c r="C91" s="64">
        <v>33.200000000000003</v>
      </c>
      <c r="D91" s="64">
        <v>28.32</v>
      </c>
      <c r="E91" s="64">
        <v>6.12</v>
      </c>
      <c r="F91" s="64">
        <v>3.68</v>
      </c>
      <c r="G91" s="64">
        <v>45.39</v>
      </c>
      <c r="H91" s="64">
        <v>24.23</v>
      </c>
      <c r="I91" s="64">
        <v>5.41</v>
      </c>
      <c r="J91" s="64">
        <v>0.23</v>
      </c>
      <c r="K91" s="64">
        <v>154.66999999999999</v>
      </c>
      <c r="L91" s="64">
        <v>20.68</v>
      </c>
      <c r="M91" s="64">
        <v>83.89</v>
      </c>
      <c r="N91" s="64">
        <v>37</v>
      </c>
      <c r="O91" s="64">
        <v>0</v>
      </c>
      <c r="P91" s="64">
        <v>1.1000000000000001</v>
      </c>
      <c r="Q91" s="64">
        <v>8.2100000000000009</v>
      </c>
      <c r="R91" s="198"/>
      <c r="S91" s="198"/>
      <c r="T91" s="198"/>
      <c r="U91" s="198"/>
    </row>
    <row r="92" spans="1:26" s="12" customFormat="1" x14ac:dyDescent="0.25">
      <c r="A92" s="215" t="s">
        <v>523</v>
      </c>
      <c r="B92" s="64">
        <v>16.66</v>
      </c>
      <c r="C92" s="64">
        <v>33.270000000000003</v>
      </c>
      <c r="D92" s="64">
        <v>29.36</v>
      </c>
      <c r="E92" s="64">
        <v>5.89</v>
      </c>
      <c r="F92" s="64">
        <v>3.53</v>
      </c>
      <c r="G92" s="64">
        <v>49.24</v>
      </c>
      <c r="H92" s="64">
        <v>25.97</v>
      </c>
      <c r="I92" s="64">
        <v>5.15</v>
      </c>
      <c r="J92" s="64">
        <v>0.47</v>
      </c>
      <c r="K92" s="64">
        <v>132.44999999999999</v>
      </c>
      <c r="L92" s="64">
        <v>20.47</v>
      </c>
      <c r="M92" s="64">
        <v>84.88</v>
      </c>
      <c r="N92" s="64">
        <v>37</v>
      </c>
      <c r="O92" s="64">
        <v>0</v>
      </c>
      <c r="P92" s="64">
        <v>0.99</v>
      </c>
      <c r="Q92" s="64">
        <v>8.2100000000000009</v>
      </c>
      <c r="R92" s="198"/>
      <c r="S92" s="198"/>
      <c r="T92" s="198"/>
      <c r="U92" s="198"/>
    </row>
    <row r="93" spans="1:26" s="12" customFormat="1" x14ac:dyDescent="0.25">
      <c r="A93" s="215" t="s">
        <v>524</v>
      </c>
      <c r="B93" s="64">
        <v>17.54</v>
      </c>
      <c r="C93" s="64">
        <v>33.6</v>
      </c>
      <c r="D93" s="64">
        <v>30.24</v>
      </c>
      <c r="E93" s="64">
        <v>5.69</v>
      </c>
      <c r="F93" s="64">
        <v>4.1100000000000003</v>
      </c>
      <c r="G93" s="64">
        <v>52.18</v>
      </c>
      <c r="H93" s="64">
        <v>26.57</v>
      </c>
      <c r="I93" s="64">
        <v>5.79</v>
      </c>
      <c r="J93" s="64">
        <v>0.73</v>
      </c>
      <c r="K93" s="64">
        <v>287.18</v>
      </c>
      <c r="L93" s="64">
        <v>20.43</v>
      </c>
      <c r="M93" s="64">
        <v>84.66</v>
      </c>
      <c r="N93" s="64">
        <v>37</v>
      </c>
      <c r="O93" s="64">
        <v>0</v>
      </c>
      <c r="P93" s="64">
        <v>1.1200000000000001</v>
      </c>
      <c r="Q93" s="64">
        <v>8.2799999999999994</v>
      </c>
      <c r="R93" s="198"/>
      <c r="S93" s="198"/>
      <c r="T93" s="198"/>
      <c r="U93" s="198"/>
    </row>
    <row r="94" spans="1:26" s="12" customFormat="1" x14ac:dyDescent="0.25">
      <c r="A94" s="215" t="s">
        <v>525</v>
      </c>
      <c r="B94" s="64">
        <v>18.989999999999998</v>
      </c>
      <c r="C94" s="64">
        <v>33.380000000000003</v>
      </c>
      <c r="D94" s="64">
        <v>31.29</v>
      </c>
      <c r="E94" s="64">
        <v>5.9</v>
      </c>
      <c r="F94" s="64">
        <v>4.17</v>
      </c>
      <c r="G94" s="64">
        <v>52.18</v>
      </c>
      <c r="H94" s="64">
        <v>26.57</v>
      </c>
      <c r="I94" s="64">
        <v>5.74</v>
      </c>
      <c r="J94" s="64">
        <v>0.72</v>
      </c>
      <c r="K94" s="64">
        <v>159.30000000000001</v>
      </c>
      <c r="L94" s="64">
        <v>20.28</v>
      </c>
      <c r="M94" s="64">
        <v>85.19</v>
      </c>
      <c r="N94" s="64">
        <v>37</v>
      </c>
      <c r="O94" s="64">
        <v>0</v>
      </c>
      <c r="P94" s="64">
        <v>0.98</v>
      </c>
      <c r="Q94" s="64">
        <v>8.43</v>
      </c>
      <c r="R94" s="198"/>
      <c r="S94" s="198"/>
      <c r="T94" s="198"/>
      <c r="U94" s="198"/>
    </row>
    <row r="95" spans="1:26" s="12" customFormat="1" x14ac:dyDescent="0.25">
      <c r="A95" s="215" t="s">
        <v>526</v>
      </c>
      <c r="B95" s="64">
        <v>20.16</v>
      </c>
      <c r="C95" s="64">
        <v>33.299999999999997</v>
      </c>
      <c r="D95" s="64">
        <v>32.19</v>
      </c>
      <c r="E95" s="64">
        <v>5.93</v>
      </c>
      <c r="F95" s="64">
        <v>3.65</v>
      </c>
      <c r="G95" s="64">
        <v>52.18</v>
      </c>
      <c r="H95" s="64">
        <v>26.57</v>
      </c>
      <c r="I95" s="64">
        <v>6.33</v>
      </c>
      <c r="J95" s="64">
        <v>1.36</v>
      </c>
      <c r="K95" s="64">
        <v>122.97</v>
      </c>
      <c r="L95" s="64">
        <v>20.13</v>
      </c>
      <c r="M95" s="64">
        <v>85.83</v>
      </c>
      <c r="N95" s="64">
        <v>37</v>
      </c>
      <c r="O95" s="64">
        <v>0</v>
      </c>
      <c r="P95" s="64">
        <v>0.93</v>
      </c>
      <c r="Q95" s="64">
        <v>8.58</v>
      </c>
      <c r="R95" s="198"/>
      <c r="S95" s="198"/>
      <c r="T95" s="198"/>
      <c r="U95" s="198"/>
    </row>
    <row r="96" spans="1:26" s="12" customFormat="1" x14ac:dyDescent="0.25">
      <c r="A96" s="215" t="s">
        <v>527</v>
      </c>
      <c r="B96" s="64">
        <v>20.66</v>
      </c>
      <c r="C96" s="64">
        <v>33.78</v>
      </c>
      <c r="D96" s="64">
        <v>32.840000000000003</v>
      </c>
      <c r="E96" s="64">
        <v>6.21</v>
      </c>
      <c r="F96" s="64">
        <v>3.79</v>
      </c>
      <c r="G96" s="64">
        <v>55.36</v>
      </c>
      <c r="H96" s="64">
        <v>28.25</v>
      </c>
      <c r="I96" s="64">
        <v>5.89</v>
      </c>
      <c r="J96" s="64">
        <v>0.41</v>
      </c>
      <c r="K96" s="64">
        <v>115.99</v>
      </c>
      <c r="L96" s="64">
        <v>20.04</v>
      </c>
      <c r="M96" s="64">
        <v>86.25</v>
      </c>
      <c r="N96" s="64">
        <v>37</v>
      </c>
      <c r="O96" s="64">
        <v>0</v>
      </c>
      <c r="P96" s="64">
        <v>0.97</v>
      </c>
      <c r="Q96" s="64">
        <v>8.66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528</v>
      </c>
      <c r="B97" s="64">
        <v>20.98</v>
      </c>
      <c r="C97" s="64">
        <v>35.799999999999997</v>
      </c>
      <c r="D97" s="64">
        <v>34.159999999999997</v>
      </c>
      <c r="E97" s="64">
        <v>6.26</v>
      </c>
      <c r="F97" s="64">
        <v>3.87</v>
      </c>
      <c r="G97" s="64">
        <v>57.8</v>
      </c>
      <c r="H97" s="64">
        <v>29.35</v>
      </c>
      <c r="I97" s="64">
        <v>6.04</v>
      </c>
      <c r="J97" s="64">
        <v>1.37</v>
      </c>
      <c r="K97" s="64">
        <v>104.98</v>
      </c>
      <c r="L97" s="64">
        <v>19.86</v>
      </c>
      <c r="M97" s="64">
        <v>86.97</v>
      </c>
      <c r="N97" s="64">
        <v>37</v>
      </c>
      <c r="O97" s="64">
        <v>0</v>
      </c>
      <c r="P97" s="64">
        <v>0.95</v>
      </c>
      <c r="Q97" s="64">
        <v>8.44</v>
      </c>
      <c r="R97" s="198"/>
      <c r="S97" s="198"/>
      <c r="T97" s="198"/>
      <c r="U97" s="198"/>
    </row>
    <row r="98" spans="1:33" s="12" customFormat="1" x14ac:dyDescent="0.25">
      <c r="A98" s="215" t="s">
        <v>529</v>
      </c>
      <c r="B98" s="64">
        <v>20.47</v>
      </c>
      <c r="C98" s="64">
        <v>32.04</v>
      </c>
      <c r="D98" s="64">
        <v>31.78</v>
      </c>
      <c r="E98" s="64">
        <v>6.33</v>
      </c>
      <c r="F98" s="64">
        <v>4.1100000000000003</v>
      </c>
      <c r="G98" s="64">
        <v>57.8</v>
      </c>
      <c r="H98" s="64">
        <v>29.35</v>
      </c>
      <c r="I98" s="64">
        <v>7.51</v>
      </c>
      <c r="J98" s="64">
        <v>1.91</v>
      </c>
      <c r="K98" s="64">
        <v>119.57</v>
      </c>
      <c r="L98" s="64">
        <v>19.670000000000002</v>
      </c>
      <c r="M98" s="64">
        <v>88.4</v>
      </c>
      <c r="N98" s="64">
        <v>36.9</v>
      </c>
      <c r="O98" s="64">
        <v>0</v>
      </c>
      <c r="P98" s="64">
        <v>0.94</v>
      </c>
      <c r="Q98" s="64">
        <v>8.23</v>
      </c>
      <c r="R98" s="198"/>
      <c r="S98" s="198"/>
      <c r="T98" s="198"/>
      <c r="U98" s="198"/>
    </row>
    <row r="99" spans="1:33" s="12" customFormat="1" x14ac:dyDescent="0.25">
      <c r="A99" s="215" t="s">
        <v>530</v>
      </c>
      <c r="B99" s="64">
        <v>19.920000000000002</v>
      </c>
      <c r="C99" s="64">
        <v>30.85</v>
      </c>
      <c r="D99" s="64">
        <v>30.72</v>
      </c>
      <c r="E99" s="64">
        <v>5.58</v>
      </c>
      <c r="F99" s="64">
        <v>4.41</v>
      </c>
      <c r="G99" s="64">
        <v>57.8</v>
      </c>
      <c r="H99" s="64">
        <v>29.35</v>
      </c>
      <c r="I99" s="64">
        <v>7.6</v>
      </c>
      <c r="J99" s="64">
        <v>1.75</v>
      </c>
      <c r="K99" s="64">
        <v>125.29</v>
      </c>
      <c r="L99" s="64">
        <v>19.55</v>
      </c>
      <c r="M99" s="64">
        <v>89.29</v>
      </c>
      <c r="N99" s="64">
        <v>36.799999999999997</v>
      </c>
      <c r="O99" s="64">
        <v>0</v>
      </c>
      <c r="P99" s="64">
        <v>0.94</v>
      </c>
      <c r="Q99" s="64">
        <v>8.2200000000000006</v>
      </c>
      <c r="R99" s="198"/>
      <c r="S99" s="198"/>
      <c r="T99" s="198"/>
      <c r="U99" s="198"/>
    </row>
    <row r="100" spans="1:33" s="12" customFormat="1" x14ac:dyDescent="0.25">
      <c r="A100" s="215" t="s">
        <v>531</v>
      </c>
      <c r="B100" s="64">
        <v>19.760000000000002</v>
      </c>
      <c r="C100" s="64">
        <v>34.86</v>
      </c>
      <c r="D100" s="64">
        <v>32.68</v>
      </c>
      <c r="E100" s="64">
        <v>5.95</v>
      </c>
      <c r="F100" s="64">
        <v>3.71</v>
      </c>
      <c r="G100" s="64">
        <v>56.17</v>
      </c>
      <c r="H100" s="64">
        <v>26.3</v>
      </c>
      <c r="I100" s="64">
        <v>7.68</v>
      </c>
      <c r="J100" s="64">
        <v>0.83</v>
      </c>
      <c r="K100" s="64">
        <v>30.96</v>
      </c>
      <c r="L100" s="64">
        <v>19.399999999999999</v>
      </c>
      <c r="M100" s="64">
        <v>90.55</v>
      </c>
      <c r="N100" s="64">
        <v>37</v>
      </c>
      <c r="O100" s="64">
        <v>0</v>
      </c>
      <c r="P100" s="64">
        <v>0.9</v>
      </c>
      <c r="Q100" s="64">
        <v>8.42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532</v>
      </c>
      <c r="B101" s="64">
        <v>20.12</v>
      </c>
      <c r="C101" s="64">
        <v>31.34</v>
      </c>
      <c r="D101" s="64">
        <v>31.13</v>
      </c>
      <c r="E101" s="64">
        <v>5.41</v>
      </c>
      <c r="F101" s="64">
        <v>4.05</v>
      </c>
      <c r="G101" s="64">
        <v>54.92</v>
      </c>
      <c r="H101" s="64">
        <v>25.27</v>
      </c>
      <c r="I101" s="64">
        <v>7.55</v>
      </c>
      <c r="J101" s="64">
        <v>1.45</v>
      </c>
      <c r="K101" s="64">
        <v>116.71</v>
      </c>
      <c r="L101" s="64">
        <v>19.190000000000001</v>
      </c>
      <c r="M101" s="64">
        <v>92.12</v>
      </c>
      <c r="N101" s="64">
        <v>36.9</v>
      </c>
      <c r="O101" s="64">
        <v>0</v>
      </c>
      <c r="P101" s="64">
        <v>0.92</v>
      </c>
      <c r="Q101" s="64">
        <v>8.35</v>
      </c>
      <c r="R101" s="198"/>
      <c r="S101" s="198"/>
      <c r="T101" s="198"/>
      <c r="U101" s="198"/>
    </row>
    <row r="102" spans="1:33" s="12" customFormat="1" x14ac:dyDescent="0.25">
      <c r="A102" s="215" t="s">
        <v>533</v>
      </c>
      <c r="B102" s="64">
        <v>20.18</v>
      </c>
      <c r="C102" s="64">
        <v>35.92</v>
      </c>
      <c r="D102" s="64">
        <v>33.57</v>
      </c>
      <c r="E102" s="64">
        <v>5.71</v>
      </c>
      <c r="F102" s="64">
        <v>3.74</v>
      </c>
      <c r="G102" s="64">
        <v>54.92</v>
      </c>
      <c r="H102" s="64">
        <v>25.27</v>
      </c>
      <c r="I102" s="64">
        <v>6.9</v>
      </c>
      <c r="J102" s="64">
        <v>1.3</v>
      </c>
      <c r="K102" s="64">
        <v>108.74</v>
      </c>
      <c r="L102" s="64">
        <v>18.989999999999998</v>
      </c>
      <c r="M102" s="64">
        <v>93.85</v>
      </c>
      <c r="N102" s="64">
        <v>36.9</v>
      </c>
      <c r="O102" s="64">
        <v>0</v>
      </c>
      <c r="P102" s="64">
        <v>0.89</v>
      </c>
      <c r="Q102" s="64">
        <v>8.39</v>
      </c>
      <c r="R102" s="198"/>
      <c r="S102" s="198"/>
      <c r="T102" s="198"/>
      <c r="U102" s="198"/>
    </row>
    <row r="103" spans="1:33" s="12" customFormat="1" x14ac:dyDescent="0.25">
      <c r="A103" s="215" t="s">
        <v>534</v>
      </c>
      <c r="B103" s="64">
        <v>20.14</v>
      </c>
      <c r="C103" s="64">
        <v>30.75</v>
      </c>
      <c r="D103" s="64">
        <v>30.84</v>
      </c>
      <c r="E103" s="64">
        <v>5.53</v>
      </c>
      <c r="F103" s="64">
        <v>3.99</v>
      </c>
      <c r="G103" s="64">
        <v>54.92</v>
      </c>
      <c r="H103" s="64">
        <v>25.27</v>
      </c>
      <c r="I103" s="64">
        <v>7.18</v>
      </c>
      <c r="J103" s="64">
        <v>0.87</v>
      </c>
      <c r="K103" s="64">
        <v>244.01</v>
      </c>
      <c r="L103" s="64">
        <v>18.86</v>
      </c>
      <c r="M103" s="64">
        <v>94.99</v>
      </c>
      <c r="N103" s="64">
        <v>36.9</v>
      </c>
      <c r="O103" s="64">
        <v>0</v>
      </c>
      <c r="P103" s="64">
        <v>0.9</v>
      </c>
      <c r="Q103" s="64">
        <v>8.23</v>
      </c>
      <c r="R103" s="198"/>
      <c r="S103" s="198"/>
      <c r="T103" s="198"/>
      <c r="U103" s="198"/>
    </row>
    <row r="104" spans="1:33" s="12" customFormat="1" x14ac:dyDescent="0.25">
      <c r="A104" s="215" t="s">
        <v>535</v>
      </c>
      <c r="B104" s="64">
        <v>20.04</v>
      </c>
      <c r="C104" s="64">
        <v>37.43</v>
      </c>
      <c r="D104" s="64">
        <v>34.25</v>
      </c>
      <c r="E104" s="64">
        <v>3.94</v>
      </c>
      <c r="F104" s="64">
        <v>3.81</v>
      </c>
      <c r="G104" s="64">
        <v>55.64</v>
      </c>
      <c r="H104" s="64">
        <v>26.25</v>
      </c>
      <c r="I104" s="64">
        <v>6.96</v>
      </c>
      <c r="J104" s="64">
        <v>1.33</v>
      </c>
      <c r="K104" s="64">
        <v>343.82</v>
      </c>
      <c r="L104" s="64">
        <v>18.579999999999998</v>
      </c>
      <c r="M104" s="64">
        <v>97.43</v>
      </c>
      <c r="N104" s="64">
        <v>37</v>
      </c>
      <c r="O104" s="64">
        <v>0</v>
      </c>
      <c r="P104" s="64">
        <v>0.89</v>
      </c>
      <c r="Q104" s="64">
        <v>8.4600000000000009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10.19</v>
      </c>
      <c r="C106" s="67">
        <f>MIN(C9:C104)</f>
        <v>28.78</v>
      </c>
      <c r="D106" s="67">
        <f t="shared" ref="D106:Q106" si="0">MIN(D9:D104)</f>
        <v>22.93</v>
      </c>
      <c r="E106" s="67">
        <f t="shared" si="0"/>
        <v>3.94</v>
      </c>
      <c r="F106" s="67">
        <f t="shared" si="0"/>
        <v>3.35</v>
      </c>
      <c r="G106" s="67">
        <f t="shared" si="0"/>
        <v>37.369999999999997</v>
      </c>
      <c r="H106" s="67">
        <f t="shared" si="0"/>
        <v>17.350000000000001</v>
      </c>
      <c r="I106" s="67">
        <f t="shared" si="0"/>
        <v>3.13</v>
      </c>
      <c r="J106" s="67">
        <f t="shared" si="0"/>
        <v>0.23</v>
      </c>
      <c r="K106" s="67">
        <f t="shared" si="0"/>
        <v>6.76</v>
      </c>
      <c r="L106" s="67">
        <f t="shared" si="0"/>
        <v>16.190000000000001</v>
      </c>
      <c r="M106" s="67">
        <f t="shared" si="0"/>
        <v>64.430000000000007</v>
      </c>
      <c r="N106" s="67">
        <f t="shared" si="0"/>
        <v>36.6</v>
      </c>
      <c r="O106" s="67">
        <f t="shared" si="0"/>
        <v>0</v>
      </c>
      <c r="P106" s="67">
        <f t="shared" si="0"/>
        <v>0.55000000000000004</v>
      </c>
      <c r="Q106" s="67">
        <f t="shared" si="0"/>
        <v>8.2100000000000009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32.86</v>
      </c>
      <c r="C107" s="66">
        <f t="shared" ref="C107:Q107" si="1">MAX(C9:C104)</f>
        <v>42.65</v>
      </c>
      <c r="D107" s="66">
        <f t="shared" si="1"/>
        <v>43.66</v>
      </c>
      <c r="E107" s="66">
        <f t="shared" si="1"/>
        <v>6.36</v>
      </c>
      <c r="F107" s="66">
        <f t="shared" si="1"/>
        <v>4.8899999999999997</v>
      </c>
      <c r="G107" s="66">
        <f t="shared" si="1"/>
        <v>63.48</v>
      </c>
      <c r="H107" s="66">
        <f t="shared" si="1"/>
        <v>34.450000000000003</v>
      </c>
      <c r="I107" s="66">
        <f t="shared" si="1"/>
        <v>8.69</v>
      </c>
      <c r="J107" s="66">
        <f t="shared" si="1"/>
        <v>4.47</v>
      </c>
      <c r="K107" s="66">
        <f t="shared" si="1"/>
        <v>356.37</v>
      </c>
      <c r="L107" s="66">
        <f t="shared" si="1"/>
        <v>25.26</v>
      </c>
      <c r="M107" s="66">
        <f t="shared" si="1"/>
        <v>103.74</v>
      </c>
      <c r="N107" s="66">
        <f t="shared" si="1"/>
        <v>521.1</v>
      </c>
      <c r="O107" s="66">
        <f t="shared" si="1"/>
        <v>0</v>
      </c>
      <c r="P107" s="66">
        <f t="shared" si="1"/>
        <v>1.1200000000000001</v>
      </c>
      <c r="Q107" s="66">
        <f t="shared" si="1"/>
        <v>10.15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19.628333333333341</v>
      </c>
      <c r="C108" s="67">
        <f t="shared" ref="C108:Q108" si="2">AVERAGE(C9:C104)</f>
        <v>35.391250000000007</v>
      </c>
      <c r="D108" s="67">
        <f t="shared" si="2"/>
        <v>32.854166666666671</v>
      </c>
      <c r="E108" s="67">
        <f t="shared" si="2"/>
        <v>5.2270833333333329</v>
      </c>
      <c r="F108" s="67">
        <f t="shared" si="2"/>
        <v>3.8737500000000016</v>
      </c>
      <c r="G108" s="67">
        <f t="shared" si="2"/>
        <v>51.690833333333359</v>
      </c>
      <c r="H108" s="67">
        <f t="shared" si="2"/>
        <v>25.665729166666662</v>
      </c>
      <c r="I108" s="67">
        <f t="shared" si="2"/>
        <v>6.7531249999999998</v>
      </c>
      <c r="J108" s="67">
        <f t="shared" si="2"/>
        <v>1.7976041666666676</v>
      </c>
      <c r="K108" s="67">
        <f t="shared" si="2"/>
        <v>146.37531249999998</v>
      </c>
      <c r="L108" s="67">
        <f t="shared" si="2"/>
        <v>19.700729166666665</v>
      </c>
      <c r="M108" s="67">
        <f t="shared" si="2"/>
        <v>88.272916666666674</v>
      </c>
      <c r="N108" s="67">
        <f t="shared" si="2"/>
        <v>123.95416666666667</v>
      </c>
      <c r="O108" s="67">
        <f t="shared" si="2"/>
        <v>0</v>
      </c>
      <c r="P108" s="67">
        <f t="shared" si="2"/>
        <v>0.75541666666666674</v>
      </c>
      <c r="Q108" s="67">
        <f t="shared" si="2"/>
        <v>8.6136458333333437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6.0981092266661392</v>
      </c>
      <c r="C109" s="67">
        <f t="shared" ref="C109:Q109" si="3">STDEV(C9:C104)</f>
        <v>2.8757356038338946</v>
      </c>
      <c r="D109" s="67">
        <f t="shared" si="3"/>
        <v>5.0008975334784225</v>
      </c>
      <c r="E109" s="67">
        <f t="shared" si="3"/>
        <v>0.6024911734084516</v>
      </c>
      <c r="F109" s="67">
        <f t="shared" si="3"/>
        <v>0.29967789725847843</v>
      </c>
      <c r="G109" s="67">
        <f t="shared" si="3"/>
        <v>7.3660107987781966</v>
      </c>
      <c r="H109" s="67">
        <f t="shared" si="3"/>
        <v>4.0495659922857588</v>
      </c>
      <c r="I109" s="67">
        <f t="shared" si="3"/>
        <v>1.1248329115683704</v>
      </c>
      <c r="J109" s="67">
        <f t="shared" si="3"/>
        <v>0.98742594103815451</v>
      </c>
      <c r="K109" s="67">
        <f t="shared" si="3"/>
        <v>111.93929355684986</v>
      </c>
      <c r="L109" s="67">
        <f t="shared" si="3"/>
        <v>2.7863608580261872</v>
      </c>
      <c r="M109" s="67">
        <f t="shared" si="3"/>
        <v>12.913126566377969</v>
      </c>
      <c r="N109" s="67">
        <f t="shared" si="3"/>
        <v>137.89487980774697</v>
      </c>
      <c r="O109" s="67">
        <f t="shared" si="3"/>
        <v>0</v>
      </c>
      <c r="P109" s="67">
        <f t="shared" si="3"/>
        <v>0.11805366011550242</v>
      </c>
      <c r="Q109" s="67">
        <f t="shared" si="3"/>
        <v>0.49940621540230712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9" sqref="G11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247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04/12/2024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231</v>
      </c>
      <c r="C7" s="198" t="s">
        <v>232</v>
      </c>
      <c r="D7" s="198" t="s">
        <v>233</v>
      </c>
      <c r="E7" s="198" t="s">
        <v>234</v>
      </c>
      <c r="F7" s="198" t="s">
        <v>235</v>
      </c>
      <c r="G7" s="198" t="s">
        <v>236</v>
      </c>
      <c r="H7" s="198" t="s">
        <v>237</v>
      </c>
      <c r="I7" s="198" t="s">
        <v>238</v>
      </c>
      <c r="J7" s="198" t="s">
        <v>239</v>
      </c>
      <c r="K7" s="198" t="s">
        <v>240</v>
      </c>
      <c r="L7" s="198" t="s">
        <v>241</v>
      </c>
      <c r="M7" s="198" t="s">
        <v>242</v>
      </c>
      <c r="N7" s="198" t="s">
        <v>243</v>
      </c>
      <c r="O7" s="198" t="s">
        <v>244</v>
      </c>
      <c r="P7" s="198" t="s">
        <v>245</v>
      </c>
      <c r="Q7" s="198" t="s">
        <v>246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536</v>
      </c>
      <c r="B9" s="64">
        <v>21.16</v>
      </c>
      <c r="C9" s="64">
        <v>34.659999999999997</v>
      </c>
      <c r="D9" s="64">
        <v>33.700000000000003</v>
      </c>
      <c r="E9" s="64">
        <v>4.2</v>
      </c>
      <c r="F9" s="64">
        <v>3.49</v>
      </c>
      <c r="G9" s="64">
        <v>56.19</v>
      </c>
      <c r="H9" s="64">
        <v>26.59</v>
      </c>
      <c r="I9" s="64">
        <v>6.92</v>
      </c>
      <c r="J9" s="64">
        <v>2</v>
      </c>
      <c r="K9" s="64">
        <v>311.83999999999997</v>
      </c>
      <c r="L9" s="64">
        <v>18.38</v>
      </c>
      <c r="M9" s="64">
        <v>99.49</v>
      </c>
      <c r="N9" s="64">
        <v>37</v>
      </c>
      <c r="O9" s="64">
        <v>0</v>
      </c>
      <c r="P9" s="64">
        <v>0.87</v>
      </c>
      <c r="Q9" s="64">
        <v>8.49</v>
      </c>
      <c r="R9" s="198"/>
      <c r="S9" s="198"/>
      <c r="T9" s="198"/>
      <c r="U9" s="198"/>
    </row>
    <row r="10" spans="1:21" s="12" customFormat="1" x14ac:dyDescent="0.25">
      <c r="A10" s="215" t="s">
        <v>537</v>
      </c>
      <c r="B10" s="64">
        <v>22.27</v>
      </c>
      <c r="C10" s="64">
        <v>33.479999999999997</v>
      </c>
      <c r="D10" s="64">
        <v>33.97</v>
      </c>
      <c r="E10" s="64">
        <v>3.42</v>
      </c>
      <c r="F10" s="64">
        <v>3.73</v>
      </c>
      <c r="G10" s="64">
        <v>56.19</v>
      </c>
      <c r="H10" s="64">
        <v>26.59</v>
      </c>
      <c r="I10" s="64">
        <v>6.69</v>
      </c>
      <c r="J10" s="64">
        <v>1.67</v>
      </c>
      <c r="K10" s="64">
        <v>310.52999999999997</v>
      </c>
      <c r="L10" s="64">
        <v>18.170000000000002</v>
      </c>
      <c r="M10" s="64">
        <v>100.63</v>
      </c>
      <c r="N10" s="64">
        <v>36.9</v>
      </c>
      <c r="O10" s="64">
        <v>0</v>
      </c>
      <c r="P10" s="64">
        <v>0.85</v>
      </c>
      <c r="Q10" s="64">
        <v>8.42</v>
      </c>
      <c r="R10" s="198"/>
      <c r="S10" s="198"/>
      <c r="T10" s="198"/>
      <c r="U10" s="198"/>
    </row>
    <row r="11" spans="1:21" s="12" customFormat="1" x14ac:dyDescent="0.25">
      <c r="A11" s="215" t="s">
        <v>538</v>
      </c>
      <c r="B11" s="64">
        <v>22.8</v>
      </c>
      <c r="C11" s="64">
        <v>33.340000000000003</v>
      </c>
      <c r="D11" s="64">
        <v>34.33</v>
      </c>
      <c r="E11" s="64">
        <v>3.59</v>
      </c>
      <c r="F11" s="64">
        <v>3.4</v>
      </c>
      <c r="G11" s="64">
        <v>56.19</v>
      </c>
      <c r="H11" s="64">
        <v>26.59</v>
      </c>
      <c r="I11" s="64">
        <v>5.56</v>
      </c>
      <c r="J11" s="64">
        <v>0.85</v>
      </c>
      <c r="K11" s="64">
        <v>128.63</v>
      </c>
      <c r="L11" s="64">
        <v>18.32</v>
      </c>
      <c r="M11" s="64">
        <v>98.61</v>
      </c>
      <c r="N11" s="64">
        <v>36.4</v>
      </c>
      <c r="O11" s="64">
        <v>0</v>
      </c>
      <c r="P11" s="64">
        <v>0.79</v>
      </c>
      <c r="Q11" s="64">
        <v>8.4600000000000009</v>
      </c>
      <c r="R11" s="198"/>
      <c r="S11" s="198"/>
      <c r="T11" s="198"/>
      <c r="U11" s="198"/>
    </row>
    <row r="12" spans="1:21" s="12" customFormat="1" x14ac:dyDescent="0.25">
      <c r="A12" s="215" t="s">
        <v>539</v>
      </c>
      <c r="B12" s="64">
        <v>22.84</v>
      </c>
      <c r="C12" s="64">
        <v>33.42</v>
      </c>
      <c r="D12" s="64">
        <v>34.4</v>
      </c>
      <c r="E12" s="64">
        <v>3.76</v>
      </c>
      <c r="F12" s="64">
        <v>3.57</v>
      </c>
      <c r="G12" s="64">
        <v>56.26</v>
      </c>
      <c r="H12" s="64">
        <v>25.68</v>
      </c>
      <c r="I12" s="64">
        <v>5.27</v>
      </c>
      <c r="J12" s="64">
        <v>2.44</v>
      </c>
      <c r="K12" s="64">
        <v>107.78</v>
      </c>
      <c r="L12" s="64">
        <v>18.63</v>
      </c>
      <c r="M12" s="64">
        <v>96.14</v>
      </c>
      <c r="N12" s="64">
        <v>36.200000000000003</v>
      </c>
      <c r="O12" s="64">
        <v>0</v>
      </c>
      <c r="P12" s="64">
        <v>0.8</v>
      </c>
      <c r="Q12" s="64">
        <v>8.6300000000000008</v>
      </c>
      <c r="R12" s="198"/>
      <c r="S12" s="198"/>
      <c r="T12" s="198"/>
      <c r="U12" s="198"/>
    </row>
    <row r="13" spans="1:21" s="12" customFormat="1" x14ac:dyDescent="0.25">
      <c r="A13" s="215" t="s">
        <v>540</v>
      </c>
      <c r="B13" s="64">
        <v>22.68</v>
      </c>
      <c r="C13" s="64">
        <v>33.700000000000003</v>
      </c>
      <c r="D13" s="64">
        <v>34.42</v>
      </c>
      <c r="E13" s="64">
        <v>4</v>
      </c>
      <c r="F13" s="64">
        <v>3.75</v>
      </c>
      <c r="G13" s="64">
        <v>56.31</v>
      </c>
      <c r="H13" s="64">
        <v>25.38</v>
      </c>
      <c r="I13" s="64">
        <v>4.99</v>
      </c>
      <c r="J13" s="64">
        <v>2.5299999999999998</v>
      </c>
      <c r="K13" s="64">
        <v>115.19</v>
      </c>
      <c r="L13" s="64">
        <v>18.63</v>
      </c>
      <c r="M13" s="64">
        <v>96.27</v>
      </c>
      <c r="N13" s="64">
        <v>36.6</v>
      </c>
      <c r="O13" s="64">
        <v>0</v>
      </c>
      <c r="P13" s="64">
        <v>0.72</v>
      </c>
      <c r="Q13" s="64">
        <v>8.7899999999999991</v>
      </c>
      <c r="R13" s="198"/>
      <c r="S13" s="198"/>
      <c r="T13" s="198"/>
      <c r="U13" s="198"/>
    </row>
    <row r="14" spans="1:21" s="12" customFormat="1" x14ac:dyDescent="0.25">
      <c r="A14" s="215" t="s">
        <v>541</v>
      </c>
      <c r="B14" s="64">
        <v>22.33</v>
      </c>
      <c r="C14" s="64">
        <v>33.42</v>
      </c>
      <c r="D14" s="64">
        <v>33.99</v>
      </c>
      <c r="E14" s="64">
        <v>4.0599999999999996</v>
      </c>
      <c r="F14" s="64">
        <v>3.76</v>
      </c>
      <c r="G14" s="64">
        <v>56.31</v>
      </c>
      <c r="H14" s="64">
        <v>25.38</v>
      </c>
      <c r="I14" s="64">
        <v>5.46</v>
      </c>
      <c r="J14" s="64">
        <v>0.25</v>
      </c>
      <c r="K14" s="64">
        <v>329.14</v>
      </c>
      <c r="L14" s="64">
        <v>18.39</v>
      </c>
      <c r="M14" s="64">
        <v>98.16</v>
      </c>
      <c r="N14" s="64">
        <v>37</v>
      </c>
      <c r="O14" s="64">
        <v>0</v>
      </c>
      <c r="P14" s="64">
        <v>0.78</v>
      </c>
      <c r="Q14" s="64">
        <v>8.82</v>
      </c>
      <c r="R14" s="198"/>
      <c r="S14" s="198"/>
      <c r="T14" s="198"/>
      <c r="U14" s="198"/>
    </row>
    <row r="15" spans="1:21" s="12" customFormat="1" x14ac:dyDescent="0.25">
      <c r="A15" s="215" t="s">
        <v>542</v>
      </c>
      <c r="B15" s="64">
        <v>21.93</v>
      </c>
      <c r="C15" s="64">
        <v>33.229999999999997</v>
      </c>
      <c r="D15" s="64">
        <v>33.57</v>
      </c>
      <c r="E15" s="64">
        <v>3.69</v>
      </c>
      <c r="F15" s="64">
        <v>3.7</v>
      </c>
      <c r="G15" s="64">
        <v>56.31</v>
      </c>
      <c r="H15" s="64">
        <v>25.38</v>
      </c>
      <c r="I15" s="64">
        <v>5.38</v>
      </c>
      <c r="J15" s="64">
        <v>1.63</v>
      </c>
      <c r="K15" s="64">
        <v>131.63</v>
      </c>
      <c r="L15" s="64">
        <v>18.260000000000002</v>
      </c>
      <c r="M15" s="64">
        <v>99.07</v>
      </c>
      <c r="N15" s="64">
        <v>36.6</v>
      </c>
      <c r="O15" s="64">
        <v>0</v>
      </c>
      <c r="P15" s="64">
        <v>0.73</v>
      </c>
      <c r="Q15" s="64">
        <v>8.8000000000000007</v>
      </c>
      <c r="R15" s="198"/>
      <c r="S15" s="198"/>
      <c r="T15" s="198"/>
      <c r="U15" s="198"/>
    </row>
    <row r="16" spans="1:21" s="12" customFormat="1" x14ac:dyDescent="0.25">
      <c r="A16" s="215" t="s">
        <v>543</v>
      </c>
      <c r="B16" s="64">
        <v>21.68</v>
      </c>
      <c r="C16" s="64">
        <v>32.5</v>
      </c>
      <c r="D16" s="64">
        <v>32.99</v>
      </c>
      <c r="E16" s="64">
        <v>3.93</v>
      </c>
      <c r="F16" s="64">
        <v>3.6</v>
      </c>
      <c r="G16" s="64">
        <v>54.84</v>
      </c>
      <c r="H16" s="64">
        <v>26.72</v>
      </c>
      <c r="I16" s="64">
        <v>5.18</v>
      </c>
      <c r="J16" s="64">
        <v>1.65</v>
      </c>
      <c r="K16" s="64">
        <v>326.62</v>
      </c>
      <c r="L16" s="64">
        <v>18.16</v>
      </c>
      <c r="M16" s="64">
        <v>100.11</v>
      </c>
      <c r="N16" s="64">
        <v>37</v>
      </c>
      <c r="O16" s="64">
        <v>0</v>
      </c>
      <c r="P16" s="64">
        <v>0.77</v>
      </c>
      <c r="Q16" s="64">
        <v>8.77</v>
      </c>
      <c r="R16" s="198"/>
      <c r="S16" s="198"/>
      <c r="T16" s="198"/>
      <c r="U16" s="198"/>
    </row>
    <row r="17" spans="1:21" s="12" customFormat="1" x14ac:dyDescent="0.25">
      <c r="A17" s="215" t="s">
        <v>544</v>
      </c>
      <c r="B17" s="64">
        <v>21.47</v>
      </c>
      <c r="C17" s="64">
        <v>36</v>
      </c>
      <c r="D17" s="64">
        <v>34.65</v>
      </c>
      <c r="E17" s="64">
        <v>3.86</v>
      </c>
      <c r="F17" s="64">
        <v>4.16</v>
      </c>
      <c r="G17" s="64">
        <v>53.71</v>
      </c>
      <c r="H17" s="64">
        <v>27.57</v>
      </c>
      <c r="I17" s="64">
        <v>5.51</v>
      </c>
      <c r="J17" s="64">
        <v>0.96</v>
      </c>
      <c r="K17" s="64">
        <v>79.59</v>
      </c>
      <c r="L17" s="64">
        <v>17.940000000000001</v>
      </c>
      <c r="M17" s="64">
        <v>101.48</v>
      </c>
      <c r="N17" s="64">
        <v>37</v>
      </c>
      <c r="O17" s="64">
        <v>0</v>
      </c>
      <c r="P17" s="64">
        <v>0.81</v>
      </c>
      <c r="Q17" s="64">
        <v>8.8000000000000007</v>
      </c>
      <c r="R17" s="198"/>
      <c r="S17" s="198"/>
      <c r="T17" s="198"/>
      <c r="U17" s="198"/>
    </row>
    <row r="18" spans="1:21" s="12" customFormat="1" x14ac:dyDescent="0.25">
      <c r="A18" s="215" t="s">
        <v>545</v>
      </c>
      <c r="B18" s="64">
        <v>21.03</v>
      </c>
      <c r="C18" s="64">
        <v>36.6</v>
      </c>
      <c r="D18" s="64">
        <v>34.61</v>
      </c>
      <c r="E18" s="64">
        <v>3.84</v>
      </c>
      <c r="F18" s="64">
        <v>3.19</v>
      </c>
      <c r="G18" s="64">
        <v>53.71</v>
      </c>
      <c r="H18" s="64">
        <v>27.57</v>
      </c>
      <c r="I18" s="64">
        <v>5.8</v>
      </c>
      <c r="J18" s="64">
        <v>2.11</v>
      </c>
      <c r="K18" s="64">
        <v>115.28</v>
      </c>
      <c r="L18" s="64">
        <v>17.87</v>
      </c>
      <c r="M18" s="64">
        <v>102.16</v>
      </c>
      <c r="N18" s="64">
        <v>36.6</v>
      </c>
      <c r="O18" s="64">
        <v>0</v>
      </c>
      <c r="P18" s="64">
        <v>0.79</v>
      </c>
      <c r="Q18" s="64">
        <v>8.82</v>
      </c>
      <c r="R18" s="198"/>
      <c r="S18" s="198"/>
      <c r="T18" s="198"/>
      <c r="U18" s="198"/>
    </row>
    <row r="19" spans="1:21" s="12" customFormat="1" x14ac:dyDescent="0.25">
      <c r="A19" s="215" t="s">
        <v>546</v>
      </c>
      <c r="B19" s="64">
        <v>20.49</v>
      </c>
      <c r="C19" s="64">
        <v>31.29</v>
      </c>
      <c r="D19" s="64">
        <v>31.4</v>
      </c>
      <c r="E19" s="64">
        <v>3.52</v>
      </c>
      <c r="F19" s="64">
        <v>4.55</v>
      </c>
      <c r="G19" s="64">
        <v>53.71</v>
      </c>
      <c r="H19" s="64">
        <v>27.57</v>
      </c>
      <c r="I19" s="64">
        <v>6.76</v>
      </c>
      <c r="J19" s="64">
        <v>0.76</v>
      </c>
      <c r="K19" s="64">
        <v>47.17</v>
      </c>
      <c r="L19" s="64">
        <v>17.829999999999998</v>
      </c>
      <c r="M19" s="64">
        <v>102.51</v>
      </c>
      <c r="N19" s="64">
        <v>36.9</v>
      </c>
      <c r="O19" s="64">
        <v>0</v>
      </c>
      <c r="P19" s="64">
        <v>0.77</v>
      </c>
      <c r="Q19" s="64">
        <v>8.61</v>
      </c>
      <c r="R19" s="198"/>
      <c r="S19" s="198"/>
      <c r="T19" s="198"/>
      <c r="U19" s="198"/>
    </row>
    <row r="20" spans="1:21" s="12" customFormat="1" x14ac:dyDescent="0.25">
      <c r="A20" s="215" t="s">
        <v>547</v>
      </c>
      <c r="B20" s="64">
        <v>19.899999999999999</v>
      </c>
      <c r="C20" s="64">
        <v>34.549999999999997</v>
      </c>
      <c r="D20" s="64">
        <v>32.630000000000003</v>
      </c>
      <c r="E20" s="64">
        <v>3.97</v>
      </c>
      <c r="F20" s="64">
        <v>2.76</v>
      </c>
      <c r="G20" s="64">
        <v>51.11</v>
      </c>
      <c r="H20" s="64">
        <v>27.06</v>
      </c>
      <c r="I20" s="64">
        <v>6.84</v>
      </c>
      <c r="J20" s="64">
        <v>1.24</v>
      </c>
      <c r="K20" s="64">
        <v>98.73</v>
      </c>
      <c r="L20" s="64">
        <v>17.72</v>
      </c>
      <c r="M20" s="64">
        <v>102.89</v>
      </c>
      <c r="N20" s="64">
        <v>36.700000000000003</v>
      </c>
      <c r="O20" s="64">
        <v>0</v>
      </c>
      <c r="P20" s="64">
        <v>0.76</v>
      </c>
      <c r="Q20" s="64">
        <v>8.57</v>
      </c>
      <c r="R20" s="198"/>
      <c r="S20" s="198"/>
      <c r="T20" s="198"/>
      <c r="U20" s="198"/>
    </row>
    <row r="21" spans="1:21" s="12" customFormat="1" x14ac:dyDescent="0.25">
      <c r="A21" s="215" t="s">
        <v>548</v>
      </c>
      <c r="B21" s="64">
        <v>19.399999999999999</v>
      </c>
      <c r="C21" s="64">
        <v>28.32</v>
      </c>
      <c r="D21" s="64">
        <v>28.98</v>
      </c>
      <c r="E21" s="64">
        <v>3.78</v>
      </c>
      <c r="F21" s="64">
        <v>4.4000000000000004</v>
      </c>
      <c r="G21" s="64">
        <v>49.11</v>
      </c>
      <c r="H21" s="64">
        <v>26.89</v>
      </c>
      <c r="I21" s="64">
        <v>6.7</v>
      </c>
      <c r="J21" s="64">
        <v>0.8</v>
      </c>
      <c r="K21" s="64">
        <v>1.07</v>
      </c>
      <c r="L21" s="64">
        <v>17.72</v>
      </c>
      <c r="M21" s="64">
        <v>102.91</v>
      </c>
      <c r="N21" s="64">
        <v>36.6</v>
      </c>
      <c r="O21" s="64">
        <v>0</v>
      </c>
      <c r="P21" s="64">
        <v>0.75</v>
      </c>
      <c r="Q21" s="64">
        <v>8.3800000000000008</v>
      </c>
      <c r="R21" s="198"/>
      <c r="S21" s="198"/>
      <c r="T21" s="198"/>
      <c r="U21" s="198"/>
    </row>
    <row r="22" spans="1:21" s="12" customFormat="1" x14ac:dyDescent="0.25">
      <c r="A22" s="215" t="s">
        <v>549</v>
      </c>
      <c r="B22" s="64">
        <v>19.010000000000002</v>
      </c>
      <c r="C22" s="64">
        <v>34.72</v>
      </c>
      <c r="D22" s="64">
        <v>32.01</v>
      </c>
      <c r="E22" s="64">
        <v>3.6</v>
      </c>
      <c r="F22" s="64">
        <v>3.46</v>
      </c>
      <c r="G22" s="64">
        <v>49.11</v>
      </c>
      <c r="H22" s="64">
        <v>26.89</v>
      </c>
      <c r="I22" s="64">
        <v>6.54</v>
      </c>
      <c r="J22" s="64">
        <v>0.8</v>
      </c>
      <c r="K22" s="64">
        <v>38.840000000000003</v>
      </c>
      <c r="L22" s="64">
        <v>17.64</v>
      </c>
      <c r="M22" s="64">
        <v>103.18</v>
      </c>
      <c r="N22" s="64">
        <v>36.799999999999997</v>
      </c>
      <c r="O22" s="64">
        <v>0</v>
      </c>
      <c r="P22" s="64">
        <v>0.73</v>
      </c>
      <c r="Q22" s="64">
        <v>8.39</v>
      </c>
      <c r="R22" s="198"/>
      <c r="S22" s="198"/>
      <c r="T22" s="198"/>
      <c r="U22" s="198"/>
    </row>
    <row r="23" spans="1:21" s="12" customFormat="1" x14ac:dyDescent="0.25">
      <c r="A23" s="215" t="s">
        <v>550</v>
      </c>
      <c r="B23" s="64">
        <v>18.940000000000001</v>
      </c>
      <c r="C23" s="64">
        <v>29.64</v>
      </c>
      <c r="D23" s="64">
        <v>29.3</v>
      </c>
      <c r="E23" s="64">
        <v>3.83</v>
      </c>
      <c r="F23" s="64">
        <v>4.3499999999999996</v>
      </c>
      <c r="G23" s="64">
        <v>49.11</v>
      </c>
      <c r="H23" s="64">
        <v>26.89</v>
      </c>
      <c r="I23" s="64">
        <v>6.38</v>
      </c>
      <c r="J23" s="64">
        <v>1.1399999999999999</v>
      </c>
      <c r="K23" s="64">
        <v>103.7</v>
      </c>
      <c r="L23" s="64">
        <v>17.559999999999999</v>
      </c>
      <c r="M23" s="64">
        <v>103.19</v>
      </c>
      <c r="N23" s="64">
        <v>36.6</v>
      </c>
      <c r="O23" s="64">
        <v>0</v>
      </c>
      <c r="P23" s="64">
        <v>0.72</v>
      </c>
      <c r="Q23" s="64">
        <v>8.32</v>
      </c>
      <c r="R23" s="198"/>
      <c r="S23" s="198"/>
      <c r="T23" s="198"/>
      <c r="U23" s="198"/>
    </row>
    <row r="24" spans="1:21" s="12" customFormat="1" x14ac:dyDescent="0.25">
      <c r="A24" s="215" t="s">
        <v>551</v>
      </c>
      <c r="B24" s="64">
        <v>18.57</v>
      </c>
      <c r="C24" s="64">
        <v>34.53</v>
      </c>
      <c r="D24" s="64">
        <v>31.56</v>
      </c>
      <c r="E24" s="64">
        <v>3.57</v>
      </c>
      <c r="F24" s="64">
        <v>3.1</v>
      </c>
      <c r="G24" s="64">
        <v>47.88</v>
      </c>
      <c r="H24" s="64">
        <v>26.52</v>
      </c>
      <c r="I24" s="64">
        <v>6.21</v>
      </c>
      <c r="J24" s="64">
        <v>2.02</v>
      </c>
      <c r="K24" s="64">
        <v>342.02</v>
      </c>
      <c r="L24" s="64">
        <v>17.46</v>
      </c>
      <c r="M24" s="64">
        <v>103.35</v>
      </c>
      <c r="N24" s="64">
        <v>36.9</v>
      </c>
      <c r="O24" s="64">
        <v>0</v>
      </c>
      <c r="P24" s="64">
        <v>0.71</v>
      </c>
      <c r="Q24" s="64">
        <v>8.34</v>
      </c>
      <c r="R24" s="198"/>
      <c r="S24" s="198"/>
      <c r="T24" s="198"/>
      <c r="U24" s="198"/>
    </row>
    <row r="25" spans="1:21" s="12" customFormat="1" x14ac:dyDescent="0.25">
      <c r="A25" s="215" t="s">
        <v>552</v>
      </c>
      <c r="B25" s="64">
        <v>19.03</v>
      </c>
      <c r="C25" s="64">
        <v>30.2</v>
      </c>
      <c r="D25" s="64">
        <v>29.66</v>
      </c>
      <c r="E25" s="64">
        <v>3.95</v>
      </c>
      <c r="F25" s="64">
        <v>4.12</v>
      </c>
      <c r="G25" s="64">
        <v>46.93</v>
      </c>
      <c r="H25" s="64">
        <v>26.4</v>
      </c>
      <c r="I25" s="64">
        <v>6.05</v>
      </c>
      <c r="J25" s="64">
        <v>1.73</v>
      </c>
      <c r="K25" s="64">
        <v>346.99</v>
      </c>
      <c r="L25" s="64">
        <v>17.09</v>
      </c>
      <c r="M25" s="64">
        <v>103.36</v>
      </c>
      <c r="N25" s="64">
        <v>37</v>
      </c>
      <c r="O25" s="64">
        <v>0</v>
      </c>
      <c r="P25" s="64">
        <v>0.71</v>
      </c>
      <c r="Q25" s="64">
        <v>8.3000000000000007</v>
      </c>
      <c r="R25" s="198"/>
      <c r="S25" s="198"/>
      <c r="T25" s="198"/>
      <c r="U25" s="198"/>
    </row>
    <row r="26" spans="1:21" s="12" customFormat="1" x14ac:dyDescent="0.25">
      <c r="A26" s="215" t="s">
        <v>553</v>
      </c>
      <c r="B26" s="64">
        <v>19.93</v>
      </c>
      <c r="C26" s="64">
        <v>35.46</v>
      </c>
      <c r="D26" s="64">
        <v>33.130000000000003</v>
      </c>
      <c r="E26" s="64">
        <v>3.94</v>
      </c>
      <c r="F26" s="64">
        <v>3.46</v>
      </c>
      <c r="G26" s="64">
        <v>46.93</v>
      </c>
      <c r="H26" s="64">
        <v>26.4</v>
      </c>
      <c r="I26" s="64">
        <v>5.83</v>
      </c>
      <c r="J26" s="64">
        <v>2.17</v>
      </c>
      <c r="K26" s="64">
        <v>322.08999999999997</v>
      </c>
      <c r="L26" s="64">
        <v>16.93</v>
      </c>
      <c r="M26" s="64">
        <v>103.38</v>
      </c>
      <c r="N26" s="64">
        <v>36.6</v>
      </c>
      <c r="O26" s="64">
        <v>0</v>
      </c>
      <c r="P26" s="64">
        <v>0.7</v>
      </c>
      <c r="Q26" s="64">
        <v>8.44</v>
      </c>
      <c r="R26" s="198"/>
      <c r="S26" s="198"/>
      <c r="T26" s="198"/>
      <c r="U26" s="198"/>
    </row>
    <row r="27" spans="1:21" s="12" customFormat="1" x14ac:dyDescent="0.25">
      <c r="A27" s="215" t="s">
        <v>554</v>
      </c>
      <c r="B27" s="64">
        <v>20.79</v>
      </c>
      <c r="C27" s="64">
        <v>29.7</v>
      </c>
      <c r="D27" s="64">
        <v>30.81</v>
      </c>
      <c r="E27" s="64">
        <v>3.87</v>
      </c>
      <c r="F27" s="64">
        <v>3.69</v>
      </c>
      <c r="G27" s="64">
        <v>46.93</v>
      </c>
      <c r="H27" s="64">
        <v>26.4</v>
      </c>
      <c r="I27" s="64">
        <v>5.76</v>
      </c>
      <c r="J27" s="64">
        <v>2.37</v>
      </c>
      <c r="K27" s="64">
        <v>350.52</v>
      </c>
      <c r="L27" s="64">
        <v>17.12</v>
      </c>
      <c r="M27" s="64">
        <v>103.36</v>
      </c>
      <c r="N27" s="64">
        <v>36.5</v>
      </c>
      <c r="O27" s="64">
        <v>0</v>
      </c>
      <c r="P27" s="64">
        <v>0.66</v>
      </c>
      <c r="Q27" s="64">
        <v>8.42</v>
      </c>
      <c r="R27" s="198"/>
      <c r="S27" s="198"/>
      <c r="T27" s="198"/>
      <c r="U27" s="198"/>
    </row>
    <row r="28" spans="1:21" s="12" customFormat="1" x14ac:dyDescent="0.25">
      <c r="A28" s="215" t="s">
        <v>555</v>
      </c>
      <c r="B28" s="64">
        <v>21.24</v>
      </c>
      <c r="C28" s="64">
        <v>28.8</v>
      </c>
      <c r="D28" s="64">
        <v>30.7</v>
      </c>
      <c r="E28" s="64">
        <v>4.1399999999999997</v>
      </c>
      <c r="F28" s="64">
        <v>3.55</v>
      </c>
      <c r="G28" s="64">
        <v>53.65</v>
      </c>
      <c r="H28" s="64">
        <v>27.57</v>
      </c>
      <c r="I28" s="64">
        <v>4.6900000000000004</v>
      </c>
      <c r="J28" s="64">
        <v>2.62</v>
      </c>
      <c r="K28" s="64">
        <v>347.74</v>
      </c>
      <c r="L28" s="64">
        <v>17.21</v>
      </c>
      <c r="M28" s="64">
        <v>103.35</v>
      </c>
      <c r="N28" s="64">
        <v>36.700000000000003</v>
      </c>
      <c r="O28" s="64">
        <v>0</v>
      </c>
      <c r="P28" s="64">
        <v>0.68</v>
      </c>
      <c r="Q28" s="64">
        <v>8.32</v>
      </c>
      <c r="R28" s="198"/>
      <c r="S28" s="198"/>
      <c r="T28" s="198"/>
      <c r="U28" s="198"/>
    </row>
    <row r="29" spans="1:21" s="12" customFormat="1" x14ac:dyDescent="0.25">
      <c r="A29" s="215" t="s">
        <v>556</v>
      </c>
      <c r="B29" s="64">
        <v>21.49</v>
      </c>
      <c r="C29" s="64">
        <v>29.29</v>
      </c>
      <c r="D29" s="64">
        <v>31.16</v>
      </c>
      <c r="E29" s="64">
        <v>3.78</v>
      </c>
      <c r="F29" s="64">
        <v>3.48</v>
      </c>
      <c r="G29" s="64">
        <v>58.78</v>
      </c>
      <c r="H29" s="64">
        <v>27.96</v>
      </c>
      <c r="I29" s="64">
        <v>4.3</v>
      </c>
      <c r="J29" s="64">
        <v>2.61</v>
      </c>
      <c r="K29" s="64">
        <v>344.5</v>
      </c>
      <c r="L29" s="64">
        <v>17.010000000000002</v>
      </c>
      <c r="M29" s="64">
        <v>103.35</v>
      </c>
      <c r="N29" s="64">
        <v>36.6</v>
      </c>
      <c r="O29" s="64">
        <v>0</v>
      </c>
      <c r="P29" s="64">
        <v>0.68</v>
      </c>
      <c r="Q29" s="64">
        <v>8.43</v>
      </c>
      <c r="R29" s="198"/>
      <c r="S29" s="198"/>
      <c r="T29" s="198"/>
      <c r="U29" s="198"/>
    </row>
    <row r="30" spans="1:21" s="12" customFormat="1" x14ac:dyDescent="0.25">
      <c r="A30" s="215" t="s">
        <v>557</v>
      </c>
      <c r="B30" s="64">
        <v>21.82</v>
      </c>
      <c r="C30" s="64">
        <v>29.74</v>
      </c>
      <c r="D30" s="64">
        <v>31.66</v>
      </c>
      <c r="E30" s="64">
        <v>4.07</v>
      </c>
      <c r="F30" s="64">
        <v>3.74</v>
      </c>
      <c r="G30" s="64">
        <v>58.78</v>
      </c>
      <c r="H30" s="64">
        <v>27.96</v>
      </c>
      <c r="I30" s="64">
        <v>4.78</v>
      </c>
      <c r="J30" s="64">
        <v>1.18</v>
      </c>
      <c r="K30" s="64">
        <v>334.82</v>
      </c>
      <c r="L30" s="64">
        <v>16.829999999999998</v>
      </c>
      <c r="M30" s="64">
        <v>103.35</v>
      </c>
      <c r="N30" s="64">
        <v>36.700000000000003</v>
      </c>
      <c r="O30" s="64">
        <v>0</v>
      </c>
      <c r="P30" s="64">
        <v>0.68</v>
      </c>
      <c r="Q30" s="64">
        <v>8.57</v>
      </c>
      <c r="R30" s="198"/>
      <c r="S30" s="198"/>
      <c r="T30" s="198"/>
      <c r="U30" s="198"/>
    </row>
    <row r="31" spans="1:21" s="12" customFormat="1" x14ac:dyDescent="0.25">
      <c r="A31" s="215" t="s">
        <v>558</v>
      </c>
      <c r="B31" s="64">
        <v>22.29</v>
      </c>
      <c r="C31" s="64">
        <v>30.02</v>
      </c>
      <c r="D31" s="64">
        <v>32.19</v>
      </c>
      <c r="E31" s="64">
        <v>4.0199999999999996</v>
      </c>
      <c r="F31" s="64">
        <v>4.0199999999999996</v>
      </c>
      <c r="G31" s="64">
        <v>58.78</v>
      </c>
      <c r="H31" s="64">
        <v>27.96</v>
      </c>
      <c r="I31" s="64">
        <v>4.84</v>
      </c>
      <c r="J31" s="64">
        <v>2.66</v>
      </c>
      <c r="K31" s="64">
        <v>345.6</v>
      </c>
      <c r="L31" s="64">
        <v>16.71</v>
      </c>
      <c r="M31" s="64">
        <v>103.35</v>
      </c>
      <c r="N31" s="64">
        <v>36.6</v>
      </c>
      <c r="O31" s="64">
        <v>0</v>
      </c>
      <c r="P31" s="64">
        <v>0.69</v>
      </c>
      <c r="Q31" s="64">
        <v>8.67</v>
      </c>
      <c r="R31" s="198"/>
      <c r="S31" s="198"/>
      <c r="T31" s="198"/>
      <c r="U31" s="198"/>
    </row>
    <row r="32" spans="1:21" s="12" customFormat="1" x14ac:dyDescent="0.25">
      <c r="A32" s="215" t="s">
        <v>559</v>
      </c>
      <c r="B32" s="64">
        <v>22.9</v>
      </c>
      <c r="C32" s="64">
        <v>30.54</v>
      </c>
      <c r="D32" s="64">
        <v>32.94</v>
      </c>
      <c r="E32" s="64">
        <v>4.0599999999999996</v>
      </c>
      <c r="F32" s="64">
        <v>3.47</v>
      </c>
      <c r="G32" s="64">
        <v>56.01</v>
      </c>
      <c r="H32" s="64">
        <v>27.94</v>
      </c>
      <c r="I32" s="64">
        <v>4.78</v>
      </c>
      <c r="J32" s="64">
        <v>2.38</v>
      </c>
      <c r="K32" s="64">
        <v>343.09</v>
      </c>
      <c r="L32" s="64">
        <v>16.670000000000002</v>
      </c>
      <c r="M32" s="64">
        <v>103.35</v>
      </c>
      <c r="N32" s="64">
        <v>36.5</v>
      </c>
      <c r="O32" s="64">
        <v>0</v>
      </c>
      <c r="P32" s="64">
        <v>0.69</v>
      </c>
      <c r="Q32" s="64">
        <v>8.77</v>
      </c>
      <c r="R32" s="198"/>
      <c r="S32" s="198"/>
      <c r="T32" s="198"/>
      <c r="U32" s="198"/>
    </row>
    <row r="33" spans="1:21" s="12" customFormat="1" x14ac:dyDescent="0.25">
      <c r="A33" s="215" t="s">
        <v>560</v>
      </c>
      <c r="B33" s="64">
        <v>23.81</v>
      </c>
      <c r="C33" s="64">
        <v>30.83</v>
      </c>
      <c r="D33" s="64">
        <v>33.83</v>
      </c>
      <c r="E33" s="64">
        <v>4.32</v>
      </c>
      <c r="F33" s="64">
        <v>3.94</v>
      </c>
      <c r="G33" s="64">
        <v>53.89</v>
      </c>
      <c r="H33" s="64">
        <v>27.92</v>
      </c>
      <c r="I33" s="64">
        <v>4.58</v>
      </c>
      <c r="J33" s="64">
        <v>1.85</v>
      </c>
      <c r="K33" s="64">
        <v>341.25</v>
      </c>
      <c r="L33" s="64">
        <v>16.66</v>
      </c>
      <c r="M33" s="64">
        <v>103.36</v>
      </c>
      <c r="N33" s="64">
        <v>36.799999999999997</v>
      </c>
      <c r="O33" s="64">
        <v>0</v>
      </c>
      <c r="P33" s="64">
        <v>0.69</v>
      </c>
      <c r="Q33" s="64">
        <v>8.85</v>
      </c>
      <c r="R33" s="198"/>
      <c r="S33" s="198"/>
      <c r="T33" s="198"/>
      <c r="U33" s="198"/>
    </row>
    <row r="34" spans="1:21" s="12" customFormat="1" x14ac:dyDescent="0.25">
      <c r="A34" s="215" t="s">
        <v>561</v>
      </c>
      <c r="B34" s="64">
        <v>24.69</v>
      </c>
      <c r="C34" s="64">
        <v>32.409999999999997</v>
      </c>
      <c r="D34" s="64">
        <v>35.35</v>
      </c>
      <c r="E34" s="64">
        <v>4.2699999999999996</v>
      </c>
      <c r="F34" s="64">
        <v>4.21</v>
      </c>
      <c r="G34" s="64">
        <v>53.89</v>
      </c>
      <c r="H34" s="64">
        <v>27.92</v>
      </c>
      <c r="I34" s="64">
        <v>4.9000000000000004</v>
      </c>
      <c r="J34" s="64">
        <v>2.56</v>
      </c>
      <c r="K34" s="64">
        <v>337.84</v>
      </c>
      <c r="L34" s="64">
        <v>16.62</v>
      </c>
      <c r="M34" s="64">
        <v>103.39</v>
      </c>
      <c r="N34" s="64">
        <v>39.1</v>
      </c>
      <c r="O34" s="64">
        <v>0</v>
      </c>
      <c r="P34" s="64">
        <v>0.7</v>
      </c>
      <c r="Q34" s="64">
        <v>8.9700000000000006</v>
      </c>
      <c r="R34" s="198"/>
      <c r="S34" s="198"/>
      <c r="T34" s="198"/>
      <c r="U34" s="198"/>
    </row>
    <row r="35" spans="1:21" s="12" customFormat="1" x14ac:dyDescent="0.25">
      <c r="A35" s="215" t="s">
        <v>562</v>
      </c>
      <c r="B35" s="64">
        <v>25.54</v>
      </c>
      <c r="C35" s="64">
        <v>30.98</v>
      </c>
      <c r="D35" s="64">
        <v>35.29</v>
      </c>
      <c r="E35" s="64">
        <v>4.05</v>
      </c>
      <c r="F35" s="64">
        <v>3.83</v>
      </c>
      <c r="G35" s="64">
        <v>53.89</v>
      </c>
      <c r="H35" s="64">
        <v>27.92</v>
      </c>
      <c r="I35" s="64">
        <v>5.21</v>
      </c>
      <c r="J35" s="64">
        <v>0.66</v>
      </c>
      <c r="K35" s="64">
        <v>336.87</v>
      </c>
      <c r="L35" s="64">
        <v>16.55</v>
      </c>
      <c r="M35" s="64">
        <v>103.38</v>
      </c>
      <c r="N35" s="64">
        <v>45.8</v>
      </c>
      <c r="O35" s="64">
        <v>0</v>
      </c>
      <c r="P35" s="64">
        <v>0.7</v>
      </c>
      <c r="Q35" s="64">
        <v>8.8800000000000008</v>
      </c>
      <c r="R35" s="198"/>
      <c r="S35" s="198"/>
      <c r="T35" s="198"/>
      <c r="U35" s="198"/>
    </row>
    <row r="36" spans="1:21" s="12" customFormat="1" x14ac:dyDescent="0.25">
      <c r="A36" s="215" t="s">
        <v>563</v>
      </c>
      <c r="B36" s="64">
        <v>25.86</v>
      </c>
      <c r="C36" s="64">
        <v>31.09</v>
      </c>
      <c r="D36" s="64">
        <v>35.6</v>
      </c>
      <c r="E36" s="64">
        <v>3.85</v>
      </c>
      <c r="F36" s="64">
        <v>4.33</v>
      </c>
      <c r="G36" s="64">
        <v>57.48</v>
      </c>
      <c r="H36" s="64">
        <v>28.79</v>
      </c>
      <c r="I36" s="64">
        <v>5.43</v>
      </c>
      <c r="J36" s="64">
        <v>1.55</v>
      </c>
      <c r="K36" s="64">
        <v>337.76</v>
      </c>
      <c r="L36" s="64">
        <v>16.579999999999998</v>
      </c>
      <c r="M36" s="64">
        <v>103.22</v>
      </c>
      <c r="N36" s="64">
        <v>55.4</v>
      </c>
      <c r="O36" s="64">
        <v>0</v>
      </c>
      <c r="P36" s="64">
        <v>0.7</v>
      </c>
      <c r="Q36" s="64">
        <v>8.7899999999999991</v>
      </c>
      <c r="R36" s="198"/>
      <c r="S36" s="198"/>
      <c r="T36" s="198"/>
      <c r="U36" s="198"/>
    </row>
    <row r="37" spans="1:21" s="12" customFormat="1" x14ac:dyDescent="0.25">
      <c r="A37" s="215" t="s">
        <v>564</v>
      </c>
      <c r="B37" s="64">
        <v>26.93</v>
      </c>
      <c r="C37" s="64">
        <v>30.64</v>
      </c>
      <c r="D37" s="64">
        <v>36.229999999999997</v>
      </c>
      <c r="E37" s="64">
        <v>4.01</v>
      </c>
      <c r="F37" s="64">
        <v>3.79</v>
      </c>
      <c r="G37" s="64">
        <v>60.23</v>
      </c>
      <c r="H37" s="64">
        <v>29.09</v>
      </c>
      <c r="I37" s="64">
        <v>5.46</v>
      </c>
      <c r="J37" s="64">
        <v>2.56</v>
      </c>
      <c r="K37" s="64">
        <v>334.18</v>
      </c>
      <c r="L37" s="64">
        <v>16.89</v>
      </c>
      <c r="M37" s="64">
        <v>100.11</v>
      </c>
      <c r="N37" s="64">
        <v>72.900000000000006</v>
      </c>
      <c r="O37" s="64">
        <v>0</v>
      </c>
      <c r="P37" s="64">
        <v>0.74</v>
      </c>
      <c r="Q37" s="64">
        <v>8.91</v>
      </c>
      <c r="R37" s="198"/>
      <c r="S37" s="198"/>
      <c r="T37" s="198"/>
      <c r="U37" s="198"/>
    </row>
    <row r="38" spans="1:21" s="12" customFormat="1" x14ac:dyDescent="0.25">
      <c r="A38" s="215" t="s">
        <v>565</v>
      </c>
      <c r="B38" s="64">
        <v>28.59</v>
      </c>
      <c r="C38" s="64">
        <v>31.94</v>
      </c>
      <c r="D38" s="64">
        <v>38.24</v>
      </c>
      <c r="E38" s="64">
        <v>4</v>
      </c>
      <c r="F38" s="64">
        <v>3.99</v>
      </c>
      <c r="G38" s="64">
        <v>60.23</v>
      </c>
      <c r="H38" s="64">
        <v>29.09</v>
      </c>
      <c r="I38" s="64">
        <v>5.42</v>
      </c>
      <c r="J38" s="64">
        <v>2.12</v>
      </c>
      <c r="K38" s="64">
        <v>334.77</v>
      </c>
      <c r="L38" s="64">
        <v>17.29</v>
      </c>
      <c r="M38" s="64">
        <v>93.67</v>
      </c>
      <c r="N38" s="64">
        <v>77.900000000000006</v>
      </c>
      <c r="O38" s="64">
        <v>0</v>
      </c>
      <c r="P38" s="64">
        <v>0.78</v>
      </c>
      <c r="Q38" s="64">
        <v>9.02</v>
      </c>
      <c r="R38" s="198"/>
      <c r="S38" s="198"/>
      <c r="T38" s="198"/>
      <c r="U38" s="198"/>
    </row>
    <row r="39" spans="1:21" s="12" customFormat="1" x14ac:dyDescent="0.25">
      <c r="A39" s="215" t="s">
        <v>566</v>
      </c>
      <c r="B39" s="64">
        <v>29.79</v>
      </c>
      <c r="C39" s="64">
        <v>31.11</v>
      </c>
      <c r="D39" s="64">
        <v>38.770000000000003</v>
      </c>
      <c r="E39" s="64">
        <v>4.32</v>
      </c>
      <c r="F39" s="64">
        <v>3.8</v>
      </c>
      <c r="G39" s="64">
        <v>60.23</v>
      </c>
      <c r="H39" s="64">
        <v>29.09</v>
      </c>
      <c r="I39" s="64">
        <v>5.36</v>
      </c>
      <c r="J39" s="64">
        <v>2.4</v>
      </c>
      <c r="K39" s="64">
        <v>344.56</v>
      </c>
      <c r="L39" s="64">
        <v>17.87</v>
      </c>
      <c r="M39" s="64">
        <v>87.61</v>
      </c>
      <c r="N39" s="64">
        <v>143.6</v>
      </c>
      <c r="O39" s="64">
        <v>0</v>
      </c>
      <c r="P39" s="64">
        <v>0.79</v>
      </c>
      <c r="Q39" s="64">
        <v>9.27</v>
      </c>
      <c r="R39" s="198"/>
      <c r="S39" s="198"/>
      <c r="T39" s="198"/>
      <c r="U39" s="198"/>
    </row>
    <row r="40" spans="1:21" s="12" customFormat="1" x14ac:dyDescent="0.25">
      <c r="A40" s="215" t="s">
        <v>567</v>
      </c>
      <c r="B40" s="64">
        <v>30.44</v>
      </c>
      <c r="C40" s="64">
        <v>35.18</v>
      </c>
      <c r="D40" s="64">
        <v>41.42</v>
      </c>
      <c r="E40" s="64">
        <v>6.78</v>
      </c>
      <c r="F40" s="64">
        <v>4.2</v>
      </c>
      <c r="G40" s="64">
        <v>61.99</v>
      </c>
      <c r="H40" s="64">
        <v>29.53</v>
      </c>
      <c r="I40" s="64">
        <v>5.3</v>
      </c>
      <c r="J40" s="64">
        <v>2.5499999999999998</v>
      </c>
      <c r="K40" s="64">
        <v>340.84</v>
      </c>
      <c r="L40" s="64">
        <v>19.93</v>
      </c>
      <c r="M40" s="64">
        <v>78.44</v>
      </c>
      <c r="N40" s="64">
        <v>242.7</v>
      </c>
      <c r="O40" s="64">
        <v>0</v>
      </c>
      <c r="P40" s="64">
        <v>0.8</v>
      </c>
      <c r="Q40" s="64">
        <v>9.32</v>
      </c>
      <c r="R40" s="198"/>
      <c r="S40" s="198"/>
      <c r="T40" s="198"/>
      <c r="U40" s="198"/>
    </row>
    <row r="41" spans="1:21" s="12" customFormat="1" x14ac:dyDescent="0.25">
      <c r="A41" s="215" t="s">
        <v>568</v>
      </c>
      <c r="B41" s="64">
        <v>32.21</v>
      </c>
      <c r="C41" s="64">
        <v>32.659999999999997</v>
      </c>
      <c r="D41" s="64">
        <v>41.52</v>
      </c>
      <c r="E41" s="64">
        <v>6.97</v>
      </c>
      <c r="F41" s="64">
        <v>3.69</v>
      </c>
      <c r="G41" s="64">
        <v>63.33</v>
      </c>
      <c r="H41" s="64">
        <v>29.68</v>
      </c>
      <c r="I41" s="64">
        <v>5.24</v>
      </c>
      <c r="J41" s="64">
        <v>1.1200000000000001</v>
      </c>
      <c r="K41" s="64">
        <v>0.51</v>
      </c>
      <c r="L41" s="64">
        <v>21.53</v>
      </c>
      <c r="M41" s="64">
        <v>69.489999999999995</v>
      </c>
      <c r="N41" s="64">
        <v>300</v>
      </c>
      <c r="O41" s="64">
        <v>0</v>
      </c>
      <c r="P41" s="64">
        <v>0.81</v>
      </c>
      <c r="Q41" s="64">
        <v>9.59</v>
      </c>
      <c r="R41" s="198"/>
      <c r="S41" s="198"/>
      <c r="T41" s="198"/>
      <c r="U41" s="198"/>
    </row>
    <row r="42" spans="1:21" s="12" customFormat="1" x14ac:dyDescent="0.25">
      <c r="A42" s="215" t="s">
        <v>569</v>
      </c>
      <c r="B42" s="64">
        <v>33.340000000000003</v>
      </c>
      <c r="C42" s="64">
        <v>35.36</v>
      </c>
      <c r="D42" s="64">
        <v>43.83</v>
      </c>
      <c r="E42" s="64">
        <v>6.76</v>
      </c>
      <c r="F42" s="64">
        <v>4.17</v>
      </c>
      <c r="G42" s="64">
        <v>63.33</v>
      </c>
      <c r="H42" s="64">
        <v>29.68</v>
      </c>
      <c r="I42" s="64">
        <v>5.19</v>
      </c>
      <c r="J42" s="64">
        <v>1.99</v>
      </c>
      <c r="K42" s="64">
        <v>344.07</v>
      </c>
      <c r="L42" s="64">
        <v>22.7</v>
      </c>
      <c r="M42" s="64">
        <v>63.9</v>
      </c>
      <c r="N42" s="64">
        <v>344</v>
      </c>
      <c r="O42" s="64">
        <v>0</v>
      </c>
      <c r="P42" s="64">
        <v>0.82</v>
      </c>
      <c r="Q42" s="64">
        <v>9.67</v>
      </c>
      <c r="R42" s="198"/>
      <c r="S42" s="198"/>
      <c r="T42" s="198"/>
      <c r="U42" s="198"/>
    </row>
    <row r="43" spans="1:21" s="12" customFormat="1" x14ac:dyDescent="0.25">
      <c r="A43" s="215" t="s">
        <v>570</v>
      </c>
      <c r="B43" s="64">
        <v>33.71</v>
      </c>
      <c r="C43" s="64">
        <v>37.340000000000003</v>
      </c>
      <c r="D43" s="64">
        <v>45.16</v>
      </c>
      <c r="E43" s="64">
        <v>6.84</v>
      </c>
      <c r="F43" s="64">
        <v>3.3</v>
      </c>
      <c r="G43" s="64">
        <v>63.33</v>
      </c>
      <c r="H43" s="64">
        <v>29.68</v>
      </c>
      <c r="I43" s="64">
        <v>5.28</v>
      </c>
      <c r="J43" s="64">
        <v>1.57</v>
      </c>
      <c r="K43" s="64">
        <v>103.57</v>
      </c>
      <c r="L43" s="64">
        <v>21.99</v>
      </c>
      <c r="M43" s="64">
        <v>66.040000000000006</v>
      </c>
      <c r="N43" s="64">
        <v>394.5</v>
      </c>
      <c r="O43" s="64">
        <v>0</v>
      </c>
      <c r="P43" s="64">
        <v>0.82</v>
      </c>
      <c r="Q43" s="64">
        <v>9.9</v>
      </c>
      <c r="R43" s="198"/>
      <c r="S43" s="198"/>
      <c r="T43" s="198"/>
      <c r="U43" s="198"/>
    </row>
    <row r="44" spans="1:21" s="12" customFormat="1" x14ac:dyDescent="0.25">
      <c r="A44" s="215" t="s">
        <v>571</v>
      </c>
      <c r="B44" s="64">
        <v>33.68</v>
      </c>
      <c r="C44" s="64">
        <v>32.81</v>
      </c>
      <c r="D44" s="64">
        <v>42.78</v>
      </c>
      <c r="E44" s="64">
        <v>7.3</v>
      </c>
      <c r="F44" s="64">
        <v>3.73</v>
      </c>
      <c r="G44" s="64">
        <v>66.819999999999993</v>
      </c>
      <c r="H44" s="64">
        <v>31.02</v>
      </c>
      <c r="I44" s="64">
        <v>5.28</v>
      </c>
      <c r="J44" s="64">
        <v>1.1000000000000001</v>
      </c>
      <c r="K44" s="64">
        <v>118.59</v>
      </c>
      <c r="L44" s="64">
        <v>22.13</v>
      </c>
      <c r="M44" s="64">
        <v>65.38</v>
      </c>
      <c r="N44" s="64">
        <v>435.1</v>
      </c>
      <c r="O44" s="64">
        <v>0</v>
      </c>
      <c r="P44" s="64">
        <v>0.82</v>
      </c>
      <c r="Q44" s="64">
        <v>9.77</v>
      </c>
      <c r="R44" s="198"/>
      <c r="S44" s="198"/>
      <c r="T44" s="198"/>
      <c r="U44" s="198"/>
    </row>
    <row r="45" spans="1:21" s="12" customFormat="1" x14ac:dyDescent="0.25">
      <c r="A45" s="215" t="s">
        <v>572</v>
      </c>
      <c r="B45" s="64">
        <v>33.79</v>
      </c>
      <c r="C45" s="64">
        <v>33.39</v>
      </c>
      <c r="D45" s="64">
        <v>43.17</v>
      </c>
      <c r="E45" s="64">
        <v>7.18</v>
      </c>
      <c r="F45" s="64">
        <v>3.58</v>
      </c>
      <c r="G45" s="64">
        <v>69.48</v>
      </c>
      <c r="H45" s="64">
        <v>31.48</v>
      </c>
      <c r="I45" s="64">
        <v>5.57</v>
      </c>
      <c r="J45" s="64">
        <v>1.6</v>
      </c>
      <c r="K45" s="64">
        <v>329.25</v>
      </c>
      <c r="L45" s="64">
        <v>24</v>
      </c>
      <c r="M45" s="64">
        <v>59.64</v>
      </c>
      <c r="N45" s="64">
        <v>472.9</v>
      </c>
      <c r="O45" s="64">
        <v>0</v>
      </c>
      <c r="P45" s="64">
        <v>0.82</v>
      </c>
      <c r="Q45" s="64">
        <v>9.75</v>
      </c>
      <c r="R45" s="198"/>
      <c r="S45" s="198"/>
      <c r="T45" s="198"/>
      <c r="U45" s="198"/>
    </row>
    <row r="46" spans="1:21" s="12" customFormat="1" x14ac:dyDescent="0.25">
      <c r="A46" s="215" t="s">
        <v>573</v>
      </c>
      <c r="B46" s="64">
        <v>33.89</v>
      </c>
      <c r="C46" s="64">
        <v>33.99</v>
      </c>
      <c r="D46" s="64">
        <v>43.56</v>
      </c>
      <c r="E46" s="64">
        <v>7.01</v>
      </c>
      <c r="F46" s="64">
        <v>3.77</v>
      </c>
      <c r="G46" s="64">
        <v>69.48</v>
      </c>
      <c r="H46" s="64">
        <v>31.48</v>
      </c>
      <c r="I46" s="64">
        <v>6.05</v>
      </c>
      <c r="J46" s="64">
        <v>3.14</v>
      </c>
      <c r="K46" s="64">
        <v>111.14</v>
      </c>
      <c r="L46" s="64">
        <v>23.03</v>
      </c>
      <c r="M46" s="64">
        <v>64.08</v>
      </c>
      <c r="N46" s="64">
        <v>523.79999999999995</v>
      </c>
      <c r="O46" s="64">
        <v>0</v>
      </c>
      <c r="P46" s="64">
        <v>0.83</v>
      </c>
      <c r="Q46" s="64">
        <v>9.89</v>
      </c>
      <c r="R46" s="198"/>
      <c r="S46" s="198"/>
      <c r="T46" s="198"/>
      <c r="U46" s="198"/>
    </row>
    <row r="47" spans="1:21" s="12" customFormat="1" x14ac:dyDescent="0.25">
      <c r="A47" s="215" t="s">
        <v>574</v>
      </c>
      <c r="B47" s="64">
        <v>33.049999999999997</v>
      </c>
      <c r="C47" s="64">
        <v>34.53</v>
      </c>
      <c r="D47" s="64">
        <v>43.16</v>
      </c>
      <c r="E47" s="64">
        <v>7.03</v>
      </c>
      <c r="F47" s="64">
        <v>3.97</v>
      </c>
      <c r="G47" s="64">
        <v>69.48</v>
      </c>
      <c r="H47" s="64">
        <v>31.48</v>
      </c>
      <c r="I47" s="64">
        <v>6.19</v>
      </c>
      <c r="J47" s="64">
        <v>2.39</v>
      </c>
      <c r="K47" s="64">
        <v>109.65</v>
      </c>
      <c r="L47" s="64">
        <v>22.45</v>
      </c>
      <c r="M47" s="64">
        <v>67.69</v>
      </c>
      <c r="N47" s="64">
        <v>572.20000000000005</v>
      </c>
      <c r="O47" s="64">
        <v>0</v>
      </c>
      <c r="P47" s="64">
        <v>0.8</v>
      </c>
      <c r="Q47" s="64">
        <v>9.9600000000000009</v>
      </c>
      <c r="R47" s="198"/>
      <c r="S47" s="198"/>
      <c r="T47" s="198"/>
      <c r="U47" s="198"/>
    </row>
    <row r="48" spans="1:21" s="12" customFormat="1" x14ac:dyDescent="0.25">
      <c r="A48" s="215" t="s">
        <v>575</v>
      </c>
      <c r="B48" s="64">
        <v>32.1</v>
      </c>
      <c r="C48" s="64">
        <v>35.270000000000003</v>
      </c>
      <c r="D48" s="64">
        <v>42.8</v>
      </c>
      <c r="E48" s="64">
        <v>7.04</v>
      </c>
      <c r="F48" s="64">
        <v>3.29</v>
      </c>
      <c r="G48" s="64">
        <v>69.349999999999994</v>
      </c>
      <c r="H48" s="64">
        <v>31.69</v>
      </c>
      <c r="I48" s="64">
        <v>6.66</v>
      </c>
      <c r="J48" s="64">
        <v>1.31</v>
      </c>
      <c r="K48" s="64">
        <v>339.55</v>
      </c>
      <c r="L48" s="64">
        <v>24.74</v>
      </c>
      <c r="M48" s="64">
        <v>61.09</v>
      </c>
      <c r="N48" s="64">
        <v>596.6</v>
      </c>
      <c r="O48" s="64">
        <v>0</v>
      </c>
      <c r="P48" s="64">
        <v>0.8</v>
      </c>
      <c r="Q48" s="64">
        <v>9.9</v>
      </c>
      <c r="R48" s="198"/>
      <c r="S48" s="198"/>
      <c r="T48" s="198"/>
      <c r="U48" s="198"/>
    </row>
    <row r="49" spans="1:21" s="12" customFormat="1" x14ac:dyDescent="0.25">
      <c r="A49" s="215" t="s">
        <v>576</v>
      </c>
      <c r="B49" s="64">
        <v>31.51</v>
      </c>
      <c r="C49" s="64">
        <v>35.950000000000003</v>
      </c>
      <c r="D49" s="64">
        <v>42.68</v>
      </c>
      <c r="E49" s="64">
        <v>6.89</v>
      </c>
      <c r="F49" s="64">
        <v>3.44</v>
      </c>
      <c r="G49" s="64">
        <v>69.239999999999995</v>
      </c>
      <c r="H49" s="64">
        <v>31.83</v>
      </c>
      <c r="I49" s="64">
        <v>7.17</v>
      </c>
      <c r="J49" s="64">
        <v>0.32</v>
      </c>
      <c r="K49" s="64">
        <v>27.83</v>
      </c>
      <c r="L49" s="64">
        <v>25.81</v>
      </c>
      <c r="M49" s="64">
        <v>58.19</v>
      </c>
      <c r="N49" s="64">
        <v>625.20000000000005</v>
      </c>
      <c r="O49" s="64">
        <v>0</v>
      </c>
      <c r="P49" s="64">
        <v>0.81</v>
      </c>
      <c r="Q49" s="64">
        <v>9.8699999999999992</v>
      </c>
      <c r="R49" s="198"/>
      <c r="S49" s="198"/>
      <c r="T49" s="198"/>
      <c r="U49" s="198"/>
    </row>
    <row r="50" spans="1:21" s="12" customFormat="1" x14ac:dyDescent="0.25">
      <c r="A50" s="215" t="s">
        <v>577</v>
      </c>
      <c r="B50" s="64">
        <v>30.74</v>
      </c>
      <c r="C50" s="64">
        <v>36.43</v>
      </c>
      <c r="D50" s="64">
        <v>42.31</v>
      </c>
      <c r="E50" s="64">
        <v>7.18</v>
      </c>
      <c r="F50" s="64">
        <v>4.07</v>
      </c>
      <c r="G50" s="64">
        <v>69.239999999999995</v>
      </c>
      <c r="H50" s="64">
        <v>31.83</v>
      </c>
      <c r="I50" s="64">
        <v>7.05</v>
      </c>
      <c r="J50" s="64">
        <v>1.62</v>
      </c>
      <c r="K50" s="64">
        <v>2.12</v>
      </c>
      <c r="L50" s="64">
        <v>25.82</v>
      </c>
      <c r="M50" s="64">
        <v>58.59</v>
      </c>
      <c r="N50" s="64">
        <v>622.79999999999995</v>
      </c>
      <c r="O50" s="64">
        <v>0</v>
      </c>
      <c r="P50" s="64">
        <v>0.8</v>
      </c>
      <c r="Q50" s="64">
        <v>9.82</v>
      </c>
      <c r="R50" s="198"/>
      <c r="S50" s="198"/>
      <c r="T50" s="198"/>
      <c r="U50" s="198"/>
    </row>
    <row r="51" spans="1:21" s="12" customFormat="1" x14ac:dyDescent="0.25">
      <c r="A51" s="215" t="s">
        <v>578</v>
      </c>
      <c r="B51" s="64">
        <v>30.1</v>
      </c>
      <c r="C51" s="64">
        <v>38.46</v>
      </c>
      <c r="D51" s="64">
        <v>42.85</v>
      </c>
      <c r="E51" s="64">
        <v>7.49</v>
      </c>
      <c r="F51" s="64">
        <v>4.18</v>
      </c>
      <c r="G51" s="64">
        <v>69.239999999999995</v>
      </c>
      <c r="H51" s="64">
        <v>31.83</v>
      </c>
      <c r="I51" s="64">
        <v>7.4</v>
      </c>
      <c r="J51" s="64">
        <v>0.59</v>
      </c>
      <c r="K51" s="64">
        <v>31.78</v>
      </c>
      <c r="L51" s="64">
        <v>26.64</v>
      </c>
      <c r="M51" s="64">
        <v>56.65</v>
      </c>
      <c r="N51" s="64">
        <v>653.79999999999995</v>
      </c>
      <c r="O51" s="64">
        <v>0</v>
      </c>
      <c r="P51" s="64">
        <v>0.81</v>
      </c>
      <c r="Q51" s="64">
        <v>9.84</v>
      </c>
      <c r="R51" s="198"/>
      <c r="S51" s="198"/>
      <c r="T51" s="198"/>
      <c r="U51" s="198"/>
    </row>
    <row r="52" spans="1:21" s="12" customFormat="1" x14ac:dyDescent="0.25">
      <c r="A52" s="215" t="s">
        <v>579</v>
      </c>
      <c r="B52" s="64">
        <v>25.06</v>
      </c>
      <c r="C52" s="64">
        <v>40.49</v>
      </c>
      <c r="D52" s="64">
        <v>39.869999999999997</v>
      </c>
      <c r="E52" s="64">
        <v>5.84</v>
      </c>
      <c r="F52" s="64">
        <v>5.3</v>
      </c>
      <c r="G52" s="64">
        <v>58.92</v>
      </c>
      <c r="H52" s="64">
        <v>25.14</v>
      </c>
      <c r="I52" s="64">
        <v>7.89</v>
      </c>
      <c r="J52" s="64">
        <v>0.31</v>
      </c>
      <c r="K52" s="64">
        <v>86.47</v>
      </c>
      <c r="L52" s="64">
        <v>26.63</v>
      </c>
      <c r="M52" s="64">
        <v>57.48</v>
      </c>
      <c r="N52" s="64">
        <v>676.2</v>
      </c>
      <c r="O52" s="64">
        <v>0</v>
      </c>
      <c r="P52" s="64">
        <v>0.8</v>
      </c>
      <c r="Q52" s="64">
        <v>9.4499999999999993</v>
      </c>
      <c r="R52" s="198"/>
      <c r="S52" s="198"/>
      <c r="T52" s="198"/>
      <c r="U52" s="198"/>
    </row>
    <row r="53" spans="1:21" s="12" customFormat="1" x14ac:dyDescent="0.25">
      <c r="A53" s="215" t="s">
        <v>580</v>
      </c>
      <c r="B53" s="64">
        <v>19.18</v>
      </c>
      <c r="C53" s="64">
        <v>42.92</v>
      </c>
      <c r="D53" s="64">
        <v>36.43</v>
      </c>
      <c r="E53" s="64">
        <v>7.15</v>
      </c>
      <c r="F53" s="64">
        <v>5.54</v>
      </c>
      <c r="G53" s="64">
        <v>51.03</v>
      </c>
      <c r="H53" s="64">
        <v>22.87</v>
      </c>
      <c r="I53" s="64">
        <v>7.38</v>
      </c>
      <c r="J53" s="64">
        <v>2.73</v>
      </c>
      <c r="K53" s="64">
        <v>336.7</v>
      </c>
      <c r="L53" s="64">
        <v>28.04</v>
      </c>
      <c r="M53" s="64">
        <v>51.96</v>
      </c>
      <c r="N53" s="64">
        <v>686.5</v>
      </c>
      <c r="O53" s="64">
        <v>0</v>
      </c>
      <c r="P53" s="64">
        <v>0.78</v>
      </c>
      <c r="Q53" s="64">
        <v>8.9700000000000006</v>
      </c>
      <c r="R53" s="198"/>
      <c r="S53" s="198"/>
      <c r="T53" s="198"/>
      <c r="U53" s="198"/>
    </row>
    <row r="54" spans="1:21" s="12" customFormat="1" x14ac:dyDescent="0.25">
      <c r="A54" s="215" t="s">
        <v>581</v>
      </c>
      <c r="B54" s="64">
        <v>15.08</v>
      </c>
      <c r="C54" s="64">
        <v>52.33</v>
      </c>
      <c r="D54" s="64">
        <v>38.06</v>
      </c>
      <c r="E54" s="64">
        <v>6.86</v>
      </c>
      <c r="F54" s="64">
        <v>4.51</v>
      </c>
      <c r="G54" s="64">
        <v>51.03</v>
      </c>
      <c r="H54" s="64">
        <v>22.87</v>
      </c>
      <c r="I54" s="64">
        <v>6.51</v>
      </c>
      <c r="J54" s="64">
        <v>1.23</v>
      </c>
      <c r="K54" s="64">
        <v>16.940000000000001</v>
      </c>
      <c r="L54" s="64">
        <v>27.6</v>
      </c>
      <c r="M54" s="64">
        <v>54.32</v>
      </c>
      <c r="N54" s="64">
        <v>694.4</v>
      </c>
      <c r="O54" s="64">
        <v>0</v>
      </c>
      <c r="P54" s="64">
        <v>0.8</v>
      </c>
      <c r="Q54" s="64">
        <v>8.89</v>
      </c>
      <c r="R54" s="198"/>
      <c r="S54" s="198"/>
      <c r="T54" s="198"/>
      <c r="U54" s="198"/>
    </row>
    <row r="55" spans="1:21" s="12" customFormat="1" x14ac:dyDescent="0.25">
      <c r="A55" s="215" t="s">
        <v>582</v>
      </c>
      <c r="B55" s="64">
        <v>12.9</v>
      </c>
      <c r="C55" s="64">
        <v>47.22</v>
      </c>
      <c r="D55" s="64">
        <v>33.64</v>
      </c>
      <c r="E55" s="64">
        <v>7.25</v>
      </c>
      <c r="F55" s="64">
        <v>4.08</v>
      </c>
      <c r="G55" s="64">
        <v>51.03</v>
      </c>
      <c r="H55" s="64">
        <v>22.87</v>
      </c>
      <c r="I55" s="64">
        <v>5.6</v>
      </c>
      <c r="J55" s="64">
        <v>2.27</v>
      </c>
      <c r="K55" s="64">
        <v>332.33</v>
      </c>
      <c r="L55" s="64">
        <v>27.67</v>
      </c>
      <c r="M55" s="64">
        <v>53.33</v>
      </c>
      <c r="N55" s="64">
        <v>698.7</v>
      </c>
      <c r="O55" s="64">
        <v>0</v>
      </c>
      <c r="P55" s="64">
        <v>0.79</v>
      </c>
      <c r="Q55" s="64">
        <v>8.6999999999999993</v>
      </c>
      <c r="R55" s="198"/>
      <c r="S55" s="198"/>
      <c r="T55" s="198"/>
      <c r="U55" s="198"/>
    </row>
    <row r="56" spans="1:21" s="12" customFormat="1" x14ac:dyDescent="0.25">
      <c r="A56" s="215" t="s">
        <v>583</v>
      </c>
      <c r="B56" s="64">
        <v>11.87</v>
      </c>
      <c r="C56" s="64">
        <v>43.48</v>
      </c>
      <c r="D56" s="64">
        <v>30.86</v>
      </c>
      <c r="E56" s="64">
        <v>6.21</v>
      </c>
      <c r="F56" s="64">
        <v>4.84</v>
      </c>
      <c r="G56" s="64">
        <v>65.33</v>
      </c>
      <c r="H56" s="64">
        <v>16.04</v>
      </c>
      <c r="I56" s="64">
        <v>5.98</v>
      </c>
      <c r="J56" s="64">
        <v>0.59</v>
      </c>
      <c r="K56" s="64">
        <v>25.63</v>
      </c>
      <c r="L56" s="64">
        <v>28.13</v>
      </c>
      <c r="M56" s="64">
        <v>52.87</v>
      </c>
      <c r="N56" s="64">
        <v>708.3</v>
      </c>
      <c r="O56" s="64">
        <v>0</v>
      </c>
      <c r="P56" s="64">
        <v>0.79</v>
      </c>
      <c r="Q56" s="64">
        <v>8.4</v>
      </c>
      <c r="R56" s="198"/>
      <c r="S56" s="198"/>
      <c r="T56" s="198"/>
      <c r="U56" s="198"/>
    </row>
    <row r="57" spans="1:21" s="12" customFormat="1" x14ac:dyDescent="0.25">
      <c r="A57" s="215" t="s">
        <v>584</v>
      </c>
      <c r="B57" s="64">
        <v>10.87</v>
      </c>
      <c r="C57" s="64">
        <v>50.24</v>
      </c>
      <c r="D57" s="64">
        <v>33.590000000000003</v>
      </c>
      <c r="E57" s="64">
        <v>6.16</v>
      </c>
      <c r="F57" s="64">
        <v>4.08</v>
      </c>
      <c r="G57" s="64">
        <v>76.28</v>
      </c>
      <c r="H57" s="64">
        <v>13.72</v>
      </c>
      <c r="I57" s="64">
        <v>6.27</v>
      </c>
      <c r="J57" s="64">
        <v>2.4500000000000002</v>
      </c>
      <c r="K57" s="64">
        <v>108.66</v>
      </c>
      <c r="L57" s="64">
        <v>25.88</v>
      </c>
      <c r="M57" s="64">
        <v>59.22</v>
      </c>
      <c r="N57" s="64">
        <v>712.4</v>
      </c>
      <c r="O57" s="64">
        <v>0</v>
      </c>
      <c r="P57" s="64">
        <v>0.77</v>
      </c>
      <c r="Q57" s="64">
        <v>8.36</v>
      </c>
      <c r="R57" s="198"/>
      <c r="S57" s="198"/>
      <c r="T57" s="198"/>
      <c r="U57" s="198"/>
    </row>
    <row r="58" spans="1:21" s="12" customFormat="1" x14ac:dyDescent="0.25">
      <c r="A58" s="215" t="s">
        <v>585</v>
      </c>
      <c r="B58" s="64">
        <v>9.58</v>
      </c>
      <c r="C58" s="64">
        <v>42.06</v>
      </c>
      <c r="D58" s="64">
        <v>28.28</v>
      </c>
      <c r="E58" s="64">
        <v>5.75</v>
      </c>
      <c r="F58" s="64">
        <v>4.17</v>
      </c>
      <c r="G58" s="64">
        <v>76.28</v>
      </c>
      <c r="H58" s="64">
        <v>13.72</v>
      </c>
      <c r="I58" s="64">
        <v>6.57</v>
      </c>
      <c r="J58" s="64">
        <v>2.48</v>
      </c>
      <c r="K58" s="64">
        <v>122.26</v>
      </c>
      <c r="L58" s="64">
        <v>25.89</v>
      </c>
      <c r="M58" s="64">
        <v>58.49</v>
      </c>
      <c r="N58" s="64">
        <v>712.6</v>
      </c>
      <c r="O58" s="64">
        <v>0</v>
      </c>
      <c r="P58" s="64">
        <v>0.75</v>
      </c>
      <c r="Q58" s="64">
        <v>8.23</v>
      </c>
      <c r="R58" s="198"/>
      <c r="S58" s="198"/>
      <c r="T58" s="198"/>
      <c r="U58" s="198"/>
    </row>
    <row r="59" spans="1:21" s="12" customFormat="1" x14ac:dyDescent="0.25">
      <c r="A59" s="215" t="s">
        <v>586</v>
      </c>
      <c r="B59" s="64">
        <v>8.43</v>
      </c>
      <c r="C59" s="64">
        <v>38.590000000000003</v>
      </c>
      <c r="D59" s="64">
        <v>25.54</v>
      </c>
      <c r="E59" s="64">
        <v>5.68</v>
      </c>
      <c r="F59" s="64">
        <v>4.45</v>
      </c>
      <c r="G59" s="64">
        <v>76.28</v>
      </c>
      <c r="H59" s="64">
        <v>13.72</v>
      </c>
      <c r="I59" s="64">
        <v>6.82</v>
      </c>
      <c r="J59" s="64">
        <v>1.39</v>
      </c>
      <c r="K59" s="64">
        <v>101.02</v>
      </c>
      <c r="L59" s="64">
        <v>26.45</v>
      </c>
      <c r="M59" s="64">
        <v>56.16</v>
      </c>
      <c r="N59" s="64">
        <v>665.6</v>
      </c>
      <c r="O59" s="64">
        <v>0</v>
      </c>
      <c r="P59" s="64">
        <v>0.69</v>
      </c>
      <c r="Q59" s="64">
        <v>8.2100000000000009</v>
      </c>
      <c r="R59" s="198"/>
      <c r="S59" s="198"/>
      <c r="T59" s="198"/>
      <c r="U59" s="198"/>
    </row>
    <row r="60" spans="1:21" s="12" customFormat="1" x14ac:dyDescent="0.25">
      <c r="A60" s="215" t="s">
        <v>587</v>
      </c>
      <c r="B60" s="64">
        <v>7.7</v>
      </c>
      <c r="C60" s="64">
        <v>42.17</v>
      </c>
      <c r="D60" s="64">
        <v>26.83</v>
      </c>
      <c r="E60" s="64">
        <v>5.38</v>
      </c>
      <c r="F60" s="64">
        <v>4.5199999999999996</v>
      </c>
      <c r="G60" s="64">
        <v>62.46</v>
      </c>
      <c r="H60" s="64">
        <v>21.76</v>
      </c>
      <c r="I60" s="64">
        <v>6.99</v>
      </c>
      <c r="J60" s="64">
        <v>1.96</v>
      </c>
      <c r="K60" s="64">
        <v>352.73</v>
      </c>
      <c r="L60" s="64">
        <v>27.03</v>
      </c>
      <c r="M60" s="64">
        <v>54.61</v>
      </c>
      <c r="N60" s="64">
        <v>621.29999999999995</v>
      </c>
      <c r="O60" s="64">
        <v>0</v>
      </c>
      <c r="P60" s="64">
        <v>0.66</v>
      </c>
      <c r="Q60" s="64">
        <v>8.2100000000000009</v>
      </c>
      <c r="R60" s="198"/>
      <c r="S60" s="198"/>
      <c r="T60" s="198"/>
      <c r="U60" s="198"/>
    </row>
    <row r="61" spans="1:21" s="12" customFormat="1" x14ac:dyDescent="0.25">
      <c r="A61" s="215" t="s">
        <v>588</v>
      </c>
      <c r="B61" s="64">
        <v>7.36</v>
      </c>
      <c r="C61" s="64">
        <v>43.42</v>
      </c>
      <c r="D61" s="64">
        <v>27.21</v>
      </c>
      <c r="E61" s="64">
        <v>5.26</v>
      </c>
      <c r="F61" s="64">
        <v>4.79</v>
      </c>
      <c r="G61" s="64">
        <v>51.89</v>
      </c>
      <c r="H61" s="64">
        <v>24.5</v>
      </c>
      <c r="I61" s="64">
        <v>6.27</v>
      </c>
      <c r="J61" s="64">
        <v>3.07</v>
      </c>
      <c r="K61" s="64">
        <v>330.35</v>
      </c>
      <c r="L61" s="64">
        <v>29.24</v>
      </c>
      <c r="M61" s="64">
        <v>47.53</v>
      </c>
      <c r="N61" s="64">
        <v>611.4</v>
      </c>
      <c r="O61" s="64">
        <v>0</v>
      </c>
      <c r="P61" s="64">
        <v>0.69</v>
      </c>
      <c r="Q61" s="64">
        <v>8.2100000000000009</v>
      </c>
      <c r="R61" s="198"/>
      <c r="S61" s="198"/>
      <c r="T61" s="198"/>
      <c r="U61" s="198"/>
    </row>
    <row r="62" spans="1:21" s="12" customFormat="1" x14ac:dyDescent="0.25">
      <c r="A62" s="215" t="s">
        <v>589</v>
      </c>
      <c r="B62" s="64">
        <v>7.22</v>
      </c>
      <c r="C62" s="64">
        <v>42.9</v>
      </c>
      <c r="D62" s="64">
        <v>26.83</v>
      </c>
      <c r="E62" s="64">
        <v>5.52</v>
      </c>
      <c r="F62" s="64">
        <v>4.5999999999999996</v>
      </c>
      <c r="G62" s="64">
        <v>51.89</v>
      </c>
      <c r="H62" s="64">
        <v>24.5</v>
      </c>
      <c r="I62" s="64">
        <v>4.8499999999999996</v>
      </c>
      <c r="J62" s="64">
        <v>3.64</v>
      </c>
      <c r="K62" s="64">
        <v>336.9</v>
      </c>
      <c r="L62" s="64">
        <v>29.21</v>
      </c>
      <c r="M62" s="64">
        <v>47.6</v>
      </c>
      <c r="N62" s="64">
        <v>520.20000000000005</v>
      </c>
      <c r="O62" s="64">
        <v>0</v>
      </c>
      <c r="P62" s="64">
        <v>0.71</v>
      </c>
      <c r="Q62" s="64">
        <v>8.2100000000000009</v>
      </c>
      <c r="R62" s="198"/>
      <c r="S62" s="198"/>
      <c r="T62" s="198"/>
      <c r="U62" s="198"/>
    </row>
    <row r="63" spans="1:21" s="12" customFormat="1" x14ac:dyDescent="0.25">
      <c r="A63" s="215" t="s">
        <v>590</v>
      </c>
      <c r="B63" s="64">
        <v>6.95</v>
      </c>
      <c r="C63" s="64">
        <v>41.92</v>
      </c>
      <c r="D63" s="64">
        <v>26.1</v>
      </c>
      <c r="E63" s="64">
        <v>5.96</v>
      </c>
      <c r="F63" s="64">
        <v>4.84</v>
      </c>
      <c r="G63" s="64">
        <v>51.89</v>
      </c>
      <c r="H63" s="64">
        <v>24.5</v>
      </c>
      <c r="I63" s="64">
        <v>4.88</v>
      </c>
      <c r="J63" s="64">
        <v>1.68</v>
      </c>
      <c r="K63" s="64">
        <v>10.52</v>
      </c>
      <c r="L63" s="64">
        <v>28.54</v>
      </c>
      <c r="M63" s="64">
        <v>48.13</v>
      </c>
      <c r="N63" s="64">
        <v>500.2</v>
      </c>
      <c r="O63" s="64">
        <v>0</v>
      </c>
      <c r="P63" s="64">
        <v>0.66</v>
      </c>
      <c r="Q63" s="64">
        <v>8.2100000000000009</v>
      </c>
      <c r="R63" s="198"/>
      <c r="S63" s="198"/>
      <c r="T63" s="198"/>
      <c r="U63" s="198"/>
    </row>
    <row r="64" spans="1:21" s="12" customFormat="1" x14ac:dyDescent="0.25">
      <c r="A64" s="215" t="s">
        <v>591</v>
      </c>
      <c r="B64" s="64">
        <v>6.7</v>
      </c>
      <c r="C64" s="64">
        <v>40.97</v>
      </c>
      <c r="D64" s="64">
        <v>25.4</v>
      </c>
      <c r="E64" s="64">
        <v>5.37</v>
      </c>
      <c r="F64" s="64">
        <v>4.8</v>
      </c>
      <c r="G64" s="64">
        <v>57.92</v>
      </c>
      <c r="H64" s="64">
        <v>17.09</v>
      </c>
      <c r="I64" s="64">
        <v>4.66</v>
      </c>
      <c r="J64" s="64">
        <v>0.68</v>
      </c>
      <c r="K64" s="64">
        <v>26.74</v>
      </c>
      <c r="L64" s="64">
        <v>27.01</v>
      </c>
      <c r="M64" s="64">
        <v>52.42</v>
      </c>
      <c r="N64" s="64">
        <v>361.6</v>
      </c>
      <c r="O64" s="64">
        <v>0</v>
      </c>
      <c r="P64" s="64">
        <v>0.67</v>
      </c>
      <c r="Q64" s="64">
        <v>8.2100000000000009</v>
      </c>
      <c r="R64" s="198"/>
      <c r="S64" s="198"/>
      <c r="T64" s="198"/>
      <c r="U64" s="198"/>
    </row>
    <row r="65" spans="1:21" s="12" customFormat="1" x14ac:dyDescent="0.25">
      <c r="A65" s="215" t="s">
        <v>592</v>
      </c>
      <c r="B65" s="64">
        <v>6.52</v>
      </c>
      <c r="C65" s="64">
        <v>40.69</v>
      </c>
      <c r="D65" s="64">
        <v>25.11</v>
      </c>
      <c r="E65" s="64">
        <v>5.04</v>
      </c>
      <c r="F65" s="64">
        <v>4.75</v>
      </c>
      <c r="G65" s="64">
        <v>62.52</v>
      </c>
      <c r="H65" s="64">
        <v>12.25</v>
      </c>
      <c r="I65" s="64">
        <v>3.6</v>
      </c>
      <c r="J65" s="64">
        <v>2.69</v>
      </c>
      <c r="K65" s="64">
        <v>335.8</v>
      </c>
      <c r="L65" s="64">
        <v>27.95</v>
      </c>
      <c r="M65" s="64">
        <v>48.83</v>
      </c>
      <c r="N65" s="64">
        <v>221.8</v>
      </c>
      <c r="O65" s="64">
        <v>0</v>
      </c>
      <c r="P65" s="64">
        <v>0.67</v>
      </c>
      <c r="Q65" s="64">
        <v>8.2100000000000009</v>
      </c>
      <c r="R65" s="198"/>
      <c r="S65" s="198"/>
      <c r="T65" s="198"/>
      <c r="U65" s="198"/>
    </row>
    <row r="66" spans="1:21" s="12" customFormat="1" x14ac:dyDescent="0.25">
      <c r="A66" s="215" t="s">
        <v>593</v>
      </c>
      <c r="B66" s="64">
        <v>6.4</v>
      </c>
      <c r="C66" s="64">
        <v>39.74</v>
      </c>
      <c r="D66" s="64">
        <v>24.52</v>
      </c>
      <c r="E66" s="64">
        <v>5.51</v>
      </c>
      <c r="F66" s="64">
        <v>4.6500000000000004</v>
      </c>
      <c r="G66" s="64">
        <v>62.52</v>
      </c>
      <c r="H66" s="64">
        <v>12.25</v>
      </c>
      <c r="I66" s="64">
        <v>2.33</v>
      </c>
      <c r="J66" s="64">
        <v>0.91</v>
      </c>
      <c r="K66" s="64">
        <v>40.340000000000003</v>
      </c>
      <c r="L66" s="64">
        <v>27.67</v>
      </c>
      <c r="M66" s="64">
        <v>49.66</v>
      </c>
      <c r="N66" s="64">
        <v>207.5</v>
      </c>
      <c r="O66" s="64">
        <v>0</v>
      </c>
      <c r="P66" s="64">
        <v>0.69</v>
      </c>
      <c r="Q66" s="64">
        <v>8.2100000000000009</v>
      </c>
      <c r="R66" s="198"/>
      <c r="S66" s="198"/>
      <c r="T66" s="198"/>
      <c r="U66" s="198"/>
    </row>
    <row r="67" spans="1:21" s="12" customFormat="1" x14ac:dyDescent="0.25">
      <c r="A67" s="215" t="s">
        <v>594</v>
      </c>
      <c r="B67" s="64">
        <v>6.2</v>
      </c>
      <c r="C67" s="64">
        <v>42.87</v>
      </c>
      <c r="D67" s="64">
        <v>25.99</v>
      </c>
      <c r="E67" s="64">
        <v>5.03</v>
      </c>
      <c r="F67" s="64">
        <v>5.29</v>
      </c>
      <c r="G67" s="64">
        <v>62.52</v>
      </c>
      <c r="H67" s="64">
        <v>12.25</v>
      </c>
      <c r="I67" s="64">
        <v>2.57</v>
      </c>
      <c r="J67" s="64">
        <v>2.09</v>
      </c>
      <c r="K67" s="64">
        <v>121.81</v>
      </c>
      <c r="L67" s="64">
        <v>26.16</v>
      </c>
      <c r="M67" s="64">
        <v>53.58</v>
      </c>
      <c r="N67" s="64">
        <v>192.4</v>
      </c>
      <c r="O67" s="64">
        <v>0</v>
      </c>
      <c r="P67" s="64">
        <v>0.65</v>
      </c>
      <c r="Q67" s="64">
        <v>8.2100000000000009</v>
      </c>
      <c r="R67" s="198"/>
      <c r="S67" s="198"/>
      <c r="T67" s="198"/>
      <c r="U67" s="198"/>
    </row>
    <row r="68" spans="1:21" s="12" customFormat="1" x14ac:dyDescent="0.25">
      <c r="A68" s="215" t="s">
        <v>595</v>
      </c>
      <c r="B68" s="64">
        <v>5.74</v>
      </c>
      <c r="C68" s="64">
        <v>47.61</v>
      </c>
      <c r="D68" s="64">
        <v>28.1</v>
      </c>
      <c r="E68" s="64">
        <v>5.36</v>
      </c>
      <c r="F68" s="64">
        <v>4.8099999999999996</v>
      </c>
      <c r="G68" s="64">
        <v>62.79</v>
      </c>
      <c r="H68" s="64">
        <v>7.86</v>
      </c>
      <c r="I68" s="64">
        <v>3.12</v>
      </c>
      <c r="J68" s="64">
        <v>1.61</v>
      </c>
      <c r="K68" s="64">
        <v>110.13</v>
      </c>
      <c r="L68" s="64">
        <v>25.74</v>
      </c>
      <c r="M68" s="64">
        <v>54.74</v>
      </c>
      <c r="N68" s="64">
        <v>178.3</v>
      </c>
      <c r="O68" s="64">
        <v>0</v>
      </c>
      <c r="P68" s="64">
        <v>0.62</v>
      </c>
      <c r="Q68" s="64">
        <v>8.2100000000000009</v>
      </c>
      <c r="R68" s="198"/>
      <c r="S68" s="198"/>
      <c r="T68" s="198"/>
      <c r="U68" s="198"/>
    </row>
    <row r="69" spans="1:21" s="12" customFormat="1" x14ac:dyDescent="0.25">
      <c r="A69" s="215" t="s">
        <v>596</v>
      </c>
      <c r="B69" s="64">
        <v>5.13</v>
      </c>
      <c r="C69" s="64">
        <v>37.049999999999997</v>
      </c>
      <c r="D69" s="64">
        <v>22.09</v>
      </c>
      <c r="E69" s="64">
        <v>5.2</v>
      </c>
      <c r="F69" s="64">
        <v>4.99</v>
      </c>
      <c r="G69" s="64">
        <v>63</v>
      </c>
      <c r="H69" s="64">
        <v>6.37</v>
      </c>
      <c r="I69" s="64">
        <v>5.91</v>
      </c>
      <c r="J69" s="64">
        <v>1.92</v>
      </c>
      <c r="K69" s="64">
        <v>99.17</v>
      </c>
      <c r="L69" s="64">
        <v>25.58</v>
      </c>
      <c r="M69" s="64">
        <v>54.43</v>
      </c>
      <c r="N69" s="64">
        <v>133.30000000000001</v>
      </c>
      <c r="O69" s="64">
        <v>0</v>
      </c>
      <c r="P69" s="64">
        <v>0.67</v>
      </c>
      <c r="Q69" s="64">
        <v>8.2100000000000009</v>
      </c>
      <c r="R69" s="198"/>
      <c r="S69" s="198"/>
      <c r="T69" s="198"/>
      <c r="U69" s="198"/>
    </row>
    <row r="70" spans="1:21" s="12" customFormat="1" x14ac:dyDescent="0.25">
      <c r="A70" s="215" t="s">
        <v>597</v>
      </c>
      <c r="B70" s="64">
        <v>4.78</v>
      </c>
      <c r="C70" s="64">
        <v>34.299999999999997</v>
      </c>
      <c r="D70" s="64">
        <v>20.38</v>
      </c>
      <c r="E70" s="64">
        <v>5.31</v>
      </c>
      <c r="F70" s="64">
        <v>5.55</v>
      </c>
      <c r="G70" s="64">
        <v>63</v>
      </c>
      <c r="H70" s="64">
        <v>6.37</v>
      </c>
      <c r="I70" s="64">
        <v>4.13</v>
      </c>
      <c r="J70" s="64">
        <v>2.42</v>
      </c>
      <c r="K70" s="64">
        <v>341.7</v>
      </c>
      <c r="L70" s="64">
        <v>25.79</v>
      </c>
      <c r="M70" s="64">
        <v>52.97</v>
      </c>
      <c r="N70" s="64">
        <v>116.8</v>
      </c>
      <c r="O70" s="64">
        <v>0</v>
      </c>
      <c r="P70" s="64">
        <v>0.68</v>
      </c>
      <c r="Q70" s="64">
        <v>8.2100000000000009</v>
      </c>
      <c r="R70" s="198"/>
      <c r="S70" s="198"/>
      <c r="T70" s="198"/>
      <c r="U70" s="198"/>
    </row>
    <row r="71" spans="1:21" s="12" customFormat="1" x14ac:dyDescent="0.25">
      <c r="A71" s="215" t="s">
        <v>598</v>
      </c>
      <c r="B71" s="64">
        <v>4.91</v>
      </c>
      <c r="C71" s="64">
        <v>45.13</v>
      </c>
      <c r="D71" s="64">
        <v>26.14</v>
      </c>
      <c r="E71" s="64">
        <v>5.41</v>
      </c>
      <c r="F71" s="64">
        <v>4.71</v>
      </c>
      <c r="G71" s="64">
        <v>63</v>
      </c>
      <c r="H71" s="64">
        <v>6.37</v>
      </c>
      <c r="I71" s="64">
        <v>3.06</v>
      </c>
      <c r="J71" s="64">
        <v>0.89</v>
      </c>
      <c r="K71" s="64">
        <v>38.5</v>
      </c>
      <c r="L71" s="64">
        <v>25.51</v>
      </c>
      <c r="M71" s="64">
        <v>53.35</v>
      </c>
      <c r="N71" s="64">
        <v>105</v>
      </c>
      <c r="O71" s="64">
        <v>0</v>
      </c>
      <c r="P71" s="64">
        <v>0.65</v>
      </c>
      <c r="Q71" s="64">
        <v>8.2100000000000009</v>
      </c>
      <c r="R71" s="198"/>
      <c r="S71" s="198"/>
      <c r="T71" s="198"/>
      <c r="U71" s="198"/>
    </row>
    <row r="72" spans="1:21" s="12" customFormat="1" x14ac:dyDescent="0.25">
      <c r="A72" s="215" t="s">
        <v>599</v>
      </c>
      <c r="B72" s="64">
        <v>5.18</v>
      </c>
      <c r="C72" s="64">
        <v>38.880000000000003</v>
      </c>
      <c r="D72" s="64">
        <v>23.09</v>
      </c>
      <c r="E72" s="64">
        <v>4.7300000000000004</v>
      </c>
      <c r="F72" s="64">
        <v>4.3600000000000003</v>
      </c>
      <c r="G72" s="64">
        <v>62.95</v>
      </c>
      <c r="H72" s="64">
        <v>23.24</v>
      </c>
      <c r="I72" s="64">
        <v>5.41</v>
      </c>
      <c r="J72" s="64">
        <v>3.26</v>
      </c>
      <c r="K72" s="64">
        <v>342.98</v>
      </c>
      <c r="L72" s="64">
        <v>25.7</v>
      </c>
      <c r="M72" s="64">
        <v>53.78</v>
      </c>
      <c r="N72" s="64">
        <v>92.9</v>
      </c>
      <c r="O72" s="64">
        <v>0</v>
      </c>
      <c r="P72" s="64">
        <v>0.77</v>
      </c>
      <c r="Q72" s="64">
        <v>8.2100000000000009</v>
      </c>
      <c r="R72" s="198"/>
      <c r="S72" s="198"/>
      <c r="T72" s="198"/>
      <c r="U72" s="198"/>
    </row>
    <row r="73" spans="1:21" s="12" customFormat="1" x14ac:dyDescent="0.25">
      <c r="A73" s="215" t="s">
        <v>600</v>
      </c>
      <c r="B73" s="64">
        <v>5.62</v>
      </c>
      <c r="C73" s="64">
        <v>35.880000000000003</v>
      </c>
      <c r="D73" s="64">
        <v>21.88</v>
      </c>
      <c r="E73" s="64">
        <v>5.72</v>
      </c>
      <c r="F73" s="64">
        <v>5.2</v>
      </c>
      <c r="G73" s="64">
        <v>62.92</v>
      </c>
      <c r="H73" s="64">
        <v>28.98</v>
      </c>
      <c r="I73" s="64">
        <v>3.29</v>
      </c>
      <c r="J73" s="64">
        <v>3.17</v>
      </c>
      <c r="K73" s="64">
        <v>346.34</v>
      </c>
      <c r="L73" s="64">
        <v>25.54</v>
      </c>
      <c r="M73" s="64">
        <v>54.25</v>
      </c>
      <c r="N73" s="64">
        <v>81.599999999999994</v>
      </c>
      <c r="O73" s="64">
        <v>0</v>
      </c>
      <c r="P73" s="64">
        <v>0.78</v>
      </c>
      <c r="Q73" s="64">
        <v>8.2100000000000009</v>
      </c>
      <c r="R73" s="198"/>
      <c r="S73" s="198"/>
      <c r="T73" s="198"/>
      <c r="U73" s="198"/>
    </row>
    <row r="74" spans="1:21" s="12" customFormat="1" x14ac:dyDescent="0.25">
      <c r="A74" s="215" t="s">
        <v>601</v>
      </c>
      <c r="B74" s="64">
        <v>6.07</v>
      </c>
      <c r="C74" s="64">
        <v>48.4</v>
      </c>
      <c r="D74" s="64">
        <v>28.78</v>
      </c>
      <c r="E74" s="64">
        <v>6.02</v>
      </c>
      <c r="F74" s="64">
        <v>5.12</v>
      </c>
      <c r="G74" s="64">
        <v>62.92</v>
      </c>
      <c r="H74" s="64">
        <v>28.98</v>
      </c>
      <c r="I74" s="64">
        <v>3.37</v>
      </c>
      <c r="J74" s="64">
        <v>3.24</v>
      </c>
      <c r="K74" s="64">
        <v>346.55</v>
      </c>
      <c r="L74" s="64">
        <v>25.16</v>
      </c>
      <c r="M74" s="64">
        <v>54.67</v>
      </c>
      <c r="N74" s="64">
        <v>70.8</v>
      </c>
      <c r="O74" s="64">
        <v>0</v>
      </c>
      <c r="P74" s="64">
        <v>0.81</v>
      </c>
      <c r="Q74" s="64">
        <v>8.2100000000000009</v>
      </c>
      <c r="R74" s="198"/>
      <c r="S74" s="198"/>
      <c r="T74" s="198"/>
      <c r="U74" s="198"/>
    </row>
    <row r="75" spans="1:21" s="12" customFormat="1" x14ac:dyDescent="0.25">
      <c r="A75" s="215" t="s">
        <v>602</v>
      </c>
      <c r="B75" s="64">
        <v>6.44</v>
      </c>
      <c r="C75" s="64">
        <v>46.61</v>
      </c>
      <c r="D75" s="64">
        <v>28.14</v>
      </c>
      <c r="E75" s="64">
        <v>6.64</v>
      </c>
      <c r="F75" s="64">
        <v>4.47</v>
      </c>
      <c r="G75" s="64">
        <v>62.92</v>
      </c>
      <c r="H75" s="64">
        <v>28.98</v>
      </c>
      <c r="I75" s="64">
        <v>4.66</v>
      </c>
      <c r="J75" s="64">
        <v>3.02</v>
      </c>
      <c r="K75" s="64">
        <v>346.88</v>
      </c>
      <c r="L75" s="64">
        <v>24.81</v>
      </c>
      <c r="M75" s="64">
        <v>55.18</v>
      </c>
      <c r="N75" s="64">
        <v>59.8</v>
      </c>
      <c r="O75" s="64">
        <v>0</v>
      </c>
      <c r="P75" s="64">
        <v>0.83</v>
      </c>
      <c r="Q75" s="64">
        <v>8.2100000000000009</v>
      </c>
      <c r="R75" s="198"/>
      <c r="S75" s="198"/>
      <c r="T75" s="198"/>
      <c r="U75" s="198"/>
    </row>
    <row r="76" spans="1:21" s="12" customFormat="1" x14ac:dyDescent="0.25">
      <c r="A76" s="215" t="s">
        <v>603</v>
      </c>
      <c r="B76" s="64">
        <v>6.5</v>
      </c>
      <c r="C76" s="64">
        <v>43.99</v>
      </c>
      <c r="D76" s="64">
        <v>26.82</v>
      </c>
      <c r="E76" s="64">
        <v>7.18</v>
      </c>
      <c r="F76" s="64">
        <v>4.9800000000000004</v>
      </c>
      <c r="G76" s="64">
        <v>66.17</v>
      </c>
      <c r="H76" s="64">
        <v>17.95</v>
      </c>
      <c r="I76" s="64">
        <v>4.93</v>
      </c>
      <c r="J76" s="64">
        <v>2.33</v>
      </c>
      <c r="K76" s="64">
        <v>346.2</v>
      </c>
      <c r="L76" s="64">
        <v>24.44</v>
      </c>
      <c r="M76" s="64">
        <v>57.2</v>
      </c>
      <c r="N76" s="64">
        <v>50.1</v>
      </c>
      <c r="O76" s="64">
        <v>0</v>
      </c>
      <c r="P76" s="64">
        <v>1.1200000000000001</v>
      </c>
      <c r="Q76" s="64">
        <v>8.2100000000000009</v>
      </c>
      <c r="R76" s="198"/>
      <c r="S76" s="198"/>
      <c r="T76" s="198"/>
      <c r="U76" s="198"/>
    </row>
    <row r="77" spans="1:21" s="12" customFormat="1" x14ac:dyDescent="0.25">
      <c r="A77" s="215" t="s">
        <v>604</v>
      </c>
      <c r="B77" s="64">
        <v>6.83</v>
      </c>
      <c r="C77" s="64">
        <v>45.97</v>
      </c>
      <c r="D77" s="64">
        <v>28.12</v>
      </c>
      <c r="E77" s="64">
        <v>6.78</v>
      </c>
      <c r="F77" s="64">
        <v>5.07</v>
      </c>
      <c r="G77" s="64">
        <v>68.66</v>
      </c>
      <c r="H77" s="64">
        <v>14.2</v>
      </c>
      <c r="I77" s="64">
        <v>3.95</v>
      </c>
      <c r="J77" s="64">
        <v>0.27</v>
      </c>
      <c r="K77" s="64">
        <v>129</v>
      </c>
      <c r="L77" s="64">
        <v>23.75</v>
      </c>
      <c r="M77" s="64">
        <v>60.02</v>
      </c>
      <c r="N77" s="64">
        <v>43.5</v>
      </c>
      <c r="O77" s="64">
        <v>0</v>
      </c>
      <c r="P77" s="64">
        <v>1.1499999999999999</v>
      </c>
      <c r="Q77" s="64">
        <v>8.2100000000000009</v>
      </c>
      <c r="R77" s="198"/>
      <c r="S77" s="198"/>
      <c r="T77" s="198"/>
      <c r="U77" s="198"/>
    </row>
    <row r="78" spans="1:21" s="12" customFormat="1" x14ac:dyDescent="0.25">
      <c r="A78" s="215" t="s">
        <v>605</v>
      </c>
      <c r="B78" s="64">
        <v>7.31</v>
      </c>
      <c r="C78" s="64">
        <v>46.4</v>
      </c>
      <c r="D78" s="64">
        <v>28.73</v>
      </c>
      <c r="E78" s="64">
        <v>6.8</v>
      </c>
      <c r="F78" s="64">
        <v>5.04</v>
      </c>
      <c r="G78" s="64">
        <v>68.66</v>
      </c>
      <c r="H78" s="64">
        <v>14.2</v>
      </c>
      <c r="I78" s="64">
        <v>4.07</v>
      </c>
      <c r="J78" s="64">
        <v>1.34</v>
      </c>
      <c r="K78" s="64">
        <v>91.27</v>
      </c>
      <c r="L78" s="64">
        <v>23.14</v>
      </c>
      <c r="M78" s="64">
        <v>61.91</v>
      </c>
      <c r="N78" s="64">
        <v>38.9</v>
      </c>
      <c r="O78" s="64">
        <v>0</v>
      </c>
      <c r="P78" s="64">
        <v>1.1000000000000001</v>
      </c>
      <c r="Q78" s="64">
        <v>8.2100000000000009</v>
      </c>
      <c r="R78" s="198"/>
      <c r="S78" s="198"/>
      <c r="T78" s="198"/>
      <c r="U78" s="198"/>
    </row>
    <row r="79" spans="1:21" s="12" customFormat="1" x14ac:dyDescent="0.25">
      <c r="A79" s="215" t="s">
        <v>606</v>
      </c>
      <c r="B79" s="64">
        <v>7.71</v>
      </c>
      <c r="C79" s="64">
        <v>46.43</v>
      </c>
      <c r="D79" s="64">
        <v>29.06</v>
      </c>
      <c r="E79" s="64">
        <v>6.62</v>
      </c>
      <c r="F79" s="64">
        <v>4.59</v>
      </c>
      <c r="G79" s="64">
        <v>68.66</v>
      </c>
      <c r="H79" s="64">
        <v>14.2</v>
      </c>
      <c r="I79" s="64">
        <v>3.71</v>
      </c>
      <c r="J79" s="64">
        <v>1.1599999999999999</v>
      </c>
      <c r="K79" s="64">
        <v>84.83</v>
      </c>
      <c r="L79" s="64">
        <v>22.81</v>
      </c>
      <c r="M79" s="64">
        <v>63.55</v>
      </c>
      <c r="N79" s="64">
        <v>37.200000000000003</v>
      </c>
      <c r="O79" s="64">
        <v>0</v>
      </c>
      <c r="P79" s="64">
        <v>1.1399999999999999</v>
      </c>
      <c r="Q79" s="64">
        <v>8.2100000000000009</v>
      </c>
      <c r="R79" s="198"/>
      <c r="S79" s="198"/>
      <c r="T79" s="198"/>
      <c r="U79" s="198"/>
    </row>
    <row r="80" spans="1:21" s="12" customFormat="1" x14ac:dyDescent="0.25">
      <c r="A80" s="215" t="s">
        <v>607</v>
      </c>
      <c r="B80" s="64">
        <v>7.99</v>
      </c>
      <c r="C80" s="64">
        <v>45.86</v>
      </c>
      <c r="D80" s="64">
        <v>28.99</v>
      </c>
      <c r="E80" s="64">
        <v>6.46</v>
      </c>
      <c r="F80" s="64">
        <v>4.45</v>
      </c>
      <c r="G80" s="64">
        <v>69.91</v>
      </c>
      <c r="H80" s="64">
        <v>38.909999999999997</v>
      </c>
      <c r="I80" s="64">
        <v>3.74</v>
      </c>
      <c r="J80" s="64">
        <v>1.89</v>
      </c>
      <c r="K80" s="64">
        <v>72.989999999999995</v>
      </c>
      <c r="L80" s="64">
        <v>22.53</v>
      </c>
      <c r="M80" s="64">
        <v>64.739999999999995</v>
      </c>
      <c r="N80" s="64">
        <v>37</v>
      </c>
      <c r="O80" s="64">
        <v>0</v>
      </c>
      <c r="P80" s="64">
        <v>0.96</v>
      </c>
      <c r="Q80" s="64">
        <v>8.2100000000000009</v>
      </c>
      <c r="R80" s="198"/>
      <c r="S80" s="198"/>
      <c r="T80" s="198"/>
      <c r="U80" s="198"/>
    </row>
    <row r="81" spans="1:26" s="12" customFormat="1" x14ac:dyDescent="0.25">
      <c r="A81" s="215" t="s">
        <v>608</v>
      </c>
      <c r="B81" s="64">
        <v>7.89</v>
      </c>
      <c r="C81" s="64">
        <v>45.32</v>
      </c>
      <c r="D81" s="64">
        <v>28.63</v>
      </c>
      <c r="E81" s="64">
        <v>6.38</v>
      </c>
      <c r="F81" s="64">
        <v>4.72</v>
      </c>
      <c r="G81" s="64">
        <v>70.87</v>
      </c>
      <c r="H81" s="64">
        <v>54.47</v>
      </c>
      <c r="I81" s="64">
        <v>3.91</v>
      </c>
      <c r="J81" s="64">
        <v>0.77</v>
      </c>
      <c r="K81" s="64">
        <v>58.06</v>
      </c>
      <c r="L81" s="64">
        <v>22.33</v>
      </c>
      <c r="M81" s="64">
        <v>65.52</v>
      </c>
      <c r="N81" s="64">
        <v>37</v>
      </c>
      <c r="O81" s="64">
        <v>0</v>
      </c>
      <c r="P81" s="64">
        <v>1.07</v>
      </c>
      <c r="Q81" s="64">
        <v>8.2100000000000009</v>
      </c>
      <c r="R81" s="198"/>
      <c r="S81" s="198"/>
      <c r="T81" s="198"/>
      <c r="U81" s="198"/>
    </row>
    <row r="82" spans="1:26" s="12" customFormat="1" x14ac:dyDescent="0.25">
      <c r="A82" s="215" t="s">
        <v>609</v>
      </c>
      <c r="B82" s="64">
        <v>7.87</v>
      </c>
      <c r="C82" s="64">
        <v>44.45</v>
      </c>
      <c r="D82" s="64">
        <v>28.16</v>
      </c>
      <c r="E82" s="64">
        <v>6.22</v>
      </c>
      <c r="F82" s="64">
        <v>4.7699999999999996</v>
      </c>
      <c r="G82" s="64">
        <v>70.87</v>
      </c>
      <c r="H82" s="64">
        <v>54.47</v>
      </c>
      <c r="I82" s="64">
        <v>3.42</v>
      </c>
      <c r="J82" s="64">
        <v>0.3</v>
      </c>
      <c r="K82" s="64">
        <v>30.81</v>
      </c>
      <c r="L82" s="64">
        <v>22.07</v>
      </c>
      <c r="M82" s="64">
        <v>67.459999999999994</v>
      </c>
      <c r="N82" s="64">
        <v>37</v>
      </c>
      <c r="O82" s="64">
        <v>0</v>
      </c>
      <c r="P82" s="64">
        <v>1.2</v>
      </c>
      <c r="Q82" s="64">
        <v>8.2100000000000009</v>
      </c>
      <c r="R82" s="198"/>
      <c r="S82" s="198"/>
      <c r="T82" s="198"/>
      <c r="U82" s="198"/>
    </row>
    <row r="83" spans="1:26" s="12" customFormat="1" x14ac:dyDescent="0.25">
      <c r="A83" s="215" t="s">
        <v>610</v>
      </c>
      <c r="B83" s="64">
        <v>8.15</v>
      </c>
      <c r="C83" s="64">
        <v>43.72</v>
      </c>
      <c r="D83" s="64">
        <v>28</v>
      </c>
      <c r="E83" s="64">
        <v>6.5</v>
      </c>
      <c r="F83" s="64">
        <v>4.74</v>
      </c>
      <c r="G83" s="64">
        <v>70.87</v>
      </c>
      <c r="H83" s="64">
        <v>54.47</v>
      </c>
      <c r="I83" s="64">
        <v>3.63</v>
      </c>
      <c r="J83" s="64">
        <v>0.84</v>
      </c>
      <c r="K83" s="64">
        <v>38.159999999999997</v>
      </c>
      <c r="L83" s="64">
        <v>21.98</v>
      </c>
      <c r="M83" s="64">
        <v>68.28</v>
      </c>
      <c r="N83" s="64">
        <v>36.799999999999997</v>
      </c>
      <c r="O83" s="64">
        <v>0</v>
      </c>
      <c r="P83" s="64">
        <v>1.35</v>
      </c>
      <c r="Q83" s="64">
        <v>8.2100000000000009</v>
      </c>
      <c r="R83" s="198"/>
      <c r="S83" s="198"/>
      <c r="T83" s="198"/>
      <c r="U83" s="198"/>
    </row>
    <row r="84" spans="1:26" s="12" customFormat="1" x14ac:dyDescent="0.25">
      <c r="A84" s="215" t="s">
        <v>611</v>
      </c>
      <c r="B84" s="64">
        <v>8.7799999999999994</v>
      </c>
      <c r="C84" s="64">
        <v>50.62</v>
      </c>
      <c r="D84" s="64">
        <v>32.11</v>
      </c>
      <c r="E84" s="64">
        <v>5.95</v>
      </c>
      <c r="F84" s="64">
        <v>5.04</v>
      </c>
      <c r="G84" s="64">
        <v>75.03</v>
      </c>
      <c r="H84" s="64">
        <v>29.67</v>
      </c>
      <c r="I84" s="64">
        <v>4.6900000000000004</v>
      </c>
      <c r="J84" s="64">
        <v>0.86</v>
      </c>
      <c r="K84" s="64">
        <v>346.28</v>
      </c>
      <c r="L84" s="64">
        <v>21.84</v>
      </c>
      <c r="M84" s="64">
        <v>69.03</v>
      </c>
      <c r="N84" s="64">
        <v>37</v>
      </c>
      <c r="O84" s="64">
        <v>0</v>
      </c>
      <c r="P84" s="64">
        <v>1.18</v>
      </c>
      <c r="Q84" s="64">
        <v>8.2100000000000009</v>
      </c>
      <c r="R84" s="198"/>
      <c r="S84" s="198"/>
      <c r="T84" s="198"/>
      <c r="U84" s="198"/>
    </row>
    <row r="85" spans="1:26" s="12" customFormat="1" x14ac:dyDescent="0.25">
      <c r="A85" s="215" t="s">
        <v>612</v>
      </c>
      <c r="B85" s="64">
        <v>9.9499999999999993</v>
      </c>
      <c r="C85" s="64">
        <v>52.78</v>
      </c>
      <c r="D85" s="64">
        <v>34.18</v>
      </c>
      <c r="E85" s="64">
        <v>6.51</v>
      </c>
      <c r="F85" s="64">
        <v>4.2300000000000004</v>
      </c>
      <c r="G85" s="64">
        <v>78.209999999999994</v>
      </c>
      <c r="H85" s="64">
        <v>21.24</v>
      </c>
      <c r="I85" s="64">
        <v>5.32</v>
      </c>
      <c r="J85" s="64">
        <v>1.41</v>
      </c>
      <c r="K85" s="64">
        <v>86.09</v>
      </c>
      <c r="L85" s="64">
        <v>21.63</v>
      </c>
      <c r="M85" s="64">
        <v>69.56</v>
      </c>
      <c r="N85" s="64">
        <v>37</v>
      </c>
      <c r="O85" s="64">
        <v>0</v>
      </c>
      <c r="P85" s="64">
        <v>1.1399999999999999</v>
      </c>
      <c r="Q85" s="64">
        <v>8.2100000000000009</v>
      </c>
      <c r="R85" s="198"/>
      <c r="S85" s="198"/>
      <c r="T85" s="198"/>
      <c r="U85" s="198"/>
    </row>
    <row r="86" spans="1:26" s="12" customFormat="1" x14ac:dyDescent="0.25">
      <c r="A86" s="215" t="s">
        <v>613</v>
      </c>
      <c r="B86" s="64">
        <v>10.85</v>
      </c>
      <c r="C86" s="64">
        <v>41.52</v>
      </c>
      <c r="D86" s="64">
        <v>29.02</v>
      </c>
      <c r="E86" s="64">
        <v>6.06</v>
      </c>
      <c r="F86" s="64">
        <v>4.68</v>
      </c>
      <c r="G86" s="64">
        <v>78.209999999999994</v>
      </c>
      <c r="H86" s="64">
        <v>21.24</v>
      </c>
      <c r="I86" s="64">
        <v>6.9</v>
      </c>
      <c r="J86" s="64">
        <v>1.1599999999999999</v>
      </c>
      <c r="K86" s="64">
        <v>61.19</v>
      </c>
      <c r="L86" s="64">
        <v>21.45</v>
      </c>
      <c r="M86" s="64">
        <v>70.209999999999994</v>
      </c>
      <c r="N86" s="64">
        <v>37</v>
      </c>
      <c r="O86" s="64">
        <v>0</v>
      </c>
      <c r="P86" s="64">
        <v>1.26</v>
      </c>
      <c r="Q86" s="64">
        <v>8.2100000000000009</v>
      </c>
      <c r="R86" s="198"/>
      <c r="S86" s="198"/>
      <c r="T86" s="198"/>
      <c r="U86" s="198"/>
    </row>
    <row r="87" spans="1:26" s="12" customFormat="1" x14ac:dyDescent="0.25">
      <c r="A87" s="215" t="s">
        <v>614</v>
      </c>
      <c r="B87" s="64">
        <v>11.33</v>
      </c>
      <c r="C87" s="64">
        <v>46.95</v>
      </c>
      <c r="D87" s="64">
        <v>32.24</v>
      </c>
      <c r="E87" s="64">
        <v>6.17</v>
      </c>
      <c r="F87" s="64">
        <v>4.95</v>
      </c>
      <c r="G87" s="64">
        <v>78.209999999999994</v>
      </c>
      <c r="H87" s="64">
        <v>21.24</v>
      </c>
      <c r="I87" s="64">
        <v>5.18</v>
      </c>
      <c r="J87" s="64">
        <v>1.77</v>
      </c>
      <c r="K87" s="64">
        <v>119.89</v>
      </c>
      <c r="L87" s="64">
        <v>21.49</v>
      </c>
      <c r="M87" s="64">
        <v>69.680000000000007</v>
      </c>
      <c r="N87" s="64">
        <v>36.6</v>
      </c>
      <c r="O87" s="64">
        <v>0</v>
      </c>
      <c r="P87" s="64">
        <v>1.06</v>
      </c>
      <c r="Q87" s="64">
        <v>8.2100000000000009</v>
      </c>
      <c r="R87" s="198"/>
      <c r="S87" s="198"/>
      <c r="T87" s="198"/>
      <c r="U87" s="198"/>
    </row>
    <row r="88" spans="1:26" s="12" customFormat="1" x14ac:dyDescent="0.25">
      <c r="A88" s="215" t="s">
        <v>615</v>
      </c>
      <c r="B88" s="64">
        <v>11.09</v>
      </c>
      <c r="C88" s="64">
        <v>45.7</v>
      </c>
      <c r="D88" s="64">
        <v>31.39</v>
      </c>
      <c r="E88" s="64">
        <v>5.91</v>
      </c>
      <c r="F88" s="64">
        <v>4.28</v>
      </c>
      <c r="G88" s="64">
        <v>83.02</v>
      </c>
      <c r="H88" s="64">
        <v>10.78</v>
      </c>
      <c r="I88" s="64">
        <v>5.31</v>
      </c>
      <c r="J88" s="64">
        <v>1.67</v>
      </c>
      <c r="K88" s="64">
        <v>111.31</v>
      </c>
      <c r="L88" s="64">
        <v>21.45</v>
      </c>
      <c r="M88" s="64">
        <v>69.42</v>
      </c>
      <c r="N88" s="64">
        <v>36.9</v>
      </c>
      <c r="O88" s="64">
        <v>0</v>
      </c>
      <c r="P88" s="64">
        <v>1.04</v>
      </c>
      <c r="Q88" s="64">
        <v>8.2100000000000009</v>
      </c>
      <c r="R88" s="198"/>
      <c r="S88" s="198"/>
      <c r="T88" s="198"/>
      <c r="U88" s="198"/>
    </row>
    <row r="89" spans="1:26" s="12" customFormat="1" x14ac:dyDescent="0.25">
      <c r="A89" s="215" t="s">
        <v>616</v>
      </c>
      <c r="B89" s="64">
        <v>10.86</v>
      </c>
      <c r="C89" s="64">
        <v>47.24</v>
      </c>
      <c r="D89" s="64">
        <v>32.01</v>
      </c>
      <c r="E89" s="64">
        <v>6.01</v>
      </c>
      <c r="F89" s="64">
        <v>4.75</v>
      </c>
      <c r="G89" s="64">
        <v>86.7</v>
      </c>
      <c r="H89" s="64">
        <v>7.22</v>
      </c>
      <c r="I89" s="64">
        <v>6.02</v>
      </c>
      <c r="J89" s="64">
        <v>2.13</v>
      </c>
      <c r="K89" s="64">
        <v>105.9</v>
      </c>
      <c r="L89" s="64">
        <v>21.4</v>
      </c>
      <c r="M89" s="64">
        <v>69.22</v>
      </c>
      <c r="N89" s="64">
        <v>36.799999999999997</v>
      </c>
      <c r="O89" s="64">
        <v>0</v>
      </c>
      <c r="P89" s="64">
        <v>1.06</v>
      </c>
      <c r="Q89" s="64">
        <v>8.2100000000000009</v>
      </c>
      <c r="R89" s="198"/>
      <c r="S89" s="198"/>
      <c r="T89" s="198"/>
      <c r="U89" s="198"/>
    </row>
    <row r="90" spans="1:26" s="12" customFormat="1" x14ac:dyDescent="0.25">
      <c r="A90" s="215" t="s">
        <v>617</v>
      </c>
      <c r="B90" s="64">
        <v>10.65</v>
      </c>
      <c r="C90" s="64">
        <v>45.58</v>
      </c>
      <c r="D90" s="64">
        <v>30.98</v>
      </c>
      <c r="E90" s="64">
        <v>6.81</v>
      </c>
      <c r="F90" s="64">
        <v>3.94</v>
      </c>
      <c r="G90" s="64">
        <v>86.7</v>
      </c>
      <c r="H90" s="64">
        <v>7.22</v>
      </c>
      <c r="I90" s="64">
        <v>5.42</v>
      </c>
      <c r="J90" s="64">
        <v>1.37</v>
      </c>
      <c r="K90" s="64">
        <v>99.66</v>
      </c>
      <c r="L90" s="64">
        <v>21.29</v>
      </c>
      <c r="M90" s="64">
        <v>69.37</v>
      </c>
      <c r="N90" s="64">
        <v>37</v>
      </c>
      <c r="O90" s="64">
        <v>0</v>
      </c>
      <c r="P90" s="64">
        <v>1.06</v>
      </c>
      <c r="Q90" s="64">
        <v>8.2100000000000009</v>
      </c>
      <c r="R90" s="198"/>
      <c r="S90" s="198"/>
      <c r="T90" s="198"/>
      <c r="U90" s="198"/>
    </row>
    <row r="91" spans="1:26" s="12" customFormat="1" x14ac:dyDescent="0.25">
      <c r="A91" s="215" t="s">
        <v>618</v>
      </c>
      <c r="B91" s="64">
        <v>10.57</v>
      </c>
      <c r="C91" s="64">
        <v>36.78</v>
      </c>
      <c r="D91" s="64">
        <v>26.32</v>
      </c>
      <c r="E91" s="64">
        <v>5.91</v>
      </c>
      <c r="F91" s="64">
        <v>4.46</v>
      </c>
      <c r="G91" s="64">
        <v>86.7</v>
      </c>
      <c r="H91" s="64">
        <v>7.22</v>
      </c>
      <c r="I91" s="64">
        <v>5.95</v>
      </c>
      <c r="J91" s="64">
        <v>1.36</v>
      </c>
      <c r="K91" s="64">
        <v>34.880000000000003</v>
      </c>
      <c r="L91" s="64">
        <v>20.96</v>
      </c>
      <c r="M91" s="64">
        <v>71.56</v>
      </c>
      <c r="N91" s="64">
        <v>37</v>
      </c>
      <c r="O91" s="64">
        <v>0</v>
      </c>
      <c r="P91" s="64">
        <v>1.1599999999999999</v>
      </c>
      <c r="Q91" s="64">
        <v>8.2100000000000009</v>
      </c>
      <c r="R91" s="198"/>
      <c r="S91" s="198"/>
      <c r="T91" s="198"/>
      <c r="U91" s="198"/>
    </row>
    <row r="92" spans="1:26" s="12" customFormat="1" x14ac:dyDescent="0.25">
      <c r="A92" s="215" t="s">
        <v>619</v>
      </c>
      <c r="B92" s="64">
        <v>11.28</v>
      </c>
      <c r="C92" s="64">
        <v>44.63</v>
      </c>
      <c r="D92" s="64">
        <v>30.98</v>
      </c>
      <c r="E92" s="64">
        <v>6.22</v>
      </c>
      <c r="F92" s="64">
        <v>4.87</v>
      </c>
      <c r="G92" s="64">
        <v>87.91</v>
      </c>
      <c r="H92" s="64">
        <v>12.69</v>
      </c>
      <c r="I92" s="64">
        <v>4.3499999999999996</v>
      </c>
      <c r="J92" s="64">
        <v>0.33</v>
      </c>
      <c r="K92" s="64">
        <v>7.2</v>
      </c>
      <c r="L92" s="64">
        <v>20.61</v>
      </c>
      <c r="M92" s="64">
        <v>73.48</v>
      </c>
      <c r="N92" s="64">
        <v>37</v>
      </c>
      <c r="O92" s="64">
        <v>0</v>
      </c>
      <c r="P92" s="64">
        <v>1.1200000000000001</v>
      </c>
      <c r="Q92" s="64">
        <v>8.2100000000000009</v>
      </c>
      <c r="R92" s="198"/>
      <c r="S92" s="198"/>
      <c r="T92" s="198"/>
      <c r="U92" s="198"/>
    </row>
    <row r="93" spans="1:26" s="12" customFormat="1" x14ac:dyDescent="0.25">
      <c r="A93" s="215" t="s">
        <v>620</v>
      </c>
      <c r="B93" s="64">
        <v>12.21</v>
      </c>
      <c r="C93" s="64">
        <v>48.01</v>
      </c>
      <c r="D93" s="64">
        <v>33.5</v>
      </c>
      <c r="E93" s="64">
        <v>6.32</v>
      </c>
      <c r="F93" s="64">
        <v>3.58</v>
      </c>
      <c r="G93" s="64">
        <v>88.84</v>
      </c>
      <c r="H93" s="64">
        <v>12.69</v>
      </c>
      <c r="I93" s="64">
        <v>5.44</v>
      </c>
      <c r="J93" s="64">
        <v>2.0299999999999998</v>
      </c>
      <c r="K93" s="64">
        <v>112.91</v>
      </c>
      <c r="L93" s="64">
        <v>20.5</v>
      </c>
      <c r="M93" s="64">
        <v>73.72</v>
      </c>
      <c r="N93" s="64">
        <v>36.799999999999997</v>
      </c>
      <c r="O93" s="64">
        <v>0</v>
      </c>
      <c r="P93" s="64">
        <v>1.27</v>
      </c>
      <c r="Q93" s="64">
        <v>8.2100000000000009</v>
      </c>
      <c r="R93" s="198"/>
      <c r="S93" s="198"/>
      <c r="T93" s="198"/>
      <c r="U93" s="198"/>
    </row>
    <row r="94" spans="1:26" s="12" customFormat="1" x14ac:dyDescent="0.25">
      <c r="A94" s="215" t="s">
        <v>621</v>
      </c>
      <c r="B94" s="64">
        <v>12.63</v>
      </c>
      <c r="C94" s="64">
        <v>39.65</v>
      </c>
      <c r="D94" s="64">
        <v>29.47</v>
      </c>
      <c r="E94" s="64">
        <v>6.09</v>
      </c>
      <c r="F94" s="64">
        <v>4.45</v>
      </c>
      <c r="G94" s="64">
        <v>88.84</v>
      </c>
      <c r="H94" s="64">
        <v>12.69</v>
      </c>
      <c r="I94" s="64">
        <v>6.75</v>
      </c>
      <c r="J94" s="64">
        <v>2.0299999999999998</v>
      </c>
      <c r="K94" s="64">
        <v>120.92</v>
      </c>
      <c r="L94" s="64">
        <v>20.440000000000001</v>
      </c>
      <c r="M94" s="64">
        <v>73.53</v>
      </c>
      <c r="N94" s="64">
        <v>36.799999999999997</v>
      </c>
      <c r="O94" s="64">
        <v>0</v>
      </c>
      <c r="P94" s="64">
        <v>1.17</v>
      </c>
      <c r="Q94" s="64">
        <v>8.2100000000000009</v>
      </c>
      <c r="R94" s="198"/>
      <c r="S94" s="198"/>
      <c r="T94" s="198"/>
      <c r="U94" s="198"/>
    </row>
    <row r="95" spans="1:26" s="12" customFormat="1" x14ac:dyDescent="0.25">
      <c r="A95" s="215" t="s">
        <v>622</v>
      </c>
      <c r="B95" s="64">
        <v>12.87</v>
      </c>
      <c r="C95" s="64">
        <v>37.49</v>
      </c>
      <c r="D95" s="64">
        <v>28.54</v>
      </c>
      <c r="E95" s="64">
        <v>6</v>
      </c>
      <c r="F95" s="64">
        <v>4.45</v>
      </c>
      <c r="G95" s="64">
        <v>88.84</v>
      </c>
      <c r="H95" s="64">
        <v>12.69</v>
      </c>
      <c r="I95" s="64">
        <v>5.2</v>
      </c>
      <c r="J95" s="64">
        <v>0.65</v>
      </c>
      <c r="K95" s="64">
        <v>48.22</v>
      </c>
      <c r="L95" s="64">
        <v>20.239999999999998</v>
      </c>
      <c r="M95" s="64">
        <v>74.52</v>
      </c>
      <c r="N95" s="64">
        <v>37</v>
      </c>
      <c r="O95" s="64">
        <v>0</v>
      </c>
      <c r="P95" s="64">
        <v>1.29</v>
      </c>
      <c r="Q95" s="64">
        <v>8.2100000000000009</v>
      </c>
      <c r="R95" s="198"/>
      <c r="S95" s="198"/>
      <c r="T95" s="198"/>
      <c r="U95" s="198"/>
    </row>
    <row r="96" spans="1:26" s="12" customFormat="1" x14ac:dyDescent="0.25">
      <c r="A96" s="215" t="s">
        <v>623</v>
      </c>
      <c r="B96" s="64">
        <v>13</v>
      </c>
      <c r="C96" s="64">
        <v>37.24</v>
      </c>
      <c r="D96" s="64">
        <v>28.51</v>
      </c>
      <c r="E96" s="64">
        <v>6.19</v>
      </c>
      <c r="F96" s="64">
        <v>4.42</v>
      </c>
      <c r="G96" s="64">
        <v>88.56</v>
      </c>
      <c r="H96" s="64">
        <v>12.69</v>
      </c>
      <c r="I96" s="64">
        <v>4.43</v>
      </c>
      <c r="J96" s="64">
        <v>0.45</v>
      </c>
      <c r="K96" s="64">
        <v>26.73</v>
      </c>
      <c r="L96" s="64">
        <v>20.079999999999998</v>
      </c>
      <c r="M96" s="64">
        <v>75.34</v>
      </c>
      <c r="N96" s="64">
        <v>36.9</v>
      </c>
      <c r="O96" s="64">
        <v>0</v>
      </c>
      <c r="P96" s="64">
        <v>1.22</v>
      </c>
      <c r="Q96" s="64">
        <v>8.2100000000000009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624</v>
      </c>
      <c r="B97" s="64">
        <v>13.45</v>
      </c>
      <c r="C97" s="64">
        <v>37.71</v>
      </c>
      <c r="D97" s="64">
        <v>29.12</v>
      </c>
      <c r="E97" s="64">
        <v>5.77</v>
      </c>
      <c r="F97" s="64">
        <v>4.21</v>
      </c>
      <c r="G97" s="64">
        <v>88.34</v>
      </c>
      <c r="H97" s="64">
        <v>12.69</v>
      </c>
      <c r="I97" s="64">
        <v>4.5199999999999996</v>
      </c>
      <c r="J97" s="64">
        <v>0.25</v>
      </c>
      <c r="K97" s="64">
        <v>310.69</v>
      </c>
      <c r="L97" s="64">
        <v>19.84</v>
      </c>
      <c r="M97" s="64">
        <v>76.45</v>
      </c>
      <c r="N97" s="64">
        <v>36.9</v>
      </c>
      <c r="O97" s="64">
        <v>0</v>
      </c>
      <c r="P97" s="64">
        <v>1.24</v>
      </c>
      <c r="Q97" s="64">
        <v>8.2100000000000009</v>
      </c>
      <c r="R97" s="198"/>
      <c r="S97" s="198"/>
      <c r="T97" s="198"/>
      <c r="U97" s="198"/>
    </row>
    <row r="98" spans="1:33" s="12" customFormat="1" x14ac:dyDescent="0.25">
      <c r="A98" s="215" t="s">
        <v>625</v>
      </c>
      <c r="B98" s="64">
        <v>13.92</v>
      </c>
      <c r="C98" s="64">
        <v>37.369999999999997</v>
      </c>
      <c r="D98" s="64">
        <v>29.31</v>
      </c>
      <c r="E98" s="64">
        <v>6.18</v>
      </c>
      <c r="F98" s="64">
        <v>4.04</v>
      </c>
      <c r="G98" s="64">
        <v>88.34</v>
      </c>
      <c r="H98" s="64">
        <v>12.69</v>
      </c>
      <c r="I98" s="64">
        <v>4.33</v>
      </c>
      <c r="J98" s="64">
        <v>0.28999999999999998</v>
      </c>
      <c r="K98" s="64">
        <v>146.04</v>
      </c>
      <c r="L98" s="64">
        <v>19.78</v>
      </c>
      <c r="M98" s="64">
        <v>75.09</v>
      </c>
      <c r="N98" s="64">
        <v>36.799999999999997</v>
      </c>
      <c r="O98" s="64">
        <v>0</v>
      </c>
      <c r="P98" s="64">
        <v>1.1499999999999999</v>
      </c>
      <c r="Q98" s="64">
        <v>8.26</v>
      </c>
      <c r="R98" s="198"/>
      <c r="S98" s="198"/>
      <c r="T98" s="198"/>
      <c r="U98" s="198"/>
    </row>
    <row r="99" spans="1:33" s="12" customFormat="1" x14ac:dyDescent="0.25">
      <c r="A99" s="215" t="s">
        <v>626</v>
      </c>
      <c r="B99" s="64">
        <v>14.24</v>
      </c>
      <c r="C99" s="64">
        <v>37.14</v>
      </c>
      <c r="D99" s="64">
        <v>29.45</v>
      </c>
      <c r="E99" s="64">
        <v>5.66</v>
      </c>
      <c r="F99" s="64">
        <v>4.4400000000000004</v>
      </c>
      <c r="G99" s="64">
        <v>88.34</v>
      </c>
      <c r="H99" s="64">
        <v>12.69</v>
      </c>
      <c r="I99" s="64">
        <v>4.51</v>
      </c>
      <c r="J99" s="64">
        <v>1.52</v>
      </c>
      <c r="K99" s="64">
        <v>354.38</v>
      </c>
      <c r="L99" s="64">
        <v>19.71</v>
      </c>
      <c r="M99" s="64">
        <v>76.61</v>
      </c>
      <c r="N99" s="64">
        <v>36.9</v>
      </c>
      <c r="O99" s="64">
        <v>0</v>
      </c>
      <c r="P99" s="64">
        <v>1.32</v>
      </c>
      <c r="Q99" s="64">
        <v>8.2899999999999991</v>
      </c>
      <c r="R99" s="198"/>
      <c r="S99" s="198"/>
      <c r="T99" s="198"/>
      <c r="U99" s="198"/>
    </row>
    <row r="100" spans="1:33" s="12" customFormat="1" x14ac:dyDescent="0.25">
      <c r="A100" s="215" t="s">
        <v>627</v>
      </c>
      <c r="B100" s="64">
        <v>15.03</v>
      </c>
      <c r="C100" s="64">
        <v>37.729999999999997</v>
      </c>
      <c r="D100" s="64">
        <v>30.39</v>
      </c>
      <c r="E100" s="64">
        <v>5.67</v>
      </c>
      <c r="F100" s="64">
        <v>4.42</v>
      </c>
      <c r="G100" s="64">
        <v>90.9</v>
      </c>
      <c r="H100" s="64">
        <v>47.39</v>
      </c>
      <c r="I100" s="64">
        <v>4.05</v>
      </c>
      <c r="J100" s="64">
        <v>1.73</v>
      </c>
      <c r="K100" s="64">
        <v>85.2</v>
      </c>
      <c r="L100" s="64">
        <v>19.5</v>
      </c>
      <c r="M100" s="64">
        <v>77.900000000000006</v>
      </c>
      <c r="N100" s="64">
        <v>36.799999999999997</v>
      </c>
      <c r="O100" s="64">
        <v>0</v>
      </c>
      <c r="P100" s="64">
        <v>1.1499999999999999</v>
      </c>
      <c r="Q100" s="64">
        <v>8.3800000000000008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628</v>
      </c>
      <c r="B101" s="64">
        <v>15.26</v>
      </c>
      <c r="C101" s="64">
        <v>41.16</v>
      </c>
      <c r="D101" s="64">
        <v>32.369999999999997</v>
      </c>
      <c r="E101" s="64">
        <v>5.85</v>
      </c>
      <c r="F101" s="64">
        <v>4.42</v>
      </c>
      <c r="G101" s="64">
        <v>92.85</v>
      </c>
      <c r="H101" s="64">
        <v>42.37</v>
      </c>
      <c r="I101" s="64">
        <v>4.97</v>
      </c>
      <c r="J101" s="64">
        <v>0.97</v>
      </c>
      <c r="K101" s="64">
        <v>327.14999999999998</v>
      </c>
      <c r="L101" s="64">
        <v>19.3</v>
      </c>
      <c r="M101" s="64">
        <v>79.62</v>
      </c>
      <c r="N101" s="64">
        <v>37</v>
      </c>
      <c r="O101" s="64">
        <v>0</v>
      </c>
      <c r="P101" s="64">
        <v>1.1599999999999999</v>
      </c>
      <c r="Q101" s="64">
        <v>8.4600000000000009</v>
      </c>
      <c r="R101" s="198"/>
      <c r="S101" s="198"/>
      <c r="T101" s="198"/>
      <c r="U101" s="198"/>
    </row>
    <row r="102" spans="1:33" s="12" customFormat="1" x14ac:dyDescent="0.25">
      <c r="A102" s="215" t="s">
        <v>629</v>
      </c>
      <c r="B102" s="64">
        <v>16.05</v>
      </c>
      <c r="C102" s="64">
        <v>35.83</v>
      </c>
      <c r="D102" s="64">
        <v>30.21</v>
      </c>
      <c r="E102" s="64">
        <v>6.04</v>
      </c>
      <c r="F102" s="64">
        <v>4.1900000000000004</v>
      </c>
      <c r="G102" s="64">
        <v>92.85</v>
      </c>
      <c r="H102" s="64">
        <v>42.37</v>
      </c>
      <c r="I102" s="64">
        <v>6.86</v>
      </c>
      <c r="J102" s="64">
        <v>1.57</v>
      </c>
      <c r="K102" s="64">
        <v>59.28</v>
      </c>
      <c r="L102" s="64">
        <v>19.100000000000001</v>
      </c>
      <c r="M102" s="64">
        <v>80.97</v>
      </c>
      <c r="N102" s="64">
        <v>36.9</v>
      </c>
      <c r="O102" s="64">
        <v>0</v>
      </c>
      <c r="P102" s="64">
        <v>1.05</v>
      </c>
      <c r="Q102" s="64">
        <v>8.35</v>
      </c>
      <c r="R102" s="198"/>
      <c r="S102" s="198"/>
      <c r="T102" s="198"/>
      <c r="U102" s="198"/>
    </row>
    <row r="103" spans="1:33" s="12" customFormat="1" x14ac:dyDescent="0.25">
      <c r="A103" s="215" t="s">
        <v>630</v>
      </c>
      <c r="B103" s="64">
        <v>16.03</v>
      </c>
      <c r="C103" s="64">
        <v>38.15</v>
      </c>
      <c r="D103" s="64">
        <v>31.41</v>
      </c>
      <c r="E103" s="64">
        <v>5.66</v>
      </c>
      <c r="F103" s="64">
        <v>4.8</v>
      </c>
      <c r="G103" s="64">
        <v>92.85</v>
      </c>
      <c r="H103" s="64">
        <v>42.37</v>
      </c>
      <c r="I103" s="64">
        <v>6.48</v>
      </c>
      <c r="J103" s="64">
        <v>1.49</v>
      </c>
      <c r="K103" s="64">
        <v>349.38</v>
      </c>
      <c r="L103" s="64">
        <v>18.940000000000001</v>
      </c>
      <c r="M103" s="64">
        <v>82.81</v>
      </c>
      <c r="N103" s="64">
        <v>37</v>
      </c>
      <c r="O103" s="64">
        <v>0</v>
      </c>
      <c r="P103" s="64">
        <v>1.1499999999999999</v>
      </c>
      <c r="Q103" s="64">
        <v>8.24</v>
      </c>
      <c r="R103" s="198"/>
      <c r="S103" s="198"/>
      <c r="T103" s="198"/>
      <c r="U103" s="198"/>
    </row>
    <row r="104" spans="1:33" s="12" customFormat="1" x14ac:dyDescent="0.25">
      <c r="A104" s="215" t="s">
        <v>631</v>
      </c>
      <c r="B104" s="64">
        <v>16.440000000000001</v>
      </c>
      <c r="C104" s="64">
        <v>40.729999999999997</v>
      </c>
      <c r="D104" s="64">
        <v>33.090000000000003</v>
      </c>
      <c r="E104" s="64">
        <v>5.42</v>
      </c>
      <c r="F104" s="64">
        <v>3.94</v>
      </c>
      <c r="G104" s="64">
        <v>91.62</v>
      </c>
      <c r="H104" s="64">
        <v>43.16</v>
      </c>
      <c r="I104" s="64">
        <v>4.72</v>
      </c>
      <c r="J104" s="64">
        <v>2.2799999999999998</v>
      </c>
      <c r="K104" s="64">
        <v>296.44</v>
      </c>
      <c r="L104" s="64">
        <v>18.61</v>
      </c>
      <c r="M104" s="64">
        <v>86.26</v>
      </c>
      <c r="N104" s="64">
        <v>37</v>
      </c>
      <c r="O104" s="64">
        <v>0</v>
      </c>
      <c r="P104" s="64">
        <v>1.1599999999999999</v>
      </c>
      <c r="Q104" s="64">
        <v>8.3800000000000008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4.78</v>
      </c>
      <c r="C106" s="67">
        <f>MIN(C9:C104)</f>
        <v>28.32</v>
      </c>
      <c r="D106" s="67">
        <f t="shared" ref="D106:Q106" si="0">MIN(D9:D104)</f>
        <v>20.38</v>
      </c>
      <c r="E106" s="67">
        <f t="shared" si="0"/>
        <v>3.42</v>
      </c>
      <c r="F106" s="67">
        <f t="shared" si="0"/>
        <v>2.76</v>
      </c>
      <c r="G106" s="67">
        <f t="shared" si="0"/>
        <v>46.93</v>
      </c>
      <c r="H106" s="67">
        <f t="shared" si="0"/>
        <v>6.37</v>
      </c>
      <c r="I106" s="67">
        <f t="shared" si="0"/>
        <v>2.33</v>
      </c>
      <c r="J106" s="67">
        <f t="shared" si="0"/>
        <v>0.25</v>
      </c>
      <c r="K106" s="67">
        <f t="shared" si="0"/>
        <v>0.51</v>
      </c>
      <c r="L106" s="67">
        <f t="shared" si="0"/>
        <v>16.55</v>
      </c>
      <c r="M106" s="67">
        <f t="shared" si="0"/>
        <v>47.53</v>
      </c>
      <c r="N106" s="67">
        <f t="shared" si="0"/>
        <v>36.200000000000003</v>
      </c>
      <c r="O106" s="67">
        <f t="shared" si="0"/>
        <v>0</v>
      </c>
      <c r="P106" s="67">
        <f t="shared" si="0"/>
        <v>0.62</v>
      </c>
      <c r="Q106" s="67">
        <f t="shared" si="0"/>
        <v>8.2100000000000009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33.89</v>
      </c>
      <c r="C107" s="66">
        <f t="shared" ref="C107:Q107" si="1">MAX(C9:C104)</f>
        <v>52.78</v>
      </c>
      <c r="D107" s="66">
        <f t="shared" si="1"/>
        <v>45.16</v>
      </c>
      <c r="E107" s="66">
        <f t="shared" si="1"/>
        <v>7.49</v>
      </c>
      <c r="F107" s="66">
        <f t="shared" si="1"/>
        <v>5.55</v>
      </c>
      <c r="G107" s="66">
        <f t="shared" si="1"/>
        <v>92.85</v>
      </c>
      <c r="H107" s="66">
        <f t="shared" si="1"/>
        <v>54.47</v>
      </c>
      <c r="I107" s="66">
        <f t="shared" si="1"/>
        <v>7.89</v>
      </c>
      <c r="J107" s="66">
        <f t="shared" si="1"/>
        <v>3.64</v>
      </c>
      <c r="K107" s="66">
        <f t="shared" si="1"/>
        <v>354.38</v>
      </c>
      <c r="L107" s="66">
        <f t="shared" si="1"/>
        <v>29.24</v>
      </c>
      <c r="M107" s="66">
        <f t="shared" si="1"/>
        <v>103.39</v>
      </c>
      <c r="N107" s="66">
        <f t="shared" si="1"/>
        <v>712.6</v>
      </c>
      <c r="O107" s="66">
        <f t="shared" si="1"/>
        <v>0</v>
      </c>
      <c r="P107" s="66">
        <f t="shared" si="1"/>
        <v>1.35</v>
      </c>
      <c r="Q107" s="66">
        <f t="shared" si="1"/>
        <v>9.9600000000000009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16.858229166666664</v>
      </c>
      <c r="C108" s="67">
        <f t="shared" ref="C108:Q108" si="2">AVERAGE(C9:C104)</f>
        <v>38.391041666666666</v>
      </c>
      <c r="D108" s="67">
        <f t="shared" si="2"/>
        <v>32.200833333333328</v>
      </c>
      <c r="E108" s="67">
        <f t="shared" si="2"/>
        <v>5.4525000000000006</v>
      </c>
      <c r="F108" s="67">
        <f t="shared" si="2"/>
        <v>4.2408333333333337</v>
      </c>
      <c r="G108" s="67">
        <f t="shared" si="2"/>
        <v>66.008437500000014</v>
      </c>
      <c r="H108" s="67">
        <f t="shared" si="2"/>
        <v>24.583020833333325</v>
      </c>
      <c r="I108" s="67">
        <f t="shared" si="2"/>
        <v>5.3212500000000027</v>
      </c>
      <c r="J108" s="67">
        <f t="shared" si="2"/>
        <v>1.6613541666666671</v>
      </c>
      <c r="K108" s="67">
        <f t="shared" si="2"/>
        <v>190.2890625</v>
      </c>
      <c r="L108" s="67">
        <f t="shared" si="2"/>
        <v>21.641874999999999</v>
      </c>
      <c r="M108" s="67">
        <f t="shared" si="2"/>
        <v>75.557395833333359</v>
      </c>
      <c r="N108" s="67">
        <f t="shared" si="2"/>
        <v>186.02395833333333</v>
      </c>
      <c r="O108" s="67">
        <f t="shared" si="2"/>
        <v>0</v>
      </c>
      <c r="P108" s="67">
        <f t="shared" si="2"/>
        <v>0.87041666666666673</v>
      </c>
      <c r="Q108" s="67">
        <f t="shared" si="2"/>
        <v>8.5921875000000068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8.7841277906043054</v>
      </c>
      <c r="C109" s="67">
        <f t="shared" ref="C109:Q109" si="3">STDEV(C9:C104)</f>
        <v>6.1606497400272726</v>
      </c>
      <c r="D109" s="67">
        <f t="shared" si="3"/>
        <v>5.4726021265106066</v>
      </c>
      <c r="E109" s="67">
        <f t="shared" si="3"/>
        <v>1.2078035741312454</v>
      </c>
      <c r="F109" s="67">
        <f t="shared" si="3"/>
        <v>0.5852514829076515</v>
      </c>
      <c r="G109" s="67">
        <f t="shared" si="3"/>
        <v>13.141553807684328</v>
      </c>
      <c r="H109" s="67">
        <f t="shared" si="3"/>
        <v>10.456516590125112</v>
      </c>
      <c r="I109" s="67">
        <f t="shared" si="3"/>
        <v>1.1560169822099802</v>
      </c>
      <c r="J109" s="67">
        <f t="shared" si="3"/>
        <v>0.8256820081052807</v>
      </c>
      <c r="K109" s="67">
        <f t="shared" si="3"/>
        <v>134.05802787621187</v>
      </c>
      <c r="L109" s="67">
        <f t="shared" si="3"/>
        <v>3.7970773559895341</v>
      </c>
      <c r="M109" s="67">
        <f t="shared" si="3"/>
        <v>19.555849266021365</v>
      </c>
      <c r="N109" s="67">
        <f t="shared" si="3"/>
        <v>235.95528780048306</v>
      </c>
      <c r="O109" s="67">
        <f t="shared" si="3"/>
        <v>0</v>
      </c>
      <c r="P109" s="67">
        <f t="shared" si="3"/>
        <v>0.20100231298311433</v>
      </c>
      <c r="Q109" s="67">
        <f t="shared" si="3"/>
        <v>0.52688998776834384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8" sqref="G118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247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05/12/2024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231</v>
      </c>
      <c r="C7" s="198" t="s">
        <v>232</v>
      </c>
      <c r="D7" s="198" t="s">
        <v>233</v>
      </c>
      <c r="E7" s="198" t="s">
        <v>234</v>
      </c>
      <c r="F7" s="198" t="s">
        <v>235</v>
      </c>
      <c r="G7" s="198" t="s">
        <v>236</v>
      </c>
      <c r="H7" s="198" t="s">
        <v>237</v>
      </c>
      <c r="I7" s="198" t="s">
        <v>238</v>
      </c>
      <c r="J7" s="198" t="s">
        <v>239</v>
      </c>
      <c r="K7" s="198" t="s">
        <v>240</v>
      </c>
      <c r="L7" s="198" t="s">
        <v>241</v>
      </c>
      <c r="M7" s="198" t="s">
        <v>242</v>
      </c>
      <c r="N7" s="198" t="s">
        <v>243</v>
      </c>
      <c r="O7" s="198" t="s">
        <v>244</v>
      </c>
      <c r="P7" s="198" t="s">
        <v>245</v>
      </c>
      <c r="Q7" s="198" t="s">
        <v>246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632</v>
      </c>
      <c r="B9" s="64">
        <v>17.18</v>
      </c>
      <c r="C9" s="64">
        <v>37.86</v>
      </c>
      <c r="D9" s="64">
        <v>32.18</v>
      </c>
      <c r="E9" s="64">
        <v>5.95</v>
      </c>
      <c r="F9" s="64">
        <v>4.72</v>
      </c>
      <c r="G9" s="64">
        <v>90.68</v>
      </c>
      <c r="H9" s="64">
        <v>43.43</v>
      </c>
      <c r="I9" s="64">
        <v>6.96</v>
      </c>
      <c r="J9" s="64">
        <v>2.3199999999999998</v>
      </c>
      <c r="K9" s="64">
        <v>283.5</v>
      </c>
      <c r="L9" s="64">
        <v>18.350000000000001</v>
      </c>
      <c r="M9" s="64">
        <v>89.19</v>
      </c>
      <c r="N9" s="64">
        <v>37</v>
      </c>
      <c r="O9" s="64">
        <v>0</v>
      </c>
      <c r="P9" s="64">
        <v>1.1499999999999999</v>
      </c>
      <c r="Q9" s="64">
        <v>8.33</v>
      </c>
      <c r="R9" s="198"/>
      <c r="S9" s="198"/>
      <c r="T9" s="198"/>
      <c r="U9" s="198"/>
    </row>
    <row r="10" spans="1:21" s="12" customFormat="1" x14ac:dyDescent="0.25">
      <c r="A10" s="215" t="s">
        <v>633</v>
      </c>
      <c r="B10" s="64">
        <v>17.43</v>
      </c>
      <c r="C10" s="64">
        <v>41.32</v>
      </c>
      <c r="D10" s="64">
        <v>34.19</v>
      </c>
      <c r="E10" s="64">
        <v>6.23</v>
      </c>
      <c r="F10" s="64">
        <v>3.84</v>
      </c>
      <c r="G10" s="64">
        <v>90.68</v>
      </c>
      <c r="H10" s="64">
        <v>43.43</v>
      </c>
      <c r="I10" s="64">
        <v>6.6</v>
      </c>
      <c r="J10" s="64">
        <v>2.44</v>
      </c>
      <c r="K10" s="64">
        <v>320.20999999999998</v>
      </c>
      <c r="L10" s="64">
        <v>18.22</v>
      </c>
      <c r="M10" s="64">
        <v>90.58</v>
      </c>
      <c r="N10" s="64">
        <v>36.9</v>
      </c>
      <c r="O10" s="64">
        <v>0</v>
      </c>
      <c r="P10" s="64">
        <v>1.1399999999999999</v>
      </c>
      <c r="Q10" s="64">
        <v>8.4600000000000009</v>
      </c>
      <c r="R10" s="198"/>
      <c r="S10" s="198"/>
      <c r="T10" s="198"/>
      <c r="U10" s="198"/>
    </row>
    <row r="11" spans="1:21" s="12" customFormat="1" x14ac:dyDescent="0.25">
      <c r="A11" s="215" t="s">
        <v>634</v>
      </c>
      <c r="B11" s="64">
        <v>17.66</v>
      </c>
      <c r="C11" s="64">
        <v>37.659999999999997</v>
      </c>
      <c r="D11" s="64">
        <v>32.47</v>
      </c>
      <c r="E11" s="64">
        <v>6.1</v>
      </c>
      <c r="F11" s="64">
        <v>4.74</v>
      </c>
      <c r="G11" s="64">
        <v>90.68</v>
      </c>
      <c r="H11" s="64">
        <v>43.43</v>
      </c>
      <c r="I11" s="64">
        <v>7.19</v>
      </c>
      <c r="J11" s="64">
        <v>2.46</v>
      </c>
      <c r="K11" s="64">
        <v>322.87</v>
      </c>
      <c r="L11" s="64">
        <v>18.079999999999998</v>
      </c>
      <c r="M11" s="64">
        <v>89.75</v>
      </c>
      <c r="N11" s="64">
        <v>36.799999999999997</v>
      </c>
      <c r="O11" s="64">
        <v>0</v>
      </c>
      <c r="P11" s="64">
        <v>1.1299999999999999</v>
      </c>
      <c r="Q11" s="64">
        <v>8.36</v>
      </c>
      <c r="R11" s="198"/>
      <c r="S11" s="198"/>
      <c r="T11" s="198"/>
      <c r="U11" s="198"/>
    </row>
    <row r="12" spans="1:21" s="12" customFormat="1" x14ac:dyDescent="0.25">
      <c r="A12" s="215" t="s">
        <v>635</v>
      </c>
      <c r="B12" s="64">
        <v>17.48</v>
      </c>
      <c r="C12" s="64">
        <v>40.25</v>
      </c>
      <c r="D12" s="64">
        <v>33.67</v>
      </c>
      <c r="E12" s="64">
        <v>6.27</v>
      </c>
      <c r="F12" s="64">
        <v>3.81</v>
      </c>
      <c r="G12" s="64">
        <v>90.17</v>
      </c>
      <c r="H12" s="64">
        <v>39.25</v>
      </c>
      <c r="I12" s="64">
        <v>7.36</v>
      </c>
      <c r="J12" s="64">
        <v>2.2799999999999998</v>
      </c>
      <c r="K12" s="64">
        <v>305.01</v>
      </c>
      <c r="L12" s="64">
        <v>18.04</v>
      </c>
      <c r="M12" s="64">
        <v>88.25</v>
      </c>
      <c r="N12" s="64">
        <v>36.700000000000003</v>
      </c>
      <c r="O12" s="64">
        <v>0</v>
      </c>
      <c r="P12" s="64">
        <v>1.1000000000000001</v>
      </c>
      <c r="Q12" s="64">
        <v>8.4600000000000009</v>
      </c>
      <c r="R12" s="198"/>
      <c r="S12" s="198"/>
      <c r="T12" s="198"/>
      <c r="U12" s="198"/>
    </row>
    <row r="13" spans="1:21" s="12" customFormat="1" x14ac:dyDescent="0.25">
      <c r="A13" s="215" t="s">
        <v>636</v>
      </c>
      <c r="B13" s="64">
        <v>16.95</v>
      </c>
      <c r="C13" s="64">
        <v>36.380000000000003</v>
      </c>
      <c r="D13" s="64">
        <v>31.23</v>
      </c>
      <c r="E13" s="64">
        <v>6.06</v>
      </c>
      <c r="F13" s="64">
        <v>4.25</v>
      </c>
      <c r="G13" s="64">
        <v>89.78</v>
      </c>
      <c r="H13" s="64">
        <v>37.83</v>
      </c>
      <c r="I13" s="64">
        <v>7.28</v>
      </c>
      <c r="J13" s="64">
        <v>2.56</v>
      </c>
      <c r="K13" s="64">
        <v>302.19</v>
      </c>
      <c r="L13" s="64">
        <v>17.93</v>
      </c>
      <c r="M13" s="64">
        <v>89.59</v>
      </c>
      <c r="N13" s="64">
        <v>37</v>
      </c>
      <c r="O13" s="64">
        <v>0</v>
      </c>
      <c r="P13" s="64">
        <v>0.91</v>
      </c>
      <c r="Q13" s="64">
        <v>8.32</v>
      </c>
      <c r="R13" s="198"/>
      <c r="S13" s="198"/>
      <c r="T13" s="198"/>
      <c r="U13" s="198"/>
    </row>
    <row r="14" spans="1:21" s="12" customFormat="1" x14ac:dyDescent="0.25">
      <c r="A14" s="215" t="s">
        <v>637</v>
      </c>
      <c r="B14" s="64">
        <v>16.690000000000001</v>
      </c>
      <c r="C14" s="64">
        <v>36.369999999999997</v>
      </c>
      <c r="D14" s="64">
        <v>31.01</v>
      </c>
      <c r="E14" s="64">
        <v>5.82</v>
      </c>
      <c r="F14" s="64">
        <v>3.83</v>
      </c>
      <c r="G14" s="64">
        <v>89.78</v>
      </c>
      <c r="H14" s="64">
        <v>37.83</v>
      </c>
      <c r="I14" s="64">
        <v>6.81</v>
      </c>
      <c r="J14" s="64">
        <v>2.34</v>
      </c>
      <c r="K14" s="64">
        <v>313.8</v>
      </c>
      <c r="L14" s="64">
        <v>17.79</v>
      </c>
      <c r="M14" s="64">
        <v>89.43</v>
      </c>
      <c r="N14" s="64">
        <v>37</v>
      </c>
      <c r="O14" s="64">
        <v>0</v>
      </c>
      <c r="P14" s="64">
        <v>0.95</v>
      </c>
      <c r="Q14" s="64">
        <v>8.2200000000000006</v>
      </c>
      <c r="R14" s="198"/>
      <c r="S14" s="198"/>
      <c r="T14" s="198"/>
      <c r="U14" s="198"/>
    </row>
    <row r="15" spans="1:21" s="12" customFormat="1" x14ac:dyDescent="0.25">
      <c r="A15" s="215" t="s">
        <v>638</v>
      </c>
      <c r="B15" s="64">
        <v>16.64</v>
      </c>
      <c r="C15" s="64">
        <v>35.1</v>
      </c>
      <c r="D15" s="64">
        <v>30.3</v>
      </c>
      <c r="E15" s="64">
        <v>5.72</v>
      </c>
      <c r="F15" s="64">
        <v>3.76</v>
      </c>
      <c r="G15" s="64">
        <v>89.78</v>
      </c>
      <c r="H15" s="64">
        <v>37.83</v>
      </c>
      <c r="I15" s="64">
        <v>5.82</v>
      </c>
      <c r="J15" s="64">
        <v>2.17</v>
      </c>
      <c r="K15" s="64">
        <v>309.70999999999998</v>
      </c>
      <c r="L15" s="64">
        <v>17.63</v>
      </c>
      <c r="M15" s="64">
        <v>90.34</v>
      </c>
      <c r="N15" s="64">
        <v>36.799999999999997</v>
      </c>
      <c r="O15" s="64">
        <v>0</v>
      </c>
      <c r="P15" s="64">
        <v>0.92</v>
      </c>
      <c r="Q15" s="64">
        <v>8.2100000000000009</v>
      </c>
      <c r="R15" s="198"/>
      <c r="S15" s="198"/>
      <c r="T15" s="198"/>
      <c r="U15" s="198"/>
    </row>
    <row r="16" spans="1:21" s="12" customFormat="1" x14ac:dyDescent="0.25">
      <c r="A16" s="215" t="s">
        <v>639</v>
      </c>
      <c r="B16" s="64">
        <v>16.75</v>
      </c>
      <c r="C16" s="64">
        <v>35.42</v>
      </c>
      <c r="D16" s="64">
        <v>30.56</v>
      </c>
      <c r="E16" s="64">
        <v>5.96</v>
      </c>
      <c r="F16" s="64">
        <v>3.85</v>
      </c>
      <c r="G16" s="64">
        <v>90.87</v>
      </c>
      <c r="H16" s="64">
        <v>29.18</v>
      </c>
      <c r="I16" s="64">
        <v>5.15</v>
      </c>
      <c r="J16" s="64">
        <v>2.39</v>
      </c>
      <c r="K16" s="64">
        <v>350.01</v>
      </c>
      <c r="L16" s="64">
        <v>17.53</v>
      </c>
      <c r="M16" s="64">
        <v>89.41</v>
      </c>
      <c r="N16" s="64">
        <v>36.700000000000003</v>
      </c>
      <c r="O16" s="64">
        <v>0</v>
      </c>
      <c r="P16" s="64">
        <v>0.86</v>
      </c>
      <c r="Q16" s="64">
        <v>8.2200000000000006</v>
      </c>
      <c r="R16" s="198"/>
      <c r="S16" s="198"/>
      <c r="T16" s="198"/>
      <c r="U16" s="198"/>
    </row>
    <row r="17" spans="1:21" s="12" customFormat="1" x14ac:dyDescent="0.25">
      <c r="A17" s="215" t="s">
        <v>640</v>
      </c>
      <c r="B17" s="64">
        <v>16.739999999999998</v>
      </c>
      <c r="C17" s="64">
        <v>35.79</v>
      </c>
      <c r="D17" s="64">
        <v>30.75</v>
      </c>
      <c r="E17" s="64">
        <v>6.06</v>
      </c>
      <c r="F17" s="64">
        <v>4.51</v>
      </c>
      <c r="G17" s="64">
        <v>91.71</v>
      </c>
      <c r="H17" s="64">
        <v>23.74</v>
      </c>
      <c r="I17" s="64">
        <v>5.21</v>
      </c>
      <c r="J17" s="64">
        <v>2.6</v>
      </c>
      <c r="K17" s="64">
        <v>348.66</v>
      </c>
      <c r="L17" s="64">
        <v>17.66</v>
      </c>
      <c r="M17" s="64">
        <v>80.459999999999994</v>
      </c>
      <c r="N17" s="64">
        <v>36</v>
      </c>
      <c r="O17" s="64">
        <v>0</v>
      </c>
      <c r="P17" s="64">
        <v>0.95</v>
      </c>
      <c r="Q17" s="64">
        <v>8.2799999999999994</v>
      </c>
      <c r="R17" s="198"/>
      <c r="S17" s="198"/>
      <c r="T17" s="198"/>
      <c r="U17" s="198"/>
    </row>
    <row r="18" spans="1:21" s="12" customFormat="1" x14ac:dyDescent="0.25">
      <c r="A18" s="215" t="s">
        <v>641</v>
      </c>
      <c r="B18" s="64">
        <v>16.22</v>
      </c>
      <c r="C18" s="64">
        <v>36.01</v>
      </c>
      <c r="D18" s="64">
        <v>30.44</v>
      </c>
      <c r="E18" s="64">
        <v>6.42</v>
      </c>
      <c r="F18" s="64">
        <v>4.22</v>
      </c>
      <c r="G18" s="64">
        <v>91.71</v>
      </c>
      <c r="H18" s="64">
        <v>23.74</v>
      </c>
      <c r="I18" s="64">
        <v>5.6</v>
      </c>
      <c r="J18" s="64">
        <v>2.5099999999999998</v>
      </c>
      <c r="K18" s="64">
        <v>350.34</v>
      </c>
      <c r="L18" s="64">
        <v>17.8</v>
      </c>
      <c r="M18" s="64">
        <v>74.42</v>
      </c>
      <c r="N18" s="64">
        <v>36.6</v>
      </c>
      <c r="O18" s="64">
        <v>0</v>
      </c>
      <c r="P18" s="64">
        <v>0.83</v>
      </c>
      <c r="Q18" s="64">
        <v>8.2799999999999994</v>
      </c>
      <c r="R18" s="198"/>
      <c r="S18" s="198"/>
      <c r="T18" s="198"/>
      <c r="U18" s="198"/>
    </row>
    <row r="19" spans="1:21" s="12" customFormat="1" x14ac:dyDescent="0.25">
      <c r="A19" s="215" t="s">
        <v>642</v>
      </c>
      <c r="B19" s="64">
        <v>15.65</v>
      </c>
      <c r="C19" s="64">
        <v>35.53</v>
      </c>
      <c r="D19" s="64">
        <v>29.74</v>
      </c>
      <c r="E19" s="64">
        <v>6.23</v>
      </c>
      <c r="F19" s="64">
        <v>4.3099999999999996</v>
      </c>
      <c r="G19" s="64">
        <v>91.71</v>
      </c>
      <c r="H19" s="64">
        <v>23.74</v>
      </c>
      <c r="I19" s="64">
        <v>5.87</v>
      </c>
      <c r="J19" s="64">
        <v>2.89</v>
      </c>
      <c r="K19" s="64">
        <v>348.71</v>
      </c>
      <c r="L19" s="64">
        <v>17.649999999999999</v>
      </c>
      <c r="M19" s="64">
        <v>72.19</v>
      </c>
      <c r="N19" s="64">
        <v>36.6</v>
      </c>
      <c r="O19" s="64">
        <v>0</v>
      </c>
      <c r="P19" s="64">
        <v>0.88</v>
      </c>
      <c r="Q19" s="64">
        <v>8.23</v>
      </c>
      <c r="R19" s="198"/>
      <c r="S19" s="198"/>
      <c r="T19" s="198"/>
      <c r="U19" s="198"/>
    </row>
    <row r="20" spans="1:21" s="12" customFormat="1" x14ac:dyDescent="0.25">
      <c r="A20" s="215" t="s">
        <v>643</v>
      </c>
      <c r="B20" s="64">
        <v>15.1</v>
      </c>
      <c r="C20" s="64">
        <v>36.67</v>
      </c>
      <c r="D20" s="64">
        <v>29.89</v>
      </c>
      <c r="E20" s="64">
        <v>6.51</v>
      </c>
      <c r="F20" s="64">
        <v>3.99</v>
      </c>
      <c r="G20" s="64">
        <v>89.33</v>
      </c>
      <c r="H20" s="64">
        <v>52.81</v>
      </c>
      <c r="I20" s="64">
        <v>5.96</v>
      </c>
      <c r="J20" s="64">
        <v>3.01</v>
      </c>
      <c r="K20" s="64">
        <v>348.01</v>
      </c>
      <c r="L20" s="64">
        <v>17.59</v>
      </c>
      <c r="M20" s="64">
        <v>69.69</v>
      </c>
      <c r="N20" s="64">
        <v>36.700000000000003</v>
      </c>
      <c r="O20" s="64">
        <v>0</v>
      </c>
      <c r="P20" s="64">
        <v>0.83</v>
      </c>
      <c r="Q20" s="64">
        <v>8.2100000000000009</v>
      </c>
      <c r="R20" s="198"/>
      <c r="S20" s="198"/>
      <c r="T20" s="198"/>
      <c r="U20" s="198"/>
    </row>
    <row r="21" spans="1:21" s="12" customFormat="1" x14ac:dyDescent="0.25">
      <c r="A21" s="215" t="s">
        <v>644</v>
      </c>
      <c r="B21" s="64">
        <v>14.58</v>
      </c>
      <c r="C21" s="64">
        <v>37.86</v>
      </c>
      <c r="D21" s="64">
        <v>30.1</v>
      </c>
      <c r="E21" s="64">
        <v>6.23</v>
      </c>
      <c r="F21" s="64">
        <v>4.3600000000000003</v>
      </c>
      <c r="G21" s="64">
        <v>87.5</v>
      </c>
      <c r="H21" s="64">
        <v>62.69</v>
      </c>
      <c r="I21" s="64">
        <v>5.65</v>
      </c>
      <c r="J21" s="64">
        <v>2.76</v>
      </c>
      <c r="K21" s="64">
        <v>346.98</v>
      </c>
      <c r="L21" s="64">
        <v>17.5</v>
      </c>
      <c r="M21" s="64">
        <v>68.19</v>
      </c>
      <c r="N21" s="64">
        <v>36.9</v>
      </c>
      <c r="O21" s="64">
        <v>0</v>
      </c>
      <c r="P21" s="64">
        <v>0.86</v>
      </c>
      <c r="Q21" s="64">
        <v>8.2100000000000009</v>
      </c>
      <c r="R21" s="198"/>
      <c r="S21" s="198"/>
      <c r="T21" s="198"/>
      <c r="U21" s="198"/>
    </row>
    <row r="22" spans="1:21" s="12" customFormat="1" x14ac:dyDescent="0.25">
      <c r="A22" s="215" t="s">
        <v>645</v>
      </c>
      <c r="B22" s="64">
        <v>14.18</v>
      </c>
      <c r="C22" s="64">
        <v>38.5</v>
      </c>
      <c r="D22" s="64">
        <v>30.11</v>
      </c>
      <c r="E22" s="64">
        <v>6.09</v>
      </c>
      <c r="F22" s="64">
        <v>4.1100000000000003</v>
      </c>
      <c r="G22" s="64">
        <v>87.5</v>
      </c>
      <c r="H22" s="64">
        <v>62.69</v>
      </c>
      <c r="I22" s="64">
        <v>6.1</v>
      </c>
      <c r="J22" s="64">
        <v>2.9</v>
      </c>
      <c r="K22" s="64">
        <v>348.05</v>
      </c>
      <c r="L22" s="64">
        <v>17.260000000000002</v>
      </c>
      <c r="M22" s="64">
        <v>69.42</v>
      </c>
      <c r="N22" s="64">
        <v>37</v>
      </c>
      <c r="O22" s="64">
        <v>0</v>
      </c>
      <c r="P22" s="64">
        <v>0.85</v>
      </c>
      <c r="Q22" s="64">
        <v>8.2100000000000009</v>
      </c>
      <c r="R22" s="198"/>
      <c r="S22" s="198"/>
      <c r="T22" s="198"/>
      <c r="U22" s="198"/>
    </row>
    <row r="23" spans="1:21" s="12" customFormat="1" x14ac:dyDescent="0.25">
      <c r="A23" s="215" t="s">
        <v>646</v>
      </c>
      <c r="B23" s="64">
        <v>13.61</v>
      </c>
      <c r="C23" s="64">
        <v>38.520000000000003</v>
      </c>
      <c r="D23" s="64">
        <v>29.67</v>
      </c>
      <c r="E23" s="64">
        <v>5.97</v>
      </c>
      <c r="F23" s="64">
        <v>4.57</v>
      </c>
      <c r="G23" s="64">
        <v>87.5</v>
      </c>
      <c r="H23" s="64">
        <v>62.69</v>
      </c>
      <c r="I23" s="64">
        <v>6.7</v>
      </c>
      <c r="J23" s="64">
        <v>2.71</v>
      </c>
      <c r="K23" s="64">
        <v>350.23</v>
      </c>
      <c r="L23" s="64">
        <v>17.11</v>
      </c>
      <c r="M23" s="64">
        <v>69.709999999999994</v>
      </c>
      <c r="N23" s="64">
        <v>36.9</v>
      </c>
      <c r="O23" s="64">
        <v>0</v>
      </c>
      <c r="P23" s="64">
        <v>0.83</v>
      </c>
      <c r="Q23" s="64">
        <v>8.2100000000000009</v>
      </c>
      <c r="R23" s="198"/>
      <c r="S23" s="198"/>
      <c r="T23" s="198"/>
      <c r="U23" s="198"/>
    </row>
    <row r="24" spans="1:21" s="12" customFormat="1" x14ac:dyDescent="0.25">
      <c r="A24" s="215" t="s">
        <v>647</v>
      </c>
      <c r="B24" s="64">
        <v>13.14</v>
      </c>
      <c r="C24" s="64">
        <v>36.35</v>
      </c>
      <c r="D24" s="64">
        <v>28.15</v>
      </c>
      <c r="E24" s="64">
        <v>5.69</v>
      </c>
      <c r="F24" s="64">
        <v>4.33</v>
      </c>
      <c r="G24" s="64">
        <v>85.23</v>
      </c>
      <c r="H24" s="64">
        <v>47.25</v>
      </c>
      <c r="I24" s="64">
        <v>6.7</v>
      </c>
      <c r="J24" s="64">
        <v>2.66</v>
      </c>
      <c r="K24" s="64">
        <v>352.74</v>
      </c>
      <c r="L24" s="64">
        <v>16.989999999999998</v>
      </c>
      <c r="M24" s="64">
        <v>69.819999999999993</v>
      </c>
      <c r="N24" s="64">
        <v>36.799999999999997</v>
      </c>
      <c r="O24" s="64">
        <v>0</v>
      </c>
      <c r="P24" s="64">
        <v>0.8</v>
      </c>
      <c r="Q24" s="64">
        <v>8.2100000000000009</v>
      </c>
      <c r="R24" s="198"/>
      <c r="S24" s="198"/>
      <c r="T24" s="198"/>
      <c r="U24" s="198"/>
    </row>
    <row r="25" spans="1:21" s="12" customFormat="1" x14ac:dyDescent="0.25">
      <c r="A25" s="215" t="s">
        <v>648</v>
      </c>
      <c r="B25" s="64">
        <v>12.72</v>
      </c>
      <c r="C25" s="64">
        <v>37.9</v>
      </c>
      <c r="D25" s="64">
        <v>28.62</v>
      </c>
      <c r="E25" s="64">
        <v>5.69</v>
      </c>
      <c r="F25" s="64">
        <v>4.07</v>
      </c>
      <c r="G25" s="64">
        <v>83.49</v>
      </c>
      <c r="H25" s="64">
        <v>42</v>
      </c>
      <c r="I25" s="64">
        <v>6.54</v>
      </c>
      <c r="J25" s="64">
        <v>2.57</v>
      </c>
      <c r="K25" s="64">
        <v>339.94</v>
      </c>
      <c r="L25" s="64">
        <v>16.79</v>
      </c>
      <c r="M25" s="64">
        <v>69.5</v>
      </c>
      <c r="N25" s="64">
        <v>36.799999999999997</v>
      </c>
      <c r="O25" s="64">
        <v>0</v>
      </c>
      <c r="P25" s="64">
        <v>0.79</v>
      </c>
      <c r="Q25" s="64">
        <v>8.2100000000000009</v>
      </c>
      <c r="R25" s="198"/>
      <c r="S25" s="198"/>
      <c r="T25" s="198"/>
      <c r="U25" s="198"/>
    </row>
    <row r="26" spans="1:21" s="12" customFormat="1" x14ac:dyDescent="0.25">
      <c r="A26" s="215" t="s">
        <v>649</v>
      </c>
      <c r="B26" s="64">
        <v>12.37</v>
      </c>
      <c r="C26" s="64">
        <v>37.6</v>
      </c>
      <c r="D26" s="64">
        <v>28.19</v>
      </c>
      <c r="E26" s="64">
        <v>5.73</v>
      </c>
      <c r="F26" s="64">
        <v>4.1900000000000004</v>
      </c>
      <c r="G26" s="64">
        <v>83.49</v>
      </c>
      <c r="H26" s="64">
        <v>42</v>
      </c>
      <c r="I26" s="64">
        <v>6.46</v>
      </c>
      <c r="J26" s="64">
        <v>0.93</v>
      </c>
      <c r="K26" s="64">
        <v>96.65</v>
      </c>
      <c r="L26" s="64">
        <v>16.5</v>
      </c>
      <c r="M26" s="64">
        <v>69.680000000000007</v>
      </c>
      <c r="N26" s="64">
        <v>37</v>
      </c>
      <c r="O26" s="64">
        <v>0</v>
      </c>
      <c r="P26" s="64">
        <v>0.77</v>
      </c>
      <c r="Q26" s="64">
        <v>8.2100000000000009</v>
      </c>
      <c r="R26" s="198"/>
      <c r="S26" s="198"/>
      <c r="T26" s="198"/>
      <c r="U26" s="198"/>
    </row>
    <row r="27" spans="1:21" s="12" customFormat="1" x14ac:dyDescent="0.25">
      <c r="A27" s="215" t="s">
        <v>650</v>
      </c>
      <c r="B27" s="64">
        <v>12.13</v>
      </c>
      <c r="C27" s="64">
        <v>36.74</v>
      </c>
      <c r="D27" s="64">
        <v>27.55</v>
      </c>
      <c r="E27" s="64">
        <v>5.36</v>
      </c>
      <c r="F27" s="64">
        <v>3.95</v>
      </c>
      <c r="G27" s="64">
        <v>83.49</v>
      </c>
      <c r="H27" s="64">
        <v>42</v>
      </c>
      <c r="I27" s="64">
        <v>6.35</v>
      </c>
      <c r="J27" s="64">
        <v>1.27</v>
      </c>
      <c r="K27" s="64">
        <v>52.28</v>
      </c>
      <c r="L27" s="64">
        <v>16.28</v>
      </c>
      <c r="M27" s="64">
        <v>70.92</v>
      </c>
      <c r="N27" s="64">
        <v>37</v>
      </c>
      <c r="O27" s="64">
        <v>0</v>
      </c>
      <c r="P27" s="64">
        <v>0.76</v>
      </c>
      <c r="Q27" s="64">
        <v>8.2100000000000009</v>
      </c>
      <c r="R27" s="198"/>
      <c r="S27" s="198"/>
      <c r="T27" s="198"/>
      <c r="U27" s="198"/>
    </row>
    <row r="28" spans="1:21" s="12" customFormat="1" x14ac:dyDescent="0.25">
      <c r="A28" s="215" t="s">
        <v>651</v>
      </c>
      <c r="B28" s="64">
        <v>11.95</v>
      </c>
      <c r="C28" s="64">
        <v>38.619999999999997</v>
      </c>
      <c r="D28" s="64">
        <v>28.39</v>
      </c>
      <c r="E28" s="64">
        <v>5.51</v>
      </c>
      <c r="F28" s="64">
        <v>4.08</v>
      </c>
      <c r="G28" s="64">
        <v>80.72</v>
      </c>
      <c r="H28" s="64">
        <v>37.200000000000003</v>
      </c>
      <c r="I28" s="64">
        <v>6.22</v>
      </c>
      <c r="J28" s="64">
        <v>3.33</v>
      </c>
      <c r="K28" s="64">
        <v>346.77</v>
      </c>
      <c r="L28" s="64">
        <v>16.329999999999998</v>
      </c>
      <c r="M28" s="64">
        <v>70.69</v>
      </c>
      <c r="N28" s="64">
        <v>36.200000000000003</v>
      </c>
      <c r="O28" s="64">
        <v>0</v>
      </c>
      <c r="P28" s="64">
        <v>0.74</v>
      </c>
      <c r="Q28" s="64">
        <v>8.2100000000000009</v>
      </c>
      <c r="R28" s="198"/>
      <c r="S28" s="198"/>
      <c r="T28" s="198"/>
      <c r="U28" s="198"/>
    </row>
    <row r="29" spans="1:21" s="12" customFormat="1" x14ac:dyDescent="0.25">
      <c r="A29" s="215" t="s">
        <v>652</v>
      </c>
      <c r="B29" s="64">
        <v>11.8</v>
      </c>
      <c r="C29" s="64">
        <v>35.700000000000003</v>
      </c>
      <c r="D29" s="64">
        <v>26.74</v>
      </c>
      <c r="E29" s="64">
        <v>5.22</v>
      </c>
      <c r="F29" s="64">
        <v>4.2699999999999996</v>
      </c>
      <c r="G29" s="64">
        <v>78.599999999999994</v>
      </c>
      <c r="H29" s="64">
        <v>35.57</v>
      </c>
      <c r="I29" s="64">
        <v>6.15</v>
      </c>
      <c r="J29" s="64">
        <v>2.75</v>
      </c>
      <c r="K29" s="64">
        <v>346.31</v>
      </c>
      <c r="L29" s="64">
        <v>16.45</v>
      </c>
      <c r="M29" s="64">
        <v>68.64</v>
      </c>
      <c r="N29" s="64">
        <v>36.6</v>
      </c>
      <c r="O29" s="64">
        <v>0</v>
      </c>
      <c r="P29" s="64">
        <v>0.72</v>
      </c>
      <c r="Q29" s="64">
        <v>8.2100000000000009</v>
      </c>
      <c r="R29" s="198"/>
      <c r="S29" s="198"/>
      <c r="T29" s="198"/>
      <c r="U29" s="198"/>
    </row>
    <row r="30" spans="1:21" s="12" customFormat="1" x14ac:dyDescent="0.25">
      <c r="A30" s="215" t="s">
        <v>653</v>
      </c>
      <c r="B30" s="64">
        <v>11.65</v>
      </c>
      <c r="C30" s="64">
        <v>40.26</v>
      </c>
      <c r="D30" s="64">
        <v>29</v>
      </c>
      <c r="E30" s="64">
        <v>5.76</v>
      </c>
      <c r="F30" s="64">
        <v>3.82</v>
      </c>
      <c r="G30" s="64">
        <v>78.599999999999994</v>
      </c>
      <c r="H30" s="64">
        <v>35.57</v>
      </c>
      <c r="I30" s="64">
        <v>5.69</v>
      </c>
      <c r="J30" s="64">
        <v>0.6</v>
      </c>
      <c r="K30" s="64">
        <v>25.61</v>
      </c>
      <c r="L30" s="64">
        <v>16.420000000000002</v>
      </c>
      <c r="M30" s="64">
        <v>69.03</v>
      </c>
      <c r="N30" s="64">
        <v>37</v>
      </c>
      <c r="O30" s="64">
        <v>0</v>
      </c>
      <c r="P30" s="64">
        <v>0.71</v>
      </c>
      <c r="Q30" s="64">
        <v>8.2100000000000009</v>
      </c>
      <c r="R30" s="198"/>
      <c r="S30" s="198"/>
      <c r="T30" s="198"/>
      <c r="U30" s="198"/>
    </row>
    <row r="31" spans="1:21" s="12" customFormat="1" x14ac:dyDescent="0.25">
      <c r="A31" s="215" t="s">
        <v>654</v>
      </c>
      <c r="B31" s="64">
        <v>12.03</v>
      </c>
      <c r="C31" s="64">
        <v>36.36</v>
      </c>
      <c r="D31" s="64">
        <v>27.27</v>
      </c>
      <c r="E31" s="64">
        <v>5.71</v>
      </c>
      <c r="F31" s="64">
        <v>3.68</v>
      </c>
      <c r="G31" s="64">
        <v>78.599999999999994</v>
      </c>
      <c r="H31" s="64">
        <v>35.57</v>
      </c>
      <c r="I31" s="64">
        <v>5.55</v>
      </c>
      <c r="J31" s="64">
        <v>1.18</v>
      </c>
      <c r="K31" s="64">
        <v>355.32</v>
      </c>
      <c r="L31" s="64">
        <v>16.3</v>
      </c>
      <c r="M31" s="64">
        <v>70.98</v>
      </c>
      <c r="N31" s="64">
        <v>37</v>
      </c>
      <c r="O31" s="64">
        <v>0</v>
      </c>
      <c r="P31" s="64">
        <v>0.69</v>
      </c>
      <c r="Q31" s="64">
        <v>8.2100000000000009</v>
      </c>
      <c r="R31" s="198"/>
      <c r="S31" s="198"/>
      <c r="T31" s="198"/>
      <c r="U31" s="198"/>
    </row>
    <row r="32" spans="1:21" s="12" customFormat="1" x14ac:dyDescent="0.25">
      <c r="A32" s="215" t="s">
        <v>655</v>
      </c>
      <c r="B32" s="64">
        <v>12.72</v>
      </c>
      <c r="C32" s="64">
        <v>37.1</v>
      </c>
      <c r="D32" s="64">
        <v>28.21</v>
      </c>
      <c r="E32" s="64">
        <v>5.46</v>
      </c>
      <c r="F32" s="64">
        <v>4.12</v>
      </c>
      <c r="G32" s="64">
        <v>77.819999999999993</v>
      </c>
      <c r="H32" s="64">
        <v>35.479999999999997</v>
      </c>
      <c r="I32" s="64">
        <v>5.51</v>
      </c>
      <c r="J32" s="64">
        <v>1.51</v>
      </c>
      <c r="K32" s="64">
        <v>8.89</v>
      </c>
      <c r="L32" s="64">
        <v>16.03</v>
      </c>
      <c r="M32" s="64">
        <v>72.430000000000007</v>
      </c>
      <c r="N32" s="64">
        <v>36.799999999999997</v>
      </c>
      <c r="O32" s="64">
        <v>0</v>
      </c>
      <c r="P32" s="64">
        <v>0.68</v>
      </c>
      <c r="Q32" s="64">
        <v>8.2100000000000009</v>
      </c>
      <c r="R32" s="198"/>
      <c r="S32" s="198"/>
      <c r="T32" s="198"/>
      <c r="U32" s="198"/>
    </row>
    <row r="33" spans="1:21" s="12" customFormat="1" x14ac:dyDescent="0.25">
      <c r="A33" s="215" t="s">
        <v>656</v>
      </c>
      <c r="B33" s="64">
        <v>13.68</v>
      </c>
      <c r="C33" s="64">
        <v>38.200000000000003</v>
      </c>
      <c r="D33" s="64">
        <v>29.55</v>
      </c>
      <c r="E33" s="64">
        <v>5.87</v>
      </c>
      <c r="F33" s="64">
        <v>3.8</v>
      </c>
      <c r="G33" s="64">
        <v>77.23</v>
      </c>
      <c r="H33" s="64">
        <v>35.42</v>
      </c>
      <c r="I33" s="64">
        <v>5.56</v>
      </c>
      <c r="J33" s="64">
        <v>1.79</v>
      </c>
      <c r="K33" s="64">
        <v>120.11</v>
      </c>
      <c r="L33" s="64">
        <v>15.82</v>
      </c>
      <c r="M33" s="64">
        <v>72.709999999999994</v>
      </c>
      <c r="N33" s="64">
        <v>37.1</v>
      </c>
      <c r="O33" s="64">
        <v>0</v>
      </c>
      <c r="P33" s="64">
        <v>0.68</v>
      </c>
      <c r="Q33" s="64">
        <v>8.2100000000000009</v>
      </c>
      <c r="R33" s="198"/>
      <c r="S33" s="198"/>
      <c r="T33" s="198"/>
      <c r="U33" s="198"/>
    </row>
    <row r="34" spans="1:21" s="12" customFormat="1" x14ac:dyDescent="0.25">
      <c r="A34" s="215" t="s">
        <v>657</v>
      </c>
      <c r="B34" s="64">
        <v>14.3</v>
      </c>
      <c r="C34" s="64">
        <v>39.28</v>
      </c>
      <c r="D34" s="64">
        <v>30.62</v>
      </c>
      <c r="E34" s="64">
        <v>5.82</v>
      </c>
      <c r="F34" s="64">
        <v>3.34</v>
      </c>
      <c r="G34" s="64">
        <v>77.23</v>
      </c>
      <c r="H34" s="64">
        <v>35.42</v>
      </c>
      <c r="I34" s="64">
        <v>5.44</v>
      </c>
      <c r="J34" s="64">
        <v>0.98</v>
      </c>
      <c r="K34" s="64">
        <v>307.73</v>
      </c>
      <c r="L34" s="64">
        <v>15.72</v>
      </c>
      <c r="M34" s="64">
        <v>74.06</v>
      </c>
      <c r="N34" s="64">
        <v>38.799999999999997</v>
      </c>
      <c r="O34" s="64">
        <v>0</v>
      </c>
      <c r="P34" s="64">
        <v>0.67</v>
      </c>
      <c r="Q34" s="64">
        <v>8.2100000000000009</v>
      </c>
      <c r="R34" s="198"/>
      <c r="S34" s="198"/>
      <c r="T34" s="198"/>
      <c r="U34" s="198"/>
    </row>
    <row r="35" spans="1:21" s="12" customFormat="1" x14ac:dyDescent="0.25">
      <c r="A35" s="215" t="s">
        <v>658</v>
      </c>
      <c r="B35" s="64">
        <v>14.94</v>
      </c>
      <c r="C35" s="64">
        <v>39.56</v>
      </c>
      <c r="D35" s="64">
        <v>31.27</v>
      </c>
      <c r="E35" s="64">
        <v>5.82</v>
      </c>
      <c r="F35" s="64">
        <v>3.48</v>
      </c>
      <c r="G35" s="64">
        <v>77.23</v>
      </c>
      <c r="H35" s="64">
        <v>35.42</v>
      </c>
      <c r="I35" s="64">
        <v>5.31</v>
      </c>
      <c r="J35" s="64">
        <v>2.0499999999999998</v>
      </c>
      <c r="K35" s="64">
        <v>321.08</v>
      </c>
      <c r="L35" s="64">
        <v>15.56</v>
      </c>
      <c r="M35" s="64">
        <v>77.94</v>
      </c>
      <c r="N35" s="64">
        <v>45.6</v>
      </c>
      <c r="O35" s="64">
        <v>0</v>
      </c>
      <c r="P35" s="64">
        <v>0.67</v>
      </c>
      <c r="Q35" s="64">
        <v>8.2100000000000009</v>
      </c>
      <c r="R35" s="198"/>
      <c r="S35" s="198"/>
      <c r="T35" s="198"/>
      <c r="U35" s="198"/>
    </row>
    <row r="36" spans="1:21" s="12" customFormat="1" x14ac:dyDescent="0.25">
      <c r="A36" s="215" t="s">
        <v>659</v>
      </c>
      <c r="B36" s="64">
        <v>17.13</v>
      </c>
      <c r="C36" s="64">
        <v>40.5</v>
      </c>
      <c r="D36" s="64">
        <v>33.520000000000003</v>
      </c>
      <c r="E36" s="64">
        <v>6.34</v>
      </c>
      <c r="F36" s="64">
        <v>3.94</v>
      </c>
      <c r="G36" s="64">
        <v>75.680000000000007</v>
      </c>
      <c r="H36" s="64">
        <v>13.74</v>
      </c>
      <c r="I36" s="64">
        <v>5.57</v>
      </c>
      <c r="J36" s="64">
        <v>1.45</v>
      </c>
      <c r="K36" s="64">
        <v>79.94</v>
      </c>
      <c r="L36" s="64">
        <v>15.57</v>
      </c>
      <c r="M36" s="64">
        <v>78.2</v>
      </c>
      <c r="N36" s="64">
        <v>60.4</v>
      </c>
      <c r="O36" s="64">
        <v>0</v>
      </c>
      <c r="P36" s="64">
        <v>0.68</v>
      </c>
      <c r="Q36" s="64">
        <v>8.2200000000000006</v>
      </c>
      <c r="R36" s="198"/>
      <c r="S36" s="198"/>
      <c r="T36" s="198"/>
      <c r="U36" s="198"/>
    </row>
    <row r="37" spans="1:21" s="12" customFormat="1" x14ac:dyDescent="0.25">
      <c r="A37" s="215" t="s">
        <v>660</v>
      </c>
      <c r="B37" s="64">
        <v>18.88</v>
      </c>
      <c r="C37" s="64">
        <v>40.450000000000003</v>
      </c>
      <c r="D37" s="64">
        <v>34.9</v>
      </c>
      <c r="E37" s="64">
        <v>6.45</v>
      </c>
      <c r="F37" s="64">
        <v>4</v>
      </c>
      <c r="G37" s="64">
        <v>74.489999999999995</v>
      </c>
      <c r="H37" s="64">
        <v>6.38</v>
      </c>
      <c r="I37" s="64">
        <v>5.61</v>
      </c>
      <c r="J37" s="64">
        <v>1.84</v>
      </c>
      <c r="K37" s="64">
        <v>93.66</v>
      </c>
      <c r="L37" s="64">
        <v>16.16</v>
      </c>
      <c r="M37" s="64">
        <v>72.47</v>
      </c>
      <c r="N37" s="64">
        <v>79.7</v>
      </c>
      <c r="O37" s="64">
        <v>0</v>
      </c>
      <c r="P37" s="64">
        <v>0.75</v>
      </c>
      <c r="Q37" s="64">
        <v>8.39</v>
      </c>
      <c r="R37" s="198"/>
      <c r="S37" s="198"/>
      <c r="T37" s="198"/>
      <c r="U37" s="198"/>
    </row>
    <row r="38" spans="1:21" s="12" customFormat="1" x14ac:dyDescent="0.25">
      <c r="A38" s="215" t="s">
        <v>661</v>
      </c>
      <c r="B38" s="64">
        <v>20.37</v>
      </c>
      <c r="C38" s="64">
        <v>39.79</v>
      </c>
      <c r="D38" s="64">
        <v>35.75</v>
      </c>
      <c r="E38" s="64">
        <v>6.2</v>
      </c>
      <c r="F38" s="64">
        <v>4.13</v>
      </c>
      <c r="G38" s="64">
        <v>74.489999999999995</v>
      </c>
      <c r="H38" s="64">
        <v>6.38</v>
      </c>
      <c r="I38" s="64">
        <v>5.66</v>
      </c>
      <c r="J38" s="64">
        <v>1.81</v>
      </c>
      <c r="K38" s="64">
        <v>338.28</v>
      </c>
      <c r="L38" s="64">
        <v>16.88</v>
      </c>
      <c r="M38" s="64">
        <v>70.760000000000005</v>
      </c>
      <c r="N38" s="64">
        <v>116.2</v>
      </c>
      <c r="O38" s="64">
        <v>0</v>
      </c>
      <c r="P38" s="64">
        <v>0.79</v>
      </c>
      <c r="Q38" s="64">
        <v>8.64</v>
      </c>
      <c r="R38" s="198"/>
      <c r="S38" s="198"/>
      <c r="T38" s="198"/>
      <c r="U38" s="198"/>
    </row>
    <row r="39" spans="1:21" s="12" customFormat="1" x14ac:dyDescent="0.25">
      <c r="A39" s="215" t="s">
        <v>662</v>
      </c>
      <c r="B39" s="64">
        <v>22.98</v>
      </c>
      <c r="C39" s="64">
        <v>38.85</v>
      </c>
      <c r="D39" s="64">
        <v>37.35</v>
      </c>
      <c r="E39" s="64">
        <v>6.61</v>
      </c>
      <c r="F39" s="64">
        <v>4.13</v>
      </c>
      <c r="G39" s="64">
        <v>74.489999999999995</v>
      </c>
      <c r="H39" s="64">
        <v>6.38</v>
      </c>
      <c r="I39" s="64">
        <v>5.62</v>
      </c>
      <c r="J39" s="64">
        <v>1.74</v>
      </c>
      <c r="K39" s="64">
        <v>327.5</v>
      </c>
      <c r="L39" s="64">
        <v>17.89</v>
      </c>
      <c r="M39" s="64">
        <v>66.069999999999993</v>
      </c>
      <c r="N39" s="64">
        <v>142.69999999999999</v>
      </c>
      <c r="O39" s="64">
        <v>0</v>
      </c>
      <c r="P39" s="64">
        <v>0.82</v>
      </c>
      <c r="Q39" s="64">
        <v>8.84</v>
      </c>
      <c r="R39" s="198"/>
      <c r="S39" s="198"/>
      <c r="T39" s="198"/>
      <c r="U39" s="198"/>
    </row>
    <row r="40" spans="1:21" s="12" customFormat="1" x14ac:dyDescent="0.25">
      <c r="A40" s="215" t="s">
        <v>663</v>
      </c>
      <c r="B40" s="64">
        <v>26.24</v>
      </c>
      <c r="C40" s="64">
        <v>38.26</v>
      </c>
      <c r="D40" s="64">
        <v>39.65</v>
      </c>
      <c r="E40" s="64">
        <v>5.58</v>
      </c>
      <c r="F40" s="64">
        <v>4.4800000000000004</v>
      </c>
      <c r="G40" s="64">
        <v>77.03</v>
      </c>
      <c r="H40" s="64">
        <v>2.57</v>
      </c>
      <c r="I40" s="64">
        <v>5.74</v>
      </c>
      <c r="J40" s="64">
        <v>2.59</v>
      </c>
      <c r="K40" s="64">
        <v>341.79</v>
      </c>
      <c r="L40" s="64">
        <v>18.86</v>
      </c>
      <c r="M40" s="64">
        <v>60.04</v>
      </c>
      <c r="N40" s="64">
        <v>177.4</v>
      </c>
      <c r="O40" s="64">
        <v>0</v>
      </c>
      <c r="P40" s="64">
        <v>0.85</v>
      </c>
      <c r="Q40" s="64">
        <v>9</v>
      </c>
      <c r="R40" s="198"/>
      <c r="S40" s="198"/>
      <c r="T40" s="198"/>
      <c r="U40" s="198"/>
    </row>
    <row r="41" spans="1:21" s="12" customFormat="1" x14ac:dyDescent="0.25">
      <c r="A41" s="215" t="s">
        <v>664</v>
      </c>
      <c r="B41" s="64">
        <v>28.92</v>
      </c>
      <c r="C41" s="64">
        <v>39.090000000000003</v>
      </c>
      <c r="D41" s="64">
        <v>42.24</v>
      </c>
      <c r="E41" s="64">
        <v>6.65</v>
      </c>
      <c r="F41" s="64">
        <v>4.22</v>
      </c>
      <c r="G41" s="64">
        <v>78.97</v>
      </c>
      <c r="H41" s="64">
        <v>1.28</v>
      </c>
      <c r="I41" s="64">
        <v>5.79</v>
      </c>
      <c r="J41" s="64">
        <v>3.42</v>
      </c>
      <c r="K41" s="64">
        <v>346.95</v>
      </c>
      <c r="L41" s="64">
        <v>20.12</v>
      </c>
      <c r="M41" s="64">
        <v>55.95</v>
      </c>
      <c r="N41" s="64">
        <v>176.7</v>
      </c>
      <c r="O41" s="64">
        <v>0</v>
      </c>
      <c r="P41" s="64">
        <v>0.87</v>
      </c>
      <c r="Q41" s="64">
        <v>9.34</v>
      </c>
      <c r="R41" s="198"/>
      <c r="S41" s="198"/>
      <c r="T41" s="198"/>
      <c r="U41" s="198"/>
    </row>
    <row r="42" spans="1:21" s="12" customFormat="1" x14ac:dyDescent="0.25">
      <c r="A42" s="215" t="s">
        <v>665</v>
      </c>
      <c r="B42" s="64">
        <v>30.77</v>
      </c>
      <c r="C42" s="64">
        <v>41.58</v>
      </c>
      <c r="D42" s="64">
        <v>45.02</v>
      </c>
      <c r="E42" s="64">
        <v>6.58</v>
      </c>
      <c r="F42" s="64">
        <v>4.4400000000000004</v>
      </c>
      <c r="G42" s="64">
        <v>78.97</v>
      </c>
      <c r="H42" s="64">
        <v>1.28</v>
      </c>
      <c r="I42" s="64">
        <v>5.82</v>
      </c>
      <c r="J42" s="64">
        <v>3.47</v>
      </c>
      <c r="K42" s="64">
        <v>345.79</v>
      </c>
      <c r="L42" s="64">
        <v>19.88</v>
      </c>
      <c r="M42" s="64">
        <v>53.62</v>
      </c>
      <c r="N42" s="64">
        <v>162.1</v>
      </c>
      <c r="O42" s="64">
        <v>0</v>
      </c>
      <c r="P42" s="64">
        <v>0.91</v>
      </c>
      <c r="Q42" s="64">
        <v>9.5399999999999991</v>
      </c>
      <c r="R42" s="198"/>
      <c r="S42" s="198"/>
      <c r="T42" s="198"/>
      <c r="U42" s="198"/>
    </row>
    <row r="43" spans="1:21" s="12" customFormat="1" x14ac:dyDescent="0.25">
      <c r="A43" s="215" t="s">
        <v>666</v>
      </c>
      <c r="B43" s="64">
        <v>32.18</v>
      </c>
      <c r="C43" s="64">
        <v>40.98</v>
      </c>
      <c r="D43" s="64">
        <v>45.84</v>
      </c>
      <c r="E43" s="64">
        <v>6.28</v>
      </c>
      <c r="F43" s="64">
        <v>4.37</v>
      </c>
      <c r="G43" s="64">
        <v>78.97</v>
      </c>
      <c r="H43" s="64">
        <v>1.28</v>
      </c>
      <c r="I43" s="64">
        <v>5.92</v>
      </c>
      <c r="J43" s="64">
        <v>2.33</v>
      </c>
      <c r="K43" s="64">
        <v>337.44</v>
      </c>
      <c r="L43" s="64">
        <v>20.56</v>
      </c>
      <c r="M43" s="64">
        <v>49.02</v>
      </c>
      <c r="N43" s="64">
        <v>319.10000000000002</v>
      </c>
      <c r="O43" s="64">
        <v>0</v>
      </c>
      <c r="P43" s="64">
        <v>0.9</v>
      </c>
      <c r="Q43" s="64">
        <v>9.69</v>
      </c>
      <c r="R43" s="198"/>
      <c r="S43" s="198"/>
      <c r="T43" s="198"/>
      <c r="U43" s="198"/>
    </row>
    <row r="44" spans="1:21" s="12" customFormat="1" x14ac:dyDescent="0.25">
      <c r="A44" s="215" t="s">
        <v>667</v>
      </c>
      <c r="B44" s="64">
        <v>33.25</v>
      </c>
      <c r="C44" s="64">
        <v>43.5</v>
      </c>
      <c r="D44" s="64">
        <v>48.02</v>
      </c>
      <c r="E44" s="64">
        <v>6.91</v>
      </c>
      <c r="F44" s="64">
        <v>4.2699999999999996</v>
      </c>
      <c r="G44" s="64">
        <v>85.47</v>
      </c>
      <c r="H44" s="64">
        <v>20.63</v>
      </c>
      <c r="I44" s="64">
        <v>5.94</v>
      </c>
      <c r="J44" s="64">
        <v>1.3</v>
      </c>
      <c r="K44" s="64">
        <v>96.6</v>
      </c>
      <c r="L44" s="64">
        <v>21.21</v>
      </c>
      <c r="M44" s="64">
        <v>46.79</v>
      </c>
      <c r="N44" s="64">
        <v>326.89999999999998</v>
      </c>
      <c r="O44" s="64">
        <v>0</v>
      </c>
      <c r="P44" s="64">
        <v>0.9</v>
      </c>
      <c r="Q44" s="64">
        <v>9.85</v>
      </c>
      <c r="R44" s="198"/>
      <c r="S44" s="198"/>
      <c r="T44" s="198"/>
      <c r="U44" s="198"/>
    </row>
    <row r="45" spans="1:21" s="12" customFormat="1" x14ac:dyDescent="0.25">
      <c r="A45" s="215" t="s">
        <v>668</v>
      </c>
      <c r="B45" s="64">
        <v>33.229999999999997</v>
      </c>
      <c r="C45" s="64">
        <v>42.88</v>
      </c>
      <c r="D45" s="64">
        <v>47.67</v>
      </c>
      <c r="E45" s="64">
        <v>6.12</v>
      </c>
      <c r="F45" s="64">
        <v>4.63</v>
      </c>
      <c r="G45" s="64">
        <v>90.44</v>
      </c>
      <c r="H45" s="64">
        <v>27.21</v>
      </c>
      <c r="I45" s="64">
        <v>5.93</v>
      </c>
      <c r="J45" s="64">
        <v>3.64</v>
      </c>
      <c r="K45" s="64">
        <v>112.03</v>
      </c>
      <c r="L45" s="64">
        <v>20.399999999999999</v>
      </c>
      <c r="M45" s="64">
        <v>49.52</v>
      </c>
      <c r="N45" s="64">
        <v>412.4</v>
      </c>
      <c r="O45" s="64">
        <v>0</v>
      </c>
      <c r="P45" s="64">
        <v>0.9</v>
      </c>
      <c r="Q45" s="64">
        <v>9.94</v>
      </c>
      <c r="R45" s="198"/>
      <c r="S45" s="198"/>
      <c r="T45" s="198"/>
      <c r="U45" s="198"/>
    </row>
    <row r="46" spans="1:21" s="12" customFormat="1" x14ac:dyDescent="0.25">
      <c r="A46" s="215" t="s">
        <v>669</v>
      </c>
      <c r="B46" s="64">
        <v>32.22</v>
      </c>
      <c r="C46" s="64">
        <v>41.54</v>
      </c>
      <c r="D46" s="64">
        <v>46.17</v>
      </c>
      <c r="E46" s="64">
        <v>6.04</v>
      </c>
      <c r="F46" s="64">
        <v>4.01</v>
      </c>
      <c r="G46" s="64">
        <v>90.44</v>
      </c>
      <c r="H46" s="64">
        <v>27.21</v>
      </c>
      <c r="I46" s="64">
        <v>6</v>
      </c>
      <c r="J46" s="64">
        <v>1.41</v>
      </c>
      <c r="K46" s="64">
        <v>92.06</v>
      </c>
      <c r="L46" s="64">
        <v>21.85</v>
      </c>
      <c r="M46" s="64">
        <v>48.52</v>
      </c>
      <c r="N46" s="64">
        <v>455.7</v>
      </c>
      <c r="O46" s="64">
        <v>0</v>
      </c>
      <c r="P46" s="64">
        <v>0.89</v>
      </c>
      <c r="Q46" s="64">
        <v>9.86</v>
      </c>
      <c r="R46" s="198"/>
      <c r="S46" s="198"/>
      <c r="T46" s="198"/>
      <c r="U46" s="198"/>
    </row>
    <row r="47" spans="1:21" s="12" customFormat="1" x14ac:dyDescent="0.25">
      <c r="A47" s="215" t="s">
        <v>670</v>
      </c>
      <c r="B47" s="64">
        <v>31.4</v>
      </c>
      <c r="C47" s="64">
        <v>41.48</v>
      </c>
      <c r="D47" s="64">
        <v>45.48</v>
      </c>
      <c r="E47" s="64">
        <v>5.8</v>
      </c>
      <c r="F47" s="64">
        <v>4.2</v>
      </c>
      <c r="G47" s="64">
        <v>90.44</v>
      </c>
      <c r="H47" s="64">
        <v>27.21</v>
      </c>
      <c r="I47" s="64">
        <v>6.41</v>
      </c>
      <c r="J47" s="64">
        <v>1.28</v>
      </c>
      <c r="K47" s="64">
        <v>15.71</v>
      </c>
      <c r="L47" s="64">
        <v>23.57</v>
      </c>
      <c r="M47" s="64">
        <v>44.66</v>
      </c>
      <c r="N47" s="64">
        <v>509.7</v>
      </c>
      <c r="O47" s="64">
        <v>0</v>
      </c>
      <c r="P47" s="64">
        <v>0.89</v>
      </c>
      <c r="Q47" s="64">
        <v>9.7100000000000009</v>
      </c>
      <c r="R47" s="198"/>
      <c r="S47" s="198"/>
      <c r="T47" s="198"/>
      <c r="U47" s="198"/>
    </row>
    <row r="48" spans="1:21" s="12" customFormat="1" x14ac:dyDescent="0.25">
      <c r="A48" s="215" t="s">
        <v>671</v>
      </c>
      <c r="B48" s="64">
        <v>30.84</v>
      </c>
      <c r="C48" s="64">
        <v>44.33</v>
      </c>
      <c r="D48" s="64">
        <v>46.52</v>
      </c>
      <c r="E48" s="64">
        <v>6.16</v>
      </c>
      <c r="F48" s="64">
        <v>4.3</v>
      </c>
      <c r="G48" s="64">
        <v>86.99</v>
      </c>
      <c r="H48" s="64">
        <v>60.73</v>
      </c>
      <c r="I48" s="64">
        <v>6.64</v>
      </c>
      <c r="J48" s="64">
        <v>0.69</v>
      </c>
      <c r="K48" s="64">
        <v>77.72</v>
      </c>
      <c r="L48" s="64">
        <v>23.87</v>
      </c>
      <c r="M48" s="64">
        <v>44.98</v>
      </c>
      <c r="N48" s="64">
        <v>540.9</v>
      </c>
      <c r="O48" s="64">
        <v>0</v>
      </c>
      <c r="P48" s="64">
        <v>0.88</v>
      </c>
      <c r="Q48" s="64">
        <v>9.4499999999999993</v>
      </c>
      <c r="R48" s="198"/>
      <c r="S48" s="198"/>
      <c r="T48" s="198"/>
      <c r="U48" s="198"/>
    </row>
    <row r="49" spans="1:21" s="12" customFormat="1" x14ac:dyDescent="0.25">
      <c r="A49" s="215" t="s">
        <v>672</v>
      </c>
      <c r="B49" s="64">
        <v>29.99</v>
      </c>
      <c r="C49" s="64">
        <v>45.83</v>
      </c>
      <c r="D49" s="64">
        <v>46.62</v>
      </c>
      <c r="E49" s="64">
        <v>5.92</v>
      </c>
      <c r="F49" s="64">
        <v>4.3499999999999996</v>
      </c>
      <c r="G49" s="64">
        <v>84.36</v>
      </c>
      <c r="H49" s="64">
        <v>82.65</v>
      </c>
      <c r="I49" s="64">
        <v>6.65</v>
      </c>
      <c r="J49" s="64">
        <v>0.82</v>
      </c>
      <c r="K49" s="64">
        <v>359.1</v>
      </c>
      <c r="L49" s="64">
        <v>24.41</v>
      </c>
      <c r="M49" s="64">
        <v>43.97</v>
      </c>
      <c r="N49" s="64">
        <v>566.6</v>
      </c>
      <c r="O49" s="64">
        <v>0</v>
      </c>
      <c r="P49" s="64">
        <v>0.89</v>
      </c>
      <c r="Q49" s="64">
        <v>9.42</v>
      </c>
      <c r="R49" s="198"/>
      <c r="S49" s="198"/>
      <c r="T49" s="198"/>
      <c r="U49" s="198"/>
    </row>
    <row r="50" spans="1:21" s="12" customFormat="1" x14ac:dyDescent="0.25">
      <c r="A50" s="215" t="s">
        <v>673</v>
      </c>
      <c r="B50" s="64">
        <v>29.01</v>
      </c>
      <c r="C50" s="64">
        <v>46.79</v>
      </c>
      <c r="D50" s="64">
        <v>46.34</v>
      </c>
      <c r="E50" s="64">
        <v>5.98</v>
      </c>
      <c r="F50" s="64">
        <v>4.59</v>
      </c>
      <c r="G50" s="64">
        <v>84.36</v>
      </c>
      <c r="H50" s="64">
        <v>82.65</v>
      </c>
      <c r="I50" s="64">
        <v>6.58</v>
      </c>
      <c r="J50" s="64">
        <v>1.92</v>
      </c>
      <c r="K50" s="64">
        <v>349.07</v>
      </c>
      <c r="L50" s="64">
        <v>26.99</v>
      </c>
      <c r="M50" s="64">
        <v>37.840000000000003</v>
      </c>
      <c r="N50" s="64">
        <v>579.9</v>
      </c>
      <c r="O50" s="64">
        <v>0</v>
      </c>
      <c r="P50" s="64">
        <v>0.9</v>
      </c>
      <c r="Q50" s="64">
        <v>9.6300000000000008</v>
      </c>
      <c r="R50" s="198"/>
      <c r="S50" s="198"/>
      <c r="T50" s="198"/>
      <c r="U50" s="198"/>
    </row>
    <row r="51" spans="1:21" s="12" customFormat="1" x14ac:dyDescent="0.25">
      <c r="A51" s="215" t="s">
        <v>674</v>
      </c>
      <c r="B51" s="64">
        <v>27.86</v>
      </c>
      <c r="C51" s="64">
        <v>47.68</v>
      </c>
      <c r="D51" s="64">
        <v>45.88</v>
      </c>
      <c r="E51" s="64">
        <v>6.07</v>
      </c>
      <c r="F51" s="64">
        <v>4.26</v>
      </c>
      <c r="G51" s="64">
        <v>84.36</v>
      </c>
      <c r="H51" s="64">
        <v>82.65</v>
      </c>
      <c r="I51" s="64">
        <v>6.3</v>
      </c>
      <c r="J51" s="64">
        <v>1.39</v>
      </c>
      <c r="K51" s="64">
        <v>85.46</v>
      </c>
      <c r="L51" s="64">
        <v>25.52</v>
      </c>
      <c r="M51" s="64">
        <v>40.770000000000003</v>
      </c>
      <c r="N51" s="64">
        <v>603</v>
      </c>
      <c r="O51" s="64">
        <v>0</v>
      </c>
      <c r="P51" s="64">
        <v>0.88</v>
      </c>
      <c r="Q51" s="64">
        <v>9.68</v>
      </c>
      <c r="R51" s="198"/>
      <c r="S51" s="198"/>
      <c r="T51" s="198"/>
      <c r="U51" s="198"/>
    </row>
    <row r="52" spans="1:21" s="12" customFormat="1" x14ac:dyDescent="0.25">
      <c r="A52" s="215" t="s">
        <v>675</v>
      </c>
      <c r="B52" s="64">
        <v>26.56</v>
      </c>
      <c r="C52" s="64">
        <v>48.08</v>
      </c>
      <c r="D52" s="64">
        <v>45.04</v>
      </c>
      <c r="E52" s="64">
        <v>6.19</v>
      </c>
      <c r="F52" s="64">
        <v>4.38</v>
      </c>
      <c r="G52" s="64">
        <v>84.76</v>
      </c>
      <c r="H52" s="64">
        <v>58.39</v>
      </c>
      <c r="I52" s="64">
        <v>7.03</v>
      </c>
      <c r="J52" s="64">
        <v>1.56</v>
      </c>
      <c r="K52" s="64">
        <v>92.42</v>
      </c>
      <c r="L52" s="64">
        <v>25.38</v>
      </c>
      <c r="M52" s="64">
        <v>40.83</v>
      </c>
      <c r="N52" s="64">
        <v>622.4</v>
      </c>
      <c r="O52" s="64">
        <v>0</v>
      </c>
      <c r="P52" s="64">
        <v>0.86</v>
      </c>
      <c r="Q52" s="64">
        <v>9.6300000000000008</v>
      </c>
      <c r="R52" s="198"/>
      <c r="S52" s="198"/>
      <c r="T52" s="198"/>
      <c r="U52" s="198"/>
    </row>
    <row r="53" spans="1:21" s="12" customFormat="1" x14ac:dyDescent="0.25">
      <c r="A53" s="215" t="s">
        <v>676</v>
      </c>
      <c r="B53" s="64">
        <v>24.95</v>
      </c>
      <c r="C53" s="64">
        <v>48.24</v>
      </c>
      <c r="D53" s="64">
        <v>43.83</v>
      </c>
      <c r="E53" s="64">
        <v>5.89</v>
      </c>
      <c r="F53" s="64">
        <v>4.3099999999999996</v>
      </c>
      <c r="G53" s="64">
        <v>85.06</v>
      </c>
      <c r="H53" s="64">
        <v>50.14</v>
      </c>
      <c r="I53" s="64">
        <v>7.17</v>
      </c>
      <c r="J53" s="64">
        <v>0.97</v>
      </c>
      <c r="K53" s="64">
        <v>93.59</v>
      </c>
      <c r="L53" s="64">
        <v>26.05</v>
      </c>
      <c r="M53" s="64">
        <v>38.380000000000003</v>
      </c>
      <c r="N53" s="64">
        <v>642</v>
      </c>
      <c r="O53" s="64">
        <v>0</v>
      </c>
      <c r="P53" s="64">
        <v>0.86</v>
      </c>
      <c r="Q53" s="64">
        <v>9.56</v>
      </c>
      <c r="R53" s="198"/>
      <c r="S53" s="198"/>
      <c r="T53" s="198"/>
      <c r="U53" s="198"/>
    </row>
    <row r="54" spans="1:21" s="12" customFormat="1" x14ac:dyDescent="0.25">
      <c r="A54" s="215" t="s">
        <v>677</v>
      </c>
      <c r="B54" s="64">
        <v>23.23</v>
      </c>
      <c r="C54" s="64">
        <v>48.73</v>
      </c>
      <c r="D54" s="64">
        <v>42.71</v>
      </c>
      <c r="E54" s="64">
        <v>5.99</v>
      </c>
      <c r="F54" s="64">
        <v>4.8</v>
      </c>
      <c r="G54" s="64">
        <v>85.06</v>
      </c>
      <c r="H54" s="64">
        <v>50.14</v>
      </c>
      <c r="I54" s="64">
        <v>6.94</v>
      </c>
      <c r="J54" s="64">
        <v>1.37</v>
      </c>
      <c r="K54" s="64">
        <v>76.41</v>
      </c>
      <c r="L54" s="64">
        <v>26.37</v>
      </c>
      <c r="M54" s="64">
        <v>37.869999999999997</v>
      </c>
      <c r="N54" s="64">
        <v>647.5</v>
      </c>
      <c r="O54" s="64">
        <v>0</v>
      </c>
      <c r="P54" s="64">
        <v>0.89</v>
      </c>
      <c r="Q54" s="64">
        <v>9.36</v>
      </c>
      <c r="R54" s="198"/>
      <c r="S54" s="198"/>
      <c r="T54" s="198"/>
      <c r="U54" s="198"/>
    </row>
    <row r="55" spans="1:21" s="12" customFormat="1" x14ac:dyDescent="0.25">
      <c r="A55" s="215" t="s">
        <v>678</v>
      </c>
      <c r="B55" s="64">
        <v>21.4</v>
      </c>
      <c r="C55" s="64">
        <v>52.14</v>
      </c>
      <c r="D55" s="64">
        <v>43.02</v>
      </c>
      <c r="E55" s="64">
        <v>5.83</v>
      </c>
      <c r="F55" s="64">
        <v>4.62</v>
      </c>
      <c r="G55" s="64">
        <v>85.06</v>
      </c>
      <c r="H55" s="64">
        <v>50.14</v>
      </c>
      <c r="I55" s="64">
        <v>7.15</v>
      </c>
      <c r="J55" s="64">
        <v>1.35</v>
      </c>
      <c r="K55" s="64">
        <v>353.49</v>
      </c>
      <c r="L55" s="64">
        <v>27.46</v>
      </c>
      <c r="M55" s="64">
        <v>35.590000000000003</v>
      </c>
      <c r="N55" s="64">
        <v>640.6</v>
      </c>
      <c r="O55" s="64">
        <v>0</v>
      </c>
      <c r="P55" s="64">
        <v>0.88</v>
      </c>
      <c r="Q55" s="64">
        <v>9.25</v>
      </c>
      <c r="R55" s="198"/>
      <c r="S55" s="198"/>
      <c r="T55" s="198"/>
      <c r="U55" s="198"/>
    </row>
    <row r="56" spans="1:21" s="12" customFormat="1" x14ac:dyDescent="0.25">
      <c r="A56" s="215" t="s">
        <v>679</v>
      </c>
      <c r="B56" s="64">
        <v>19.55</v>
      </c>
      <c r="C56" s="64">
        <v>49.28</v>
      </c>
      <c r="D56" s="64">
        <v>40.049999999999997</v>
      </c>
      <c r="E56" s="64">
        <v>6.13</v>
      </c>
      <c r="F56" s="64">
        <v>4.46</v>
      </c>
      <c r="G56" s="64">
        <v>85.13</v>
      </c>
      <c r="H56" s="64">
        <v>51.04</v>
      </c>
      <c r="I56" s="64">
        <v>8.2899999999999991</v>
      </c>
      <c r="J56" s="64">
        <v>1.1000000000000001</v>
      </c>
      <c r="K56" s="64">
        <v>85.1</v>
      </c>
      <c r="L56" s="64">
        <v>27.38</v>
      </c>
      <c r="M56" s="64">
        <v>34.81</v>
      </c>
      <c r="N56" s="64">
        <v>651.70000000000005</v>
      </c>
      <c r="O56" s="64">
        <v>0</v>
      </c>
      <c r="P56" s="64">
        <v>0.88</v>
      </c>
      <c r="Q56" s="64">
        <v>8.94</v>
      </c>
      <c r="R56" s="198"/>
      <c r="S56" s="198"/>
      <c r="T56" s="198"/>
      <c r="U56" s="198"/>
    </row>
    <row r="57" spans="1:21" s="12" customFormat="1" x14ac:dyDescent="0.25">
      <c r="A57" s="215" t="s">
        <v>680</v>
      </c>
      <c r="B57" s="64">
        <v>16.95</v>
      </c>
      <c r="C57" s="64">
        <v>45.29</v>
      </c>
      <c r="D57" s="64">
        <v>35.880000000000003</v>
      </c>
      <c r="E57" s="64">
        <v>5.69</v>
      </c>
      <c r="F57" s="64">
        <v>4.57</v>
      </c>
      <c r="G57" s="64">
        <v>85.19</v>
      </c>
      <c r="H57" s="64">
        <v>51.35</v>
      </c>
      <c r="I57" s="64">
        <v>8.4700000000000006</v>
      </c>
      <c r="J57" s="64">
        <v>0.74</v>
      </c>
      <c r="K57" s="64">
        <v>77.59</v>
      </c>
      <c r="L57" s="64">
        <v>27.4</v>
      </c>
      <c r="M57" s="64">
        <v>35.94</v>
      </c>
      <c r="N57" s="64">
        <v>651.6</v>
      </c>
      <c r="O57" s="64">
        <v>0</v>
      </c>
      <c r="P57" s="64">
        <v>0.87</v>
      </c>
      <c r="Q57" s="64">
        <v>8.6300000000000008</v>
      </c>
      <c r="R57" s="198"/>
      <c r="S57" s="198"/>
      <c r="T57" s="198"/>
      <c r="U57" s="198"/>
    </row>
    <row r="58" spans="1:21" s="12" customFormat="1" x14ac:dyDescent="0.25">
      <c r="A58" s="215" t="s">
        <v>681</v>
      </c>
      <c r="B58" s="64">
        <v>14.5</v>
      </c>
      <c r="C58" s="64">
        <v>52.45</v>
      </c>
      <c r="D58" s="64">
        <v>37.65</v>
      </c>
      <c r="E58" s="64">
        <v>5.0199999999999996</v>
      </c>
      <c r="F58" s="64">
        <v>4.71</v>
      </c>
      <c r="G58" s="64">
        <v>85.19</v>
      </c>
      <c r="H58" s="64">
        <v>51.35</v>
      </c>
      <c r="I58" s="64">
        <v>8.1999999999999993</v>
      </c>
      <c r="J58" s="64">
        <v>0.91</v>
      </c>
      <c r="K58" s="64">
        <v>3.28</v>
      </c>
      <c r="L58" s="64">
        <v>27.74</v>
      </c>
      <c r="M58" s="64">
        <v>35.94</v>
      </c>
      <c r="N58" s="64">
        <v>642</v>
      </c>
      <c r="O58" s="64">
        <v>0</v>
      </c>
      <c r="P58" s="64">
        <v>0.86</v>
      </c>
      <c r="Q58" s="64">
        <v>8.4</v>
      </c>
      <c r="R58" s="198"/>
      <c r="S58" s="198"/>
      <c r="T58" s="198"/>
      <c r="U58" s="198"/>
    </row>
    <row r="59" spans="1:21" s="12" customFormat="1" x14ac:dyDescent="0.25">
      <c r="A59" s="215" t="s">
        <v>682</v>
      </c>
      <c r="B59" s="64">
        <v>12.22</v>
      </c>
      <c r="C59" s="64">
        <v>54.25</v>
      </c>
      <c r="D59" s="64">
        <v>36.770000000000003</v>
      </c>
      <c r="E59" s="64">
        <v>5.65</v>
      </c>
      <c r="F59" s="64">
        <v>4.51</v>
      </c>
      <c r="G59" s="64">
        <v>85.19</v>
      </c>
      <c r="H59" s="64">
        <v>51.35</v>
      </c>
      <c r="I59" s="64">
        <v>8.17</v>
      </c>
      <c r="J59" s="64">
        <v>2.56</v>
      </c>
      <c r="K59" s="64">
        <v>327.06</v>
      </c>
      <c r="L59" s="64">
        <v>30.15</v>
      </c>
      <c r="M59" s="64">
        <v>32.68</v>
      </c>
      <c r="N59" s="64">
        <v>613.6</v>
      </c>
      <c r="O59" s="64">
        <v>0</v>
      </c>
      <c r="P59" s="64">
        <v>0.85</v>
      </c>
      <c r="Q59" s="64">
        <v>8.31</v>
      </c>
      <c r="R59" s="198"/>
      <c r="S59" s="198"/>
      <c r="T59" s="198"/>
      <c r="U59" s="198"/>
    </row>
    <row r="60" spans="1:21" s="12" customFormat="1" x14ac:dyDescent="0.25">
      <c r="A60" s="215" t="s">
        <v>683</v>
      </c>
      <c r="B60" s="64">
        <v>10.01</v>
      </c>
      <c r="C60" s="64">
        <v>48.92</v>
      </c>
      <c r="D60" s="64">
        <v>32.21</v>
      </c>
      <c r="E60" s="64">
        <v>5.35</v>
      </c>
      <c r="F60" s="64">
        <v>4.58</v>
      </c>
      <c r="G60" s="64">
        <v>87.17</v>
      </c>
      <c r="H60" s="64">
        <v>46.91</v>
      </c>
      <c r="I60" s="64">
        <v>8.1999999999999993</v>
      </c>
      <c r="J60" s="64">
        <v>2.08</v>
      </c>
      <c r="K60" s="64">
        <v>328.21</v>
      </c>
      <c r="L60" s="64">
        <v>30.64</v>
      </c>
      <c r="M60" s="64">
        <v>32.76</v>
      </c>
      <c r="N60" s="64">
        <v>586.70000000000005</v>
      </c>
      <c r="O60" s="64">
        <v>0</v>
      </c>
      <c r="P60" s="64">
        <v>0.8</v>
      </c>
      <c r="Q60" s="64">
        <v>8.2100000000000009</v>
      </c>
      <c r="R60" s="198"/>
      <c r="S60" s="198"/>
      <c r="T60" s="198"/>
      <c r="U60" s="198"/>
    </row>
    <row r="61" spans="1:21" s="12" customFormat="1" x14ac:dyDescent="0.25">
      <c r="A61" s="215" t="s">
        <v>684</v>
      </c>
      <c r="B61" s="64">
        <v>8.36</v>
      </c>
      <c r="C61" s="64">
        <v>53.9</v>
      </c>
      <c r="D61" s="64">
        <v>33.49</v>
      </c>
      <c r="E61" s="64">
        <v>5.76</v>
      </c>
      <c r="F61" s="64">
        <v>5</v>
      </c>
      <c r="G61" s="64">
        <v>88.68</v>
      </c>
      <c r="H61" s="64">
        <v>45.4</v>
      </c>
      <c r="I61" s="64">
        <v>7.72</v>
      </c>
      <c r="J61" s="64">
        <v>1.84</v>
      </c>
      <c r="K61" s="64">
        <v>326.58</v>
      </c>
      <c r="L61" s="64">
        <v>29.94</v>
      </c>
      <c r="M61" s="64">
        <v>35.08</v>
      </c>
      <c r="N61" s="64">
        <v>571.9</v>
      </c>
      <c r="O61" s="64">
        <v>0</v>
      </c>
      <c r="P61" s="64">
        <v>0.8</v>
      </c>
      <c r="Q61" s="64">
        <v>8.2100000000000009</v>
      </c>
      <c r="R61" s="198"/>
      <c r="S61" s="198"/>
      <c r="T61" s="198"/>
      <c r="U61" s="198"/>
    </row>
    <row r="62" spans="1:21" s="12" customFormat="1" x14ac:dyDescent="0.25">
      <c r="A62" s="215" t="s">
        <v>685</v>
      </c>
      <c r="B62" s="64">
        <v>7.02</v>
      </c>
      <c r="C62" s="64">
        <v>56.49</v>
      </c>
      <c r="D62" s="64">
        <v>33.770000000000003</v>
      </c>
      <c r="E62" s="64">
        <v>5.77</v>
      </c>
      <c r="F62" s="64">
        <v>4.79</v>
      </c>
      <c r="G62" s="64">
        <v>88.68</v>
      </c>
      <c r="H62" s="64">
        <v>45.4</v>
      </c>
      <c r="I62" s="64">
        <v>5.58</v>
      </c>
      <c r="J62" s="64">
        <v>2.2999999999999998</v>
      </c>
      <c r="K62" s="64">
        <v>324.22000000000003</v>
      </c>
      <c r="L62" s="64">
        <v>29.55</v>
      </c>
      <c r="M62" s="64">
        <v>36.01</v>
      </c>
      <c r="N62" s="64">
        <v>549.6</v>
      </c>
      <c r="O62" s="64">
        <v>0</v>
      </c>
      <c r="P62" s="64">
        <v>0.82</v>
      </c>
      <c r="Q62" s="64">
        <v>8.2100000000000009</v>
      </c>
      <c r="R62" s="198"/>
      <c r="S62" s="198"/>
      <c r="T62" s="198"/>
      <c r="U62" s="198"/>
    </row>
    <row r="63" spans="1:21" s="12" customFormat="1" x14ac:dyDescent="0.25">
      <c r="A63" s="215" t="s">
        <v>686</v>
      </c>
      <c r="B63" s="64">
        <v>6.08</v>
      </c>
      <c r="C63" s="64">
        <v>51.38</v>
      </c>
      <c r="D63" s="64">
        <v>30.34</v>
      </c>
      <c r="E63" s="64">
        <v>5.78</v>
      </c>
      <c r="F63" s="64">
        <v>5.12</v>
      </c>
      <c r="G63" s="64">
        <v>88.68</v>
      </c>
      <c r="H63" s="64">
        <v>45.4</v>
      </c>
      <c r="I63" s="64">
        <v>6.66</v>
      </c>
      <c r="J63" s="64">
        <v>0.82</v>
      </c>
      <c r="K63" s="64">
        <v>39.74</v>
      </c>
      <c r="L63" s="64">
        <v>28.48</v>
      </c>
      <c r="M63" s="64">
        <v>37.53</v>
      </c>
      <c r="N63" s="64">
        <v>506.1</v>
      </c>
      <c r="O63" s="64">
        <v>0</v>
      </c>
      <c r="P63" s="64">
        <v>0.76</v>
      </c>
      <c r="Q63" s="64">
        <v>8.2100000000000009</v>
      </c>
      <c r="R63" s="198"/>
      <c r="S63" s="198"/>
      <c r="T63" s="198"/>
      <c r="U63" s="198"/>
    </row>
    <row r="64" spans="1:21" s="12" customFormat="1" x14ac:dyDescent="0.25">
      <c r="A64" s="215" t="s">
        <v>687</v>
      </c>
      <c r="B64" s="64">
        <v>5.43</v>
      </c>
      <c r="C64" s="64">
        <v>50.05</v>
      </c>
      <c r="D64" s="64">
        <v>29.12</v>
      </c>
      <c r="E64" s="64">
        <v>5.62</v>
      </c>
      <c r="F64" s="64">
        <v>5.33</v>
      </c>
      <c r="G64" s="64">
        <v>86.69</v>
      </c>
      <c r="H64" s="64">
        <v>42.4</v>
      </c>
      <c r="I64" s="64">
        <v>5.59</v>
      </c>
      <c r="J64" s="64">
        <v>1.19</v>
      </c>
      <c r="K64" s="64">
        <v>94.44</v>
      </c>
      <c r="L64" s="64">
        <v>27.1</v>
      </c>
      <c r="M64" s="64">
        <v>39.700000000000003</v>
      </c>
      <c r="N64" s="64">
        <v>381.6</v>
      </c>
      <c r="O64" s="64">
        <v>0</v>
      </c>
      <c r="P64" s="64">
        <v>0.7</v>
      </c>
      <c r="Q64" s="64">
        <v>8.2100000000000009</v>
      </c>
      <c r="R64" s="198"/>
      <c r="S64" s="198"/>
      <c r="T64" s="198"/>
      <c r="U64" s="198"/>
    </row>
    <row r="65" spans="1:21" s="12" customFormat="1" x14ac:dyDescent="0.25">
      <c r="A65" s="215" t="s">
        <v>688</v>
      </c>
      <c r="B65" s="64">
        <v>4.99</v>
      </c>
      <c r="C65" s="64">
        <v>49.86</v>
      </c>
      <c r="D65" s="64">
        <v>28.68</v>
      </c>
      <c r="E65" s="64">
        <v>5.27</v>
      </c>
      <c r="F65" s="64">
        <v>5.67</v>
      </c>
      <c r="G65" s="64">
        <v>85.17</v>
      </c>
      <c r="H65" s="64">
        <v>40.43</v>
      </c>
      <c r="I65" s="64">
        <v>3.96</v>
      </c>
      <c r="J65" s="64">
        <v>2.62</v>
      </c>
      <c r="K65" s="64">
        <v>115.45</v>
      </c>
      <c r="L65" s="64">
        <v>26.22</v>
      </c>
      <c r="M65" s="64">
        <v>41.22</v>
      </c>
      <c r="N65" s="64">
        <v>196.8</v>
      </c>
      <c r="O65" s="64">
        <v>0</v>
      </c>
      <c r="P65" s="64">
        <v>0.71</v>
      </c>
      <c r="Q65" s="64">
        <v>8.2100000000000009</v>
      </c>
      <c r="R65" s="198"/>
      <c r="S65" s="198"/>
      <c r="T65" s="198"/>
      <c r="U65" s="198"/>
    </row>
    <row r="66" spans="1:21" s="12" customFormat="1" x14ac:dyDescent="0.25">
      <c r="A66" s="215" t="s">
        <v>689</v>
      </c>
      <c r="B66" s="64">
        <v>4.53</v>
      </c>
      <c r="C66" s="64">
        <v>48.73</v>
      </c>
      <c r="D66" s="64">
        <v>27.72</v>
      </c>
      <c r="E66" s="64">
        <v>5.34</v>
      </c>
      <c r="F66" s="64">
        <v>5.62</v>
      </c>
      <c r="G66" s="64">
        <v>85.17</v>
      </c>
      <c r="H66" s="64">
        <v>40.43</v>
      </c>
      <c r="I66" s="64">
        <v>2.88</v>
      </c>
      <c r="J66" s="64">
        <v>2.19</v>
      </c>
      <c r="K66" s="64">
        <v>118.29</v>
      </c>
      <c r="L66" s="64">
        <v>25.91</v>
      </c>
      <c r="M66" s="64">
        <v>39.75</v>
      </c>
      <c r="N66" s="64">
        <v>180.6</v>
      </c>
      <c r="O66" s="64">
        <v>0</v>
      </c>
      <c r="P66" s="64">
        <v>0.65</v>
      </c>
      <c r="Q66" s="64">
        <v>8.2100000000000009</v>
      </c>
      <c r="R66" s="198"/>
      <c r="S66" s="198"/>
      <c r="T66" s="198"/>
      <c r="U66" s="198"/>
    </row>
    <row r="67" spans="1:21" s="12" customFormat="1" x14ac:dyDescent="0.25">
      <c r="A67" s="215" t="s">
        <v>690</v>
      </c>
      <c r="B67" s="64">
        <v>4.09</v>
      </c>
      <c r="C67" s="64">
        <v>47.87</v>
      </c>
      <c r="D67" s="64">
        <v>26.91</v>
      </c>
      <c r="E67" s="64">
        <v>5.23</v>
      </c>
      <c r="F67" s="64">
        <v>5.99</v>
      </c>
      <c r="G67" s="64">
        <v>85.17</v>
      </c>
      <c r="H67" s="64">
        <v>40.43</v>
      </c>
      <c r="I67" s="64">
        <v>3.65</v>
      </c>
      <c r="J67" s="64">
        <v>1.55</v>
      </c>
      <c r="K67" s="64">
        <v>110.15</v>
      </c>
      <c r="L67" s="64">
        <v>26.17</v>
      </c>
      <c r="M67" s="64">
        <v>39.549999999999997</v>
      </c>
      <c r="N67" s="64">
        <v>178.5</v>
      </c>
      <c r="O67" s="64">
        <v>0</v>
      </c>
      <c r="P67" s="64">
        <v>0.69</v>
      </c>
      <c r="Q67" s="64">
        <v>8.2100000000000009</v>
      </c>
      <c r="R67" s="198"/>
      <c r="S67" s="198"/>
      <c r="T67" s="198"/>
      <c r="U67" s="198"/>
    </row>
    <row r="68" spans="1:21" s="12" customFormat="1" x14ac:dyDescent="0.25">
      <c r="A68" s="215" t="s">
        <v>691</v>
      </c>
      <c r="B68" s="64">
        <v>3.77</v>
      </c>
      <c r="C68" s="64">
        <v>47.68</v>
      </c>
      <c r="D68" s="64">
        <v>26.56</v>
      </c>
      <c r="E68" s="64">
        <v>5.64</v>
      </c>
      <c r="F68" s="64">
        <v>5.97</v>
      </c>
      <c r="G68" s="64">
        <v>83.81</v>
      </c>
      <c r="H68" s="64">
        <v>34.56</v>
      </c>
      <c r="I68" s="64">
        <v>3.28</v>
      </c>
      <c r="J68" s="64">
        <v>1.44</v>
      </c>
      <c r="K68" s="64">
        <v>307.26</v>
      </c>
      <c r="L68" s="64">
        <v>26.88</v>
      </c>
      <c r="M68" s="64">
        <v>38.42</v>
      </c>
      <c r="N68" s="64">
        <v>149.19999999999999</v>
      </c>
      <c r="O68" s="64">
        <v>0</v>
      </c>
      <c r="P68" s="64">
        <v>0.87</v>
      </c>
      <c r="Q68" s="64">
        <v>8.2100000000000009</v>
      </c>
      <c r="R68" s="198"/>
      <c r="S68" s="198"/>
      <c r="T68" s="198"/>
      <c r="U68" s="198"/>
    </row>
    <row r="69" spans="1:21" s="12" customFormat="1" x14ac:dyDescent="0.25">
      <c r="A69" s="215" t="s">
        <v>692</v>
      </c>
      <c r="B69" s="64">
        <v>3.77</v>
      </c>
      <c r="C69" s="64">
        <v>47.83</v>
      </c>
      <c r="D69" s="64">
        <v>26.64</v>
      </c>
      <c r="E69" s="64">
        <v>5.72</v>
      </c>
      <c r="F69" s="64">
        <v>6.21</v>
      </c>
      <c r="G69" s="64">
        <v>82.78</v>
      </c>
      <c r="H69" s="64">
        <v>32.56</v>
      </c>
      <c r="I69" s="64">
        <v>2.2400000000000002</v>
      </c>
      <c r="J69" s="64">
        <v>0.19</v>
      </c>
      <c r="K69" s="64">
        <v>66.95</v>
      </c>
      <c r="L69" s="64">
        <v>26.29</v>
      </c>
      <c r="M69" s="64">
        <v>39.43</v>
      </c>
      <c r="N69" s="64">
        <v>125.9</v>
      </c>
      <c r="O69" s="64">
        <v>0</v>
      </c>
      <c r="P69" s="64">
        <v>0.77</v>
      </c>
      <c r="Q69" s="64">
        <v>8.2100000000000009</v>
      </c>
      <c r="R69" s="198"/>
      <c r="S69" s="198"/>
      <c r="T69" s="198"/>
      <c r="U69" s="198"/>
    </row>
    <row r="70" spans="1:21" s="12" customFormat="1" x14ac:dyDescent="0.25">
      <c r="A70" s="215" t="s">
        <v>693</v>
      </c>
      <c r="B70" s="64">
        <v>3.94</v>
      </c>
      <c r="C70" s="64">
        <v>48.2</v>
      </c>
      <c r="D70" s="64">
        <v>26.96</v>
      </c>
      <c r="E70" s="64">
        <v>5.61</v>
      </c>
      <c r="F70" s="64">
        <v>6.19</v>
      </c>
      <c r="G70" s="64">
        <v>82.78</v>
      </c>
      <c r="H70" s="64">
        <v>32.56</v>
      </c>
      <c r="I70" s="64">
        <v>3.1</v>
      </c>
      <c r="J70" s="64">
        <v>1.79</v>
      </c>
      <c r="K70" s="64">
        <v>341.96</v>
      </c>
      <c r="L70" s="64">
        <v>26.4</v>
      </c>
      <c r="M70" s="64">
        <v>39.26</v>
      </c>
      <c r="N70" s="64">
        <v>113</v>
      </c>
      <c r="O70" s="64">
        <v>0</v>
      </c>
      <c r="P70" s="64">
        <v>0.93</v>
      </c>
      <c r="Q70" s="64">
        <v>8.2100000000000009</v>
      </c>
      <c r="R70" s="198"/>
      <c r="S70" s="198"/>
      <c r="T70" s="198"/>
      <c r="U70" s="198"/>
    </row>
    <row r="71" spans="1:21" s="12" customFormat="1" x14ac:dyDescent="0.25">
      <c r="A71" s="215" t="s">
        <v>694</v>
      </c>
      <c r="B71" s="64">
        <v>4.1399999999999997</v>
      </c>
      <c r="C71" s="64">
        <v>51.2</v>
      </c>
      <c r="D71" s="64">
        <v>28.7</v>
      </c>
      <c r="E71" s="64">
        <v>5.75</v>
      </c>
      <c r="F71" s="64">
        <v>6.16</v>
      </c>
      <c r="G71" s="64">
        <v>82.78</v>
      </c>
      <c r="H71" s="64">
        <v>32.56</v>
      </c>
      <c r="I71" s="64">
        <v>2.2200000000000002</v>
      </c>
      <c r="J71" s="64">
        <v>0.98</v>
      </c>
      <c r="K71" s="64">
        <v>106.31</v>
      </c>
      <c r="L71" s="64">
        <v>25.78</v>
      </c>
      <c r="M71" s="64">
        <v>40.04</v>
      </c>
      <c r="N71" s="64">
        <v>101.9</v>
      </c>
      <c r="O71" s="64">
        <v>0</v>
      </c>
      <c r="P71" s="64">
        <v>0.82</v>
      </c>
      <c r="Q71" s="64">
        <v>8.2100000000000009</v>
      </c>
      <c r="R71" s="198"/>
      <c r="S71" s="198"/>
      <c r="T71" s="198"/>
      <c r="U71" s="198"/>
    </row>
    <row r="72" spans="1:21" s="12" customFormat="1" x14ac:dyDescent="0.25">
      <c r="A72" s="215" t="s">
        <v>695</v>
      </c>
      <c r="B72" s="64">
        <v>4.38</v>
      </c>
      <c r="C72" s="64">
        <v>52.7</v>
      </c>
      <c r="D72" s="64">
        <v>29.67</v>
      </c>
      <c r="E72" s="64">
        <v>5.87</v>
      </c>
      <c r="F72" s="64">
        <v>5.39</v>
      </c>
      <c r="G72" s="64">
        <v>89.31</v>
      </c>
      <c r="H72" s="64">
        <v>38.83</v>
      </c>
      <c r="I72" s="64">
        <v>2.2599999999999998</v>
      </c>
      <c r="J72" s="64">
        <v>2.08</v>
      </c>
      <c r="K72" s="64">
        <v>344.61</v>
      </c>
      <c r="L72" s="64">
        <v>25.86</v>
      </c>
      <c r="M72" s="64">
        <v>40.78</v>
      </c>
      <c r="N72" s="64">
        <v>90.1</v>
      </c>
      <c r="O72" s="64">
        <v>0</v>
      </c>
      <c r="P72" s="64">
        <v>0.95</v>
      </c>
      <c r="Q72" s="64">
        <v>8.2100000000000009</v>
      </c>
      <c r="R72" s="198"/>
      <c r="S72" s="198"/>
      <c r="T72" s="198"/>
      <c r="U72" s="198"/>
    </row>
    <row r="73" spans="1:21" s="12" customFormat="1" x14ac:dyDescent="0.25">
      <c r="A73" s="215" t="s">
        <v>696</v>
      </c>
      <c r="B73" s="64">
        <v>4.74</v>
      </c>
      <c r="C73" s="64">
        <v>48.87</v>
      </c>
      <c r="D73" s="64">
        <v>27.96</v>
      </c>
      <c r="E73" s="64">
        <v>5.97</v>
      </c>
      <c r="F73" s="64">
        <v>5.27</v>
      </c>
      <c r="G73" s="64">
        <v>94.31</v>
      </c>
      <c r="H73" s="64">
        <v>40.96</v>
      </c>
      <c r="I73" s="64">
        <v>4.6399999999999997</v>
      </c>
      <c r="J73" s="64">
        <v>0.92</v>
      </c>
      <c r="K73" s="64">
        <v>87.82</v>
      </c>
      <c r="L73" s="64">
        <v>25.53</v>
      </c>
      <c r="M73" s="64">
        <v>41.04</v>
      </c>
      <c r="N73" s="64">
        <v>79.900000000000006</v>
      </c>
      <c r="O73" s="64">
        <v>0</v>
      </c>
      <c r="P73" s="64">
        <v>0.86</v>
      </c>
      <c r="Q73" s="64">
        <v>8.2100000000000009</v>
      </c>
      <c r="R73" s="198"/>
      <c r="S73" s="198"/>
      <c r="T73" s="198"/>
      <c r="U73" s="198"/>
    </row>
    <row r="74" spans="1:21" s="12" customFormat="1" x14ac:dyDescent="0.25">
      <c r="A74" s="215" t="s">
        <v>697</v>
      </c>
      <c r="B74" s="64">
        <v>4.67</v>
      </c>
      <c r="C74" s="64">
        <v>51.29</v>
      </c>
      <c r="D74" s="64">
        <v>29.16</v>
      </c>
      <c r="E74" s="64">
        <v>5.79</v>
      </c>
      <c r="F74" s="64">
        <v>5.22</v>
      </c>
      <c r="G74" s="64">
        <v>94.31</v>
      </c>
      <c r="H74" s="64">
        <v>40.96</v>
      </c>
      <c r="I74" s="64">
        <v>3.47</v>
      </c>
      <c r="J74" s="64">
        <v>1.74</v>
      </c>
      <c r="K74" s="64">
        <v>101.55</v>
      </c>
      <c r="L74" s="64">
        <v>25.09</v>
      </c>
      <c r="M74" s="64">
        <v>42.95</v>
      </c>
      <c r="N74" s="64">
        <v>71.099999999999994</v>
      </c>
      <c r="O74" s="64">
        <v>0</v>
      </c>
      <c r="P74" s="64">
        <v>0.9</v>
      </c>
      <c r="Q74" s="64">
        <v>8.2100000000000009</v>
      </c>
      <c r="R74" s="198"/>
      <c r="S74" s="198"/>
      <c r="T74" s="198"/>
      <c r="U74" s="198"/>
    </row>
    <row r="75" spans="1:21" s="12" customFormat="1" x14ac:dyDescent="0.25">
      <c r="A75" s="215" t="s">
        <v>698</v>
      </c>
      <c r="B75" s="64">
        <v>4.83</v>
      </c>
      <c r="C75" s="64">
        <v>56.58</v>
      </c>
      <c r="D75" s="64">
        <v>32.06</v>
      </c>
      <c r="E75" s="64">
        <v>6.15</v>
      </c>
      <c r="F75" s="64">
        <v>5.15</v>
      </c>
      <c r="G75" s="64">
        <v>94.31</v>
      </c>
      <c r="H75" s="64">
        <v>40.96</v>
      </c>
      <c r="I75" s="64">
        <v>2.2000000000000002</v>
      </c>
      <c r="J75" s="64">
        <v>1.3</v>
      </c>
      <c r="K75" s="64">
        <v>70.05</v>
      </c>
      <c r="L75" s="64">
        <v>24.75</v>
      </c>
      <c r="M75" s="64">
        <v>45.01</v>
      </c>
      <c r="N75" s="64">
        <v>61.9</v>
      </c>
      <c r="O75" s="64">
        <v>0</v>
      </c>
      <c r="P75" s="64">
        <v>1.1399999999999999</v>
      </c>
      <c r="Q75" s="64">
        <v>8.2100000000000009</v>
      </c>
      <c r="R75" s="198"/>
      <c r="S75" s="198"/>
      <c r="T75" s="198"/>
      <c r="U75" s="198"/>
    </row>
    <row r="76" spans="1:21" s="12" customFormat="1" x14ac:dyDescent="0.25">
      <c r="A76" s="215" t="s">
        <v>699</v>
      </c>
      <c r="B76" s="64">
        <v>6.78</v>
      </c>
      <c r="C76" s="64">
        <v>54.89</v>
      </c>
      <c r="D76" s="64">
        <v>32.74</v>
      </c>
      <c r="E76" s="64">
        <v>6.31</v>
      </c>
      <c r="F76" s="64">
        <v>4.93</v>
      </c>
      <c r="G76" s="64">
        <v>94.45</v>
      </c>
      <c r="H76" s="64">
        <v>45.75</v>
      </c>
      <c r="I76" s="64">
        <v>2.84</v>
      </c>
      <c r="J76" s="64">
        <v>1.17</v>
      </c>
      <c r="K76" s="64">
        <v>83.72</v>
      </c>
      <c r="L76" s="64">
        <v>24.19</v>
      </c>
      <c r="M76" s="64">
        <v>49.26</v>
      </c>
      <c r="N76" s="64">
        <v>53.1</v>
      </c>
      <c r="O76" s="64">
        <v>0</v>
      </c>
      <c r="P76" s="64">
        <v>1.1100000000000001</v>
      </c>
      <c r="Q76" s="64">
        <v>8.2100000000000009</v>
      </c>
      <c r="R76" s="198"/>
      <c r="S76" s="198"/>
      <c r="T76" s="198"/>
      <c r="U76" s="198"/>
    </row>
    <row r="77" spans="1:21" s="12" customFormat="1" x14ac:dyDescent="0.25">
      <c r="A77" s="215" t="s">
        <v>700</v>
      </c>
      <c r="B77" s="64">
        <v>8.5</v>
      </c>
      <c r="C77" s="64">
        <v>59.52</v>
      </c>
      <c r="D77" s="64">
        <v>36.53</v>
      </c>
      <c r="E77" s="64">
        <v>6.21</v>
      </c>
      <c r="F77" s="64">
        <v>4.62</v>
      </c>
      <c r="G77" s="64">
        <v>94.56</v>
      </c>
      <c r="H77" s="64">
        <v>47.38</v>
      </c>
      <c r="I77" s="64">
        <v>3.57</v>
      </c>
      <c r="J77" s="64">
        <v>1.62</v>
      </c>
      <c r="K77" s="64">
        <v>71.7</v>
      </c>
      <c r="L77" s="64">
        <v>23.68</v>
      </c>
      <c r="M77" s="64">
        <v>47.31</v>
      </c>
      <c r="N77" s="64">
        <v>45</v>
      </c>
      <c r="O77" s="64">
        <v>0</v>
      </c>
      <c r="P77" s="64">
        <v>1.33</v>
      </c>
      <c r="Q77" s="64">
        <v>8.2100000000000009</v>
      </c>
      <c r="R77" s="198"/>
      <c r="S77" s="198"/>
      <c r="T77" s="198"/>
      <c r="U77" s="198"/>
    </row>
    <row r="78" spans="1:21" s="12" customFormat="1" x14ac:dyDescent="0.25">
      <c r="A78" s="215" t="s">
        <v>701</v>
      </c>
      <c r="B78" s="64">
        <v>10.17</v>
      </c>
      <c r="C78" s="64">
        <v>56.84</v>
      </c>
      <c r="D78" s="64">
        <v>36.479999999999997</v>
      </c>
      <c r="E78" s="64">
        <v>6.36</v>
      </c>
      <c r="F78" s="64">
        <v>4.7699999999999996</v>
      </c>
      <c r="G78" s="64">
        <v>94.56</v>
      </c>
      <c r="H78" s="64">
        <v>47.38</v>
      </c>
      <c r="I78" s="64">
        <v>5</v>
      </c>
      <c r="J78" s="64">
        <v>1.07</v>
      </c>
      <c r="K78" s="64">
        <v>69.400000000000006</v>
      </c>
      <c r="L78" s="64">
        <v>23.27</v>
      </c>
      <c r="M78" s="64">
        <v>50.47</v>
      </c>
      <c r="N78" s="64">
        <v>40.1</v>
      </c>
      <c r="O78" s="64">
        <v>0</v>
      </c>
      <c r="P78" s="64">
        <v>1.77</v>
      </c>
      <c r="Q78" s="64">
        <v>8.27</v>
      </c>
      <c r="R78" s="198"/>
      <c r="S78" s="198"/>
      <c r="T78" s="198"/>
      <c r="U78" s="198"/>
    </row>
    <row r="79" spans="1:21" s="12" customFormat="1" x14ac:dyDescent="0.25">
      <c r="A79" s="215" t="s">
        <v>702</v>
      </c>
      <c r="B79" s="64">
        <v>12.57</v>
      </c>
      <c r="C79" s="64">
        <v>61.47</v>
      </c>
      <c r="D79" s="64">
        <v>40.82</v>
      </c>
      <c r="E79" s="64">
        <v>6.09</v>
      </c>
      <c r="F79" s="64">
        <v>4.6900000000000004</v>
      </c>
      <c r="G79" s="64">
        <v>94.56</v>
      </c>
      <c r="H79" s="64">
        <v>47.38</v>
      </c>
      <c r="I79" s="64">
        <v>5.77</v>
      </c>
      <c r="J79" s="64">
        <v>1.45</v>
      </c>
      <c r="K79" s="64">
        <v>82.93</v>
      </c>
      <c r="L79" s="64">
        <v>22.78</v>
      </c>
      <c r="M79" s="64">
        <v>52.24</v>
      </c>
      <c r="N79" s="64">
        <v>38.5</v>
      </c>
      <c r="O79" s="64">
        <v>0</v>
      </c>
      <c r="P79" s="64">
        <v>1.3</v>
      </c>
      <c r="Q79" s="64">
        <v>8.48</v>
      </c>
      <c r="R79" s="198"/>
      <c r="S79" s="198"/>
      <c r="T79" s="198"/>
      <c r="U79" s="198"/>
    </row>
    <row r="80" spans="1:21" s="12" customFormat="1" x14ac:dyDescent="0.25">
      <c r="A80" s="215" t="s">
        <v>703</v>
      </c>
      <c r="B80" s="64">
        <v>14.18</v>
      </c>
      <c r="C80" s="64">
        <v>61.16</v>
      </c>
      <c r="D80" s="64">
        <v>41.95</v>
      </c>
      <c r="E80" s="64">
        <v>6.65</v>
      </c>
      <c r="F80" s="64">
        <v>4.5999999999999996</v>
      </c>
      <c r="G80" s="64">
        <v>98.84</v>
      </c>
      <c r="H80" s="64">
        <v>52.5</v>
      </c>
      <c r="I80" s="64">
        <v>6.5</v>
      </c>
      <c r="J80" s="64">
        <v>1.06</v>
      </c>
      <c r="K80" s="64">
        <v>342.82</v>
      </c>
      <c r="L80" s="64">
        <v>22.4</v>
      </c>
      <c r="M80" s="64">
        <v>57.1</v>
      </c>
      <c r="N80" s="64">
        <v>38.200000000000003</v>
      </c>
      <c r="O80" s="64">
        <v>0</v>
      </c>
      <c r="P80" s="64">
        <v>2.09</v>
      </c>
      <c r="Q80" s="64">
        <v>8.7100000000000009</v>
      </c>
      <c r="R80" s="198"/>
      <c r="S80" s="198"/>
      <c r="T80" s="198"/>
      <c r="U80" s="198"/>
    </row>
    <row r="81" spans="1:26" s="12" customFormat="1" x14ac:dyDescent="0.25">
      <c r="A81" s="215" t="s">
        <v>704</v>
      </c>
      <c r="B81" s="64">
        <v>16.23</v>
      </c>
      <c r="C81" s="64">
        <v>58.06</v>
      </c>
      <c r="D81" s="64">
        <v>41.97</v>
      </c>
      <c r="E81" s="64">
        <v>6.73</v>
      </c>
      <c r="F81" s="64">
        <v>4.6100000000000003</v>
      </c>
      <c r="G81" s="64">
        <v>102.1</v>
      </c>
      <c r="H81" s="64">
        <v>55.73</v>
      </c>
      <c r="I81" s="64">
        <v>6.79</v>
      </c>
      <c r="J81" s="64">
        <v>0.82</v>
      </c>
      <c r="K81" s="64">
        <v>78.040000000000006</v>
      </c>
      <c r="L81" s="64">
        <v>21.96</v>
      </c>
      <c r="M81" s="64">
        <v>57.39</v>
      </c>
      <c r="N81" s="64">
        <v>38.1</v>
      </c>
      <c r="O81" s="64">
        <v>0</v>
      </c>
      <c r="P81" s="64">
        <v>2.3199999999999998</v>
      </c>
      <c r="Q81" s="64">
        <v>8.85</v>
      </c>
      <c r="R81" s="198"/>
      <c r="S81" s="198"/>
      <c r="T81" s="198"/>
      <c r="U81" s="198"/>
    </row>
    <row r="82" spans="1:26" s="12" customFormat="1" x14ac:dyDescent="0.25">
      <c r="A82" s="215" t="s">
        <v>705</v>
      </c>
      <c r="B82" s="64">
        <v>18.52</v>
      </c>
      <c r="C82" s="64">
        <v>58.58</v>
      </c>
      <c r="D82" s="64">
        <v>44.08</v>
      </c>
      <c r="E82" s="64">
        <v>6.7</v>
      </c>
      <c r="F82" s="64">
        <v>4.83</v>
      </c>
      <c r="G82" s="64">
        <v>102.1</v>
      </c>
      <c r="H82" s="64">
        <v>55.73</v>
      </c>
      <c r="I82" s="64">
        <v>8.2899999999999991</v>
      </c>
      <c r="J82" s="64">
        <v>0.82</v>
      </c>
      <c r="K82" s="64">
        <v>120.74</v>
      </c>
      <c r="L82" s="64">
        <v>21.66</v>
      </c>
      <c r="M82" s="64">
        <v>56.82</v>
      </c>
      <c r="N82" s="64">
        <v>38</v>
      </c>
      <c r="O82" s="64">
        <v>0</v>
      </c>
      <c r="P82" s="64">
        <v>2.31</v>
      </c>
      <c r="Q82" s="64">
        <v>8.9600000000000009</v>
      </c>
      <c r="R82" s="198"/>
      <c r="S82" s="198"/>
      <c r="T82" s="198"/>
      <c r="U82" s="198"/>
    </row>
    <row r="83" spans="1:26" s="12" customFormat="1" x14ac:dyDescent="0.25">
      <c r="A83" s="215" t="s">
        <v>706</v>
      </c>
      <c r="B83" s="64">
        <v>20.07</v>
      </c>
      <c r="C83" s="64">
        <v>58.99</v>
      </c>
      <c r="D83" s="64">
        <v>45.54</v>
      </c>
      <c r="E83" s="64">
        <v>6.76</v>
      </c>
      <c r="F83" s="64">
        <v>5.15</v>
      </c>
      <c r="G83" s="64">
        <v>102.1</v>
      </c>
      <c r="H83" s="64">
        <v>55.73</v>
      </c>
      <c r="I83" s="64">
        <v>9.8800000000000008</v>
      </c>
      <c r="J83" s="64">
        <v>1.21</v>
      </c>
      <c r="K83" s="64">
        <v>353.38</v>
      </c>
      <c r="L83" s="64">
        <v>21.3</v>
      </c>
      <c r="M83" s="64">
        <v>62.23</v>
      </c>
      <c r="N83" s="64">
        <v>38.299999999999997</v>
      </c>
      <c r="O83" s="64">
        <v>0</v>
      </c>
      <c r="P83" s="64">
        <v>2.33</v>
      </c>
      <c r="Q83" s="64">
        <v>9.1</v>
      </c>
      <c r="R83" s="198"/>
      <c r="S83" s="198"/>
      <c r="T83" s="198"/>
      <c r="U83" s="198"/>
    </row>
    <row r="84" spans="1:26" s="12" customFormat="1" x14ac:dyDescent="0.25">
      <c r="A84" s="215" t="s">
        <v>707</v>
      </c>
      <c r="B84" s="64">
        <v>22.43</v>
      </c>
      <c r="C84" s="64">
        <v>58.38</v>
      </c>
      <c r="D84" s="64">
        <v>47.12</v>
      </c>
      <c r="E84" s="64">
        <v>7.2</v>
      </c>
      <c r="F84" s="64">
        <v>5.12</v>
      </c>
      <c r="G84" s="64">
        <v>113.34</v>
      </c>
      <c r="H84" s="64">
        <v>71.040000000000006</v>
      </c>
      <c r="I84" s="64">
        <v>9.1</v>
      </c>
      <c r="J84" s="64">
        <v>0.19</v>
      </c>
      <c r="K84" s="64">
        <v>338.2</v>
      </c>
      <c r="L84" s="64">
        <v>20.74</v>
      </c>
      <c r="M84" s="64">
        <v>65.25</v>
      </c>
      <c r="N84" s="64">
        <v>38.1</v>
      </c>
      <c r="O84" s="64">
        <v>0</v>
      </c>
      <c r="P84" s="64">
        <v>2.5299999999999998</v>
      </c>
      <c r="Q84" s="64">
        <v>9.58</v>
      </c>
      <c r="R84" s="198"/>
      <c r="S84" s="198"/>
      <c r="T84" s="198"/>
      <c r="U84" s="198"/>
    </row>
    <row r="85" spans="1:26" s="12" customFormat="1" x14ac:dyDescent="0.25">
      <c r="A85" s="215" t="s">
        <v>708</v>
      </c>
      <c r="B85" s="64">
        <v>24.27</v>
      </c>
      <c r="C85" s="64">
        <v>57.78</v>
      </c>
      <c r="D85" s="64">
        <v>48.27</v>
      </c>
      <c r="E85" s="64">
        <v>7.67</v>
      </c>
      <c r="F85" s="64">
        <v>5.96</v>
      </c>
      <c r="G85" s="64">
        <v>121.94</v>
      </c>
      <c r="H85" s="64">
        <v>76.239999999999995</v>
      </c>
      <c r="I85" s="64">
        <v>10.19</v>
      </c>
      <c r="J85" s="64">
        <v>1.66</v>
      </c>
      <c r="K85" s="64">
        <v>80.84</v>
      </c>
      <c r="L85" s="64">
        <v>20.77</v>
      </c>
      <c r="M85" s="64">
        <v>61.19</v>
      </c>
      <c r="N85" s="64">
        <v>37.799999999999997</v>
      </c>
      <c r="O85" s="64">
        <v>0</v>
      </c>
      <c r="P85" s="64">
        <v>2.2799999999999998</v>
      </c>
      <c r="Q85" s="64">
        <v>9.8699999999999992</v>
      </c>
      <c r="R85" s="198"/>
      <c r="S85" s="198"/>
      <c r="T85" s="198"/>
      <c r="U85" s="198"/>
    </row>
    <row r="86" spans="1:26" s="12" customFormat="1" x14ac:dyDescent="0.25">
      <c r="A86" s="215" t="s">
        <v>709</v>
      </c>
      <c r="B86" s="64">
        <v>26.13</v>
      </c>
      <c r="C86" s="64">
        <v>57.74</v>
      </c>
      <c r="D86" s="64">
        <v>49.75</v>
      </c>
      <c r="E86" s="64">
        <v>7.58</v>
      </c>
      <c r="F86" s="64">
        <v>4.93</v>
      </c>
      <c r="G86" s="64">
        <v>121.94</v>
      </c>
      <c r="H86" s="64">
        <v>76.239999999999995</v>
      </c>
      <c r="I86" s="64">
        <v>10.4</v>
      </c>
      <c r="J86" s="64">
        <v>1.71</v>
      </c>
      <c r="K86" s="64">
        <v>320.2</v>
      </c>
      <c r="L86" s="64">
        <v>20.59</v>
      </c>
      <c r="M86" s="64">
        <v>69.739999999999995</v>
      </c>
      <c r="N86" s="64">
        <v>38.1</v>
      </c>
      <c r="O86" s="64">
        <v>0</v>
      </c>
      <c r="P86" s="64">
        <v>3.16</v>
      </c>
      <c r="Q86" s="64">
        <v>10.02</v>
      </c>
      <c r="R86" s="198"/>
      <c r="S86" s="198"/>
      <c r="T86" s="198"/>
      <c r="U86" s="198"/>
    </row>
    <row r="87" spans="1:26" s="12" customFormat="1" x14ac:dyDescent="0.25">
      <c r="A87" s="215" t="s">
        <v>710</v>
      </c>
      <c r="B87" s="64">
        <v>28.73</v>
      </c>
      <c r="C87" s="64">
        <v>57.28</v>
      </c>
      <c r="D87" s="64">
        <v>51.59</v>
      </c>
      <c r="E87" s="64">
        <v>7.86</v>
      </c>
      <c r="F87" s="64">
        <v>4.7300000000000004</v>
      </c>
      <c r="G87" s="64">
        <v>121.94</v>
      </c>
      <c r="H87" s="64">
        <v>76.239999999999995</v>
      </c>
      <c r="I87" s="64">
        <v>10.87</v>
      </c>
      <c r="J87" s="64">
        <v>0.86</v>
      </c>
      <c r="K87" s="64">
        <v>45.53</v>
      </c>
      <c r="L87" s="64">
        <v>20.13</v>
      </c>
      <c r="M87" s="64">
        <v>66.31</v>
      </c>
      <c r="N87" s="64">
        <v>38</v>
      </c>
      <c r="O87" s="64">
        <v>0</v>
      </c>
      <c r="P87" s="64">
        <v>2.74</v>
      </c>
      <c r="Q87" s="64">
        <v>10.199999999999999</v>
      </c>
      <c r="R87" s="198"/>
      <c r="S87" s="198"/>
      <c r="T87" s="198"/>
      <c r="U87" s="198"/>
    </row>
    <row r="88" spans="1:26" s="12" customFormat="1" x14ac:dyDescent="0.25">
      <c r="A88" s="215" t="s">
        <v>711</v>
      </c>
      <c r="B88" s="64">
        <v>31.4</v>
      </c>
      <c r="C88" s="64">
        <v>58.83</v>
      </c>
      <c r="D88" s="64">
        <v>54.54</v>
      </c>
      <c r="E88" s="64">
        <v>8.25</v>
      </c>
      <c r="F88" s="64">
        <v>4.78</v>
      </c>
      <c r="G88" s="64">
        <v>133.57</v>
      </c>
      <c r="H88" s="64">
        <v>84.76</v>
      </c>
      <c r="I88" s="64">
        <v>12.93</v>
      </c>
      <c r="J88" s="64">
        <v>1.57</v>
      </c>
      <c r="K88" s="64">
        <v>307.70999999999998</v>
      </c>
      <c r="L88" s="64">
        <v>19.91</v>
      </c>
      <c r="M88" s="64">
        <v>66.33</v>
      </c>
      <c r="N88" s="64">
        <v>38</v>
      </c>
      <c r="O88" s="64">
        <v>0</v>
      </c>
      <c r="P88" s="64">
        <v>1.76</v>
      </c>
      <c r="Q88" s="64">
        <v>10.27</v>
      </c>
      <c r="R88" s="198"/>
      <c r="S88" s="198"/>
      <c r="T88" s="198"/>
      <c r="U88" s="198"/>
    </row>
    <row r="89" spans="1:26" s="12" customFormat="1" x14ac:dyDescent="0.25">
      <c r="A89" s="215" t="s">
        <v>712</v>
      </c>
      <c r="B89" s="64">
        <v>34</v>
      </c>
      <c r="C89" s="64">
        <v>57.57</v>
      </c>
      <c r="D89" s="64">
        <v>55.97</v>
      </c>
      <c r="E89" s="64">
        <v>8.3000000000000007</v>
      </c>
      <c r="F89" s="64">
        <v>5.04</v>
      </c>
      <c r="G89" s="64">
        <v>142.47</v>
      </c>
      <c r="H89" s="64">
        <v>87.65</v>
      </c>
      <c r="I89" s="64">
        <v>12.39</v>
      </c>
      <c r="J89" s="64">
        <v>1.97</v>
      </c>
      <c r="K89" s="64">
        <v>358.59</v>
      </c>
      <c r="L89" s="64">
        <v>19.559999999999999</v>
      </c>
      <c r="M89" s="64">
        <v>71.42</v>
      </c>
      <c r="N89" s="64">
        <v>38.1</v>
      </c>
      <c r="O89" s="64">
        <v>0</v>
      </c>
      <c r="P89" s="64">
        <v>2.79</v>
      </c>
      <c r="Q89" s="64">
        <v>10.33</v>
      </c>
      <c r="R89" s="198"/>
      <c r="S89" s="198"/>
      <c r="T89" s="198"/>
      <c r="U89" s="198"/>
    </row>
    <row r="90" spans="1:26" s="12" customFormat="1" x14ac:dyDescent="0.25">
      <c r="A90" s="215" t="s">
        <v>713</v>
      </c>
      <c r="B90" s="64">
        <v>36.700000000000003</v>
      </c>
      <c r="C90" s="64">
        <v>58.51</v>
      </c>
      <c r="D90" s="64">
        <v>58.63</v>
      </c>
      <c r="E90" s="64">
        <v>8.58</v>
      </c>
      <c r="F90" s="64">
        <v>4.8899999999999997</v>
      </c>
      <c r="G90" s="64">
        <v>142.47</v>
      </c>
      <c r="H90" s="64">
        <v>87.65</v>
      </c>
      <c r="I90" s="64">
        <v>11.38</v>
      </c>
      <c r="J90" s="64">
        <v>1.03</v>
      </c>
      <c r="K90" s="64">
        <v>325.97000000000003</v>
      </c>
      <c r="L90" s="64">
        <v>19.41</v>
      </c>
      <c r="M90" s="64">
        <v>73.75</v>
      </c>
      <c r="N90" s="64">
        <v>38.1</v>
      </c>
      <c r="O90" s="64">
        <v>0</v>
      </c>
      <c r="P90" s="64">
        <v>2.58</v>
      </c>
      <c r="Q90" s="64">
        <v>10.36</v>
      </c>
      <c r="R90" s="198"/>
      <c r="S90" s="198"/>
      <c r="T90" s="198"/>
      <c r="U90" s="198"/>
    </row>
    <row r="91" spans="1:26" s="12" customFormat="1" x14ac:dyDescent="0.25">
      <c r="A91" s="215" t="s">
        <v>714</v>
      </c>
      <c r="B91" s="64">
        <v>40.630000000000003</v>
      </c>
      <c r="C91" s="64">
        <v>56.88</v>
      </c>
      <c r="D91" s="64">
        <v>60.92</v>
      </c>
      <c r="E91" s="64">
        <v>9.51</v>
      </c>
      <c r="F91" s="64">
        <v>5.13</v>
      </c>
      <c r="G91" s="64">
        <v>142.47</v>
      </c>
      <c r="H91" s="64">
        <v>87.65</v>
      </c>
      <c r="I91" s="64">
        <v>11.74</v>
      </c>
      <c r="J91" s="64">
        <v>1.97</v>
      </c>
      <c r="K91" s="64">
        <v>310.32</v>
      </c>
      <c r="L91" s="64">
        <v>18.98</v>
      </c>
      <c r="M91" s="64">
        <v>81.87</v>
      </c>
      <c r="N91" s="64">
        <v>38.1</v>
      </c>
      <c r="O91" s="64">
        <v>0</v>
      </c>
      <c r="P91" s="64">
        <v>2.41</v>
      </c>
      <c r="Q91" s="64">
        <v>10.39</v>
      </c>
      <c r="R91" s="198"/>
      <c r="S91" s="198"/>
      <c r="T91" s="198"/>
      <c r="U91" s="198"/>
    </row>
    <row r="92" spans="1:26" s="12" customFormat="1" x14ac:dyDescent="0.25">
      <c r="A92" s="215" t="s">
        <v>715</v>
      </c>
      <c r="B92" s="64">
        <v>47.51</v>
      </c>
      <c r="C92" s="64">
        <v>57.75</v>
      </c>
      <c r="D92" s="64">
        <v>66.89</v>
      </c>
      <c r="E92" s="64">
        <v>10.02</v>
      </c>
      <c r="F92" s="64">
        <v>4.8499999999999996</v>
      </c>
      <c r="G92" s="64">
        <v>148.43</v>
      </c>
      <c r="H92" s="64">
        <v>80.53</v>
      </c>
      <c r="I92" s="64">
        <v>12.43</v>
      </c>
      <c r="J92" s="64">
        <v>2.09</v>
      </c>
      <c r="K92" s="64">
        <v>7.23</v>
      </c>
      <c r="L92" s="64">
        <v>18.61</v>
      </c>
      <c r="M92" s="64">
        <v>81.849999999999994</v>
      </c>
      <c r="N92" s="64">
        <v>38.1</v>
      </c>
      <c r="O92" s="64">
        <v>0</v>
      </c>
      <c r="P92" s="64">
        <v>3.24</v>
      </c>
      <c r="Q92" s="64">
        <v>10.5</v>
      </c>
      <c r="R92" s="198"/>
      <c r="S92" s="198"/>
      <c r="T92" s="198"/>
      <c r="U92" s="198"/>
    </row>
    <row r="93" spans="1:26" s="12" customFormat="1" x14ac:dyDescent="0.25">
      <c r="A93" s="215" t="s">
        <v>716</v>
      </c>
      <c r="B93" s="64">
        <v>54.55</v>
      </c>
      <c r="C93" s="64">
        <v>58.3</v>
      </c>
      <c r="D93" s="64">
        <v>72.83</v>
      </c>
      <c r="E93" s="64">
        <v>10.41</v>
      </c>
      <c r="F93" s="64">
        <v>5</v>
      </c>
      <c r="G93" s="64">
        <v>152.99</v>
      </c>
      <c r="H93" s="64">
        <v>78.11</v>
      </c>
      <c r="I93" s="64">
        <v>11.45</v>
      </c>
      <c r="J93" s="64">
        <v>1.4</v>
      </c>
      <c r="K93" s="64">
        <v>243.45</v>
      </c>
      <c r="L93" s="64">
        <v>18.46</v>
      </c>
      <c r="M93" s="64">
        <v>80.72</v>
      </c>
      <c r="N93" s="64">
        <v>38.1</v>
      </c>
      <c r="O93" s="64">
        <v>0</v>
      </c>
      <c r="P93" s="64">
        <v>2.64</v>
      </c>
      <c r="Q93" s="64">
        <v>10.59</v>
      </c>
      <c r="R93" s="198"/>
      <c r="S93" s="198"/>
      <c r="T93" s="198"/>
      <c r="U93" s="198"/>
    </row>
    <row r="94" spans="1:26" s="12" customFormat="1" x14ac:dyDescent="0.25">
      <c r="A94" s="215" t="s">
        <v>717</v>
      </c>
      <c r="B94" s="64">
        <v>62.08</v>
      </c>
      <c r="C94" s="64">
        <v>53.7</v>
      </c>
      <c r="D94" s="64">
        <v>76.459999999999994</v>
      </c>
      <c r="E94" s="64">
        <v>10.83</v>
      </c>
      <c r="F94" s="64">
        <v>4.9000000000000004</v>
      </c>
      <c r="G94" s="64">
        <v>152.99</v>
      </c>
      <c r="H94" s="64">
        <v>78.11</v>
      </c>
      <c r="I94" s="64">
        <v>12.67</v>
      </c>
      <c r="J94" s="64">
        <v>1.24</v>
      </c>
      <c r="K94" s="64">
        <v>281.98</v>
      </c>
      <c r="L94" s="64">
        <v>18.72</v>
      </c>
      <c r="M94" s="64">
        <v>76.03</v>
      </c>
      <c r="N94" s="64">
        <v>37.700000000000003</v>
      </c>
      <c r="O94" s="64">
        <v>0</v>
      </c>
      <c r="P94" s="64">
        <v>2.71</v>
      </c>
      <c r="Q94" s="64">
        <v>10.69</v>
      </c>
      <c r="R94" s="198"/>
      <c r="S94" s="198"/>
      <c r="T94" s="198"/>
      <c r="U94" s="198"/>
    </row>
    <row r="95" spans="1:26" s="12" customFormat="1" x14ac:dyDescent="0.25">
      <c r="A95" s="215" t="s">
        <v>718</v>
      </c>
      <c r="B95" s="64">
        <v>69.42</v>
      </c>
      <c r="C95" s="64">
        <v>57.98</v>
      </c>
      <c r="D95" s="64">
        <v>84.59</v>
      </c>
      <c r="E95" s="64">
        <v>10.81</v>
      </c>
      <c r="F95" s="64">
        <v>5.09</v>
      </c>
      <c r="G95" s="64">
        <v>152.99</v>
      </c>
      <c r="H95" s="64">
        <v>78.11</v>
      </c>
      <c r="I95" s="64">
        <v>12.01</v>
      </c>
      <c r="J95" s="64">
        <v>0.84</v>
      </c>
      <c r="K95" s="64">
        <v>212.3</v>
      </c>
      <c r="L95" s="64">
        <v>18.420000000000002</v>
      </c>
      <c r="M95" s="64">
        <v>83.15</v>
      </c>
      <c r="N95" s="64">
        <v>37.9</v>
      </c>
      <c r="O95" s="64">
        <v>0</v>
      </c>
      <c r="P95" s="64">
        <v>2.67</v>
      </c>
      <c r="Q95" s="64">
        <v>10.78</v>
      </c>
      <c r="R95" s="198"/>
      <c r="S95" s="198"/>
      <c r="T95" s="198"/>
      <c r="U95" s="198"/>
    </row>
    <row r="96" spans="1:26" s="12" customFormat="1" x14ac:dyDescent="0.25">
      <c r="A96" s="215" t="s">
        <v>719</v>
      </c>
      <c r="B96" s="64">
        <v>75.2</v>
      </c>
      <c r="C96" s="64">
        <v>57.97</v>
      </c>
      <c r="D96" s="64">
        <v>89.21</v>
      </c>
      <c r="E96" s="64">
        <v>11.09</v>
      </c>
      <c r="F96" s="64">
        <v>4.8499999999999996</v>
      </c>
      <c r="G96" s="64">
        <v>157.85</v>
      </c>
      <c r="H96" s="64">
        <v>84.65</v>
      </c>
      <c r="I96" s="64">
        <v>11.51</v>
      </c>
      <c r="J96" s="64">
        <v>1.48</v>
      </c>
      <c r="K96" s="64">
        <v>289.06</v>
      </c>
      <c r="L96" s="64">
        <v>18.34</v>
      </c>
      <c r="M96" s="64">
        <v>79.62</v>
      </c>
      <c r="N96" s="64">
        <v>37.799999999999997</v>
      </c>
      <c r="O96" s="64">
        <v>0</v>
      </c>
      <c r="P96" s="64">
        <v>2.66</v>
      </c>
      <c r="Q96" s="64">
        <v>10.86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720</v>
      </c>
      <c r="B97" s="64">
        <v>82.56</v>
      </c>
      <c r="C97" s="64">
        <v>56.1</v>
      </c>
      <c r="D97" s="64">
        <v>94.14</v>
      </c>
      <c r="E97" s="64">
        <v>10.81</v>
      </c>
      <c r="F97" s="64">
        <v>4.74</v>
      </c>
      <c r="G97" s="64">
        <v>161.56</v>
      </c>
      <c r="H97" s="64">
        <v>88.76</v>
      </c>
      <c r="I97" s="64">
        <v>11.55</v>
      </c>
      <c r="J97" s="64">
        <v>1.22</v>
      </c>
      <c r="K97" s="64">
        <v>308.14</v>
      </c>
      <c r="L97" s="64">
        <v>18.010000000000002</v>
      </c>
      <c r="M97" s="64">
        <v>83</v>
      </c>
      <c r="N97" s="64">
        <v>37.9</v>
      </c>
      <c r="O97" s="64">
        <v>0</v>
      </c>
      <c r="P97" s="64">
        <v>3.19</v>
      </c>
      <c r="Q97" s="64">
        <v>10.81</v>
      </c>
      <c r="R97" s="198"/>
      <c r="S97" s="198"/>
      <c r="T97" s="198"/>
      <c r="U97" s="198"/>
    </row>
    <row r="98" spans="1:33" s="12" customFormat="1" x14ac:dyDescent="0.25">
      <c r="A98" s="215" t="s">
        <v>721</v>
      </c>
      <c r="B98" s="64">
        <v>89.11</v>
      </c>
      <c r="C98" s="64">
        <v>51.13</v>
      </c>
      <c r="D98" s="64">
        <v>96.79</v>
      </c>
      <c r="E98" s="64">
        <v>10.5</v>
      </c>
      <c r="F98" s="64">
        <v>5.09</v>
      </c>
      <c r="G98" s="64">
        <v>161.56</v>
      </c>
      <c r="H98" s="64">
        <v>88.76</v>
      </c>
      <c r="I98" s="64">
        <v>11.78</v>
      </c>
      <c r="J98" s="64">
        <v>1.25</v>
      </c>
      <c r="K98" s="64">
        <v>310.08999999999997</v>
      </c>
      <c r="L98" s="64">
        <v>18.09</v>
      </c>
      <c r="M98" s="64">
        <v>78.260000000000005</v>
      </c>
      <c r="N98" s="64">
        <v>37.700000000000003</v>
      </c>
      <c r="O98" s="64">
        <v>0</v>
      </c>
      <c r="P98" s="64">
        <v>2.74</v>
      </c>
      <c r="Q98" s="64">
        <v>10.67</v>
      </c>
      <c r="R98" s="198"/>
      <c r="S98" s="198"/>
      <c r="T98" s="198"/>
      <c r="U98" s="198"/>
    </row>
    <row r="99" spans="1:33" s="12" customFormat="1" x14ac:dyDescent="0.25">
      <c r="A99" s="215" t="s">
        <v>722</v>
      </c>
      <c r="B99" s="64">
        <v>93.24</v>
      </c>
      <c r="C99" s="64">
        <v>51.7</v>
      </c>
      <c r="D99" s="64">
        <v>100.4</v>
      </c>
      <c r="E99" s="64">
        <v>10.3</v>
      </c>
      <c r="F99" s="64">
        <v>5.05</v>
      </c>
      <c r="G99" s="64">
        <v>161.56</v>
      </c>
      <c r="H99" s="64">
        <v>88.76</v>
      </c>
      <c r="I99" s="64">
        <v>12.39</v>
      </c>
      <c r="J99" s="64">
        <v>1.55</v>
      </c>
      <c r="K99" s="64">
        <v>316.26</v>
      </c>
      <c r="L99" s="64">
        <v>17.88</v>
      </c>
      <c r="M99" s="64">
        <v>81.599999999999994</v>
      </c>
      <c r="N99" s="64">
        <v>38</v>
      </c>
      <c r="O99" s="64">
        <v>0</v>
      </c>
      <c r="P99" s="64">
        <v>2.94</v>
      </c>
      <c r="Q99" s="64">
        <v>10.74</v>
      </c>
      <c r="R99" s="198"/>
      <c r="S99" s="198"/>
      <c r="T99" s="198"/>
      <c r="U99" s="198"/>
    </row>
    <row r="100" spans="1:33" s="12" customFormat="1" x14ac:dyDescent="0.25">
      <c r="A100" s="215" t="s">
        <v>723</v>
      </c>
      <c r="B100" s="64">
        <v>96.54</v>
      </c>
      <c r="C100" s="64">
        <v>52.2</v>
      </c>
      <c r="D100" s="64">
        <v>103.31</v>
      </c>
      <c r="E100" s="64">
        <v>10.050000000000001</v>
      </c>
      <c r="F100" s="64">
        <v>4.72</v>
      </c>
      <c r="G100" s="64">
        <v>166.2</v>
      </c>
      <c r="H100" s="64">
        <v>90.26</v>
      </c>
      <c r="I100" s="64">
        <v>11.37</v>
      </c>
      <c r="J100" s="64">
        <v>2.0699999999999998</v>
      </c>
      <c r="K100" s="64">
        <v>327.96</v>
      </c>
      <c r="L100" s="64">
        <v>17.55</v>
      </c>
      <c r="M100" s="64">
        <v>86.93</v>
      </c>
      <c r="N100" s="64">
        <v>38</v>
      </c>
      <c r="O100" s="64">
        <v>0</v>
      </c>
      <c r="P100" s="64">
        <v>2.76</v>
      </c>
      <c r="Q100" s="64">
        <v>10.85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724</v>
      </c>
      <c r="B101" s="64">
        <v>98.87</v>
      </c>
      <c r="C101" s="64">
        <v>51.93</v>
      </c>
      <c r="D101" s="64">
        <v>105.04</v>
      </c>
      <c r="E101" s="64">
        <v>10.31</v>
      </c>
      <c r="F101" s="64">
        <v>4.6399999999999997</v>
      </c>
      <c r="G101" s="64">
        <v>169.75</v>
      </c>
      <c r="H101" s="64">
        <v>90.74</v>
      </c>
      <c r="I101" s="64">
        <v>11.22</v>
      </c>
      <c r="J101" s="64">
        <v>1.78</v>
      </c>
      <c r="K101" s="64">
        <v>271.85000000000002</v>
      </c>
      <c r="L101" s="64">
        <v>17.27</v>
      </c>
      <c r="M101" s="64">
        <v>86.03</v>
      </c>
      <c r="N101" s="64">
        <v>37.799999999999997</v>
      </c>
      <c r="O101" s="64">
        <v>0</v>
      </c>
      <c r="P101" s="64">
        <v>2.9</v>
      </c>
      <c r="Q101" s="64">
        <v>10.9</v>
      </c>
      <c r="R101" s="198"/>
      <c r="S101" s="198"/>
      <c r="T101" s="198"/>
      <c r="U101" s="198"/>
    </row>
    <row r="102" spans="1:33" s="12" customFormat="1" x14ac:dyDescent="0.25">
      <c r="A102" s="215" t="s">
        <v>725</v>
      </c>
      <c r="B102" s="64">
        <v>99.56</v>
      </c>
      <c r="C102" s="64">
        <v>50.71</v>
      </c>
      <c r="D102" s="64">
        <v>104.95</v>
      </c>
      <c r="E102" s="64">
        <v>9.56</v>
      </c>
      <c r="F102" s="64">
        <v>4.7</v>
      </c>
      <c r="G102" s="64">
        <v>169.75</v>
      </c>
      <c r="H102" s="64">
        <v>90.74</v>
      </c>
      <c r="I102" s="64">
        <v>11.4</v>
      </c>
      <c r="J102" s="64">
        <v>1.8</v>
      </c>
      <c r="K102" s="64">
        <v>234.56</v>
      </c>
      <c r="L102" s="64">
        <v>17.39</v>
      </c>
      <c r="M102" s="64">
        <v>78.959999999999994</v>
      </c>
      <c r="N102" s="64">
        <v>37.9</v>
      </c>
      <c r="O102" s="64">
        <v>0</v>
      </c>
      <c r="P102" s="64">
        <v>2.48</v>
      </c>
      <c r="Q102" s="64">
        <v>10.98</v>
      </c>
      <c r="R102" s="198"/>
      <c r="S102" s="198"/>
      <c r="T102" s="198"/>
      <c r="U102" s="198"/>
    </row>
    <row r="103" spans="1:33" s="12" customFormat="1" x14ac:dyDescent="0.25">
      <c r="A103" s="215" t="s">
        <v>726</v>
      </c>
      <c r="B103" s="64">
        <v>98.22</v>
      </c>
      <c r="C103" s="64">
        <v>49.66</v>
      </c>
      <c r="D103" s="64">
        <v>103.33</v>
      </c>
      <c r="E103" s="64">
        <v>9.31</v>
      </c>
      <c r="F103" s="64">
        <v>4.8499999999999996</v>
      </c>
      <c r="G103" s="64">
        <v>169.75</v>
      </c>
      <c r="H103" s="64">
        <v>90.74</v>
      </c>
      <c r="I103" s="64">
        <v>11.46</v>
      </c>
      <c r="J103" s="64">
        <v>1.38</v>
      </c>
      <c r="K103" s="64">
        <v>356.02</v>
      </c>
      <c r="L103" s="64">
        <v>17.02</v>
      </c>
      <c r="M103" s="64">
        <v>85.86</v>
      </c>
      <c r="N103" s="64">
        <v>37.799999999999997</v>
      </c>
      <c r="O103" s="64">
        <v>0</v>
      </c>
      <c r="P103" s="64">
        <v>2.69</v>
      </c>
      <c r="Q103" s="64">
        <v>10.98</v>
      </c>
      <c r="R103" s="198"/>
      <c r="S103" s="198"/>
      <c r="T103" s="198"/>
      <c r="U103" s="198"/>
    </row>
    <row r="104" spans="1:33" s="12" customFormat="1" x14ac:dyDescent="0.25">
      <c r="A104" s="215" t="s">
        <v>727</v>
      </c>
      <c r="B104" s="64">
        <v>98.37</v>
      </c>
      <c r="C104" s="64">
        <v>48.64</v>
      </c>
      <c r="D104" s="64">
        <v>102.92</v>
      </c>
      <c r="E104" s="64">
        <v>8.66</v>
      </c>
      <c r="F104" s="64">
        <v>4.4000000000000004</v>
      </c>
      <c r="G104" s="64">
        <v>165.15</v>
      </c>
      <c r="H104" s="64">
        <v>87.55</v>
      </c>
      <c r="I104" s="64">
        <v>9.86</v>
      </c>
      <c r="J104" s="64">
        <v>1.78</v>
      </c>
      <c r="K104" s="64">
        <v>299.48</v>
      </c>
      <c r="L104" s="64">
        <v>16.68</v>
      </c>
      <c r="M104" s="64">
        <v>88.98</v>
      </c>
      <c r="N104" s="64">
        <v>37.799999999999997</v>
      </c>
      <c r="O104" s="64">
        <v>0</v>
      </c>
      <c r="P104" s="64">
        <v>2.72</v>
      </c>
      <c r="Q104" s="64">
        <v>10.98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3.77</v>
      </c>
      <c r="C106" s="67">
        <f>MIN(C9:C104)</f>
        <v>35.1</v>
      </c>
      <c r="D106" s="67">
        <f t="shared" ref="D106:Q106" si="0">MIN(D9:D104)</f>
        <v>26.56</v>
      </c>
      <c r="E106" s="67">
        <f t="shared" si="0"/>
        <v>5.0199999999999996</v>
      </c>
      <c r="F106" s="67">
        <f t="shared" si="0"/>
        <v>3.34</v>
      </c>
      <c r="G106" s="67">
        <f t="shared" si="0"/>
        <v>74.489999999999995</v>
      </c>
      <c r="H106" s="67">
        <f t="shared" si="0"/>
        <v>1.28</v>
      </c>
      <c r="I106" s="67">
        <f t="shared" si="0"/>
        <v>2.2000000000000002</v>
      </c>
      <c r="J106" s="67">
        <f t="shared" si="0"/>
        <v>0.19</v>
      </c>
      <c r="K106" s="67">
        <f t="shared" si="0"/>
        <v>3.28</v>
      </c>
      <c r="L106" s="67">
        <f t="shared" si="0"/>
        <v>15.56</v>
      </c>
      <c r="M106" s="67">
        <f t="shared" si="0"/>
        <v>32.68</v>
      </c>
      <c r="N106" s="67">
        <f t="shared" si="0"/>
        <v>36</v>
      </c>
      <c r="O106" s="67">
        <f t="shared" si="0"/>
        <v>0</v>
      </c>
      <c r="P106" s="67">
        <f t="shared" si="0"/>
        <v>0.65</v>
      </c>
      <c r="Q106" s="67">
        <f t="shared" si="0"/>
        <v>8.2100000000000009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99.56</v>
      </c>
      <c r="C107" s="66">
        <f t="shared" ref="C107:Q107" si="1">MAX(C9:C104)</f>
        <v>61.47</v>
      </c>
      <c r="D107" s="66">
        <f t="shared" si="1"/>
        <v>105.04</v>
      </c>
      <c r="E107" s="66">
        <f t="shared" si="1"/>
        <v>11.09</v>
      </c>
      <c r="F107" s="66">
        <f t="shared" si="1"/>
        <v>6.21</v>
      </c>
      <c r="G107" s="66">
        <f t="shared" si="1"/>
        <v>169.75</v>
      </c>
      <c r="H107" s="66">
        <f t="shared" si="1"/>
        <v>90.74</v>
      </c>
      <c r="I107" s="66">
        <f t="shared" si="1"/>
        <v>12.93</v>
      </c>
      <c r="J107" s="66">
        <f t="shared" si="1"/>
        <v>3.64</v>
      </c>
      <c r="K107" s="66">
        <f t="shared" si="1"/>
        <v>359.1</v>
      </c>
      <c r="L107" s="66">
        <f t="shared" si="1"/>
        <v>30.64</v>
      </c>
      <c r="M107" s="66">
        <f t="shared" si="1"/>
        <v>90.58</v>
      </c>
      <c r="N107" s="66">
        <f t="shared" si="1"/>
        <v>651.70000000000005</v>
      </c>
      <c r="O107" s="66">
        <f t="shared" si="1"/>
        <v>0</v>
      </c>
      <c r="P107" s="66">
        <f t="shared" si="1"/>
        <v>3.24</v>
      </c>
      <c r="Q107" s="66">
        <f t="shared" si="1"/>
        <v>10.98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26.064687500000002</v>
      </c>
      <c r="C108" s="67">
        <f t="shared" ref="C108:Q108" si="2">AVERAGE(C9:C104)</f>
        <v>47.153124999999996</v>
      </c>
      <c r="D108" s="67">
        <f t="shared" si="2"/>
        <v>44.161458333333321</v>
      </c>
      <c r="E108" s="67">
        <f t="shared" si="2"/>
        <v>6.7227083333333288</v>
      </c>
      <c r="F108" s="67">
        <f t="shared" si="2"/>
        <v>4.625</v>
      </c>
      <c r="G108" s="67">
        <f t="shared" si="2"/>
        <v>100.16083333333334</v>
      </c>
      <c r="H108" s="67">
        <f t="shared" si="2"/>
        <v>49.572500000000019</v>
      </c>
      <c r="I108" s="67">
        <f t="shared" si="2"/>
        <v>7.080520833333332</v>
      </c>
      <c r="J108" s="67">
        <f t="shared" si="2"/>
        <v>1.7365624999999998</v>
      </c>
      <c r="K108" s="67">
        <f t="shared" si="2"/>
        <v>226.68552083333327</v>
      </c>
      <c r="L108" s="67">
        <f t="shared" si="2"/>
        <v>21.014166666666672</v>
      </c>
      <c r="M108" s="67">
        <f t="shared" si="2"/>
        <v>61.671249999999993</v>
      </c>
      <c r="N108" s="67">
        <f t="shared" si="2"/>
        <v>171.00000000000003</v>
      </c>
      <c r="O108" s="67">
        <f t="shared" si="2"/>
        <v>0</v>
      </c>
      <c r="P108" s="67">
        <f t="shared" si="2"/>
        <v>1.3316666666666666</v>
      </c>
      <c r="Q108" s="67">
        <f t="shared" si="2"/>
        <v>9.0157291666666719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24.716205208350967</v>
      </c>
      <c r="C109" s="67">
        <f t="shared" ref="C109:Q109" si="3">STDEV(C9:C104)</f>
        <v>8.1270562175463485</v>
      </c>
      <c r="D109" s="67">
        <f t="shared" si="3"/>
        <v>21.305624213198662</v>
      </c>
      <c r="E109" s="67">
        <f t="shared" si="3"/>
        <v>1.5787899958123763</v>
      </c>
      <c r="F109" s="67">
        <f t="shared" si="3"/>
        <v>0.59810226198325189</v>
      </c>
      <c r="G109" s="67">
        <f t="shared" si="3"/>
        <v>27.850521176893054</v>
      </c>
      <c r="H109" s="67">
        <f t="shared" si="3"/>
        <v>24.009929174143089</v>
      </c>
      <c r="I109" s="67">
        <f t="shared" si="3"/>
        <v>2.7384088233446686</v>
      </c>
      <c r="J109" s="67">
        <f t="shared" si="3"/>
        <v>0.73994996719195072</v>
      </c>
      <c r="K109" s="67">
        <f t="shared" si="3"/>
        <v>125.51186132976737</v>
      </c>
      <c r="L109" s="67">
        <f t="shared" si="3"/>
        <v>4.238052101382765</v>
      </c>
      <c r="M109" s="67">
        <f t="shared" si="3"/>
        <v>18.320991253922859</v>
      </c>
      <c r="N109" s="67">
        <f t="shared" si="3"/>
        <v>215.13628630291669</v>
      </c>
      <c r="O109" s="67">
        <f t="shared" si="3"/>
        <v>0</v>
      </c>
      <c r="P109" s="67">
        <f t="shared" si="3"/>
        <v>0.80474077770313457</v>
      </c>
      <c r="Q109" s="67">
        <f t="shared" si="3"/>
        <v>0.96444011005197205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4" sqref="G12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247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06/12/2024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231</v>
      </c>
      <c r="C7" s="198" t="s">
        <v>232</v>
      </c>
      <c r="D7" s="198" t="s">
        <v>233</v>
      </c>
      <c r="E7" s="198" t="s">
        <v>234</v>
      </c>
      <c r="F7" s="198" t="s">
        <v>235</v>
      </c>
      <c r="G7" s="198" t="s">
        <v>236</v>
      </c>
      <c r="H7" s="198" t="s">
        <v>237</v>
      </c>
      <c r="I7" s="198" t="s">
        <v>238</v>
      </c>
      <c r="J7" s="198" t="s">
        <v>239</v>
      </c>
      <c r="K7" s="198" t="s">
        <v>240</v>
      </c>
      <c r="L7" s="198" t="s">
        <v>241</v>
      </c>
      <c r="M7" s="198" t="s">
        <v>242</v>
      </c>
      <c r="N7" s="198" t="s">
        <v>243</v>
      </c>
      <c r="O7" s="198" t="s">
        <v>244</v>
      </c>
      <c r="P7" s="198" t="s">
        <v>245</v>
      </c>
      <c r="Q7" s="198" t="s">
        <v>246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728</v>
      </c>
      <c r="B9" s="64">
        <v>99.75</v>
      </c>
      <c r="C9" s="64">
        <v>48.5</v>
      </c>
      <c r="D9" s="64">
        <v>103.96</v>
      </c>
      <c r="E9" s="64">
        <v>8.2100000000000009</v>
      </c>
      <c r="F9" s="64">
        <v>4.88</v>
      </c>
      <c r="G9" s="64">
        <v>161.63999999999999</v>
      </c>
      <c r="H9" s="64">
        <v>86.47</v>
      </c>
      <c r="I9" s="64">
        <v>10.95</v>
      </c>
      <c r="J9" s="64">
        <v>0.74</v>
      </c>
      <c r="K9" s="64">
        <v>300.33999999999997</v>
      </c>
      <c r="L9" s="64">
        <v>16.489999999999998</v>
      </c>
      <c r="M9" s="64">
        <v>90.73</v>
      </c>
      <c r="N9" s="64">
        <v>37.799999999999997</v>
      </c>
      <c r="O9" s="64">
        <v>0</v>
      </c>
      <c r="P9" s="64">
        <v>2.73</v>
      </c>
      <c r="Q9" s="64">
        <v>11.06</v>
      </c>
      <c r="R9" s="198"/>
      <c r="S9" s="198"/>
      <c r="T9" s="198"/>
      <c r="U9" s="198"/>
    </row>
    <row r="10" spans="1:21" s="12" customFormat="1" x14ac:dyDescent="0.25">
      <c r="A10" s="215" t="s">
        <v>729</v>
      </c>
      <c r="B10" s="64">
        <v>100.69</v>
      </c>
      <c r="C10" s="64">
        <v>46.66</v>
      </c>
      <c r="D10" s="64">
        <v>103.75</v>
      </c>
      <c r="E10" s="64">
        <v>8.41</v>
      </c>
      <c r="F10" s="64">
        <v>4.72</v>
      </c>
      <c r="G10" s="64">
        <v>161.63999999999999</v>
      </c>
      <c r="H10" s="64">
        <v>86.47</v>
      </c>
      <c r="I10" s="64">
        <v>11.65</v>
      </c>
      <c r="J10" s="64">
        <v>2.33</v>
      </c>
      <c r="K10" s="64">
        <v>343.94</v>
      </c>
      <c r="L10" s="64">
        <v>16.36</v>
      </c>
      <c r="M10" s="64">
        <v>90.19</v>
      </c>
      <c r="N10" s="64">
        <v>37.799999999999997</v>
      </c>
      <c r="O10" s="64">
        <v>0</v>
      </c>
      <c r="P10" s="64">
        <v>2.69</v>
      </c>
      <c r="Q10" s="64">
        <v>11.02</v>
      </c>
      <c r="R10" s="198"/>
      <c r="S10" s="198"/>
      <c r="T10" s="198"/>
      <c r="U10" s="198"/>
    </row>
    <row r="11" spans="1:21" s="12" customFormat="1" x14ac:dyDescent="0.25">
      <c r="A11" s="215" t="s">
        <v>730</v>
      </c>
      <c r="B11" s="64">
        <v>100.93</v>
      </c>
      <c r="C11" s="64">
        <v>47.14</v>
      </c>
      <c r="D11" s="64">
        <v>104.19</v>
      </c>
      <c r="E11" s="64">
        <v>7.98</v>
      </c>
      <c r="F11" s="64">
        <v>4.62</v>
      </c>
      <c r="G11" s="64">
        <v>161.63999999999999</v>
      </c>
      <c r="H11" s="64">
        <v>86.47</v>
      </c>
      <c r="I11" s="64">
        <v>11.8</v>
      </c>
      <c r="J11" s="64">
        <v>1.68</v>
      </c>
      <c r="K11" s="64">
        <v>312.05</v>
      </c>
      <c r="L11" s="64">
        <v>16.28</v>
      </c>
      <c r="M11" s="64">
        <v>93.04</v>
      </c>
      <c r="N11" s="64">
        <v>37.700000000000003</v>
      </c>
      <c r="O11" s="64">
        <v>0</v>
      </c>
      <c r="P11" s="64">
        <v>2.67</v>
      </c>
      <c r="Q11" s="64">
        <v>10.98</v>
      </c>
      <c r="R11" s="198"/>
      <c r="S11" s="198"/>
      <c r="T11" s="198"/>
      <c r="U11" s="198"/>
    </row>
    <row r="12" spans="1:21" s="12" customFormat="1" x14ac:dyDescent="0.25">
      <c r="A12" s="215" t="s">
        <v>731</v>
      </c>
      <c r="B12" s="64">
        <v>98.93</v>
      </c>
      <c r="C12" s="64">
        <v>45.91</v>
      </c>
      <c r="D12" s="64">
        <v>101.95</v>
      </c>
      <c r="E12" s="64">
        <v>7.44</v>
      </c>
      <c r="F12" s="64">
        <v>5.07</v>
      </c>
      <c r="G12" s="64">
        <v>156.19999999999999</v>
      </c>
      <c r="H12" s="64">
        <v>76.8</v>
      </c>
      <c r="I12" s="64">
        <v>11.72</v>
      </c>
      <c r="J12" s="64">
        <v>1.93</v>
      </c>
      <c r="K12" s="64">
        <v>151.11000000000001</v>
      </c>
      <c r="L12" s="64">
        <v>16.23</v>
      </c>
      <c r="M12" s="64">
        <v>87.23</v>
      </c>
      <c r="N12" s="64">
        <v>37.799999999999997</v>
      </c>
      <c r="O12" s="64">
        <v>0</v>
      </c>
      <c r="P12" s="64">
        <v>2.6</v>
      </c>
      <c r="Q12" s="64">
        <v>10.94</v>
      </c>
      <c r="R12" s="198"/>
      <c r="S12" s="198"/>
      <c r="T12" s="198"/>
      <c r="U12" s="198"/>
    </row>
    <row r="13" spans="1:21" s="12" customFormat="1" x14ac:dyDescent="0.25">
      <c r="A13" s="215" t="s">
        <v>732</v>
      </c>
      <c r="B13" s="64">
        <v>95.45</v>
      </c>
      <c r="C13" s="64">
        <v>47.49</v>
      </c>
      <c r="D13" s="64">
        <v>99.98</v>
      </c>
      <c r="E13" s="64">
        <v>6.79</v>
      </c>
      <c r="F13" s="64">
        <v>4.74</v>
      </c>
      <c r="G13" s="64">
        <v>152.05000000000001</v>
      </c>
      <c r="H13" s="64">
        <v>73.52</v>
      </c>
      <c r="I13" s="64">
        <v>11.51</v>
      </c>
      <c r="J13" s="64">
        <v>0.12</v>
      </c>
      <c r="K13" s="64">
        <v>357.6</v>
      </c>
      <c r="L13" s="64">
        <v>16.34</v>
      </c>
      <c r="M13" s="64">
        <v>85.33</v>
      </c>
      <c r="N13" s="64">
        <v>37.9</v>
      </c>
      <c r="O13" s="64">
        <v>0</v>
      </c>
      <c r="P13" s="64">
        <v>2.2599999999999998</v>
      </c>
      <c r="Q13" s="64">
        <v>10.91</v>
      </c>
      <c r="R13" s="198"/>
      <c r="S13" s="198"/>
      <c r="T13" s="198"/>
      <c r="U13" s="198"/>
    </row>
    <row r="14" spans="1:21" s="12" customFormat="1" x14ac:dyDescent="0.25">
      <c r="A14" s="215" t="s">
        <v>733</v>
      </c>
      <c r="B14" s="64">
        <v>91.22</v>
      </c>
      <c r="C14" s="64">
        <v>47.36</v>
      </c>
      <c r="D14" s="64">
        <v>96.52</v>
      </c>
      <c r="E14" s="64">
        <v>7.21</v>
      </c>
      <c r="F14" s="64">
        <v>5</v>
      </c>
      <c r="G14" s="64">
        <v>152.05000000000001</v>
      </c>
      <c r="H14" s="64">
        <v>73.52</v>
      </c>
      <c r="I14" s="64">
        <v>11.34</v>
      </c>
      <c r="J14" s="64">
        <v>1.32</v>
      </c>
      <c r="K14" s="64">
        <v>233.82</v>
      </c>
      <c r="L14" s="64">
        <v>16.440000000000001</v>
      </c>
      <c r="M14" s="64">
        <v>84.02</v>
      </c>
      <c r="N14" s="64">
        <v>37.4</v>
      </c>
      <c r="O14" s="64">
        <v>0</v>
      </c>
      <c r="P14" s="64">
        <v>2.2799999999999998</v>
      </c>
      <c r="Q14" s="64">
        <v>10.82</v>
      </c>
      <c r="R14" s="198"/>
      <c r="S14" s="198"/>
      <c r="T14" s="198"/>
      <c r="U14" s="198"/>
    </row>
    <row r="15" spans="1:21" s="12" customFormat="1" x14ac:dyDescent="0.25">
      <c r="A15" s="215" t="s">
        <v>734</v>
      </c>
      <c r="B15" s="64">
        <v>87.34</v>
      </c>
      <c r="C15" s="64">
        <v>46.13</v>
      </c>
      <c r="D15" s="64">
        <v>92.76</v>
      </c>
      <c r="E15" s="64">
        <v>6.94</v>
      </c>
      <c r="F15" s="64">
        <v>4.08</v>
      </c>
      <c r="G15" s="64">
        <v>152.05000000000001</v>
      </c>
      <c r="H15" s="64">
        <v>73.52</v>
      </c>
      <c r="I15" s="64">
        <v>11.03</v>
      </c>
      <c r="J15" s="64">
        <v>2.04</v>
      </c>
      <c r="K15" s="64">
        <v>291.79000000000002</v>
      </c>
      <c r="L15" s="64">
        <v>16.149999999999999</v>
      </c>
      <c r="M15" s="64">
        <v>89.92</v>
      </c>
      <c r="N15" s="64">
        <v>38</v>
      </c>
      <c r="O15" s="64">
        <v>0</v>
      </c>
      <c r="P15" s="64">
        <v>2.2000000000000002</v>
      </c>
      <c r="Q15" s="64">
        <v>10.83</v>
      </c>
      <c r="R15" s="198"/>
      <c r="S15" s="198"/>
      <c r="T15" s="198"/>
      <c r="U15" s="198"/>
    </row>
    <row r="16" spans="1:21" s="12" customFormat="1" x14ac:dyDescent="0.25">
      <c r="A16" s="215" t="s">
        <v>735</v>
      </c>
      <c r="B16" s="64">
        <v>83.63</v>
      </c>
      <c r="C16" s="64">
        <v>46.78</v>
      </c>
      <c r="D16" s="64">
        <v>90.13</v>
      </c>
      <c r="E16" s="64">
        <v>6.4</v>
      </c>
      <c r="F16" s="64">
        <v>4.75</v>
      </c>
      <c r="G16" s="64">
        <v>144.09</v>
      </c>
      <c r="H16" s="64">
        <v>68.650000000000006</v>
      </c>
      <c r="I16" s="64">
        <v>10.69</v>
      </c>
      <c r="J16" s="64">
        <v>1.56</v>
      </c>
      <c r="K16" s="64">
        <v>262.25</v>
      </c>
      <c r="L16" s="64">
        <v>15.89</v>
      </c>
      <c r="M16" s="64">
        <v>91.84</v>
      </c>
      <c r="N16" s="64">
        <v>37.799999999999997</v>
      </c>
      <c r="O16" s="64">
        <v>0</v>
      </c>
      <c r="P16" s="64">
        <v>2.12</v>
      </c>
      <c r="Q16" s="64">
        <v>10.79</v>
      </c>
      <c r="R16" s="198"/>
      <c r="S16" s="198"/>
      <c r="T16" s="198"/>
      <c r="U16" s="198"/>
    </row>
    <row r="17" spans="1:21" s="12" customFormat="1" x14ac:dyDescent="0.25">
      <c r="A17" s="215" t="s">
        <v>736</v>
      </c>
      <c r="B17" s="64">
        <v>81.040000000000006</v>
      </c>
      <c r="C17" s="64">
        <v>47.86</v>
      </c>
      <c r="D17" s="64">
        <v>88.62</v>
      </c>
      <c r="E17" s="64">
        <v>6.61</v>
      </c>
      <c r="F17" s="64">
        <v>3.91</v>
      </c>
      <c r="G17" s="64">
        <v>138.01</v>
      </c>
      <c r="H17" s="64">
        <v>65.59</v>
      </c>
      <c r="I17" s="64">
        <v>10.4</v>
      </c>
      <c r="J17" s="64">
        <v>1.02</v>
      </c>
      <c r="K17" s="64">
        <v>271.38</v>
      </c>
      <c r="L17" s="64">
        <v>15.89</v>
      </c>
      <c r="M17" s="64">
        <v>92.79</v>
      </c>
      <c r="N17" s="64">
        <v>37.700000000000003</v>
      </c>
      <c r="O17" s="64">
        <v>0</v>
      </c>
      <c r="P17" s="64">
        <v>1.94</v>
      </c>
      <c r="Q17" s="64">
        <v>10.84</v>
      </c>
      <c r="R17" s="198"/>
      <c r="S17" s="198"/>
      <c r="T17" s="198"/>
      <c r="U17" s="198"/>
    </row>
    <row r="18" spans="1:21" s="12" customFormat="1" x14ac:dyDescent="0.25">
      <c r="A18" s="215" t="s">
        <v>737</v>
      </c>
      <c r="B18" s="64">
        <v>78.989999999999995</v>
      </c>
      <c r="C18" s="64">
        <v>42.48</v>
      </c>
      <c r="D18" s="64">
        <v>84.16</v>
      </c>
      <c r="E18" s="64">
        <v>6.27</v>
      </c>
      <c r="F18" s="64">
        <v>4.04</v>
      </c>
      <c r="G18" s="64">
        <v>138.01</v>
      </c>
      <c r="H18" s="64">
        <v>65.59</v>
      </c>
      <c r="I18" s="64">
        <v>10.16</v>
      </c>
      <c r="J18" s="64">
        <v>2.34</v>
      </c>
      <c r="K18" s="64">
        <v>324.66000000000003</v>
      </c>
      <c r="L18" s="64">
        <v>15.7</v>
      </c>
      <c r="M18" s="64">
        <v>96.58</v>
      </c>
      <c r="N18" s="64">
        <v>37.9</v>
      </c>
      <c r="O18" s="64">
        <v>0</v>
      </c>
      <c r="P18" s="64">
        <v>1.85</v>
      </c>
      <c r="Q18" s="64">
        <v>10.73</v>
      </c>
      <c r="R18" s="198"/>
      <c r="S18" s="198"/>
      <c r="T18" s="198"/>
      <c r="U18" s="198"/>
    </row>
    <row r="19" spans="1:21" s="12" customFormat="1" x14ac:dyDescent="0.25">
      <c r="A19" s="215" t="s">
        <v>738</v>
      </c>
      <c r="B19" s="64">
        <v>76.84</v>
      </c>
      <c r="C19" s="64">
        <v>42.59</v>
      </c>
      <c r="D19" s="64">
        <v>82.49</v>
      </c>
      <c r="E19" s="64">
        <v>6.27</v>
      </c>
      <c r="F19" s="64">
        <v>4.05</v>
      </c>
      <c r="G19" s="64">
        <v>138.01</v>
      </c>
      <c r="H19" s="64">
        <v>65.59</v>
      </c>
      <c r="I19" s="64">
        <v>8.83</v>
      </c>
      <c r="J19" s="64">
        <v>2.34</v>
      </c>
      <c r="K19" s="64">
        <v>273.52</v>
      </c>
      <c r="L19" s="64">
        <v>15.48</v>
      </c>
      <c r="M19" s="64">
        <v>97.25</v>
      </c>
      <c r="N19" s="64">
        <v>37.299999999999997</v>
      </c>
      <c r="O19" s="64">
        <v>0</v>
      </c>
      <c r="P19" s="64">
        <v>1.71</v>
      </c>
      <c r="Q19" s="64">
        <v>10.63</v>
      </c>
      <c r="R19" s="198"/>
      <c r="S19" s="198"/>
      <c r="T19" s="198"/>
      <c r="U19" s="198"/>
    </row>
    <row r="20" spans="1:21" s="12" customFormat="1" x14ac:dyDescent="0.25">
      <c r="A20" s="215" t="s">
        <v>739</v>
      </c>
      <c r="B20" s="64">
        <v>74.72</v>
      </c>
      <c r="C20" s="64">
        <v>42.89</v>
      </c>
      <c r="D20" s="64">
        <v>80.95</v>
      </c>
      <c r="E20" s="64">
        <v>6.5</v>
      </c>
      <c r="F20" s="64">
        <v>4.2300000000000004</v>
      </c>
      <c r="G20" s="64">
        <v>133.65</v>
      </c>
      <c r="H20" s="64">
        <v>64.8</v>
      </c>
      <c r="I20" s="64">
        <v>8.31</v>
      </c>
      <c r="J20" s="64">
        <v>2.2599999999999998</v>
      </c>
      <c r="K20" s="64">
        <v>306.32</v>
      </c>
      <c r="L20" s="64">
        <v>15.4</v>
      </c>
      <c r="M20" s="64">
        <v>98.74</v>
      </c>
      <c r="N20" s="64">
        <v>37.1</v>
      </c>
      <c r="O20" s="64">
        <v>0</v>
      </c>
      <c r="P20" s="64">
        <v>1.66</v>
      </c>
      <c r="Q20" s="64">
        <v>10.65</v>
      </c>
      <c r="R20" s="198"/>
      <c r="S20" s="198"/>
      <c r="T20" s="198"/>
      <c r="U20" s="198"/>
    </row>
    <row r="21" spans="1:21" s="12" customFormat="1" x14ac:dyDescent="0.25">
      <c r="A21" s="215" t="s">
        <v>740</v>
      </c>
      <c r="B21" s="64">
        <v>72.58</v>
      </c>
      <c r="C21" s="64">
        <v>42.09</v>
      </c>
      <c r="D21" s="64">
        <v>78.81</v>
      </c>
      <c r="E21" s="64">
        <v>6.52</v>
      </c>
      <c r="F21" s="64">
        <v>4.5199999999999996</v>
      </c>
      <c r="G21" s="64">
        <v>130.32</v>
      </c>
      <c r="H21" s="64">
        <v>64.53</v>
      </c>
      <c r="I21" s="64">
        <v>8.35</v>
      </c>
      <c r="J21" s="64">
        <v>2.29</v>
      </c>
      <c r="K21" s="64">
        <v>227.01</v>
      </c>
      <c r="L21" s="64">
        <v>15.39</v>
      </c>
      <c r="M21" s="64">
        <v>98.64</v>
      </c>
      <c r="N21" s="64">
        <v>37</v>
      </c>
      <c r="O21" s="64">
        <v>0</v>
      </c>
      <c r="P21" s="64">
        <v>1.72</v>
      </c>
      <c r="Q21" s="64">
        <v>10.68</v>
      </c>
      <c r="R21" s="198"/>
      <c r="S21" s="198"/>
      <c r="T21" s="198"/>
      <c r="U21" s="198"/>
    </row>
    <row r="22" spans="1:21" s="12" customFormat="1" x14ac:dyDescent="0.25">
      <c r="A22" s="215" t="s">
        <v>741</v>
      </c>
      <c r="B22" s="64">
        <v>70.69</v>
      </c>
      <c r="C22" s="64">
        <v>41.8</v>
      </c>
      <c r="D22" s="64">
        <v>77.150000000000006</v>
      </c>
      <c r="E22" s="64">
        <v>6.44</v>
      </c>
      <c r="F22" s="64">
        <v>4.74</v>
      </c>
      <c r="G22" s="64">
        <v>130.32</v>
      </c>
      <c r="H22" s="64">
        <v>64.53</v>
      </c>
      <c r="I22" s="64">
        <v>8.41</v>
      </c>
      <c r="J22" s="64">
        <v>2.25</v>
      </c>
      <c r="K22" s="64">
        <v>296.81</v>
      </c>
      <c r="L22" s="64">
        <v>15.36</v>
      </c>
      <c r="M22" s="64">
        <v>98.66</v>
      </c>
      <c r="N22" s="64">
        <v>37</v>
      </c>
      <c r="O22" s="64">
        <v>0</v>
      </c>
      <c r="P22" s="64">
        <v>1.56</v>
      </c>
      <c r="Q22" s="64">
        <v>10.69</v>
      </c>
      <c r="R22" s="198"/>
      <c r="S22" s="198"/>
      <c r="T22" s="198"/>
      <c r="U22" s="198"/>
    </row>
    <row r="23" spans="1:21" s="12" customFormat="1" x14ac:dyDescent="0.25">
      <c r="A23" s="215" t="s">
        <v>742</v>
      </c>
      <c r="B23" s="64">
        <v>69.22</v>
      </c>
      <c r="C23" s="64">
        <v>40.89</v>
      </c>
      <c r="D23" s="64">
        <v>75.489999999999995</v>
      </c>
      <c r="E23" s="64">
        <v>6.48</v>
      </c>
      <c r="F23" s="64">
        <v>4.45</v>
      </c>
      <c r="G23" s="64">
        <v>130.32</v>
      </c>
      <c r="H23" s="64">
        <v>64.53</v>
      </c>
      <c r="I23" s="64">
        <v>7.9</v>
      </c>
      <c r="J23" s="64">
        <v>2.23</v>
      </c>
      <c r="K23" s="64">
        <v>327.2</v>
      </c>
      <c r="L23" s="64">
        <v>15.29</v>
      </c>
      <c r="M23" s="64">
        <v>100.12</v>
      </c>
      <c r="N23" s="64">
        <v>37</v>
      </c>
      <c r="O23" s="64">
        <v>0</v>
      </c>
      <c r="P23" s="64">
        <v>1.6</v>
      </c>
      <c r="Q23" s="64">
        <v>10.65</v>
      </c>
      <c r="R23" s="198"/>
      <c r="S23" s="198"/>
      <c r="T23" s="198"/>
      <c r="U23" s="198"/>
    </row>
    <row r="24" spans="1:21" s="12" customFormat="1" x14ac:dyDescent="0.25">
      <c r="A24" s="215" t="s">
        <v>743</v>
      </c>
      <c r="B24" s="64">
        <v>68.11</v>
      </c>
      <c r="C24" s="64">
        <v>40.659999999999997</v>
      </c>
      <c r="D24" s="64">
        <v>74.489999999999995</v>
      </c>
      <c r="E24" s="64">
        <v>6.49</v>
      </c>
      <c r="F24" s="64">
        <v>4.55</v>
      </c>
      <c r="G24" s="64">
        <v>130.19</v>
      </c>
      <c r="H24" s="64">
        <v>66.400000000000006</v>
      </c>
      <c r="I24" s="64">
        <v>8.23</v>
      </c>
      <c r="J24" s="64">
        <v>2.59</v>
      </c>
      <c r="K24" s="64">
        <v>322.39</v>
      </c>
      <c r="L24" s="64">
        <v>15.43</v>
      </c>
      <c r="M24" s="64">
        <v>98.37</v>
      </c>
      <c r="N24" s="64">
        <v>36.4</v>
      </c>
      <c r="O24" s="64">
        <v>0</v>
      </c>
      <c r="P24" s="64">
        <v>1.59</v>
      </c>
      <c r="Q24" s="64">
        <v>10.61</v>
      </c>
      <c r="R24" s="198"/>
      <c r="S24" s="198"/>
      <c r="T24" s="198"/>
      <c r="U24" s="198"/>
    </row>
    <row r="25" spans="1:21" s="12" customFormat="1" x14ac:dyDescent="0.25">
      <c r="A25" s="215" t="s">
        <v>744</v>
      </c>
      <c r="B25" s="64">
        <v>66.739999999999995</v>
      </c>
      <c r="C25" s="64">
        <v>42.32</v>
      </c>
      <c r="D25" s="64">
        <v>74.25</v>
      </c>
      <c r="E25" s="64">
        <v>6.83</v>
      </c>
      <c r="F25" s="64">
        <v>4.46</v>
      </c>
      <c r="G25" s="64">
        <v>130.1</v>
      </c>
      <c r="H25" s="64">
        <v>67.040000000000006</v>
      </c>
      <c r="I25" s="64">
        <v>7.74</v>
      </c>
      <c r="J25" s="64">
        <v>2.02</v>
      </c>
      <c r="K25" s="64">
        <v>339.73</v>
      </c>
      <c r="L25" s="64">
        <v>15.56</v>
      </c>
      <c r="M25" s="64">
        <v>91.73</v>
      </c>
      <c r="N25" s="64">
        <v>36.700000000000003</v>
      </c>
      <c r="O25" s="64">
        <v>0</v>
      </c>
      <c r="P25" s="64">
        <v>1.68</v>
      </c>
      <c r="Q25" s="64">
        <v>10.69</v>
      </c>
      <c r="R25" s="198"/>
      <c r="S25" s="198"/>
      <c r="T25" s="198"/>
      <c r="U25" s="198"/>
    </row>
    <row r="26" spans="1:21" s="12" customFormat="1" x14ac:dyDescent="0.25">
      <c r="A26" s="215" t="s">
        <v>745</v>
      </c>
      <c r="B26" s="64">
        <v>64.98</v>
      </c>
      <c r="C26" s="64">
        <v>45.51</v>
      </c>
      <c r="D26" s="64">
        <v>74.5</v>
      </c>
      <c r="E26" s="64">
        <v>7.36</v>
      </c>
      <c r="F26" s="64">
        <v>4.53</v>
      </c>
      <c r="G26" s="64">
        <v>130.1</v>
      </c>
      <c r="H26" s="64">
        <v>67.040000000000006</v>
      </c>
      <c r="I26" s="64">
        <v>8.61</v>
      </c>
      <c r="J26" s="64">
        <v>1.71</v>
      </c>
      <c r="K26" s="64">
        <v>23.75</v>
      </c>
      <c r="L26" s="64">
        <v>15.56</v>
      </c>
      <c r="M26" s="64">
        <v>89.24</v>
      </c>
      <c r="N26" s="64">
        <v>37.299999999999997</v>
      </c>
      <c r="O26" s="64">
        <v>0</v>
      </c>
      <c r="P26" s="64">
        <v>1.67</v>
      </c>
      <c r="Q26" s="64">
        <v>10.72</v>
      </c>
      <c r="R26" s="198"/>
      <c r="S26" s="198"/>
      <c r="T26" s="198"/>
      <c r="U26" s="198"/>
    </row>
    <row r="27" spans="1:21" s="12" customFormat="1" x14ac:dyDescent="0.25">
      <c r="A27" s="215" t="s">
        <v>746</v>
      </c>
      <c r="B27" s="64">
        <v>63.41</v>
      </c>
      <c r="C27" s="64">
        <v>39.61</v>
      </c>
      <c r="D27" s="64">
        <v>70.17</v>
      </c>
      <c r="E27" s="64">
        <v>7.64</v>
      </c>
      <c r="F27" s="64">
        <v>4.74</v>
      </c>
      <c r="G27" s="64">
        <v>130.1</v>
      </c>
      <c r="H27" s="64">
        <v>67.040000000000006</v>
      </c>
      <c r="I27" s="64">
        <v>9.0500000000000007</v>
      </c>
      <c r="J27" s="64">
        <v>2.11</v>
      </c>
      <c r="K27" s="64">
        <v>355.73</v>
      </c>
      <c r="L27" s="64">
        <v>15.61</v>
      </c>
      <c r="M27" s="64">
        <v>87.54</v>
      </c>
      <c r="N27" s="64">
        <v>37</v>
      </c>
      <c r="O27" s="64">
        <v>0</v>
      </c>
      <c r="P27" s="64">
        <v>1.67</v>
      </c>
      <c r="Q27" s="64">
        <v>10.61</v>
      </c>
      <c r="R27" s="198"/>
      <c r="S27" s="198"/>
      <c r="T27" s="198"/>
      <c r="U27" s="198"/>
    </row>
    <row r="28" spans="1:21" s="12" customFormat="1" x14ac:dyDescent="0.25">
      <c r="A28" s="215" t="s">
        <v>747</v>
      </c>
      <c r="B28" s="64">
        <v>61.22</v>
      </c>
      <c r="C28" s="64">
        <v>44.42</v>
      </c>
      <c r="D28" s="64">
        <v>70.930000000000007</v>
      </c>
      <c r="E28" s="64">
        <v>8.15</v>
      </c>
      <c r="F28" s="64">
        <v>4.66</v>
      </c>
      <c r="G28" s="64">
        <v>145.81</v>
      </c>
      <c r="H28" s="64">
        <v>82.48</v>
      </c>
      <c r="I28" s="64">
        <v>8.9</v>
      </c>
      <c r="J28" s="64">
        <v>2.65</v>
      </c>
      <c r="K28" s="64">
        <v>341.67</v>
      </c>
      <c r="L28" s="64">
        <v>15.67</v>
      </c>
      <c r="M28" s="64">
        <v>80.91</v>
      </c>
      <c r="N28" s="64">
        <v>36.700000000000003</v>
      </c>
      <c r="O28" s="64">
        <v>0</v>
      </c>
      <c r="P28" s="64">
        <v>1.64</v>
      </c>
      <c r="Q28" s="64">
        <v>10.53</v>
      </c>
      <c r="R28" s="198"/>
      <c r="S28" s="198"/>
      <c r="T28" s="198"/>
      <c r="U28" s="198"/>
    </row>
    <row r="29" spans="1:21" s="12" customFormat="1" x14ac:dyDescent="0.25">
      <c r="A29" s="215" t="s">
        <v>748</v>
      </c>
      <c r="B29" s="64">
        <v>58.77</v>
      </c>
      <c r="C29" s="64">
        <v>41.67</v>
      </c>
      <c r="D29" s="64">
        <v>67.52</v>
      </c>
      <c r="E29" s="64">
        <v>7.6</v>
      </c>
      <c r="F29" s="64">
        <v>5.17</v>
      </c>
      <c r="G29" s="64">
        <v>157.82</v>
      </c>
      <c r="H29" s="64">
        <v>87.73</v>
      </c>
      <c r="I29" s="64">
        <v>8.85</v>
      </c>
      <c r="J29" s="64">
        <v>2.11</v>
      </c>
      <c r="K29" s="64">
        <v>355.75</v>
      </c>
      <c r="L29" s="64">
        <v>15.68</v>
      </c>
      <c r="M29" s="64">
        <v>79.25</v>
      </c>
      <c r="N29" s="64">
        <v>37.299999999999997</v>
      </c>
      <c r="O29" s="64">
        <v>0</v>
      </c>
      <c r="P29" s="64">
        <v>1.58</v>
      </c>
      <c r="Q29" s="64">
        <v>10.49</v>
      </c>
      <c r="R29" s="198"/>
      <c r="S29" s="198"/>
      <c r="T29" s="198"/>
      <c r="U29" s="198"/>
    </row>
    <row r="30" spans="1:21" s="12" customFormat="1" x14ac:dyDescent="0.25">
      <c r="A30" s="215" t="s">
        <v>749</v>
      </c>
      <c r="B30" s="64">
        <v>56.17</v>
      </c>
      <c r="C30" s="64">
        <v>43.49</v>
      </c>
      <c r="D30" s="64">
        <v>66.39</v>
      </c>
      <c r="E30" s="64">
        <v>6.89</v>
      </c>
      <c r="F30" s="64">
        <v>4.63</v>
      </c>
      <c r="G30" s="64">
        <v>157.82</v>
      </c>
      <c r="H30" s="64">
        <v>87.73</v>
      </c>
      <c r="I30" s="64">
        <v>8.67</v>
      </c>
      <c r="J30" s="64">
        <v>1.61</v>
      </c>
      <c r="K30" s="64">
        <v>72.63</v>
      </c>
      <c r="L30" s="64">
        <v>15.51</v>
      </c>
      <c r="M30" s="64">
        <v>81.02</v>
      </c>
      <c r="N30" s="64">
        <v>37.1</v>
      </c>
      <c r="O30" s="64">
        <v>0</v>
      </c>
      <c r="P30" s="64">
        <v>1.52</v>
      </c>
      <c r="Q30" s="64">
        <v>10.47</v>
      </c>
      <c r="R30" s="198"/>
      <c r="S30" s="198"/>
      <c r="T30" s="198"/>
      <c r="U30" s="198"/>
    </row>
    <row r="31" spans="1:21" s="12" customFormat="1" x14ac:dyDescent="0.25">
      <c r="A31" s="215" t="s">
        <v>750</v>
      </c>
      <c r="B31" s="64">
        <v>54.01</v>
      </c>
      <c r="C31" s="64">
        <v>44.25</v>
      </c>
      <c r="D31" s="64">
        <v>65.06</v>
      </c>
      <c r="E31" s="64">
        <v>7.03</v>
      </c>
      <c r="F31" s="64">
        <v>4.46</v>
      </c>
      <c r="G31" s="64">
        <v>157.82</v>
      </c>
      <c r="H31" s="64">
        <v>87.73</v>
      </c>
      <c r="I31" s="64">
        <v>8.44</v>
      </c>
      <c r="J31" s="64">
        <v>1.54</v>
      </c>
      <c r="K31" s="64">
        <v>77.260000000000005</v>
      </c>
      <c r="L31" s="64">
        <v>15.57</v>
      </c>
      <c r="M31" s="64">
        <v>80.91</v>
      </c>
      <c r="N31" s="64">
        <v>37</v>
      </c>
      <c r="O31" s="64">
        <v>0</v>
      </c>
      <c r="P31" s="64">
        <v>1.49</v>
      </c>
      <c r="Q31" s="64">
        <v>10.44</v>
      </c>
      <c r="R31" s="198"/>
      <c r="S31" s="198"/>
      <c r="T31" s="198"/>
      <c r="U31" s="198"/>
    </row>
    <row r="32" spans="1:21" s="12" customFormat="1" x14ac:dyDescent="0.25">
      <c r="A32" s="215" t="s">
        <v>751</v>
      </c>
      <c r="B32" s="64">
        <v>53.06</v>
      </c>
      <c r="C32" s="64">
        <v>43.15</v>
      </c>
      <c r="D32" s="64">
        <v>63.72</v>
      </c>
      <c r="E32" s="64">
        <v>6.74</v>
      </c>
      <c r="F32" s="64">
        <v>4.26</v>
      </c>
      <c r="G32" s="64">
        <v>157.71</v>
      </c>
      <c r="H32" s="64">
        <v>84.77</v>
      </c>
      <c r="I32" s="64">
        <v>8.24</v>
      </c>
      <c r="J32" s="64">
        <v>1.18</v>
      </c>
      <c r="K32" s="64">
        <v>61.81</v>
      </c>
      <c r="L32" s="64">
        <v>15.42</v>
      </c>
      <c r="M32" s="64">
        <v>81.83</v>
      </c>
      <c r="N32" s="64">
        <v>37.1</v>
      </c>
      <c r="O32" s="64">
        <v>0</v>
      </c>
      <c r="P32" s="64">
        <v>1.47</v>
      </c>
      <c r="Q32" s="64">
        <v>10.46</v>
      </c>
      <c r="R32" s="198"/>
      <c r="S32" s="198"/>
      <c r="T32" s="198"/>
      <c r="U32" s="198"/>
    </row>
    <row r="33" spans="1:21" s="12" customFormat="1" x14ac:dyDescent="0.25">
      <c r="A33" s="215" t="s">
        <v>752</v>
      </c>
      <c r="B33" s="64">
        <v>53.47</v>
      </c>
      <c r="C33" s="64">
        <v>45.68</v>
      </c>
      <c r="D33" s="64">
        <v>65.36</v>
      </c>
      <c r="E33" s="64">
        <v>7.15</v>
      </c>
      <c r="F33" s="64">
        <v>4.45</v>
      </c>
      <c r="G33" s="64">
        <v>157.63</v>
      </c>
      <c r="H33" s="64">
        <v>82.91</v>
      </c>
      <c r="I33" s="64">
        <v>8.1199999999999992</v>
      </c>
      <c r="J33" s="64">
        <v>1.0900000000000001</v>
      </c>
      <c r="K33" s="64">
        <v>68.14</v>
      </c>
      <c r="L33" s="64">
        <v>15.4</v>
      </c>
      <c r="M33" s="64">
        <v>79.650000000000006</v>
      </c>
      <c r="N33" s="64">
        <v>37.200000000000003</v>
      </c>
      <c r="O33" s="64">
        <v>0</v>
      </c>
      <c r="P33" s="64">
        <v>1.47</v>
      </c>
      <c r="Q33" s="64">
        <v>10.45</v>
      </c>
      <c r="R33" s="198"/>
      <c r="S33" s="198"/>
      <c r="T33" s="198"/>
      <c r="U33" s="198"/>
    </row>
    <row r="34" spans="1:21" s="12" customFormat="1" x14ac:dyDescent="0.25">
      <c r="A34" s="215" t="s">
        <v>753</v>
      </c>
      <c r="B34" s="64">
        <v>53.39</v>
      </c>
      <c r="C34" s="64">
        <v>39.15</v>
      </c>
      <c r="D34" s="64">
        <v>61.89</v>
      </c>
      <c r="E34" s="64">
        <v>7.35</v>
      </c>
      <c r="F34" s="64">
        <v>4.43</v>
      </c>
      <c r="G34" s="64">
        <v>157.63</v>
      </c>
      <c r="H34" s="64">
        <v>82.91</v>
      </c>
      <c r="I34" s="64">
        <v>8.16</v>
      </c>
      <c r="J34" s="64">
        <v>2.44</v>
      </c>
      <c r="K34" s="64">
        <v>354.36</v>
      </c>
      <c r="L34" s="64">
        <v>15.46</v>
      </c>
      <c r="M34" s="64">
        <v>79.430000000000007</v>
      </c>
      <c r="N34" s="64">
        <v>38.4</v>
      </c>
      <c r="O34" s="64">
        <v>0</v>
      </c>
      <c r="P34" s="64">
        <v>1.82</v>
      </c>
      <c r="Q34" s="64">
        <v>10.38</v>
      </c>
      <c r="R34" s="198"/>
      <c r="S34" s="198"/>
      <c r="T34" s="198"/>
      <c r="U34" s="198"/>
    </row>
    <row r="35" spans="1:21" s="12" customFormat="1" x14ac:dyDescent="0.25">
      <c r="A35" s="215" t="s">
        <v>754</v>
      </c>
      <c r="B35" s="64">
        <v>52.55</v>
      </c>
      <c r="C35" s="64">
        <v>39.159999999999997</v>
      </c>
      <c r="D35" s="64">
        <v>61.23</v>
      </c>
      <c r="E35" s="64">
        <v>7.12</v>
      </c>
      <c r="F35" s="64">
        <v>4.63</v>
      </c>
      <c r="G35" s="64">
        <v>157.63</v>
      </c>
      <c r="H35" s="64">
        <v>82.91</v>
      </c>
      <c r="I35" s="64">
        <v>8.14</v>
      </c>
      <c r="J35" s="64">
        <v>2.69</v>
      </c>
      <c r="K35" s="64">
        <v>351.87</v>
      </c>
      <c r="L35" s="64">
        <v>15.58</v>
      </c>
      <c r="M35" s="64">
        <v>79.489999999999995</v>
      </c>
      <c r="N35" s="64">
        <v>45</v>
      </c>
      <c r="O35" s="64">
        <v>0</v>
      </c>
      <c r="P35" s="64">
        <v>1.74</v>
      </c>
      <c r="Q35" s="64">
        <v>10.34</v>
      </c>
      <c r="R35" s="198"/>
      <c r="S35" s="198"/>
      <c r="T35" s="198"/>
      <c r="U35" s="198"/>
    </row>
    <row r="36" spans="1:21" s="12" customFormat="1" x14ac:dyDescent="0.25">
      <c r="A36" s="215" t="s">
        <v>755</v>
      </c>
      <c r="B36" s="64">
        <v>51.92</v>
      </c>
      <c r="C36" s="64">
        <v>40.47</v>
      </c>
      <c r="D36" s="64">
        <v>61.4</v>
      </c>
      <c r="E36" s="64">
        <v>6.98</v>
      </c>
      <c r="F36" s="64">
        <v>4.95</v>
      </c>
      <c r="G36" s="64">
        <v>167.7</v>
      </c>
      <c r="H36" s="64">
        <v>88.69</v>
      </c>
      <c r="I36" s="64">
        <v>7.53</v>
      </c>
      <c r="J36" s="64">
        <v>1.2</v>
      </c>
      <c r="K36" s="64">
        <v>10.53</v>
      </c>
      <c r="L36" s="64">
        <v>15.75</v>
      </c>
      <c r="M36" s="64">
        <v>78.680000000000007</v>
      </c>
      <c r="N36" s="64">
        <v>58.8</v>
      </c>
      <c r="O36" s="64">
        <v>0</v>
      </c>
      <c r="P36" s="64">
        <v>1.7</v>
      </c>
      <c r="Q36" s="64">
        <v>10.34</v>
      </c>
      <c r="R36" s="198"/>
      <c r="S36" s="198"/>
      <c r="T36" s="198"/>
      <c r="U36" s="198"/>
    </row>
    <row r="37" spans="1:21" s="12" customFormat="1" x14ac:dyDescent="0.25">
      <c r="A37" s="215" t="s">
        <v>756</v>
      </c>
      <c r="B37" s="64">
        <v>51.06</v>
      </c>
      <c r="C37" s="64">
        <v>41.36</v>
      </c>
      <c r="D37" s="64">
        <v>61.18</v>
      </c>
      <c r="E37" s="64">
        <v>7.24</v>
      </c>
      <c r="F37" s="64">
        <v>5.09</v>
      </c>
      <c r="G37" s="64">
        <v>175.4</v>
      </c>
      <c r="H37" s="64">
        <v>90.65</v>
      </c>
      <c r="I37" s="64">
        <v>7.37</v>
      </c>
      <c r="J37" s="64">
        <v>0.31</v>
      </c>
      <c r="K37" s="64">
        <v>112.13</v>
      </c>
      <c r="L37" s="64">
        <v>15.98</v>
      </c>
      <c r="M37" s="64">
        <v>73.73</v>
      </c>
      <c r="N37" s="64">
        <v>75.7</v>
      </c>
      <c r="O37" s="64">
        <v>0</v>
      </c>
      <c r="P37" s="64">
        <v>1.57</v>
      </c>
      <c r="Q37" s="64">
        <v>10.39</v>
      </c>
      <c r="R37" s="198"/>
      <c r="S37" s="198"/>
      <c r="T37" s="198"/>
      <c r="U37" s="198"/>
    </row>
    <row r="38" spans="1:21" s="12" customFormat="1" x14ac:dyDescent="0.25">
      <c r="A38" s="215" t="s">
        <v>757</v>
      </c>
      <c r="B38" s="64">
        <v>49.77</v>
      </c>
      <c r="C38" s="64">
        <v>41.66</v>
      </c>
      <c r="D38" s="64">
        <v>60.3</v>
      </c>
      <c r="E38" s="64">
        <v>6.94</v>
      </c>
      <c r="F38" s="64">
        <v>5.01</v>
      </c>
      <c r="G38" s="64">
        <v>175.4</v>
      </c>
      <c r="H38" s="64">
        <v>90.65</v>
      </c>
      <c r="I38" s="64">
        <v>6.82</v>
      </c>
      <c r="J38" s="64">
        <v>1.1200000000000001</v>
      </c>
      <c r="K38" s="64">
        <v>338.81</v>
      </c>
      <c r="L38" s="64">
        <v>16.48</v>
      </c>
      <c r="M38" s="64">
        <v>70.849999999999994</v>
      </c>
      <c r="N38" s="64">
        <v>95.7</v>
      </c>
      <c r="O38" s="64">
        <v>0</v>
      </c>
      <c r="P38" s="64">
        <v>1.59</v>
      </c>
      <c r="Q38" s="64">
        <v>10.42</v>
      </c>
      <c r="R38" s="198"/>
      <c r="S38" s="198"/>
      <c r="T38" s="198"/>
      <c r="U38" s="198"/>
    </row>
    <row r="39" spans="1:21" s="12" customFormat="1" x14ac:dyDescent="0.25">
      <c r="A39" s="215" t="s">
        <v>758</v>
      </c>
      <c r="B39" s="64">
        <v>48.58</v>
      </c>
      <c r="C39" s="64">
        <v>41.31</v>
      </c>
      <c r="D39" s="64">
        <v>59.16</v>
      </c>
      <c r="E39" s="64">
        <v>6.75</v>
      </c>
      <c r="F39" s="64">
        <v>4.5599999999999996</v>
      </c>
      <c r="G39" s="64">
        <v>175.4</v>
      </c>
      <c r="H39" s="64">
        <v>90.65</v>
      </c>
      <c r="I39" s="64">
        <v>7.35</v>
      </c>
      <c r="J39" s="64">
        <v>1.7</v>
      </c>
      <c r="K39" s="64">
        <v>328.14</v>
      </c>
      <c r="L39" s="64">
        <v>17.27</v>
      </c>
      <c r="M39" s="64">
        <v>67.52</v>
      </c>
      <c r="N39" s="64">
        <v>147.6</v>
      </c>
      <c r="O39" s="64">
        <v>0</v>
      </c>
      <c r="P39" s="64">
        <v>1.59</v>
      </c>
      <c r="Q39" s="64">
        <v>10.42</v>
      </c>
      <c r="R39" s="198"/>
      <c r="S39" s="198"/>
      <c r="T39" s="198"/>
      <c r="U39" s="198"/>
    </row>
    <row r="40" spans="1:21" s="12" customFormat="1" x14ac:dyDescent="0.25">
      <c r="A40" s="215" t="s">
        <v>759</v>
      </c>
      <c r="B40" s="64">
        <v>47.33</v>
      </c>
      <c r="C40" s="64">
        <v>42.17</v>
      </c>
      <c r="D40" s="64">
        <v>58.61</v>
      </c>
      <c r="E40" s="64">
        <v>6.77</v>
      </c>
      <c r="F40" s="64">
        <v>4.34</v>
      </c>
      <c r="G40" s="64">
        <v>167.47</v>
      </c>
      <c r="H40" s="64">
        <v>83.4</v>
      </c>
      <c r="I40" s="64">
        <v>7.44</v>
      </c>
      <c r="J40" s="64">
        <v>2.52</v>
      </c>
      <c r="K40" s="64">
        <v>337.13</v>
      </c>
      <c r="L40" s="64">
        <v>18.95</v>
      </c>
      <c r="M40" s="64">
        <v>61.7</v>
      </c>
      <c r="N40" s="64">
        <v>205.8</v>
      </c>
      <c r="O40" s="64">
        <v>0</v>
      </c>
      <c r="P40" s="64">
        <v>1.51</v>
      </c>
      <c r="Q40" s="64">
        <v>10.41</v>
      </c>
      <c r="R40" s="198"/>
      <c r="S40" s="198"/>
      <c r="T40" s="198"/>
      <c r="U40" s="198"/>
    </row>
    <row r="41" spans="1:21" s="12" customFormat="1" x14ac:dyDescent="0.25">
      <c r="A41" s="215" t="s">
        <v>760</v>
      </c>
      <c r="B41" s="64">
        <v>46.54</v>
      </c>
      <c r="C41" s="64">
        <v>42.82</v>
      </c>
      <c r="D41" s="64">
        <v>58.32</v>
      </c>
      <c r="E41" s="64">
        <v>7.83</v>
      </c>
      <c r="F41" s="64">
        <v>4.58</v>
      </c>
      <c r="G41" s="64">
        <v>161.4</v>
      </c>
      <c r="H41" s="64">
        <v>80.930000000000007</v>
      </c>
      <c r="I41" s="64">
        <v>7.55</v>
      </c>
      <c r="J41" s="64">
        <v>2.1</v>
      </c>
      <c r="K41" s="64">
        <v>348.95</v>
      </c>
      <c r="L41" s="64">
        <v>20.71</v>
      </c>
      <c r="M41" s="64">
        <v>56.24</v>
      </c>
      <c r="N41" s="64">
        <v>246.5</v>
      </c>
      <c r="O41" s="64">
        <v>0</v>
      </c>
      <c r="P41" s="64">
        <v>1.49</v>
      </c>
      <c r="Q41" s="64">
        <v>10.37</v>
      </c>
      <c r="R41" s="198"/>
      <c r="S41" s="198"/>
      <c r="T41" s="198"/>
      <c r="U41" s="198"/>
    </row>
    <row r="42" spans="1:21" s="12" customFormat="1" x14ac:dyDescent="0.25">
      <c r="A42" s="215" t="s">
        <v>761</v>
      </c>
      <c r="B42" s="64">
        <v>45.61</v>
      </c>
      <c r="C42" s="64">
        <v>46.48</v>
      </c>
      <c r="D42" s="64">
        <v>59.48</v>
      </c>
      <c r="E42" s="64">
        <v>7.34</v>
      </c>
      <c r="F42" s="64">
        <v>4.58</v>
      </c>
      <c r="G42" s="64">
        <v>161.4</v>
      </c>
      <c r="H42" s="64">
        <v>80.930000000000007</v>
      </c>
      <c r="I42" s="64">
        <v>7.38</v>
      </c>
      <c r="J42" s="64">
        <v>1.27</v>
      </c>
      <c r="K42" s="64">
        <v>86.62</v>
      </c>
      <c r="L42" s="64">
        <v>20.02</v>
      </c>
      <c r="M42" s="64">
        <v>58.97</v>
      </c>
      <c r="N42" s="64">
        <v>301.10000000000002</v>
      </c>
      <c r="O42" s="64">
        <v>0</v>
      </c>
      <c r="P42" s="64">
        <v>1.51</v>
      </c>
      <c r="Q42" s="64">
        <v>10.4</v>
      </c>
      <c r="R42" s="198"/>
      <c r="S42" s="198"/>
      <c r="T42" s="198"/>
      <c r="U42" s="198"/>
    </row>
    <row r="43" spans="1:21" s="12" customFormat="1" x14ac:dyDescent="0.25">
      <c r="A43" s="215" t="s">
        <v>762</v>
      </c>
      <c r="B43" s="64">
        <v>43.9</v>
      </c>
      <c r="C43" s="64">
        <v>47.52</v>
      </c>
      <c r="D43" s="64">
        <v>58.65</v>
      </c>
      <c r="E43" s="64">
        <v>7.15</v>
      </c>
      <c r="F43" s="64">
        <v>4.38</v>
      </c>
      <c r="G43" s="64">
        <v>161.4</v>
      </c>
      <c r="H43" s="64">
        <v>80.930000000000007</v>
      </c>
      <c r="I43" s="64">
        <v>7.37</v>
      </c>
      <c r="J43" s="64">
        <v>1.1100000000000001</v>
      </c>
      <c r="K43" s="64">
        <v>350.54</v>
      </c>
      <c r="L43" s="64">
        <v>21.31</v>
      </c>
      <c r="M43" s="64">
        <v>54.92</v>
      </c>
      <c r="N43" s="64">
        <v>340.9</v>
      </c>
      <c r="O43" s="64">
        <v>0</v>
      </c>
      <c r="P43" s="64">
        <v>1.47</v>
      </c>
      <c r="Q43" s="64">
        <v>10.4</v>
      </c>
      <c r="R43" s="198"/>
      <c r="S43" s="198"/>
      <c r="T43" s="198"/>
      <c r="U43" s="198"/>
    </row>
    <row r="44" spans="1:21" s="12" customFormat="1" x14ac:dyDescent="0.25">
      <c r="A44" s="215" t="s">
        <v>763</v>
      </c>
      <c r="B44" s="64">
        <v>41.77</v>
      </c>
      <c r="C44" s="64">
        <v>46.58</v>
      </c>
      <c r="D44" s="64">
        <v>56.46</v>
      </c>
      <c r="E44" s="64">
        <v>6.74</v>
      </c>
      <c r="F44" s="64">
        <v>4.5599999999999996</v>
      </c>
      <c r="G44" s="64">
        <v>145.91999999999999</v>
      </c>
      <c r="H44" s="64">
        <v>67.89</v>
      </c>
      <c r="I44" s="64">
        <v>7.95</v>
      </c>
      <c r="J44" s="64">
        <v>1.1000000000000001</v>
      </c>
      <c r="K44" s="64">
        <v>61.09</v>
      </c>
      <c r="L44" s="64">
        <v>22.43</v>
      </c>
      <c r="M44" s="64">
        <v>51.22</v>
      </c>
      <c r="N44" s="64">
        <v>387.8</v>
      </c>
      <c r="O44" s="64">
        <v>0</v>
      </c>
      <c r="P44" s="64">
        <v>1.43</v>
      </c>
      <c r="Q44" s="64">
        <v>10.3</v>
      </c>
      <c r="R44" s="198"/>
      <c r="S44" s="198"/>
      <c r="T44" s="198"/>
      <c r="U44" s="198"/>
    </row>
    <row r="45" spans="1:21" s="12" customFormat="1" x14ac:dyDescent="0.25">
      <c r="A45" s="215" t="s">
        <v>764</v>
      </c>
      <c r="B45" s="64">
        <v>39.24</v>
      </c>
      <c r="C45" s="64">
        <v>48.17</v>
      </c>
      <c r="D45" s="64">
        <v>55.26</v>
      </c>
      <c r="E45" s="64">
        <v>6.74</v>
      </c>
      <c r="F45" s="64">
        <v>4.4000000000000004</v>
      </c>
      <c r="G45" s="64">
        <v>134.09</v>
      </c>
      <c r="H45" s="64">
        <v>63.46</v>
      </c>
      <c r="I45" s="64">
        <v>8.1</v>
      </c>
      <c r="J45" s="64">
        <v>2.5</v>
      </c>
      <c r="K45" s="64">
        <v>116.96</v>
      </c>
      <c r="L45" s="64">
        <v>21.22</v>
      </c>
      <c r="M45" s="64">
        <v>56.66</v>
      </c>
      <c r="N45" s="64">
        <v>425.4</v>
      </c>
      <c r="O45" s="64">
        <v>0</v>
      </c>
      <c r="P45" s="64">
        <v>1.37</v>
      </c>
      <c r="Q45" s="64">
        <v>10.3</v>
      </c>
      <c r="R45" s="198"/>
      <c r="S45" s="198"/>
      <c r="T45" s="198"/>
      <c r="U45" s="198"/>
    </row>
    <row r="46" spans="1:21" s="12" customFormat="1" x14ac:dyDescent="0.25">
      <c r="A46" s="215" t="s">
        <v>765</v>
      </c>
      <c r="B46" s="64">
        <v>36.08</v>
      </c>
      <c r="C46" s="64">
        <v>47.46</v>
      </c>
      <c r="D46" s="64">
        <v>52.35</v>
      </c>
      <c r="E46" s="64">
        <v>6.57</v>
      </c>
      <c r="F46" s="64">
        <v>4.28</v>
      </c>
      <c r="G46" s="64">
        <v>134.09</v>
      </c>
      <c r="H46" s="64">
        <v>63.46</v>
      </c>
      <c r="I46" s="64">
        <v>8.17</v>
      </c>
      <c r="J46" s="64">
        <v>2.98</v>
      </c>
      <c r="K46" s="64">
        <v>111.72</v>
      </c>
      <c r="L46" s="64">
        <v>21.06</v>
      </c>
      <c r="M46" s="64">
        <v>56.57</v>
      </c>
      <c r="N46" s="64">
        <v>454.8</v>
      </c>
      <c r="O46" s="64">
        <v>0</v>
      </c>
      <c r="P46" s="64">
        <v>1.32</v>
      </c>
      <c r="Q46" s="64">
        <v>10.220000000000001</v>
      </c>
      <c r="R46" s="198"/>
      <c r="S46" s="198"/>
      <c r="T46" s="198"/>
      <c r="U46" s="198"/>
    </row>
    <row r="47" spans="1:21" s="12" customFormat="1" x14ac:dyDescent="0.25">
      <c r="A47" s="215" t="s">
        <v>766</v>
      </c>
      <c r="B47" s="64">
        <v>32.56</v>
      </c>
      <c r="C47" s="64">
        <v>49.05</v>
      </c>
      <c r="D47" s="64">
        <v>50.36</v>
      </c>
      <c r="E47" s="64">
        <v>6.38</v>
      </c>
      <c r="F47" s="64">
        <v>4.04</v>
      </c>
      <c r="G47" s="64">
        <v>134.09</v>
      </c>
      <c r="H47" s="64">
        <v>63.46</v>
      </c>
      <c r="I47" s="64">
        <v>8.7899999999999991</v>
      </c>
      <c r="J47" s="64">
        <v>2.19</v>
      </c>
      <c r="K47" s="64">
        <v>104.12</v>
      </c>
      <c r="L47" s="64">
        <v>21.94</v>
      </c>
      <c r="M47" s="64">
        <v>54.52</v>
      </c>
      <c r="N47" s="64">
        <v>487.2</v>
      </c>
      <c r="O47" s="64">
        <v>0</v>
      </c>
      <c r="P47" s="64">
        <v>1.27</v>
      </c>
      <c r="Q47" s="64">
        <v>10.220000000000001</v>
      </c>
      <c r="R47" s="198"/>
      <c r="S47" s="198"/>
      <c r="T47" s="198"/>
      <c r="U47" s="198"/>
    </row>
    <row r="48" spans="1:21" s="12" customFormat="1" x14ac:dyDescent="0.25">
      <c r="A48" s="215" t="s">
        <v>767</v>
      </c>
      <c r="B48" s="64">
        <v>29.18</v>
      </c>
      <c r="C48" s="64">
        <v>51.48</v>
      </c>
      <c r="D48" s="64">
        <v>48.92</v>
      </c>
      <c r="E48" s="64">
        <v>6.52</v>
      </c>
      <c r="F48" s="64">
        <v>4.2300000000000004</v>
      </c>
      <c r="G48" s="64">
        <v>123.15</v>
      </c>
      <c r="H48" s="64">
        <v>58.2</v>
      </c>
      <c r="I48" s="64">
        <v>9.1199999999999992</v>
      </c>
      <c r="J48" s="64">
        <v>2</v>
      </c>
      <c r="K48" s="64">
        <v>117.85</v>
      </c>
      <c r="L48" s="64">
        <v>22.53</v>
      </c>
      <c r="M48" s="64">
        <v>53.21</v>
      </c>
      <c r="N48" s="64">
        <v>514.6</v>
      </c>
      <c r="O48" s="64">
        <v>0</v>
      </c>
      <c r="P48" s="64">
        <v>1.23</v>
      </c>
      <c r="Q48" s="64">
        <v>9.92</v>
      </c>
      <c r="R48" s="198"/>
      <c r="S48" s="198"/>
      <c r="T48" s="198"/>
      <c r="U48" s="198"/>
    </row>
    <row r="49" spans="1:21" s="12" customFormat="1" x14ac:dyDescent="0.25">
      <c r="A49" s="215" t="s">
        <v>768</v>
      </c>
      <c r="B49" s="64">
        <v>25.91</v>
      </c>
      <c r="C49" s="64">
        <v>49.14</v>
      </c>
      <c r="D49" s="64">
        <v>45.07</v>
      </c>
      <c r="E49" s="64">
        <v>6.65</v>
      </c>
      <c r="F49" s="64">
        <v>4.26</v>
      </c>
      <c r="G49" s="64">
        <v>114.77</v>
      </c>
      <c r="H49" s="64">
        <v>54.89</v>
      </c>
      <c r="I49" s="64">
        <v>9.31</v>
      </c>
      <c r="J49" s="64">
        <v>2.4300000000000002</v>
      </c>
      <c r="K49" s="64">
        <v>114.45</v>
      </c>
      <c r="L49" s="64">
        <v>23.17</v>
      </c>
      <c r="M49" s="64">
        <v>51.98</v>
      </c>
      <c r="N49" s="64">
        <v>542.4</v>
      </c>
      <c r="O49" s="64">
        <v>0</v>
      </c>
      <c r="P49" s="64">
        <v>1.18</v>
      </c>
      <c r="Q49" s="64">
        <v>9.59</v>
      </c>
      <c r="R49" s="198"/>
      <c r="S49" s="198"/>
      <c r="T49" s="198"/>
      <c r="U49" s="198"/>
    </row>
    <row r="50" spans="1:21" s="12" customFormat="1" x14ac:dyDescent="0.25">
      <c r="A50" s="215" t="s">
        <v>769</v>
      </c>
      <c r="B50" s="64">
        <v>23.04</v>
      </c>
      <c r="C50" s="64">
        <v>53.36</v>
      </c>
      <c r="D50" s="64">
        <v>44.98</v>
      </c>
      <c r="E50" s="64">
        <v>6.57</v>
      </c>
      <c r="F50" s="64">
        <v>4.58</v>
      </c>
      <c r="G50" s="64">
        <v>114.77</v>
      </c>
      <c r="H50" s="64">
        <v>54.89</v>
      </c>
      <c r="I50" s="64">
        <v>9.42</v>
      </c>
      <c r="J50" s="64">
        <v>1.68</v>
      </c>
      <c r="K50" s="64">
        <v>343.3</v>
      </c>
      <c r="L50" s="64">
        <v>25.55</v>
      </c>
      <c r="M50" s="64">
        <v>46.55</v>
      </c>
      <c r="N50" s="64">
        <v>558.4</v>
      </c>
      <c r="O50" s="64">
        <v>0</v>
      </c>
      <c r="P50" s="64">
        <v>1.1499999999999999</v>
      </c>
      <c r="Q50" s="64">
        <v>9.2899999999999991</v>
      </c>
      <c r="R50" s="198"/>
      <c r="S50" s="198"/>
      <c r="T50" s="198"/>
      <c r="U50" s="198"/>
    </row>
    <row r="51" spans="1:21" s="12" customFormat="1" x14ac:dyDescent="0.25">
      <c r="A51" s="215" t="s">
        <v>770</v>
      </c>
      <c r="B51" s="64">
        <v>21.51</v>
      </c>
      <c r="C51" s="64">
        <v>50.46</v>
      </c>
      <c r="D51" s="64">
        <v>42.23</v>
      </c>
      <c r="E51" s="64">
        <v>6.49</v>
      </c>
      <c r="F51" s="64">
        <v>4.5</v>
      </c>
      <c r="G51" s="64">
        <v>114.77</v>
      </c>
      <c r="H51" s="64">
        <v>54.89</v>
      </c>
      <c r="I51" s="64">
        <v>9.5</v>
      </c>
      <c r="J51" s="64">
        <v>0.8</v>
      </c>
      <c r="K51" s="64">
        <v>93.7</v>
      </c>
      <c r="L51" s="64">
        <v>25.72</v>
      </c>
      <c r="M51" s="64">
        <v>47.42</v>
      </c>
      <c r="N51" s="64">
        <v>582.70000000000005</v>
      </c>
      <c r="O51" s="64">
        <v>0</v>
      </c>
      <c r="P51" s="64">
        <v>1.1000000000000001</v>
      </c>
      <c r="Q51" s="64">
        <v>9.16</v>
      </c>
      <c r="R51" s="198"/>
      <c r="S51" s="198"/>
      <c r="T51" s="198"/>
      <c r="U51" s="198"/>
    </row>
    <row r="52" spans="1:21" s="12" customFormat="1" x14ac:dyDescent="0.25">
      <c r="A52" s="215" t="s">
        <v>771</v>
      </c>
      <c r="B52" s="64">
        <v>20.12</v>
      </c>
      <c r="C52" s="64">
        <v>49.95</v>
      </c>
      <c r="D52" s="64">
        <v>40.85</v>
      </c>
      <c r="E52" s="64">
        <v>6.45</v>
      </c>
      <c r="F52" s="64">
        <v>4.08</v>
      </c>
      <c r="G52" s="64">
        <v>115.26</v>
      </c>
      <c r="H52" s="64">
        <v>51.04</v>
      </c>
      <c r="I52" s="64">
        <v>9.41</v>
      </c>
      <c r="J52" s="64">
        <v>0.95</v>
      </c>
      <c r="K52" s="64">
        <v>116.69</v>
      </c>
      <c r="L52" s="64">
        <v>26.36</v>
      </c>
      <c r="M52" s="64">
        <v>46.2</v>
      </c>
      <c r="N52" s="64">
        <v>608.70000000000005</v>
      </c>
      <c r="O52" s="64">
        <v>0</v>
      </c>
      <c r="P52" s="64">
        <v>1.1000000000000001</v>
      </c>
      <c r="Q52" s="64">
        <v>8.98</v>
      </c>
      <c r="R52" s="198"/>
      <c r="S52" s="198"/>
      <c r="T52" s="198"/>
      <c r="U52" s="198"/>
    </row>
    <row r="53" spans="1:21" s="12" customFormat="1" x14ac:dyDescent="0.25">
      <c r="A53" s="215" t="s">
        <v>772</v>
      </c>
      <c r="B53" s="64">
        <v>18.690000000000001</v>
      </c>
      <c r="C53" s="64">
        <v>50.93</v>
      </c>
      <c r="D53" s="64">
        <v>40.22</v>
      </c>
      <c r="E53" s="64">
        <v>5.87</v>
      </c>
      <c r="F53" s="64">
        <v>4.16</v>
      </c>
      <c r="G53" s="64">
        <v>115.62</v>
      </c>
      <c r="H53" s="64">
        <v>49.73</v>
      </c>
      <c r="I53" s="64">
        <v>8.83</v>
      </c>
      <c r="J53" s="64">
        <v>2.39</v>
      </c>
      <c r="K53" s="64">
        <v>334.56</v>
      </c>
      <c r="L53" s="64">
        <v>27.66</v>
      </c>
      <c r="M53" s="64">
        <v>43.34</v>
      </c>
      <c r="N53" s="64">
        <v>625.5</v>
      </c>
      <c r="O53" s="64">
        <v>0</v>
      </c>
      <c r="P53" s="64">
        <v>1.1000000000000001</v>
      </c>
      <c r="Q53" s="64">
        <v>8.67</v>
      </c>
      <c r="R53" s="198"/>
      <c r="S53" s="198"/>
      <c r="T53" s="198"/>
      <c r="U53" s="198"/>
    </row>
    <row r="54" spans="1:21" s="12" customFormat="1" x14ac:dyDescent="0.25">
      <c r="A54" s="215" t="s">
        <v>773</v>
      </c>
      <c r="B54" s="64">
        <v>17.28</v>
      </c>
      <c r="C54" s="64">
        <v>52.19</v>
      </c>
      <c r="D54" s="64">
        <v>39.75</v>
      </c>
      <c r="E54" s="64">
        <v>6.64</v>
      </c>
      <c r="F54" s="64">
        <v>4.28</v>
      </c>
      <c r="G54" s="64">
        <v>115.62</v>
      </c>
      <c r="H54" s="64">
        <v>49.73</v>
      </c>
      <c r="I54" s="64">
        <v>8.65</v>
      </c>
      <c r="J54" s="64">
        <v>2.54</v>
      </c>
      <c r="K54" s="64">
        <v>333.44</v>
      </c>
      <c r="L54" s="64">
        <v>29.32</v>
      </c>
      <c r="M54" s="64">
        <v>40.42</v>
      </c>
      <c r="N54" s="64">
        <v>652.6</v>
      </c>
      <c r="O54" s="64">
        <v>0</v>
      </c>
      <c r="P54" s="64">
        <v>1.0900000000000001</v>
      </c>
      <c r="Q54" s="64">
        <v>8.6300000000000008</v>
      </c>
      <c r="R54" s="198"/>
      <c r="S54" s="198"/>
      <c r="T54" s="198"/>
      <c r="U54" s="198"/>
    </row>
    <row r="55" spans="1:21" s="12" customFormat="1" x14ac:dyDescent="0.25">
      <c r="A55" s="215" t="s">
        <v>774</v>
      </c>
      <c r="B55" s="64">
        <v>15.82</v>
      </c>
      <c r="C55" s="64">
        <v>53.47</v>
      </c>
      <c r="D55" s="64">
        <v>39.25</v>
      </c>
      <c r="E55" s="64">
        <v>6.71</v>
      </c>
      <c r="F55" s="64">
        <v>4.67</v>
      </c>
      <c r="G55" s="64">
        <v>115.62</v>
      </c>
      <c r="H55" s="64">
        <v>49.73</v>
      </c>
      <c r="I55" s="64">
        <v>8.56</v>
      </c>
      <c r="J55" s="64">
        <v>1.33</v>
      </c>
      <c r="K55" s="64">
        <v>323.52999999999997</v>
      </c>
      <c r="L55" s="64">
        <v>28.89</v>
      </c>
      <c r="M55" s="64">
        <v>41.18</v>
      </c>
      <c r="N55" s="64">
        <v>641.1</v>
      </c>
      <c r="O55" s="64">
        <v>0</v>
      </c>
      <c r="P55" s="64">
        <v>1.1100000000000001</v>
      </c>
      <c r="Q55" s="64">
        <v>8.75</v>
      </c>
      <c r="R55" s="198"/>
      <c r="S55" s="198"/>
      <c r="T55" s="198"/>
      <c r="U55" s="198"/>
    </row>
    <row r="56" spans="1:21" s="12" customFormat="1" x14ac:dyDescent="0.25">
      <c r="A56" s="215" t="s">
        <v>775</v>
      </c>
      <c r="B56" s="64">
        <v>13.95</v>
      </c>
      <c r="C56" s="64">
        <v>54.28</v>
      </c>
      <c r="D56" s="64">
        <v>38.17</v>
      </c>
      <c r="E56" s="64">
        <v>6.43</v>
      </c>
      <c r="F56" s="64">
        <v>4.87</v>
      </c>
      <c r="G56" s="64">
        <v>110.76</v>
      </c>
      <c r="H56" s="64">
        <v>50.85</v>
      </c>
      <c r="I56" s="64">
        <v>8.06</v>
      </c>
      <c r="J56" s="64">
        <v>1.65</v>
      </c>
      <c r="K56" s="64">
        <v>318.11</v>
      </c>
      <c r="L56" s="64">
        <v>28.17</v>
      </c>
      <c r="M56" s="64">
        <v>42.47</v>
      </c>
      <c r="N56" s="64">
        <v>621.5</v>
      </c>
      <c r="O56" s="64">
        <v>0</v>
      </c>
      <c r="P56" s="64">
        <v>1.1000000000000001</v>
      </c>
      <c r="Q56" s="64">
        <v>8.69</v>
      </c>
      <c r="R56" s="198"/>
      <c r="S56" s="198"/>
      <c r="T56" s="198"/>
      <c r="U56" s="198"/>
    </row>
    <row r="57" spans="1:21" s="12" customFormat="1" x14ac:dyDescent="0.25">
      <c r="A57" s="215" t="s">
        <v>776</v>
      </c>
      <c r="B57" s="64">
        <v>11.97</v>
      </c>
      <c r="C57" s="64">
        <v>55.06</v>
      </c>
      <c r="D57" s="64">
        <v>36.99</v>
      </c>
      <c r="E57" s="64">
        <v>6.26</v>
      </c>
      <c r="F57" s="64">
        <v>4.68</v>
      </c>
      <c r="G57" s="64">
        <v>107.03</v>
      </c>
      <c r="H57" s="64">
        <v>51.23</v>
      </c>
      <c r="I57" s="64">
        <v>8.6199999999999992</v>
      </c>
      <c r="J57" s="64">
        <v>2.39</v>
      </c>
      <c r="K57" s="64">
        <v>333.71</v>
      </c>
      <c r="L57" s="64">
        <v>29.19</v>
      </c>
      <c r="M57" s="64">
        <v>39.72</v>
      </c>
      <c r="N57" s="64">
        <v>623.79999999999995</v>
      </c>
      <c r="O57" s="64">
        <v>0</v>
      </c>
      <c r="P57" s="64">
        <v>1.07</v>
      </c>
      <c r="Q57" s="64">
        <v>8.56</v>
      </c>
      <c r="R57" s="198"/>
      <c r="S57" s="198"/>
      <c r="T57" s="198"/>
      <c r="U57" s="198"/>
    </row>
    <row r="58" spans="1:21" s="12" customFormat="1" x14ac:dyDescent="0.25">
      <c r="A58" s="215" t="s">
        <v>777</v>
      </c>
      <c r="B58" s="64">
        <v>10.210000000000001</v>
      </c>
      <c r="C58" s="64">
        <v>56.36</v>
      </c>
      <c r="D58" s="64">
        <v>36.26</v>
      </c>
      <c r="E58" s="64">
        <v>6.81</v>
      </c>
      <c r="F58" s="64">
        <v>4.96</v>
      </c>
      <c r="G58" s="64">
        <v>107.03</v>
      </c>
      <c r="H58" s="64">
        <v>51.23</v>
      </c>
      <c r="I58" s="64">
        <v>7.88</v>
      </c>
      <c r="J58" s="64">
        <v>1.98</v>
      </c>
      <c r="K58" s="64">
        <v>341.71</v>
      </c>
      <c r="L58" s="64">
        <v>30</v>
      </c>
      <c r="M58" s="64">
        <v>38.04</v>
      </c>
      <c r="N58" s="64">
        <v>625.4</v>
      </c>
      <c r="O58" s="64">
        <v>0</v>
      </c>
      <c r="P58" s="64">
        <v>1.1100000000000001</v>
      </c>
      <c r="Q58" s="64">
        <v>8.4</v>
      </c>
      <c r="R58" s="198"/>
      <c r="S58" s="198"/>
      <c r="T58" s="198"/>
      <c r="U58" s="198"/>
    </row>
    <row r="59" spans="1:21" s="12" customFormat="1" x14ac:dyDescent="0.25">
      <c r="A59" s="215" t="s">
        <v>778</v>
      </c>
      <c r="B59" s="64">
        <v>8.3699999999999992</v>
      </c>
      <c r="C59" s="64">
        <v>60.22</v>
      </c>
      <c r="D59" s="64">
        <v>36.799999999999997</v>
      </c>
      <c r="E59" s="64">
        <v>6.59</v>
      </c>
      <c r="F59" s="64">
        <v>5.15</v>
      </c>
      <c r="G59" s="64">
        <v>107.03</v>
      </c>
      <c r="H59" s="64">
        <v>51.23</v>
      </c>
      <c r="I59" s="64">
        <v>8.01</v>
      </c>
      <c r="J59" s="64">
        <v>1.8</v>
      </c>
      <c r="K59" s="64">
        <v>330</v>
      </c>
      <c r="L59" s="64">
        <v>28.76</v>
      </c>
      <c r="M59" s="64">
        <v>41.19</v>
      </c>
      <c r="N59" s="64">
        <v>639.29999999999995</v>
      </c>
      <c r="O59" s="64">
        <v>0</v>
      </c>
      <c r="P59" s="64">
        <v>1.1100000000000001</v>
      </c>
      <c r="Q59" s="64">
        <v>8.36</v>
      </c>
      <c r="R59" s="198"/>
      <c r="S59" s="198"/>
      <c r="T59" s="198"/>
      <c r="U59" s="198"/>
    </row>
    <row r="60" spans="1:21" s="12" customFormat="1" x14ac:dyDescent="0.25">
      <c r="A60" s="215" t="s">
        <v>779</v>
      </c>
      <c r="B60" s="64">
        <v>6.52</v>
      </c>
      <c r="C60" s="64">
        <v>57.23</v>
      </c>
      <c r="D60" s="64">
        <v>33.75</v>
      </c>
      <c r="E60" s="64">
        <v>6.57</v>
      </c>
      <c r="F60" s="64">
        <v>5.67</v>
      </c>
      <c r="G60" s="64">
        <v>107.83</v>
      </c>
      <c r="H60" s="64">
        <v>45.74</v>
      </c>
      <c r="I60" s="64">
        <v>9.06</v>
      </c>
      <c r="J60" s="64">
        <v>2.71</v>
      </c>
      <c r="K60" s="64">
        <v>321.25</v>
      </c>
      <c r="L60" s="64">
        <v>29.61</v>
      </c>
      <c r="M60" s="64">
        <v>39.03</v>
      </c>
      <c r="N60" s="64">
        <v>586.9</v>
      </c>
      <c r="O60" s="64">
        <v>0</v>
      </c>
      <c r="P60" s="64">
        <v>1.08</v>
      </c>
      <c r="Q60" s="64">
        <v>8.2200000000000006</v>
      </c>
      <c r="R60" s="198"/>
      <c r="S60" s="198"/>
      <c r="T60" s="198"/>
      <c r="U60" s="198"/>
    </row>
    <row r="61" spans="1:21" s="12" customFormat="1" x14ac:dyDescent="0.25">
      <c r="A61" s="215" t="s">
        <v>780</v>
      </c>
      <c r="B61" s="64">
        <v>5.25</v>
      </c>
      <c r="C61" s="64">
        <v>54.08</v>
      </c>
      <c r="D61" s="64">
        <v>31.09</v>
      </c>
      <c r="E61" s="64">
        <v>6.51</v>
      </c>
      <c r="F61" s="64">
        <v>5.87</v>
      </c>
      <c r="G61" s="64">
        <v>108.45</v>
      </c>
      <c r="H61" s="64">
        <v>43.88</v>
      </c>
      <c r="I61" s="64">
        <v>9.0399999999999991</v>
      </c>
      <c r="J61" s="64">
        <v>2.5099999999999998</v>
      </c>
      <c r="K61" s="64">
        <v>325.41000000000003</v>
      </c>
      <c r="L61" s="64">
        <v>29.38</v>
      </c>
      <c r="M61" s="64">
        <v>39.68</v>
      </c>
      <c r="N61" s="64">
        <v>548.5</v>
      </c>
      <c r="O61" s="64">
        <v>0</v>
      </c>
      <c r="P61" s="64">
        <v>1.1000000000000001</v>
      </c>
      <c r="Q61" s="64">
        <v>8.2100000000000009</v>
      </c>
      <c r="R61" s="198"/>
      <c r="S61" s="198"/>
      <c r="T61" s="198"/>
      <c r="U61" s="198"/>
    </row>
    <row r="62" spans="1:21" s="12" customFormat="1" x14ac:dyDescent="0.25">
      <c r="A62" s="215" t="s">
        <v>781</v>
      </c>
      <c r="B62" s="64">
        <v>4.51</v>
      </c>
      <c r="C62" s="64">
        <v>61.06</v>
      </c>
      <c r="D62" s="64">
        <v>34.14</v>
      </c>
      <c r="E62" s="64">
        <v>6.46</v>
      </c>
      <c r="F62" s="64">
        <v>5.61</v>
      </c>
      <c r="G62" s="64">
        <v>108.45</v>
      </c>
      <c r="H62" s="64">
        <v>43.88</v>
      </c>
      <c r="I62" s="64">
        <v>8.4499999999999993</v>
      </c>
      <c r="J62" s="64">
        <v>3.06</v>
      </c>
      <c r="K62" s="64">
        <v>329.97</v>
      </c>
      <c r="L62" s="64">
        <v>29.14</v>
      </c>
      <c r="M62" s="64">
        <v>39.99</v>
      </c>
      <c r="N62" s="64">
        <v>525.70000000000005</v>
      </c>
      <c r="O62" s="64">
        <v>0</v>
      </c>
      <c r="P62" s="64">
        <v>1.1399999999999999</v>
      </c>
      <c r="Q62" s="64">
        <v>8.2100000000000009</v>
      </c>
      <c r="R62" s="198"/>
      <c r="S62" s="198"/>
      <c r="T62" s="198"/>
      <c r="U62" s="198"/>
    </row>
    <row r="63" spans="1:21" s="12" customFormat="1" x14ac:dyDescent="0.25">
      <c r="A63" s="215" t="s">
        <v>782</v>
      </c>
      <c r="B63" s="64">
        <v>4.09</v>
      </c>
      <c r="C63" s="64">
        <v>56.49</v>
      </c>
      <c r="D63" s="64">
        <v>31.42</v>
      </c>
      <c r="E63" s="64">
        <v>6.1</v>
      </c>
      <c r="F63" s="64">
        <v>6.1</v>
      </c>
      <c r="G63" s="64">
        <v>108.45</v>
      </c>
      <c r="H63" s="64">
        <v>43.88</v>
      </c>
      <c r="I63" s="64">
        <v>7.85</v>
      </c>
      <c r="J63" s="64">
        <v>3.69</v>
      </c>
      <c r="K63" s="64">
        <v>327.56</v>
      </c>
      <c r="L63" s="64">
        <v>28.97</v>
      </c>
      <c r="M63" s="64">
        <v>40.43</v>
      </c>
      <c r="N63" s="64">
        <v>515.29999999999995</v>
      </c>
      <c r="O63" s="64">
        <v>0</v>
      </c>
      <c r="P63" s="64">
        <v>1.1100000000000001</v>
      </c>
      <c r="Q63" s="64">
        <v>8.2100000000000009</v>
      </c>
      <c r="R63" s="198"/>
      <c r="S63" s="198"/>
      <c r="T63" s="198"/>
      <c r="U63" s="198"/>
    </row>
    <row r="64" spans="1:21" s="12" customFormat="1" x14ac:dyDescent="0.25">
      <c r="A64" s="215" t="s">
        <v>783</v>
      </c>
      <c r="B64" s="64">
        <v>3.61</v>
      </c>
      <c r="C64" s="64">
        <v>54.81</v>
      </c>
      <c r="D64" s="64">
        <v>30.15</v>
      </c>
      <c r="E64" s="64">
        <v>6.67</v>
      </c>
      <c r="F64" s="64">
        <v>6.67</v>
      </c>
      <c r="G64" s="64">
        <v>103.01</v>
      </c>
      <c r="H64" s="64">
        <v>47.84</v>
      </c>
      <c r="I64" s="64">
        <v>7.46</v>
      </c>
      <c r="J64" s="64">
        <v>2.89</v>
      </c>
      <c r="K64" s="64">
        <v>331.88</v>
      </c>
      <c r="L64" s="64">
        <v>28.91</v>
      </c>
      <c r="M64" s="64">
        <v>40.119999999999997</v>
      </c>
      <c r="N64" s="64">
        <v>434.1</v>
      </c>
      <c r="O64" s="64">
        <v>0</v>
      </c>
      <c r="P64" s="64">
        <v>1.02</v>
      </c>
      <c r="Q64" s="64">
        <v>8.2100000000000009</v>
      </c>
      <c r="R64" s="198"/>
      <c r="S64" s="198"/>
      <c r="T64" s="198"/>
      <c r="U64" s="198"/>
    </row>
    <row r="65" spans="1:21" s="12" customFormat="1" x14ac:dyDescent="0.25">
      <c r="A65" s="215" t="s">
        <v>784</v>
      </c>
      <c r="B65" s="64">
        <v>3.35</v>
      </c>
      <c r="C65" s="64">
        <v>60.04</v>
      </c>
      <c r="D65" s="64">
        <v>32.68</v>
      </c>
      <c r="E65" s="64">
        <v>6.46</v>
      </c>
      <c r="F65" s="64">
        <v>6.16</v>
      </c>
      <c r="G65" s="64">
        <v>98.86</v>
      </c>
      <c r="H65" s="64">
        <v>50.44</v>
      </c>
      <c r="I65" s="64">
        <v>7.11</v>
      </c>
      <c r="J65" s="64">
        <v>2.27</v>
      </c>
      <c r="K65" s="64">
        <v>318.12</v>
      </c>
      <c r="L65" s="64">
        <v>28.73</v>
      </c>
      <c r="M65" s="64">
        <v>40.25</v>
      </c>
      <c r="N65" s="64">
        <v>294.10000000000002</v>
      </c>
      <c r="O65" s="64">
        <v>0</v>
      </c>
      <c r="P65" s="64">
        <v>1.02</v>
      </c>
      <c r="Q65" s="64">
        <v>8.2100000000000009</v>
      </c>
      <c r="R65" s="198"/>
      <c r="S65" s="198"/>
      <c r="T65" s="198"/>
      <c r="U65" s="198"/>
    </row>
    <row r="66" spans="1:21" s="12" customFormat="1" x14ac:dyDescent="0.25">
      <c r="A66" s="215" t="s">
        <v>785</v>
      </c>
      <c r="B66" s="64">
        <v>3.07</v>
      </c>
      <c r="C66" s="64">
        <v>54.22</v>
      </c>
      <c r="D66" s="64">
        <v>29.41</v>
      </c>
      <c r="E66" s="64">
        <v>6.86</v>
      </c>
      <c r="F66" s="64">
        <v>6.6</v>
      </c>
      <c r="G66" s="64">
        <v>98.86</v>
      </c>
      <c r="H66" s="64">
        <v>50.44</v>
      </c>
      <c r="I66" s="64">
        <v>6.3</v>
      </c>
      <c r="J66" s="64">
        <v>2.98</v>
      </c>
      <c r="K66" s="64">
        <v>325.91000000000003</v>
      </c>
      <c r="L66" s="64">
        <v>28.17</v>
      </c>
      <c r="M66" s="64">
        <v>41.92</v>
      </c>
      <c r="N66" s="64">
        <v>288.60000000000002</v>
      </c>
      <c r="O66" s="64">
        <v>0</v>
      </c>
      <c r="P66" s="64">
        <v>1</v>
      </c>
      <c r="Q66" s="64">
        <v>8.2100000000000009</v>
      </c>
      <c r="R66" s="198"/>
      <c r="S66" s="198"/>
      <c r="T66" s="198"/>
      <c r="U66" s="198"/>
    </row>
    <row r="67" spans="1:21" s="12" customFormat="1" x14ac:dyDescent="0.25">
      <c r="A67" s="215" t="s">
        <v>786</v>
      </c>
      <c r="B67" s="64">
        <v>2.96</v>
      </c>
      <c r="C67" s="64">
        <v>57.78</v>
      </c>
      <c r="D67" s="64">
        <v>31.18</v>
      </c>
      <c r="E67" s="64">
        <v>6.54</v>
      </c>
      <c r="F67" s="64">
        <v>6.46</v>
      </c>
      <c r="G67" s="64">
        <v>98.86</v>
      </c>
      <c r="H67" s="64">
        <v>50.44</v>
      </c>
      <c r="I67" s="64">
        <v>6.02</v>
      </c>
      <c r="J67" s="64">
        <v>2.63</v>
      </c>
      <c r="K67" s="64">
        <v>326.42</v>
      </c>
      <c r="L67" s="64">
        <v>27.99</v>
      </c>
      <c r="M67" s="64">
        <v>42.25</v>
      </c>
      <c r="N67" s="64">
        <v>256.60000000000002</v>
      </c>
      <c r="O67" s="64">
        <v>0</v>
      </c>
      <c r="P67" s="64">
        <v>0.97</v>
      </c>
      <c r="Q67" s="64">
        <v>8.2100000000000009</v>
      </c>
      <c r="R67" s="198"/>
      <c r="S67" s="198"/>
      <c r="T67" s="198"/>
      <c r="U67" s="198"/>
    </row>
    <row r="68" spans="1:21" s="12" customFormat="1" x14ac:dyDescent="0.25">
      <c r="A68" s="215" t="s">
        <v>787</v>
      </c>
      <c r="B68" s="64">
        <v>3.13</v>
      </c>
      <c r="C68" s="64">
        <v>54.41</v>
      </c>
      <c r="D68" s="64">
        <v>29.56</v>
      </c>
      <c r="E68" s="64">
        <v>6.32</v>
      </c>
      <c r="F68" s="64">
        <v>6.02</v>
      </c>
      <c r="G68" s="64">
        <v>95.43</v>
      </c>
      <c r="H68" s="64">
        <v>47</v>
      </c>
      <c r="I68" s="64">
        <v>5.61</v>
      </c>
      <c r="J68" s="64">
        <v>2.4500000000000002</v>
      </c>
      <c r="K68" s="64">
        <v>318.39</v>
      </c>
      <c r="L68" s="64">
        <v>27.72</v>
      </c>
      <c r="M68" s="64">
        <v>42.29</v>
      </c>
      <c r="N68" s="64">
        <v>227.4</v>
      </c>
      <c r="O68" s="64">
        <v>0</v>
      </c>
      <c r="P68" s="64">
        <v>0.9</v>
      </c>
      <c r="Q68" s="64">
        <v>8.2100000000000009</v>
      </c>
      <c r="R68" s="198"/>
      <c r="S68" s="198"/>
      <c r="T68" s="198"/>
      <c r="U68" s="198"/>
    </row>
    <row r="69" spans="1:21" s="12" customFormat="1" x14ac:dyDescent="0.25">
      <c r="A69" s="215" t="s">
        <v>788</v>
      </c>
      <c r="B69" s="64">
        <v>3.21</v>
      </c>
      <c r="C69" s="64">
        <v>52.17</v>
      </c>
      <c r="D69" s="64">
        <v>28.45</v>
      </c>
      <c r="E69" s="64">
        <v>5.97</v>
      </c>
      <c r="F69" s="64">
        <v>5.9</v>
      </c>
      <c r="G69" s="64">
        <v>92.81</v>
      </c>
      <c r="H69" s="64">
        <v>45.83</v>
      </c>
      <c r="I69" s="64">
        <v>5.13</v>
      </c>
      <c r="J69" s="64">
        <v>2.2799999999999998</v>
      </c>
      <c r="K69" s="64">
        <v>313.61</v>
      </c>
      <c r="L69" s="64">
        <v>27.07</v>
      </c>
      <c r="M69" s="64">
        <v>43.54</v>
      </c>
      <c r="N69" s="64">
        <v>206.2</v>
      </c>
      <c r="O69" s="64">
        <v>0</v>
      </c>
      <c r="P69" s="64">
        <v>0.88</v>
      </c>
      <c r="Q69" s="64">
        <v>8.2100000000000009</v>
      </c>
      <c r="R69" s="198"/>
      <c r="S69" s="198"/>
      <c r="T69" s="198"/>
      <c r="U69" s="198"/>
    </row>
    <row r="70" spans="1:21" s="12" customFormat="1" x14ac:dyDescent="0.25">
      <c r="A70" s="215" t="s">
        <v>789</v>
      </c>
      <c r="B70" s="64">
        <v>3.29</v>
      </c>
      <c r="C70" s="64">
        <v>52.35</v>
      </c>
      <c r="D70" s="64">
        <v>28.62</v>
      </c>
      <c r="E70" s="64">
        <v>5.91</v>
      </c>
      <c r="F70" s="64">
        <v>5.25</v>
      </c>
      <c r="G70" s="64">
        <v>92.81</v>
      </c>
      <c r="H70" s="64">
        <v>45.83</v>
      </c>
      <c r="I70" s="64">
        <v>4.55</v>
      </c>
      <c r="J70" s="64">
        <v>3.28</v>
      </c>
      <c r="K70" s="64">
        <v>338.16</v>
      </c>
      <c r="L70" s="64">
        <v>26.48</v>
      </c>
      <c r="M70" s="64">
        <v>44.92</v>
      </c>
      <c r="N70" s="64">
        <v>199.1</v>
      </c>
      <c r="O70" s="64">
        <v>0</v>
      </c>
      <c r="P70" s="64">
        <v>0.87</v>
      </c>
      <c r="Q70" s="64">
        <v>8.2100000000000009</v>
      </c>
      <c r="R70" s="198"/>
      <c r="S70" s="198"/>
      <c r="T70" s="198"/>
      <c r="U70" s="198"/>
    </row>
    <row r="71" spans="1:21" s="12" customFormat="1" x14ac:dyDescent="0.25">
      <c r="A71" s="215" t="s">
        <v>790</v>
      </c>
      <c r="B71" s="64">
        <v>3.53</v>
      </c>
      <c r="C71" s="64">
        <v>52.66</v>
      </c>
      <c r="D71" s="64">
        <v>28.97</v>
      </c>
      <c r="E71" s="64">
        <v>6.55</v>
      </c>
      <c r="F71" s="64">
        <v>5.76</v>
      </c>
      <c r="G71" s="64">
        <v>92.81</v>
      </c>
      <c r="H71" s="64">
        <v>45.83</v>
      </c>
      <c r="I71" s="64">
        <v>4.3499999999999996</v>
      </c>
      <c r="J71" s="64">
        <v>3</v>
      </c>
      <c r="K71" s="64">
        <v>329.6</v>
      </c>
      <c r="L71" s="64">
        <v>26.11</v>
      </c>
      <c r="M71" s="64">
        <v>45.51</v>
      </c>
      <c r="N71" s="64">
        <v>197.7</v>
      </c>
      <c r="O71" s="64">
        <v>0</v>
      </c>
      <c r="P71" s="64">
        <v>0.89</v>
      </c>
      <c r="Q71" s="64">
        <v>8.2100000000000009</v>
      </c>
      <c r="R71" s="198"/>
      <c r="S71" s="198"/>
      <c r="T71" s="198"/>
      <c r="U71" s="198"/>
    </row>
    <row r="72" spans="1:21" s="12" customFormat="1" x14ac:dyDescent="0.25">
      <c r="A72" s="215" t="s">
        <v>791</v>
      </c>
      <c r="B72" s="64">
        <v>3.7</v>
      </c>
      <c r="C72" s="64">
        <v>52.28</v>
      </c>
      <c r="D72" s="64">
        <v>28.91</v>
      </c>
      <c r="E72" s="64">
        <v>6.96</v>
      </c>
      <c r="F72" s="64">
        <v>5.85</v>
      </c>
      <c r="G72" s="64">
        <v>88.24</v>
      </c>
      <c r="H72" s="64">
        <v>46.82</v>
      </c>
      <c r="I72" s="64">
        <v>3.55</v>
      </c>
      <c r="J72" s="64">
        <v>2.85</v>
      </c>
      <c r="K72" s="64">
        <v>324.91000000000003</v>
      </c>
      <c r="L72" s="64">
        <v>25.75</v>
      </c>
      <c r="M72" s="64">
        <v>46.28</v>
      </c>
      <c r="N72" s="64">
        <v>182.4</v>
      </c>
      <c r="O72" s="64">
        <v>0</v>
      </c>
      <c r="P72" s="64">
        <v>0.86</v>
      </c>
      <c r="Q72" s="64">
        <v>8.2100000000000009</v>
      </c>
      <c r="R72" s="198"/>
      <c r="S72" s="198"/>
      <c r="T72" s="198"/>
      <c r="U72" s="198"/>
    </row>
    <row r="73" spans="1:21" s="12" customFormat="1" x14ac:dyDescent="0.25">
      <c r="A73" s="215" t="s">
        <v>792</v>
      </c>
      <c r="B73" s="64">
        <v>3.82</v>
      </c>
      <c r="C73" s="64">
        <v>51.73</v>
      </c>
      <c r="D73" s="64">
        <v>28.72</v>
      </c>
      <c r="E73" s="64">
        <v>7.83</v>
      </c>
      <c r="F73" s="64">
        <v>5.84</v>
      </c>
      <c r="G73" s="64">
        <v>84.74</v>
      </c>
      <c r="H73" s="64">
        <v>47.16</v>
      </c>
      <c r="I73" s="64">
        <v>4.09</v>
      </c>
      <c r="J73" s="64">
        <v>3.32</v>
      </c>
      <c r="K73" s="64">
        <v>335.41</v>
      </c>
      <c r="L73" s="64">
        <v>25.34</v>
      </c>
      <c r="M73" s="64">
        <v>48.02</v>
      </c>
      <c r="N73" s="64">
        <v>155.69999999999999</v>
      </c>
      <c r="O73" s="64">
        <v>0</v>
      </c>
      <c r="P73" s="64">
        <v>0.85</v>
      </c>
      <c r="Q73" s="64">
        <v>8.2100000000000009</v>
      </c>
      <c r="R73" s="198"/>
      <c r="S73" s="198"/>
      <c r="T73" s="198"/>
      <c r="U73" s="198"/>
    </row>
    <row r="74" spans="1:21" s="12" customFormat="1" x14ac:dyDescent="0.25">
      <c r="A74" s="215" t="s">
        <v>793</v>
      </c>
      <c r="B74" s="64">
        <v>3.98</v>
      </c>
      <c r="C74" s="64">
        <v>51.11</v>
      </c>
      <c r="D74" s="64">
        <v>28.52</v>
      </c>
      <c r="E74" s="64">
        <v>7.61</v>
      </c>
      <c r="F74" s="64">
        <v>5.53</v>
      </c>
      <c r="G74" s="64">
        <v>84.74</v>
      </c>
      <c r="H74" s="64">
        <v>47.16</v>
      </c>
      <c r="I74" s="64">
        <v>4.29</v>
      </c>
      <c r="J74" s="64">
        <v>2.74</v>
      </c>
      <c r="K74" s="64">
        <v>340.58</v>
      </c>
      <c r="L74" s="64">
        <v>24.88</v>
      </c>
      <c r="M74" s="64">
        <v>49.76</v>
      </c>
      <c r="N74" s="64">
        <v>138.5</v>
      </c>
      <c r="O74" s="64">
        <v>0</v>
      </c>
      <c r="P74" s="64">
        <v>0.95</v>
      </c>
      <c r="Q74" s="64">
        <v>8.2100000000000009</v>
      </c>
      <c r="R74" s="198"/>
      <c r="S74" s="198"/>
      <c r="T74" s="198"/>
      <c r="U74" s="198"/>
    </row>
    <row r="75" spans="1:21" s="12" customFormat="1" x14ac:dyDescent="0.25">
      <c r="A75" s="215" t="s">
        <v>794</v>
      </c>
      <c r="B75" s="64">
        <v>4.42</v>
      </c>
      <c r="C75" s="64">
        <v>52.33</v>
      </c>
      <c r="D75" s="64">
        <v>29.51</v>
      </c>
      <c r="E75" s="64">
        <v>8.18</v>
      </c>
      <c r="F75" s="64">
        <v>5.66</v>
      </c>
      <c r="G75" s="64">
        <v>84.74</v>
      </c>
      <c r="H75" s="64">
        <v>47.16</v>
      </c>
      <c r="I75" s="64">
        <v>4.43</v>
      </c>
      <c r="J75" s="64">
        <v>2.76</v>
      </c>
      <c r="K75" s="64">
        <v>340.65</v>
      </c>
      <c r="L75" s="64">
        <v>24.41</v>
      </c>
      <c r="M75" s="64">
        <v>52.06</v>
      </c>
      <c r="N75" s="64">
        <v>123.6</v>
      </c>
      <c r="O75" s="64">
        <v>0</v>
      </c>
      <c r="P75" s="64">
        <v>0.92</v>
      </c>
      <c r="Q75" s="64">
        <v>8.2100000000000009</v>
      </c>
      <c r="R75" s="198"/>
      <c r="S75" s="198"/>
      <c r="T75" s="198"/>
      <c r="U75" s="198"/>
    </row>
    <row r="76" spans="1:21" s="12" customFormat="1" x14ac:dyDescent="0.25">
      <c r="A76" s="215" t="s">
        <v>795</v>
      </c>
      <c r="B76" s="64">
        <v>4.9400000000000004</v>
      </c>
      <c r="C76" s="64">
        <v>52.16</v>
      </c>
      <c r="D76" s="64">
        <v>29.84</v>
      </c>
      <c r="E76" s="64">
        <v>7.82</v>
      </c>
      <c r="F76" s="64">
        <v>5.08</v>
      </c>
      <c r="G76" s="64">
        <v>87.52</v>
      </c>
      <c r="H76" s="64">
        <v>38.25</v>
      </c>
      <c r="I76" s="64">
        <v>3.56</v>
      </c>
      <c r="J76" s="64">
        <v>2.79</v>
      </c>
      <c r="K76" s="64">
        <v>344.55</v>
      </c>
      <c r="L76" s="64">
        <v>24.19</v>
      </c>
      <c r="M76" s="64">
        <v>52</v>
      </c>
      <c r="N76" s="64">
        <v>100.1</v>
      </c>
      <c r="O76" s="64">
        <v>0</v>
      </c>
      <c r="P76" s="64">
        <v>1</v>
      </c>
      <c r="Q76" s="64">
        <v>8.2100000000000009</v>
      </c>
      <c r="R76" s="198"/>
      <c r="S76" s="198"/>
      <c r="T76" s="198"/>
      <c r="U76" s="198"/>
    </row>
    <row r="77" spans="1:21" s="12" customFormat="1" x14ac:dyDescent="0.25">
      <c r="A77" s="215" t="s">
        <v>796</v>
      </c>
      <c r="B77" s="64">
        <v>5.6</v>
      </c>
      <c r="C77" s="64">
        <v>49.44</v>
      </c>
      <c r="D77" s="64">
        <v>28.95</v>
      </c>
      <c r="E77" s="64">
        <v>8.25</v>
      </c>
      <c r="F77" s="64">
        <v>5.13</v>
      </c>
      <c r="G77" s="64">
        <v>89.65</v>
      </c>
      <c r="H77" s="64">
        <v>35.22</v>
      </c>
      <c r="I77" s="64">
        <v>5.01</v>
      </c>
      <c r="J77" s="64">
        <v>2.4700000000000002</v>
      </c>
      <c r="K77" s="64">
        <v>347.7</v>
      </c>
      <c r="L77" s="64">
        <v>23.88</v>
      </c>
      <c r="M77" s="64">
        <v>54.12</v>
      </c>
      <c r="N77" s="64">
        <v>85.5</v>
      </c>
      <c r="O77" s="64">
        <v>0</v>
      </c>
      <c r="P77" s="64">
        <v>1.0900000000000001</v>
      </c>
      <c r="Q77" s="64">
        <v>8.2100000000000009</v>
      </c>
      <c r="R77" s="198"/>
      <c r="S77" s="198"/>
      <c r="T77" s="198"/>
      <c r="U77" s="198"/>
    </row>
    <row r="78" spans="1:21" s="12" customFormat="1" x14ac:dyDescent="0.25">
      <c r="A78" s="215" t="s">
        <v>797</v>
      </c>
      <c r="B78" s="64">
        <v>7.17</v>
      </c>
      <c r="C78" s="64">
        <v>55.88</v>
      </c>
      <c r="D78" s="64">
        <v>33.57</v>
      </c>
      <c r="E78" s="64">
        <v>8.25</v>
      </c>
      <c r="F78" s="64">
        <v>4.75</v>
      </c>
      <c r="G78" s="64">
        <v>89.65</v>
      </c>
      <c r="H78" s="64">
        <v>35.22</v>
      </c>
      <c r="I78" s="64">
        <v>3.92</v>
      </c>
      <c r="J78" s="64">
        <v>2.25</v>
      </c>
      <c r="K78" s="64">
        <v>355.09</v>
      </c>
      <c r="L78" s="64">
        <v>23.22</v>
      </c>
      <c r="M78" s="64">
        <v>58.04</v>
      </c>
      <c r="N78" s="64">
        <v>74.2</v>
      </c>
      <c r="O78" s="64">
        <v>0</v>
      </c>
      <c r="P78" s="64">
        <v>1.49</v>
      </c>
      <c r="Q78" s="64">
        <v>8.2100000000000009</v>
      </c>
      <c r="R78" s="198"/>
      <c r="S78" s="198"/>
      <c r="T78" s="198"/>
      <c r="U78" s="198"/>
    </row>
    <row r="79" spans="1:21" s="12" customFormat="1" x14ac:dyDescent="0.25">
      <c r="A79" s="215" t="s">
        <v>798</v>
      </c>
      <c r="B79" s="64">
        <v>9.66</v>
      </c>
      <c r="C79" s="64">
        <v>53.57</v>
      </c>
      <c r="D79" s="64">
        <v>34.36</v>
      </c>
      <c r="E79" s="64">
        <v>8.85</v>
      </c>
      <c r="F79" s="64">
        <v>4.55</v>
      </c>
      <c r="G79" s="64">
        <v>89.65</v>
      </c>
      <c r="H79" s="64">
        <v>35.22</v>
      </c>
      <c r="I79" s="64">
        <v>4.51</v>
      </c>
      <c r="J79" s="64">
        <v>1.34</v>
      </c>
      <c r="K79" s="64">
        <v>97.93</v>
      </c>
      <c r="L79" s="64">
        <v>22.62</v>
      </c>
      <c r="M79" s="64">
        <v>59.4</v>
      </c>
      <c r="N79" s="64">
        <v>71.2</v>
      </c>
      <c r="O79" s="64">
        <v>0</v>
      </c>
      <c r="P79" s="64">
        <v>1.49</v>
      </c>
      <c r="Q79" s="64">
        <v>8.24</v>
      </c>
      <c r="R79" s="198"/>
      <c r="S79" s="198"/>
      <c r="T79" s="198"/>
      <c r="U79" s="198"/>
    </row>
    <row r="80" spans="1:21" s="12" customFormat="1" x14ac:dyDescent="0.25">
      <c r="A80" s="215" t="s">
        <v>799</v>
      </c>
      <c r="B80" s="64">
        <v>11.93</v>
      </c>
      <c r="C80" s="64">
        <v>61.75</v>
      </c>
      <c r="D80" s="64">
        <v>40.450000000000003</v>
      </c>
      <c r="E80" s="64">
        <v>9.11</v>
      </c>
      <c r="F80" s="64">
        <v>4.6500000000000004</v>
      </c>
      <c r="G80" s="64">
        <v>96.72</v>
      </c>
      <c r="H80" s="64">
        <v>42.38</v>
      </c>
      <c r="I80" s="64">
        <v>6.4</v>
      </c>
      <c r="J80" s="64">
        <v>1.57</v>
      </c>
      <c r="K80" s="64">
        <v>332.33</v>
      </c>
      <c r="L80" s="64">
        <v>21.98</v>
      </c>
      <c r="M80" s="64">
        <v>64.930000000000007</v>
      </c>
      <c r="N80" s="64">
        <v>68.8</v>
      </c>
      <c r="O80" s="64">
        <v>0</v>
      </c>
      <c r="P80" s="64">
        <v>1.62</v>
      </c>
      <c r="Q80" s="64">
        <v>8.5299999999999994</v>
      </c>
      <c r="R80" s="198"/>
      <c r="S80" s="198"/>
      <c r="T80" s="198"/>
      <c r="U80" s="198"/>
    </row>
    <row r="81" spans="1:26" s="12" customFormat="1" x14ac:dyDescent="0.25">
      <c r="A81" s="215" t="s">
        <v>800</v>
      </c>
      <c r="B81" s="64">
        <v>13.4</v>
      </c>
      <c r="C81" s="64">
        <v>57.84</v>
      </c>
      <c r="D81" s="64">
        <v>39.590000000000003</v>
      </c>
      <c r="E81" s="64">
        <v>9.35</v>
      </c>
      <c r="F81" s="64">
        <v>4.8600000000000003</v>
      </c>
      <c r="G81" s="64">
        <v>102.13</v>
      </c>
      <c r="H81" s="64">
        <v>47.06</v>
      </c>
      <c r="I81" s="64">
        <v>6.64</v>
      </c>
      <c r="J81" s="64">
        <v>1.98</v>
      </c>
      <c r="K81" s="64">
        <v>297.92</v>
      </c>
      <c r="L81" s="64">
        <v>21.57</v>
      </c>
      <c r="M81" s="64">
        <v>65.59</v>
      </c>
      <c r="N81" s="64">
        <v>67.3</v>
      </c>
      <c r="O81" s="64">
        <v>0</v>
      </c>
      <c r="P81" s="64">
        <v>1.62</v>
      </c>
      <c r="Q81" s="64">
        <v>8.8800000000000008</v>
      </c>
      <c r="R81" s="198"/>
      <c r="S81" s="198"/>
      <c r="T81" s="198"/>
      <c r="U81" s="198"/>
    </row>
    <row r="82" spans="1:26" s="12" customFormat="1" x14ac:dyDescent="0.25">
      <c r="A82" s="215" t="s">
        <v>801</v>
      </c>
      <c r="B82" s="64">
        <v>14.57</v>
      </c>
      <c r="C82" s="64">
        <v>61.73</v>
      </c>
      <c r="D82" s="64">
        <v>42.56</v>
      </c>
      <c r="E82" s="64">
        <v>9.25</v>
      </c>
      <c r="F82" s="64">
        <v>5.1100000000000003</v>
      </c>
      <c r="G82" s="64">
        <v>102.13</v>
      </c>
      <c r="H82" s="64">
        <v>47.06</v>
      </c>
      <c r="I82" s="64">
        <v>7.58</v>
      </c>
      <c r="J82" s="64">
        <v>0.89</v>
      </c>
      <c r="K82" s="64">
        <v>279.39999999999998</v>
      </c>
      <c r="L82" s="64">
        <v>21.24</v>
      </c>
      <c r="M82" s="64">
        <v>69.260000000000005</v>
      </c>
      <c r="N82" s="64">
        <v>66.8</v>
      </c>
      <c r="O82" s="64">
        <v>0</v>
      </c>
      <c r="P82" s="64">
        <v>1.58</v>
      </c>
      <c r="Q82" s="64">
        <v>8.9600000000000009</v>
      </c>
      <c r="R82" s="198"/>
      <c r="S82" s="198"/>
      <c r="T82" s="198"/>
      <c r="U82" s="198"/>
    </row>
    <row r="83" spans="1:26" s="12" customFormat="1" x14ac:dyDescent="0.25">
      <c r="A83" s="215" t="s">
        <v>802</v>
      </c>
      <c r="B83" s="64">
        <v>18.72</v>
      </c>
      <c r="C83" s="64">
        <v>60.64</v>
      </c>
      <c r="D83" s="64">
        <v>45.31</v>
      </c>
      <c r="E83" s="64">
        <v>9.58</v>
      </c>
      <c r="F83" s="64">
        <v>4.76</v>
      </c>
      <c r="G83" s="64">
        <v>102.13</v>
      </c>
      <c r="H83" s="64">
        <v>47.06</v>
      </c>
      <c r="I83" s="64">
        <v>7.13</v>
      </c>
      <c r="J83" s="64">
        <v>2.0099999999999998</v>
      </c>
      <c r="K83" s="64">
        <v>13.86</v>
      </c>
      <c r="L83" s="64">
        <v>20.81</v>
      </c>
      <c r="M83" s="64">
        <v>72.650000000000006</v>
      </c>
      <c r="N83" s="64">
        <v>66.2</v>
      </c>
      <c r="O83" s="64">
        <v>0</v>
      </c>
      <c r="P83" s="64">
        <v>1.7</v>
      </c>
      <c r="Q83" s="64">
        <v>9.19</v>
      </c>
      <c r="R83" s="198"/>
      <c r="S83" s="198"/>
      <c r="T83" s="198"/>
      <c r="U83" s="198"/>
    </row>
    <row r="84" spans="1:26" s="12" customFormat="1" x14ac:dyDescent="0.25">
      <c r="A84" s="215" t="s">
        <v>803</v>
      </c>
      <c r="B84" s="64">
        <v>24.26</v>
      </c>
      <c r="C84" s="64">
        <v>64.25</v>
      </c>
      <c r="D84" s="64">
        <v>51.64</v>
      </c>
      <c r="E84" s="64">
        <v>9.67</v>
      </c>
      <c r="F84" s="64">
        <v>4.58</v>
      </c>
      <c r="G84" s="64">
        <v>118.57</v>
      </c>
      <c r="H84" s="64">
        <v>57.83</v>
      </c>
      <c r="I84" s="64">
        <v>7.81</v>
      </c>
      <c r="J84" s="64">
        <v>1.2</v>
      </c>
      <c r="K84" s="64">
        <v>179.27</v>
      </c>
      <c r="L84" s="64">
        <v>20.55</v>
      </c>
      <c r="M84" s="64">
        <v>75.13</v>
      </c>
      <c r="N84" s="64">
        <v>64.7</v>
      </c>
      <c r="O84" s="64">
        <v>0</v>
      </c>
      <c r="P84" s="64">
        <v>1.77</v>
      </c>
      <c r="Q84" s="64">
        <v>9.8000000000000007</v>
      </c>
      <c r="R84" s="198"/>
      <c r="S84" s="198"/>
      <c r="T84" s="198"/>
      <c r="U84" s="198"/>
    </row>
    <row r="85" spans="1:26" s="12" customFormat="1" x14ac:dyDescent="0.25">
      <c r="A85" s="215" t="s">
        <v>804</v>
      </c>
      <c r="B85" s="64">
        <v>30.89</v>
      </c>
      <c r="C85" s="64">
        <v>58.56</v>
      </c>
      <c r="D85" s="64">
        <v>53.99</v>
      </c>
      <c r="E85" s="64">
        <v>9.6199999999999992</v>
      </c>
      <c r="F85" s="64">
        <v>4.72</v>
      </c>
      <c r="G85" s="64">
        <v>131.13999999999999</v>
      </c>
      <c r="H85" s="64">
        <v>61.5</v>
      </c>
      <c r="I85" s="64">
        <v>7.78</v>
      </c>
      <c r="J85" s="64">
        <v>1.29</v>
      </c>
      <c r="K85" s="64">
        <v>289.33</v>
      </c>
      <c r="L85" s="64">
        <v>20.32</v>
      </c>
      <c r="M85" s="64">
        <v>78.680000000000007</v>
      </c>
      <c r="N85" s="64">
        <v>62.2</v>
      </c>
      <c r="O85" s="64">
        <v>0</v>
      </c>
      <c r="P85" s="64">
        <v>2.2400000000000002</v>
      </c>
      <c r="Q85" s="64">
        <v>10.17</v>
      </c>
      <c r="R85" s="198"/>
      <c r="S85" s="198"/>
      <c r="T85" s="198"/>
      <c r="U85" s="198"/>
    </row>
    <row r="86" spans="1:26" s="12" customFormat="1" x14ac:dyDescent="0.25">
      <c r="A86" s="215" t="s">
        <v>805</v>
      </c>
      <c r="B86" s="64">
        <v>37.07</v>
      </c>
      <c r="C86" s="64">
        <v>57.54</v>
      </c>
      <c r="D86" s="64">
        <v>58.42</v>
      </c>
      <c r="E86" s="64">
        <v>9.5</v>
      </c>
      <c r="F86" s="64">
        <v>4.67</v>
      </c>
      <c r="G86" s="64">
        <v>131.13999999999999</v>
      </c>
      <c r="H86" s="64">
        <v>61.5</v>
      </c>
      <c r="I86" s="64">
        <v>8.98</v>
      </c>
      <c r="J86" s="64">
        <v>0.64</v>
      </c>
      <c r="K86" s="64">
        <v>339.05</v>
      </c>
      <c r="L86" s="64">
        <v>20.25</v>
      </c>
      <c r="M86" s="64">
        <v>81.400000000000006</v>
      </c>
      <c r="N86" s="64">
        <v>60.2</v>
      </c>
      <c r="O86" s="64">
        <v>0</v>
      </c>
      <c r="P86" s="64">
        <v>2.36</v>
      </c>
      <c r="Q86" s="64">
        <v>10.220000000000001</v>
      </c>
      <c r="R86" s="198"/>
      <c r="S86" s="198"/>
      <c r="T86" s="198"/>
      <c r="U86" s="198"/>
    </row>
    <row r="87" spans="1:26" s="12" customFormat="1" x14ac:dyDescent="0.25">
      <c r="A87" s="215" t="s">
        <v>806</v>
      </c>
      <c r="B87" s="64">
        <v>42.76</v>
      </c>
      <c r="C87" s="64">
        <v>57.7</v>
      </c>
      <c r="D87" s="64">
        <v>63.06</v>
      </c>
      <c r="E87" s="64">
        <v>9.65</v>
      </c>
      <c r="F87" s="64">
        <v>4.71</v>
      </c>
      <c r="G87" s="64">
        <v>131.13999999999999</v>
      </c>
      <c r="H87" s="64">
        <v>61.5</v>
      </c>
      <c r="I87" s="64">
        <v>10.5</v>
      </c>
      <c r="J87" s="64">
        <v>0.92</v>
      </c>
      <c r="K87" s="64">
        <v>294.79000000000002</v>
      </c>
      <c r="L87" s="64">
        <v>20.170000000000002</v>
      </c>
      <c r="M87" s="64">
        <v>80.91</v>
      </c>
      <c r="N87" s="64">
        <v>59.7</v>
      </c>
      <c r="O87" s="64">
        <v>0</v>
      </c>
      <c r="P87" s="64">
        <v>2.6</v>
      </c>
      <c r="Q87" s="64">
        <v>10.29</v>
      </c>
      <c r="R87" s="198"/>
      <c r="S87" s="198"/>
      <c r="T87" s="198"/>
      <c r="U87" s="198"/>
    </row>
    <row r="88" spans="1:26" s="12" customFormat="1" x14ac:dyDescent="0.25">
      <c r="A88" s="215" t="s">
        <v>807</v>
      </c>
      <c r="B88" s="64">
        <v>49.99</v>
      </c>
      <c r="C88" s="64">
        <v>57.64</v>
      </c>
      <c r="D88" s="64">
        <v>68.819999999999993</v>
      </c>
      <c r="E88" s="64">
        <v>10.09</v>
      </c>
      <c r="F88" s="64">
        <v>4.82</v>
      </c>
      <c r="G88" s="64">
        <v>153.66999999999999</v>
      </c>
      <c r="H88" s="64">
        <v>77.930000000000007</v>
      </c>
      <c r="I88" s="64">
        <v>9.86</v>
      </c>
      <c r="J88" s="64">
        <v>0.66</v>
      </c>
      <c r="K88" s="64">
        <v>102.22</v>
      </c>
      <c r="L88" s="64">
        <v>19.850000000000001</v>
      </c>
      <c r="M88" s="64">
        <v>87.88</v>
      </c>
      <c r="N88" s="64">
        <v>59.5</v>
      </c>
      <c r="O88" s="64">
        <v>0</v>
      </c>
      <c r="P88" s="64">
        <v>3.1</v>
      </c>
      <c r="Q88" s="64">
        <v>10.33</v>
      </c>
      <c r="R88" s="198"/>
      <c r="S88" s="198"/>
      <c r="T88" s="198"/>
      <c r="U88" s="198"/>
    </row>
    <row r="89" spans="1:26" s="12" customFormat="1" x14ac:dyDescent="0.25">
      <c r="A89" s="215" t="s">
        <v>808</v>
      </c>
      <c r="B89" s="64">
        <v>55.59</v>
      </c>
      <c r="C89" s="64">
        <v>56.87</v>
      </c>
      <c r="D89" s="64">
        <v>72.92</v>
      </c>
      <c r="E89" s="64">
        <v>10.32</v>
      </c>
      <c r="F89" s="64">
        <v>5.07</v>
      </c>
      <c r="G89" s="64">
        <v>170.9</v>
      </c>
      <c r="H89" s="64">
        <v>83.51</v>
      </c>
      <c r="I89" s="64">
        <v>11.79</v>
      </c>
      <c r="J89" s="64">
        <v>0.3</v>
      </c>
      <c r="K89" s="64">
        <v>240.81</v>
      </c>
      <c r="L89" s="64">
        <v>19.5</v>
      </c>
      <c r="M89" s="64">
        <v>85.87</v>
      </c>
      <c r="N89" s="64">
        <v>59.4</v>
      </c>
      <c r="O89" s="64">
        <v>0</v>
      </c>
      <c r="P89" s="64">
        <v>3.21</v>
      </c>
      <c r="Q89" s="64">
        <v>10.41</v>
      </c>
      <c r="R89" s="198"/>
      <c r="S89" s="198"/>
      <c r="T89" s="198"/>
      <c r="U89" s="198"/>
    </row>
    <row r="90" spans="1:26" s="12" customFormat="1" x14ac:dyDescent="0.25">
      <c r="A90" s="215" t="s">
        <v>809</v>
      </c>
      <c r="B90" s="64">
        <v>62.04</v>
      </c>
      <c r="C90" s="64">
        <v>55.91</v>
      </c>
      <c r="D90" s="64">
        <v>77.58</v>
      </c>
      <c r="E90" s="64">
        <v>10.64</v>
      </c>
      <c r="F90" s="64">
        <v>4.7699999999999996</v>
      </c>
      <c r="G90" s="64">
        <v>170.9</v>
      </c>
      <c r="H90" s="64">
        <v>83.51</v>
      </c>
      <c r="I90" s="64">
        <v>12.83</v>
      </c>
      <c r="J90" s="64">
        <v>0.4</v>
      </c>
      <c r="K90" s="64">
        <v>295.27999999999997</v>
      </c>
      <c r="L90" s="64">
        <v>19.37</v>
      </c>
      <c r="M90" s="64">
        <v>87.01</v>
      </c>
      <c r="N90" s="64">
        <v>59.6</v>
      </c>
      <c r="O90" s="64">
        <v>0</v>
      </c>
      <c r="P90" s="64">
        <v>3.42</v>
      </c>
      <c r="Q90" s="64">
        <v>10.52</v>
      </c>
      <c r="R90" s="198"/>
      <c r="S90" s="198"/>
      <c r="T90" s="198"/>
      <c r="U90" s="198"/>
    </row>
    <row r="91" spans="1:26" s="12" customFormat="1" x14ac:dyDescent="0.25">
      <c r="A91" s="215" t="s">
        <v>810</v>
      </c>
      <c r="B91" s="64">
        <v>70.239999999999995</v>
      </c>
      <c r="C91" s="64">
        <v>54.79</v>
      </c>
      <c r="D91" s="64">
        <v>83.58</v>
      </c>
      <c r="E91" s="64">
        <v>10.84</v>
      </c>
      <c r="F91" s="64">
        <v>4.62</v>
      </c>
      <c r="G91" s="64">
        <v>170.9</v>
      </c>
      <c r="H91" s="64">
        <v>83.51</v>
      </c>
      <c r="I91" s="64">
        <v>13.97</v>
      </c>
      <c r="J91" s="64">
        <v>1.27</v>
      </c>
      <c r="K91" s="64">
        <v>210.72</v>
      </c>
      <c r="L91" s="64">
        <v>19.57</v>
      </c>
      <c r="M91" s="64">
        <v>86.39</v>
      </c>
      <c r="N91" s="64">
        <v>59.5</v>
      </c>
      <c r="O91" s="64">
        <v>0</v>
      </c>
      <c r="P91" s="64">
        <v>2.9</v>
      </c>
      <c r="Q91" s="64">
        <v>10.61</v>
      </c>
      <c r="R91" s="198"/>
      <c r="S91" s="198"/>
      <c r="T91" s="198"/>
      <c r="U91" s="198"/>
    </row>
    <row r="92" spans="1:26" s="12" customFormat="1" x14ac:dyDescent="0.25">
      <c r="A92" s="215" t="s">
        <v>811</v>
      </c>
      <c r="B92" s="64">
        <v>80.180000000000007</v>
      </c>
      <c r="C92" s="64">
        <v>56.54</v>
      </c>
      <c r="D92" s="64">
        <v>92.46</v>
      </c>
      <c r="E92" s="64">
        <v>11.15</v>
      </c>
      <c r="F92" s="64">
        <v>5.0199999999999996</v>
      </c>
      <c r="G92" s="64">
        <v>186.08</v>
      </c>
      <c r="H92" s="64">
        <v>92.24</v>
      </c>
      <c r="I92" s="64">
        <v>14.05</v>
      </c>
      <c r="J92" s="64">
        <v>1.22</v>
      </c>
      <c r="K92" s="64">
        <v>302.99</v>
      </c>
      <c r="L92" s="64">
        <v>19.36</v>
      </c>
      <c r="M92" s="64">
        <v>90.95</v>
      </c>
      <c r="N92" s="64">
        <v>59.9</v>
      </c>
      <c r="O92" s="64">
        <v>0</v>
      </c>
      <c r="P92" s="64">
        <v>2.09</v>
      </c>
      <c r="Q92" s="64">
        <v>10.8</v>
      </c>
      <c r="R92" s="198"/>
      <c r="S92" s="198"/>
      <c r="T92" s="198"/>
      <c r="U92" s="198"/>
    </row>
    <row r="93" spans="1:26" s="12" customFormat="1" x14ac:dyDescent="0.25">
      <c r="A93" s="215" t="s">
        <v>812</v>
      </c>
      <c r="B93" s="64">
        <v>88.17</v>
      </c>
      <c r="C93" s="64">
        <v>53.58</v>
      </c>
      <c r="D93" s="64">
        <v>97.32</v>
      </c>
      <c r="E93" s="64">
        <v>11.59</v>
      </c>
      <c r="F93" s="64">
        <v>4.9400000000000004</v>
      </c>
      <c r="G93" s="64">
        <v>197.69</v>
      </c>
      <c r="H93" s="64">
        <v>95.2</v>
      </c>
      <c r="I93" s="64">
        <v>12.96</v>
      </c>
      <c r="J93" s="64">
        <v>1.33</v>
      </c>
      <c r="K93" s="64">
        <v>299.66000000000003</v>
      </c>
      <c r="L93" s="64">
        <v>19.21</v>
      </c>
      <c r="M93" s="64">
        <v>87.79</v>
      </c>
      <c r="N93" s="64">
        <v>59.7</v>
      </c>
      <c r="O93" s="64">
        <v>0</v>
      </c>
      <c r="P93" s="64">
        <v>3.4</v>
      </c>
      <c r="Q93" s="64">
        <v>10.94</v>
      </c>
      <c r="R93" s="198"/>
      <c r="S93" s="198"/>
      <c r="T93" s="198"/>
      <c r="U93" s="198"/>
    </row>
    <row r="94" spans="1:26" s="12" customFormat="1" x14ac:dyDescent="0.25">
      <c r="A94" s="215" t="s">
        <v>813</v>
      </c>
      <c r="B94" s="64">
        <v>94.91</v>
      </c>
      <c r="C94" s="64">
        <v>52.49</v>
      </c>
      <c r="D94" s="64">
        <v>102.15</v>
      </c>
      <c r="E94" s="64">
        <v>11.91</v>
      </c>
      <c r="F94" s="64">
        <v>5.23</v>
      </c>
      <c r="G94" s="64">
        <v>197.69</v>
      </c>
      <c r="H94" s="64">
        <v>95.2</v>
      </c>
      <c r="I94" s="64">
        <v>11.47</v>
      </c>
      <c r="J94" s="64">
        <v>1.6</v>
      </c>
      <c r="K94" s="64">
        <v>43.97</v>
      </c>
      <c r="L94" s="64">
        <v>19.239999999999998</v>
      </c>
      <c r="M94" s="64">
        <v>85.55</v>
      </c>
      <c r="N94" s="64">
        <v>59.4</v>
      </c>
      <c r="O94" s="64">
        <v>0</v>
      </c>
      <c r="P94" s="64">
        <v>2.54</v>
      </c>
      <c r="Q94" s="64">
        <v>10.96</v>
      </c>
      <c r="R94" s="198"/>
      <c r="S94" s="198"/>
      <c r="T94" s="198"/>
      <c r="U94" s="198"/>
    </row>
    <row r="95" spans="1:26" s="12" customFormat="1" x14ac:dyDescent="0.25">
      <c r="A95" s="215" t="s">
        <v>814</v>
      </c>
      <c r="B95" s="64">
        <v>100.84</v>
      </c>
      <c r="C95" s="64">
        <v>54.32</v>
      </c>
      <c r="D95" s="64">
        <v>107.87</v>
      </c>
      <c r="E95" s="64">
        <v>12.33</v>
      </c>
      <c r="F95" s="64">
        <v>4.55</v>
      </c>
      <c r="G95" s="64">
        <v>197.69</v>
      </c>
      <c r="H95" s="64">
        <v>95.2</v>
      </c>
      <c r="I95" s="64">
        <v>13.55</v>
      </c>
      <c r="J95" s="64">
        <v>1.7</v>
      </c>
      <c r="K95" s="64">
        <v>56.31</v>
      </c>
      <c r="L95" s="64">
        <v>19.55</v>
      </c>
      <c r="M95" s="64">
        <v>78.42</v>
      </c>
      <c r="N95" s="64">
        <v>59.8</v>
      </c>
      <c r="O95" s="64">
        <v>0</v>
      </c>
      <c r="P95" s="64">
        <v>3.37</v>
      </c>
      <c r="Q95" s="64">
        <v>11.05</v>
      </c>
      <c r="R95" s="198"/>
      <c r="S95" s="198"/>
      <c r="T95" s="198"/>
      <c r="U95" s="198"/>
    </row>
    <row r="96" spans="1:26" s="12" customFormat="1" x14ac:dyDescent="0.25">
      <c r="A96" s="215" t="s">
        <v>815</v>
      </c>
      <c r="B96" s="64">
        <v>102.93</v>
      </c>
      <c r="C96" s="64">
        <v>51.76</v>
      </c>
      <c r="D96" s="64">
        <v>108.21</v>
      </c>
      <c r="E96" s="64">
        <v>12.29</v>
      </c>
      <c r="F96" s="64">
        <v>5.28</v>
      </c>
      <c r="G96" s="64">
        <v>198.5</v>
      </c>
      <c r="H96" s="64">
        <v>99.66</v>
      </c>
      <c r="I96" s="64">
        <v>12.8</v>
      </c>
      <c r="J96" s="64">
        <v>1.93</v>
      </c>
      <c r="K96" s="64">
        <v>80.09</v>
      </c>
      <c r="L96" s="64">
        <v>19.71</v>
      </c>
      <c r="M96" s="64">
        <v>73.510000000000005</v>
      </c>
      <c r="N96" s="64">
        <v>60.1</v>
      </c>
      <c r="O96" s="64">
        <v>0</v>
      </c>
      <c r="P96" s="64">
        <v>2.74</v>
      </c>
      <c r="Q96" s="64">
        <v>10.99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816</v>
      </c>
      <c r="B97" s="64">
        <v>101.48</v>
      </c>
      <c r="C97" s="64">
        <v>58.1</v>
      </c>
      <c r="D97" s="64">
        <v>110.36</v>
      </c>
      <c r="E97" s="64">
        <v>12.4</v>
      </c>
      <c r="F97" s="64">
        <v>4.6500000000000004</v>
      </c>
      <c r="G97" s="64">
        <v>199.14</v>
      </c>
      <c r="H97" s="64">
        <v>103.87</v>
      </c>
      <c r="I97" s="64">
        <v>13.53</v>
      </c>
      <c r="J97" s="64">
        <v>1.72</v>
      </c>
      <c r="K97" s="64">
        <v>79.150000000000006</v>
      </c>
      <c r="L97" s="64">
        <v>19.52</v>
      </c>
      <c r="M97" s="64">
        <v>75.14</v>
      </c>
      <c r="N97" s="64">
        <v>61.3</v>
      </c>
      <c r="O97" s="64">
        <v>0</v>
      </c>
      <c r="P97" s="64">
        <v>2.85</v>
      </c>
      <c r="Q97" s="64">
        <v>11.12</v>
      </c>
      <c r="R97" s="198"/>
      <c r="S97" s="198"/>
      <c r="T97" s="198"/>
      <c r="U97" s="198"/>
    </row>
    <row r="98" spans="1:33" s="12" customFormat="1" x14ac:dyDescent="0.25">
      <c r="A98" s="215" t="s">
        <v>817</v>
      </c>
      <c r="B98" s="64">
        <v>101.61</v>
      </c>
      <c r="C98" s="64">
        <v>54.26</v>
      </c>
      <c r="D98" s="64">
        <v>108.46</v>
      </c>
      <c r="E98" s="64">
        <v>12.31</v>
      </c>
      <c r="F98" s="64">
        <v>5.41</v>
      </c>
      <c r="G98" s="64">
        <v>199.14</v>
      </c>
      <c r="H98" s="64">
        <v>103.87</v>
      </c>
      <c r="I98" s="64">
        <v>12.39</v>
      </c>
      <c r="J98" s="64">
        <v>1.77</v>
      </c>
      <c r="K98" s="64">
        <v>348.38</v>
      </c>
      <c r="L98" s="64">
        <v>19.059999999999999</v>
      </c>
      <c r="M98" s="64">
        <v>84.31</v>
      </c>
      <c r="N98" s="64">
        <v>62</v>
      </c>
      <c r="O98" s="64">
        <v>0</v>
      </c>
      <c r="P98" s="64">
        <v>2.95</v>
      </c>
      <c r="Q98" s="64">
        <v>11.09</v>
      </c>
      <c r="R98" s="198"/>
      <c r="S98" s="198"/>
      <c r="T98" s="198"/>
      <c r="U98" s="198"/>
    </row>
    <row r="99" spans="1:33" s="12" customFormat="1" x14ac:dyDescent="0.25">
      <c r="A99" s="215" t="s">
        <v>818</v>
      </c>
      <c r="B99" s="64">
        <v>104.26</v>
      </c>
      <c r="C99" s="64">
        <v>56.81</v>
      </c>
      <c r="D99" s="64">
        <v>111.91</v>
      </c>
      <c r="E99" s="64">
        <v>12.44</v>
      </c>
      <c r="F99" s="64">
        <v>4.8499999999999996</v>
      </c>
      <c r="G99" s="64">
        <v>199.14</v>
      </c>
      <c r="H99" s="64">
        <v>103.87</v>
      </c>
      <c r="I99" s="64">
        <v>13.05</v>
      </c>
      <c r="J99" s="64">
        <v>1.71</v>
      </c>
      <c r="K99" s="64">
        <v>59.94</v>
      </c>
      <c r="L99" s="64">
        <v>18.79</v>
      </c>
      <c r="M99" s="64">
        <v>83.95</v>
      </c>
      <c r="N99" s="64">
        <v>62.1</v>
      </c>
      <c r="O99" s="64">
        <v>0</v>
      </c>
      <c r="P99" s="64">
        <v>3.48</v>
      </c>
      <c r="Q99" s="64">
        <v>11.14</v>
      </c>
      <c r="R99" s="198"/>
      <c r="S99" s="198"/>
      <c r="T99" s="198"/>
      <c r="U99" s="198"/>
    </row>
    <row r="100" spans="1:33" s="12" customFormat="1" x14ac:dyDescent="0.25">
      <c r="A100" s="215" t="s">
        <v>819</v>
      </c>
      <c r="B100" s="64">
        <v>105.2</v>
      </c>
      <c r="C100" s="64">
        <v>53.12</v>
      </c>
      <c r="D100" s="64">
        <v>110.74</v>
      </c>
      <c r="E100" s="64">
        <v>12.18</v>
      </c>
      <c r="F100" s="64">
        <v>5.33</v>
      </c>
      <c r="G100" s="64">
        <v>201.62</v>
      </c>
      <c r="H100" s="64">
        <v>105.2</v>
      </c>
      <c r="I100" s="64">
        <v>12.95</v>
      </c>
      <c r="J100" s="64">
        <v>1.1399999999999999</v>
      </c>
      <c r="K100" s="64">
        <v>265.94</v>
      </c>
      <c r="L100" s="64">
        <v>18.61</v>
      </c>
      <c r="M100" s="64">
        <v>84.74</v>
      </c>
      <c r="N100" s="64">
        <v>62.4</v>
      </c>
      <c r="O100" s="64">
        <v>0</v>
      </c>
      <c r="P100" s="64">
        <v>2.96</v>
      </c>
      <c r="Q100" s="64">
        <v>11.06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820</v>
      </c>
      <c r="B101" s="64">
        <v>105.72</v>
      </c>
      <c r="C101" s="64">
        <v>57.13</v>
      </c>
      <c r="D101" s="64">
        <v>113.25</v>
      </c>
      <c r="E101" s="64">
        <v>12.52</v>
      </c>
      <c r="F101" s="64">
        <v>4.76</v>
      </c>
      <c r="G101" s="64">
        <v>203.51</v>
      </c>
      <c r="H101" s="64">
        <v>105.66</v>
      </c>
      <c r="I101" s="64">
        <v>13.57</v>
      </c>
      <c r="J101" s="64">
        <v>1.62</v>
      </c>
      <c r="K101" s="64">
        <v>247.61</v>
      </c>
      <c r="L101" s="64">
        <v>18.329999999999998</v>
      </c>
      <c r="M101" s="64">
        <v>87.24</v>
      </c>
      <c r="N101" s="64">
        <v>62.5</v>
      </c>
      <c r="O101" s="64">
        <v>0</v>
      </c>
      <c r="P101" s="64">
        <v>3.1</v>
      </c>
      <c r="Q101" s="64">
        <v>10.98</v>
      </c>
      <c r="R101" s="198"/>
      <c r="S101" s="198"/>
      <c r="T101" s="198"/>
      <c r="U101" s="198"/>
    </row>
    <row r="102" spans="1:33" s="12" customFormat="1" x14ac:dyDescent="0.25">
      <c r="A102" s="215" t="s">
        <v>821</v>
      </c>
      <c r="B102" s="64">
        <v>106.15</v>
      </c>
      <c r="C102" s="64">
        <v>51.6</v>
      </c>
      <c r="D102" s="64">
        <v>110.71</v>
      </c>
      <c r="E102" s="64">
        <v>12.11</v>
      </c>
      <c r="F102" s="64">
        <v>4.88</v>
      </c>
      <c r="G102" s="64">
        <v>203.51</v>
      </c>
      <c r="H102" s="64">
        <v>105.66</v>
      </c>
      <c r="I102" s="64">
        <v>13.06</v>
      </c>
      <c r="J102" s="64">
        <v>0.74</v>
      </c>
      <c r="K102" s="64">
        <v>342.52</v>
      </c>
      <c r="L102" s="64">
        <v>18.29</v>
      </c>
      <c r="M102" s="64">
        <v>87</v>
      </c>
      <c r="N102" s="64">
        <v>62.3</v>
      </c>
      <c r="O102" s="64">
        <v>0</v>
      </c>
      <c r="P102" s="64">
        <v>3.19</v>
      </c>
      <c r="Q102" s="64">
        <v>10.91</v>
      </c>
      <c r="R102" s="198"/>
      <c r="S102" s="198"/>
      <c r="T102" s="198"/>
      <c r="U102" s="198"/>
    </row>
    <row r="103" spans="1:33" s="12" customFormat="1" x14ac:dyDescent="0.25">
      <c r="A103" s="215" t="s">
        <v>822</v>
      </c>
      <c r="B103" s="64">
        <v>106.96</v>
      </c>
      <c r="C103" s="64">
        <v>50.52</v>
      </c>
      <c r="D103" s="64">
        <v>110.79</v>
      </c>
      <c r="E103" s="64">
        <v>11.8</v>
      </c>
      <c r="F103" s="64">
        <v>5.18</v>
      </c>
      <c r="G103" s="64">
        <v>203.51</v>
      </c>
      <c r="H103" s="64">
        <v>105.66</v>
      </c>
      <c r="I103" s="64">
        <v>12.68</v>
      </c>
      <c r="J103" s="64">
        <v>1.93</v>
      </c>
      <c r="K103" s="64">
        <v>312.87</v>
      </c>
      <c r="L103" s="64">
        <v>18.239999999999998</v>
      </c>
      <c r="M103" s="64">
        <v>89.31</v>
      </c>
      <c r="N103" s="64">
        <v>62.6</v>
      </c>
      <c r="O103" s="64">
        <v>0</v>
      </c>
      <c r="P103" s="64">
        <v>3.14</v>
      </c>
      <c r="Q103" s="64">
        <v>10.96</v>
      </c>
      <c r="R103" s="198"/>
      <c r="S103" s="198"/>
      <c r="T103" s="198"/>
      <c r="U103" s="198"/>
    </row>
    <row r="104" spans="1:33" s="12" customFormat="1" x14ac:dyDescent="0.25">
      <c r="A104" s="215" t="s">
        <v>823</v>
      </c>
      <c r="B104" s="64">
        <v>107.27</v>
      </c>
      <c r="C104" s="64">
        <v>51.64</v>
      </c>
      <c r="D104" s="64">
        <v>111.63</v>
      </c>
      <c r="E104" s="64">
        <v>9.25</v>
      </c>
      <c r="F104" s="64">
        <v>5.23</v>
      </c>
      <c r="G104" s="64">
        <v>204.18</v>
      </c>
      <c r="H104" s="64">
        <v>109</v>
      </c>
      <c r="I104" s="64">
        <v>12.95</v>
      </c>
      <c r="J104" s="64">
        <v>1.1200000000000001</v>
      </c>
      <c r="K104" s="64">
        <v>301.55</v>
      </c>
      <c r="L104" s="64">
        <v>18.43</v>
      </c>
      <c r="M104" s="64">
        <v>82.55</v>
      </c>
      <c r="N104" s="64">
        <v>63.2</v>
      </c>
      <c r="O104" s="64">
        <v>0</v>
      </c>
      <c r="P104" s="64">
        <v>2.76</v>
      </c>
      <c r="Q104" s="64">
        <v>11.02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2.96</v>
      </c>
      <c r="C106" s="67">
        <f>MIN(C9:C104)</f>
        <v>39.15</v>
      </c>
      <c r="D106" s="67">
        <f t="shared" ref="D106:Q106" si="0">MIN(D9:D104)</f>
        <v>28.45</v>
      </c>
      <c r="E106" s="67">
        <f t="shared" si="0"/>
        <v>5.87</v>
      </c>
      <c r="F106" s="67">
        <f t="shared" si="0"/>
        <v>3.91</v>
      </c>
      <c r="G106" s="67">
        <f t="shared" si="0"/>
        <v>84.74</v>
      </c>
      <c r="H106" s="67">
        <f t="shared" si="0"/>
        <v>35.22</v>
      </c>
      <c r="I106" s="67">
        <f t="shared" si="0"/>
        <v>3.55</v>
      </c>
      <c r="J106" s="67">
        <f t="shared" si="0"/>
        <v>0.12</v>
      </c>
      <c r="K106" s="67">
        <f t="shared" si="0"/>
        <v>10.53</v>
      </c>
      <c r="L106" s="67">
        <f t="shared" si="0"/>
        <v>15.29</v>
      </c>
      <c r="M106" s="67">
        <f t="shared" si="0"/>
        <v>38.04</v>
      </c>
      <c r="N106" s="67">
        <f t="shared" si="0"/>
        <v>36.4</v>
      </c>
      <c r="O106" s="67">
        <f t="shared" si="0"/>
        <v>0</v>
      </c>
      <c r="P106" s="67">
        <f t="shared" si="0"/>
        <v>0.85</v>
      </c>
      <c r="Q106" s="67">
        <f t="shared" si="0"/>
        <v>8.2100000000000009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107.27</v>
      </c>
      <c r="C107" s="66">
        <f t="shared" ref="C107:Q107" si="1">MAX(C9:C104)</f>
        <v>64.25</v>
      </c>
      <c r="D107" s="66">
        <f t="shared" si="1"/>
        <v>113.25</v>
      </c>
      <c r="E107" s="66">
        <f t="shared" si="1"/>
        <v>12.52</v>
      </c>
      <c r="F107" s="66">
        <f t="shared" si="1"/>
        <v>6.67</v>
      </c>
      <c r="G107" s="66">
        <f t="shared" si="1"/>
        <v>204.18</v>
      </c>
      <c r="H107" s="66">
        <f t="shared" si="1"/>
        <v>109</v>
      </c>
      <c r="I107" s="66">
        <f t="shared" si="1"/>
        <v>14.05</v>
      </c>
      <c r="J107" s="66">
        <f t="shared" si="1"/>
        <v>3.69</v>
      </c>
      <c r="K107" s="66">
        <f t="shared" si="1"/>
        <v>357.6</v>
      </c>
      <c r="L107" s="66">
        <f t="shared" si="1"/>
        <v>30</v>
      </c>
      <c r="M107" s="66">
        <f t="shared" si="1"/>
        <v>100.12</v>
      </c>
      <c r="N107" s="66">
        <f t="shared" si="1"/>
        <v>652.6</v>
      </c>
      <c r="O107" s="66">
        <f t="shared" si="1"/>
        <v>0</v>
      </c>
      <c r="P107" s="66">
        <f t="shared" si="1"/>
        <v>3.48</v>
      </c>
      <c r="Q107" s="66">
        <f t="shared" si="1"/>
        <v>11.14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47.554791666666681</v>
      </c>
      <c r="C108" s="67">
        <f t="shared" ref="C108:Q108" si="2">AVERAGE(C9:C104)</f>
        <v>50.525833333333345</v>
      </c>
      <c r="D108" s="67">
        <f t="shared" si="2"/>
        <v>63.156458333333326</v>
      </c>
      <c r="E108" s="67">
        <f t="shared" si="2"/>
        <v>7.9667708333333325</v>
      </c>
      <c r="F108" s="67">
        <f t="shared" si="2"/>
        <v>4.886145833333333</v>
      </c>
      <c r="G108" s="67">
        <f t="shared" si="2"/>
        <v>138.37479166666657</v>
      </c>
      <c r="H108" s="67">
        <f t="shared" si="2"/>
        <v>68.415520833333332</v>
      </c>
      <c r="I108" s="67">
        <f t="shared" si="2"/>
        <v>8.8120833333333302</v>
      </c>
      <c r="J108" s="67">
        <f t="shared" si="2"/>
        <v>1.86625</v>
      </c>
      <c r="K108" s="67">
        <f t="shared" si="2"/>
        <v>254.39312500000017</v>
      </c>
      <c r="L108" s="67">
        <f t="shared" si="2"/>
        <v>20.913229166666664</v>
      </c>
      <c r="M108" s="67">
        <f t="shared" si="2"/>
        <v>68.995000000000005</v>
      </c>
      <c r="N108" s="67">
        <f t="shared" si="2"/>
        <v>190.02395833333335</v>
      </c>
      <c r="O108" s="67">
        <f t="shared" si="2"/>
        <v>0</v>
      </c>
      <c r="P108" s="67">
        <f t="shared" si="2"/>
        <v>1.7658333333333325</v>
      </c>
      <c r="Q108" s="67">
        <f t="shared" si="2"/>
        <v>9.8413541666666742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35.12087500346157</v>
      </c>
      <c r="C109" s="67">
        <f t="shared" ref="C109:Q109" si="3">STDEV(C9:C104)</f>
        <v>6.233819926593279</v>
      </c>
      <c r="D109" s="67">
        <f t="shared" si="3"/>
        <v>27.169870153658554</v>
      </c>
      <c r="E109" s="67">
        <f t="shared" si="3"/>
        <v>1.9338320260106867</v>
      </c>
      <c r="F109" s="67">
        <f t="shared" si="3"/>
        <v>0.58450405390816929</v>
      </c>
      <c r="G109" s="67">
        <f t="shared" si="3"/>
        <v>35.186221375603935</v>
      </c>
      <c r="H109" s="67">
        <f t="shared" si="3"/>
        <v>20.192878675403335</v>
      </c>
      <c r="I109" s="67">
        <f t="shared" si="3"/>
        <v>2.6071177538531378</v>
      </c>
      <c r="J109" s="67">
        <f t="shared" si="3"/>
        <v>0.75507720065392514</v>
      </c>
      <c r="K109" s="67">
        <f t="shared" si="3"/>
        <v>109.34335851428806</v>
      </c>
      <c r="L109" s="67">
        <f t="shared" si="3"/>
        <v>4.7646482158302605</v>
      </c>
      <c r="M109" s="67">
        <f t="shared" si="3"/>
        <v>19.875032790439672</v>
      </c>
      <c r="N109" s="67">
        <f t="shared" si="3"/>
        <v>207.29607036405005</v>
      </c>
      <c r="O109" s="67">
        <f t="shared" si="3"/>
        <v>0</v>
      </c>
      <c r="P109" s="67">
        <f t="shared" si="3"/>
        <v>0.73961535759676211</v>
      </c>
      <c r="Q109" s="67">
        <f t="shared" si="3"/>
        <v>1.0893007122307961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COUNT(B9:B104)+1</f>
        <v>97</v>
      </c>
      <c r="C110" s="66">
        <f>COUNT(C9:C104)+1</f>
        <v>97</v>
      </c>
      <c r="D110" s="66">
        <f>COUNT(D9:D104)+1</f>
        <v>97</v>
      </c>
      <c r="E110" s="66">
        <f t="shared" ref="E110:Q110" si="4">COUNT(E9:E104)</f>
        <v>96</v>
      </c>
      <c r="F110" s="66">
        <f t="shared" si="4"/>
        <v>96</v>
      </c>
      <c r="G110" s="66">
        <f>COUNT(G9:G104)</f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3" sqref="G12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247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07/12/2024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231</v>
      </c>
      <c r="C7" s="198" t="s">
        <v>232</v>
      </c>
      <c r="D7" s="198" t="s">
        <v>233</v>
      </c>
      <c r="E7" s="198" t="s">
        <v>234</v>
      </c>
      <c r="F7" s="198" t="s">
        <v>235</v>
      </c>
      <c r="G7" s="198" t="s">
        <v>236</v>
      </c>
      <c r="H7" s="198" t="s">
        <v>237</v>
      </c>
      <c r="I7" s="198" t="s">
        <v>238</v>
      </c>
      <c r="J7" s="198" t="s">
        <v>239</v>
      </c>
      <c r="K7" s="198" t="s">
        <v>240</v>
      </c>
      <c r="L7" s="198" t="s">
        <v>241</v>
      </c>
      <c r="M7" s="198" t="s">
        <v>242</v>
      </c>
      <c r="N7" s="198" t="s">
        <v>243</v>
      </c>
      <c r="O7" s="198" t="s">
        <v>244</v>
      </c>
      <c r="P7" s="198" t="s">
        <v>245</v>
      </c>
      <c r="Q7" s="198" t="s">
        <v>246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824</v>
      </c>
      <c r="B9" s="64">
        <v>105.52</v>
      </c>
      <c r="C9" s="64">
        <v>52.12</v>
      </c>
      <c r="D9" s="64">
        <v>110.47</v>
      </c>
      <c r="E9" s="64">
        <v>9.57</v>
      </c>
      <c r="F9" s="64">
        <v>4.79</v>
      </c>
      <c r="G9" s="64">
        <v>204.69</v>
      </c>
      <c r="H9" s="64">
        <v>110.14</v>
      </c>
      <c r="I9" s="64">
        <v>12.37</v>
      </c>
      <c r="J9" s="64">
        <v>2.2999999999999998</v>
      </c>
      <c r="K9" s="64">
        <v>349.71</v>
      </c>
      <c r="L9" s="64">
        <v>18.84</v>
      </c>
      <c r="M9" s="64">
        <v>75.28</v>
      </c>
      <c r="N9" s="64">
        <v>63.4</v>
      </c>
      <c r="O9" s="64">
        <v>0</v>
      </c>
      <c r="P9" s="64">
        <v>2.48</v>
      </c>
      <c r="Q9" s="64">
        <v>11.06</v>
      </c>
      <c r="R9" s="198"/>
      <c r="S9" s="198"/>
      <c r="T9" s="198"/>
      <c r="U9" s="198"/>
    </row>
    <row r="10" spans="1:21" s="12" customFormat="1" x14ac:dyDescent="0.25">
      <c r="A10" s="215" t="s">
        <v>825</v>
      </c>
      <c r="B10" s="64">
        <v>101.75</v>
      </c>
      <c r="C10" s="64">
        <v>51.25</v>
      </c>
      <c r="D10" s="64">
        <v>107</v>
      </c>
      <c r="E10" s="64">
        <v>9.2100000000000009</v>
      </c>
      <c r="F10" s="64">
        <v>5.21</v>
      </c>
      <c r="G10" s="64">
        <v>204.69</v>
      </c>
      <c r="H10" s="64">
        <v>110.14</v>
      </c>
      <c r="I10" s="64">
        <v>10.75</v>
      </c>
      <c r="J10" s="64">
        <v>0.81</v>
      </c>
      <c r="K10" s="64">
        <v>316.41000000000003</v>
      </c>
      <c r="L10" s="64">
        <v>18.920000000000002</v>
      </c>
      <c r="M10" s="64">
        <v>73.319999999999993</v>
      </c>
      <c r="N10" s="64">
        <v>64.099999999999994</v>
      </c>
      <c r="O10" s="64">
        <v>0</v>
      </c>
      <c r="P10" s="64">
        <v>2.63</v>
      </c>
      <c r="Q10" s="64">
        <v>11.02</v>
      </c>
      <c r="R10" s="198"/>
      <c r="S10" s="198"/>
      <c r="T10" s="198"/>
      <c r="U10" s="198"/>
    </row>
    <row r="11" spans="1:21" s="12" customFormat="1" x14ac:dyDescent="0.25">
      <c r="A11" s="215" t="s">
        <v>826</v>
      </c>
      <c r="B11" s="64">
        <v>97.75</v>
      </c>
      <c r="C11" s="64">
        <v>51.34</v>
      </c>
      <c r="D11" s="64">
        <v>103.84</v>
      </c>
      <c r="E11" s="64">
        <v>8.83</v>
      </c>
      <c r="F11" s="64">
        <v>4.49</v>
      </c>
      <c r="G11" s="64">
        <v>204.69</v>
      </c>
      <c r="H11" s="64">
        <v>110.14</v>
      </c>
      <c r="I11" s="64">
        <v>9.77</v>
      </c>
      <c r="J11" s="64">
        <v>0.67</v>
      </c>
      <c r="K11" s="64">
        <v>85.77</v>
      </c>
      <c r="L11" s="64">
        <v>18.84</v>
      </c>
      <c r="M11" s="64">
        <v>72.510000000000005</v>
      </c>
      <c r="N11" s="64">
        <v>64.400000000000006</v>
      </c>
      <c r="O11" s="64">
        <v>0</v>
      </c>
      <c r="P11" s="64">
        <v>2.27</v>
      </c>
      <c r="Q11" s="64">
        <v>11.01</v>
      </c>
      <c r="R11" s="198"/>
      <c r="S11" s="198"/>
      <c r="T11" s="198"/>
      <c r="U11" s="198"/>
    </row>
    <row r="12" spans="1:21" s="12" customFormat="1" x14ac:dyDescent="0.25">
      <c r="A12" s="215" t="s">
        <v>827</v>
      </c>
      <c r="B12" s="64">
        <v>93.36</v>
      </c>
      <c r="C12" s="64">
        <v>50.04</v>
      </c>
      <c r="D12" s="64">
        <v>99.64</v>
      </c>
      <c r="E12" s="64">
        <v>8.48</v>
      </c>
      <c r="F12" s="64">
        <v>5.62</v>
      </c>
      <c r="G12" s="64">
        <v>186.83</v>
      </c>
      <c r="H12" s="64">
        <v>93.6</v>
      </c>
      <c r="I12" s="64">
        <v>9.5399999999999991</v>
      </c>
      <c r="J12" s="64">
        <v>1.05</v>
      </c>
      <c r="K12" s="64">
        <v>87.38</v>
      </c>
      <c r="L12" s="64">
        <v>18.84</v>
      </c>
      <c r="M12" s="64">
        <v>67.760000000000005</v>
      </c>
      <c r="N12" s="64">
        <v>64.8</v>
      </c>
      <c r="O12" s="64">
        <v>0</v>
      </c>
      <c r="P12" s="64">
        <v>2.46</v>
      </c>
      <c r="Q12" s="64">
        <v>10.98</v>
      </c>
      <c r="R12" s="198"/>
      <c r="S12" s="198"/>
      <c r="T12" s="198"/>
      <c r="U12" s="198"/>
    </row>
    <row r="13" spans="1:21" s="12" customFormat="1" x14ac:dyDescent="0.25">
      <c r="A13" s="215" t="s">
        <v>828</v>
      </c>
      <c r="B13" s="64">
        <v>88.21</v>
      </c>
      <c r="C13" s="64">
        <v>49.76</v>
      </c>
      <c r="D13" s="64">
        <v>95.36</v>
      </c>
      <c r="E13" s="64">
        <v>7.88</v>
      </c>
      <c r="F13" s="64">
        <v>4.8499999999999996</v>
      </c>
      <c r="G13" s="64">
        <v>173.16</v>
      </c>
      <c r="H13" s="64">
        <v>87.98</v>
      </c>
      <c r="I13" s="64">
        <v>9.86</v>
      </c>
      <c r="J13" s="64">
        <v>2.15</v>
      </c>
      <c r="K13" s="64">
        <v>99.13</v>
      </c>
      <c r="L13" s="64">
        <v>18.78</v>
      </c>
      <c r="M13" s="64">
        <v>64.69</v>
      </c>
      <c r="N13" s="64">
        <v>66.3</v>
      </c>
      <c r="O13" s="64">
        <v>0</v>
      </c>
      <c r="P13" s="64">
        <v>2.29</v>
      </c>
      <c r="Q13" s="64">
        <v>10.89</v>
      </c>
      <c r="R13" s="198"/>
      <c r="S13" s="198"/>
      <c r="T13" s="198"/>
      <c r="U13" s="198"/>
    </row>
    <row r="14" spans="1:21" s="12" customFormat="1" x14ac:dyDescent="0.25">
      <c r="A14" s="215" t="s">
        <v>829</v>
      </c>
      <c r="B14" s="64">
        <v>81.650000000000006</v>
      </c>
      <c r="C14" s="64">
        <v>47.5</v>
      </c>
      <c r="D14" s="64">
        <v>88.92</v>
      </c>
      <c r="E14" s="64">
        <v>7.32</v>
      </c>
      <c r="F14" s="64">
        <v>5.28</v>
      </c>
      <c r="G14" s="64">
        <v>173.16</v>
      </c>
      <c r="H14" s="64">
        <v>87.98</v>
      </c>
      <c r="I14" s="64">
        <v>10.85</v>
      </c>
      <c r="J14" s="64">
        <v>2.4700000000000002</v>
      </c>
      <c r="K14" s="64">
        <v>105.33</v>
      </c>
      <c r="L14" s="64">
        <v>18.59</v>
      </c>
      <c r="M14" s="64">
        <v>64.790000000000006</v>
      </c>
      <c r="N14" s="64">
        <v>67.8</v>
      </c>
      <c r="O14" s="64">
        <v>0</v>
      </c>
      <c r="P14" s="64">
        <v>2.2000000000000002</v>
      </c>
      <c r="Q14" s="64">
        <v>10.77</v>
      </c>
      <c r="R14" s="198"/>
      <c r="S14" s="198"/>
      <c r="T14" s="198"/>
      <c r="U14" s="198"/>
    </row>
    <row r="15" spans="1:21" s="12" customFormat="1" x14ac:dyDescent="0.25">
      <c r="A15" s="215" t="s">
        <v>830</v>
      </c>
      <c r="B15" s="64">
        <v>74.16</v>
      </c>
      <c r="C15" s="64">
        <v>49.57</v>
      </c>
      <c r="D15" s="64">
        <v>83.99</v>
      </c>
      <c r="E15" s="64">
        <v>6.8</v>
      </c>
      <c r="F15" s="64">
        <v>5.59</v>
      </c>
      <c r="G15" s="64">
        <v>173.16</v>
      </c>
      <c r="H15" s="64">
        <v>87.98</v>
      </c>
      <c r="I15" s="64">
        <v>12.22</v>
      </c>
      <c r="J15" s="64">
        <v>2</v>
      </c>
      <c r="K15" s="64">
        <v>99.12</v>
      </c>
      <c r="L15" s="64">
        <v>18.47</v>
      </c>
      <c r="M15" s="64">
        <v>63.92</v>
      </c>
      <c r="N15" s="64">
        <v>69.099999999999994</v>
      </c>
      <c r="O15" s="64">
        <v>0</v>
      </c>
      <c r="P15" s="64">
        <v>2.12</v>
      </c>
      <c r="Q15" s="64">
        <v>10.61</v>
      </c>
      <c r="R15" s="198"/>
      <c r="S15" s="198"/>
      <c r="T15" s="198"/>
      <c r="U15" s="198"/>
    </row>
    <row r="16" spans="1:21" s="12" customFormat="1" x14ac:dyDescent="0.25">
      <c r="A16" s="215" t="s">
        <v>831</v>
      </c>
      <c r="B16" s="64">
        <v>67.55</v>
      </c>
      <c r="C16" s="64">
        <v>48.34</v>
      </c>
      <c r="D16" s="64">
        <v>78.05</v>
      </c>
      <c r="E16" s="64">
        <v>6.33</v>
      </c>
      <c r="F16" s="64">
        <v>4.42</v>
      </c>
      <c r="G16" s="64">
        <v>99.39</v>
      </c>
      <c r="H16" s="64">
        <v>71.55</v>
      </c>
      <c r="I16" s="64">
        <v>12.28</v>
      </c>
      <c r="J16" s="64">
        <v>2.57</v>
      </c>
      <c r="K16" s="64">
        <v>103.06</v>
      </c>
      <c r="L16" s="64">
        <v>18.22</v>
      </c>
      <c r="M16" s="64">
        <v>63.08</v>
      </c>
      <c r="N16" s="64">
        <v>76.2</v>
      </c>
      <c r="O16" s="64">
        <v>0</v>
      </c>
      <c r="P16" s="64">
        <v>1.98</v>
      </c>
      <c r="Q16" s="64">
        <v>10.56</v>
      </c>
      <c r="R16" s="198"/>
      <c r="S16" s="198"/>
      <c r="T16" s="198"/>
      <c r="U16" s="198"/>
    </row>
    <row r="17" spans="1:21" s="12" customFormat="1" x14ac:dyDescent="0.25">
      <c r="A17" s="215" t="s">
        <v>832</v>
      </c>
      <c r="B17" s="64">
        <v>61.37</v>
      </c>
      <c r="C17" s="64">
        <v>49.66</v>
      </c>
      <c r="D17" s="64">
        <v>73.78</v>
      </c>
      <c r="E17" s="64">
        <v>5.88</v>
      </c>
      <c r="F17" s="64">
        <v>4.1399999999999997</v>
      </c>
      <c r="G17" s="64">
        <v>40.36</v>
      </c>
      <c r="H17" s="64">
        <v>61.2</v>
      </c>
      <c r="I17" s="64">
        <v>12.89</v>
      </c>
      <c r="J17" s="64">
        <v>2</v>
      </c>
      <c r="K17" s="64">
        <v>107.84</v>
      </c>
      <c r="L17" s="64">
        <v>18.09</v>
      </c>
      <c r="M17" s="64">
        <v>63.48</v>
      </c>
      <c r="N17" s="64">
        <v>107.7</v>
      </c>
      <c r="O17" s="64">
        <v>0</v>
      </c>
      <c r="P17" s="64">
        <v>1.85</v>
      </c>
      <c r="Q17" s="64">
        <v>10.49</v>
      </c>
      <c r="R17" s="198"/>
      <c r="S17" s="198"/>
      <c r="T17" s="198"/>
      <c r="U17" s="198"/>
    </row>
    <row r="18" spans="1:21" s="12" customFormat="1" x14ac:dyDescent="0.25">
      <c r="A18" s="215" t="s">
        <v>833</v>
      </c>
      <c r="B18" s="64">
        <v>55.21</v>
      </c>
      <c r="C18" s="64">
        <v>45.39</v>
      </c>
      <c r="D18" s="64">
        <v>66.61</v>
      </c>
      <c r="E18" s="64">
        <v>5.81</v>
      </c>
      <c r="F18" s="64">
        <v>4.41</v>
      </c>
      <c r="G18" s="64">
        <v>40.36</v>
      </c>
      <c r="H18" s="64">
        <v>61.2</v>
      </c>
      <c r="I18" s="64">
        <v>12.97</v>
      </c>
      <c r="J18" s="64">
        <v>2.36</v>
      </c>
      <c r="K18" s="64">
        <v>109.75</v>
      </c>
      <c r="L18" s="64">
        <v>18.010000000000002</v>
      </c>
      <c r="M18" s="64">
        <v>62.26</v>
      </c>
      <c r="N18" s="64">
        <v>106.9</v>
      </c>
      <c r="O18" s="64">
        <v>0</v>
      </c>
      <c r="P18" s="64">
        <v>1.72</v>
      </c>
      <c r="Q18" s="64">
        <v>10.37</v>
      </c>
      <c r="R18" s="198"/>
      <c r="S18" s="198"/>
      <c r="T18" s="198"/>
      <c r="U18" s="198"/>
    </row>
    <row r="19" spans="1:21" s="12" customFormat="1" x14ac:dyDescent="0.25">
      <c r="A19" s="215" t="s">
        <v>834</v>
      </c>
      <c r="B19" s="64">
        <v>49.46</v>
      </c>
      <c r="C19" s="64">
        <v>49.51</v>
      </c>
      <c r="D19" s="64">
        <v>64.150000000000006</v>
      </c>
      <c r="E19" s="64">
        <v>5.73</v>
      </c>
      <c r="F19" s="64">
        <v>4.04</v>
      </c>
      <c r="G19" s="64">
        <v>40.36</v>
      </c>
      <c r="H19" s="64">
        <v>61.2</v>
      </c>
      <c r="I19" s="64">
        <v>12.54</v>
      </c>
      <c r="J19" s="64">
        <v>1.93</v>
      </c>
      <c r="K19" s="64">
        <v>107.16</v>
      </c>
      <c r="L19" s="64">
        <v>17.87</v>
      </c>
      <c r="M19" s="64">
        <v>62.56</v>
      </c>
      <c r="N19" s="64">
        <v>105.2</v>
      </c>
      <c r="O19" s="64">
        <v>0</v>
      </c>
      <c r="P19" s="64">
        <v>1.57</v>
      </c>
      <c r="Q19" s="64">
        <v>10.35</v>
      </c>
      <c r="R19" s="198"/>
      <c r="S19" s="198"/>
      <c r="T19" s="198"/>
      <c r="U19" s="198"/>
    </row>
    <row r="20" spans="1:21" s="12" customFormat="1" x14ac:dyDescent="0.25">
      <c r="A20" s="215" t="s">
        <v>835</v>
      </c>
      <c r="B20" s="64">
        <v>44.47</v>
      </c>
      <c r="C20" s="64">
        <v>49.4</v>
      </c>
      <c r="D20" s="64">
        <v>60.09</v>
      </c>
      <c r="E20" s="64">
        <v>5.41</v>
      </c>
      <c r="F20" s="64">
        <v>4.07</v>
      </c>
      <c r="G20" s="64">
        <v>42.44</v>
      </c>
      <c r="H20" s="64">
        <v>50.75</v>
      </c>
      <c r="I20" s="64">
        <v>12.46</v>
      </c>
      <c r="J20" s="64">
        <v>1.48</v>
      </c>
      <c r="K20" s="64">
        <v>99.14</v>
      </c>
      <c r="L20" s="64">
        <v>17.739999999999998</v>
      </c>
      <c r="M20" s="64">
        <v>62.29</v>
      </c>
      <c r="N20" s="64">
        <v>86.9</v>
      </c>
      <c r="O20" s="64">
        <v>0</v>
      </c>
      <c r="P20" s="64">
        <v>1.48</v>
      </c>
      <c r="Q20" s="64">
        <v>10.28</v>
      </c>
      <c r="R20" s="198"/>
      <c r="S20" s="198"/>
      <c r="T20" s="198"/>
      <c r="U20" s="198"/>
    </row>
    <row r="21" spans="1:21" s="12" customFormat="1" x14ac:dyDescent="0.25">
      <c r="A21" s="215" t="s">
        <v>836</v>
      </c>
      <c r="B21" s="64">
        <v>40.44</v>
      </c>
      <c r="C21" s="64">
        <v>46.1</v>
      </c>
      <c r="D21" s="64">
        <v>55.14</v>
      </c>
      <c r="E21" s="64">
        <v>4.91</v>
      </c>
      <c r="F21" s="64">
        <v>3.46</v>
      </c>
      <c r="G21" s="64">
        <v>44.1</v>
      </c>
      <c r="H21" s="64">
        <v>47.19</v>
      </c>
      <c r="I21" s="64">
        <v>11.87</v>
      </c>
      <c r="J21" s="64">
        <v>1.35</v>
      </c>
      <c r="K21" s="64">
        <v>102.99</v>
      </c>
      <c r="L21" s="64">
        <v>17.579999999999998</v>
      </c>
      <c r="M21" s="64">
        <v>62.61</v>
      </c>
      <c r="N21" s="64">
        <v>99.3</v>
      </c>
      <c r="O21" s="64">
        <v>0</v>
      </c>
      <c r="P21" s="64">
        <v>1.36</v>
      </c>
      <c r="Q21" s="64">
        <v>10.24</v>
      </c>
      <c r="R21" s="198"/>
      <c r="S21" s="198"/>
      <c r="T21" s="198"/>
      <c r="U21" s="198"/>
    </row>
    <row r="22" spans="1:21" s="12" customFormat="1" x14ac:dyDescent="0.25">
      <c r="A22" s="215" t="s">
        <v>837</v>
      </c>
      <c r="B22" s="64">
        <v>36.83</v>
      </c>
      <c r="C22" s="64">
        <v>42.26</v>
      </c>
      <c r="D22" s="64">
        <v>50.23</v>
      </c>
      <c r="E22" s="64">
        <v>5.07</v>
      </c>
      <c r="F22" s="64">
        <v>3.46</v>
      </c>
      <c r="G22" s="64">
        <v>44.1</v>
      </c>
      <c r="H22" s="64">
        <v>47.19</v>
      </c>
      <c r="I22" s="64">
        <v>11.56</v>
      </c>
      <c r="J22" s="64">
        <v>1.59</v>
      </c>
      <c r="K22" s="64">
        <v>97.81</v>
      </c>
      <c r="L22" s="64">
        <v>17.510000000000002</v>
      </c>
      <c r="M22" s="64">
        <v>61.36</v>
      </c>
      <c r="N22" s="64">
        <v>99.3</v>
      </c>
      <c r="O22" s="64">
        <v>0</v>
      </c>
      <c r="P22" s="64">
        <v>1.1599999999999999</v>
      </c>
      <c r="Q22" s="64">
        <v>10.15</v>
      </c>
      <c r="R22" s="198"/>
      <c r="S22" s="198"/>
      <c r="T22" s="198"/>
      <c r="U22" s="198"/>
    </row>
    <row r="23" spans="1:21" s="12" customFormat="1" x14ac:dyDescent="0.25">
      <c r="A23" s="215" t="s">
        <v>838</v>
      </c>
      <c r="B23" s="64">
        <v>33.85</v>
      </c>
      <c r="C23" s="64">
        <v>43.4</v>
      </c>
      <c r="D23" s="64">
        <v>48.44</v>
      </c>
      <c r="E23" s="64">
        <v>4.8499999999999996</v>
      </c>
      <c r="F23" s="64">
        <v>3.48</v>
      </c>
      <c r="G23" s="64">
        <v>44.1</v>
      </c>
      <c r="H23" s="64">
        <v>47.19</v>
      </c>
      <c r="I23" s="64">
        <v>10.25</v>
      </c>
      <c r="J23" s="64">
        <v>0.9</v>
      </c>
      <c r="K23" s="64">
        <v>85.2</v>
      </c>
      <c r="L23" s="64">
        <v>17.47</v>
      </c>
      <c r="M23" s="64">
        <v>60.7</v>
      </c>
      <c r="N23" s="64">
        <v>105.4</v>
      </c>
      <c r="O23" s="64">
        <v>0</v>
      </c>
      <c r="P23" s="64">
        <v>1.02</v>
      </c>
      <c r="Q23" s="64">
        <v>10.1</v>
      </c>
      <c r="R23" s="198"/>
      <c r="S23" s="198"/>
      <c r="T23" s="198"/>
      <c r="U23" s="198"/>
    </row>
    <row r="24" spans="1:21" s="12" customFormat="1" x14ac:dyDescent="0.25">
      <c r="A24" s="215" t="s">
        <v>839</v>
      </c>
      <c r="B24" s="64">
        <v>31.41</v>
      </c>
      <c r="C24" s="64">
        <v>43.89</v>
      </c>
      <c r="D24" s="64">
        <v>46.74</v>
      </c>
      <c r="E24" s="64">
        <v>5.13</v>
      </c>
      <c r="F24" s="64">
        <v>3.58</v>
      </c>
      <c r="G24" s="64">
        <v>33.590000000000003</v>
      </c>
      <c r="H24" s="64">
        <v>40.049999999999997</v>
      </c>
      <c r="I24" s="64">
        <v>8.93</v>
      </c>
      <c r="J24" s="64">
        <v>1</v>
      </c>
      <c r="K24" s="64">
        <v>105.93</v>
      </c>
      <c r="L24" s="64">
        <v>17.53</v>
      </c>
      <c r="M24" s="64">
        <v>60.66</v>
      </c>
      <c r="N24" s="64">
        <v>102.2</v>
      </c>
      <c r="O24" s="64">
        <v>0</v>
      </c>
      <c r="P24" s="64">
        <v>0.97</v>
      </c>
      <c r="Q24" s="64">
        <v>9.99</v>
      </c>
      <c r="R24" s="198"/>
      <c r="S24" s="198"/>
      <c r="T24" s="198"/>
      <c r="U24" s="198"/>
    </row>
    <row r="25" spans="1:21" s="12" customFormat="1" x14ac:dyDescent="0.25">
      <c r="A25" s="215" t="s">
        <v>840</v>
      </c>
      <c r="B25" s="64">
        <v>29.19</v>
      </c>
      <c r="C25" s="64">
        <v>43.45</v>
      </c>
      <c r="D25" s="64">
        <v>44.73</v>
      </c>
      <c r="E25" s="64">
        <v>5.09</v>
      </c>
      <c r="F25" s="64">
        <v>3.84</v>
      </c>
      <c r="G25" s="64">
        <v>25.55</v>
      </c>
      <c r="H25" s="64">
        <v>37.630000000000003</v>
      </c>
      <c r="I25" s="64">
        <v>9.3000000000000007</v>
      </c>
      <c r="J25" s="64">
        <v>1.41</v>
      </c>
      <c r="K25" s="64">
        <v>100.14</v>
      </c>
      <c r="L25" s="64">
        <v>17.53</v>
      </c>
      <c r="M25" s="64">
        <v>61.39</v>
      </c>
      <c r="N25" s="64">
        <v>99.6</v>
      </c>
      <c r="O25" s="64">
        <v>0</v>
      </c>
      <c r="P25" s="64">
        <v>0.96</v>
      </c>
      <c r="Q25" s="64">
        <v>9.3699999999999992</v>
      </c>
      <c r="R25" s="198"/>
      <c r="S25" s="198"/>
      <c r="T25" s="198"/>
      <c r="U25" s="198"/>
    </row>
    <row r="26" spans="1:21" s="12" customFormat="1" x14ac:dyDescent="0.25">
      <c r="A26" s="215" t="s">
        <v>841</v>
      </c>
      <c r="B26" s="64">
        <v>27.14</v>
      </c>
      <c r="C26" s="64">
        <v>43.19</v>
      </c>
      <c r="D26" s="64">
        <v>42.95</v>
      </c>
      <c r="E26" s="64">
        <v>5.19</v>
      </c>
      <c r="F26" s="64">
        <v>3.89</v>
      </c>
      <c r="G26" s="64">
        <v>25.55</v>
      </c>
      <c r="H26" s="64">
        <v>37.630000000000003</v>
      </c>
      <c r="I26" s="64">
        <v>8.4700000000000006</v>
      </c>
      <c r="J26" s="64">
        <v>1.31</v>
      </c>
      <c r="K26" s="64">
        <v>342.14</v>
      </c>
      <c r="L26" s="64">
        <v>17.52</v>
      </c>
      <c r="M26" s="64">
        <v>62.09</v>
      </c>
      <c r="N26" s="64">
        <v>102.6</v>
      </c>
      <c r="O26" s="64">
        <v>0</v>
      </c>
      <c r="P26" s="64">
        <v>0.86</v>
      </c>
      <c r="Q26" s="64">
        <v>9.09</v>
      </c>
      <c r="R26" s="198"/>
      <c r="S26" s="198"/>
      <c r="T26" s="198"/>
      <c r="U26" s="198"/>
    </row>
    <row r="27" spans="1:21" s="12" customFormat="1" x14ac:dyDescent="0.25">
      <c r="A27" s="215" t="s">
        <v>842</v>
      </c>
      <c r="B27" s="64">
        <v>25.33</v>
      </c>
      <c r="C27" s="64">
        <v>42.59</v>
      </c>
      <c r="D27" s="64">
        <v>41.19</v>
      </c>
      <c r="E27" s="64">
        <v>4.67</v>
      </c>
      <c r="F27" s="64">
        <v>3.9</v>
      </c>
      <c r="G27" s="64">
        <v>25.55</v>
      </c>
      <c r="H27" s="64">
        <v>37.630000000000003</v>
      </c>
      <c r="I27" s="64">
        <v>8.0299999999999994</v>
      </c>
      <c r="J27" s="64">
        <v>0.8</v>
      </c>
      <c r="K27" s="64">
        <v>354.64</v>
      </c>
      <c r="L27" s="64">
        <v>17.39</v>
      </c>
      <c r="M27" s="64">
        <v>62.37</v>
      </c>
      <c r="N27" s="64">
        <v>95.7</v>
      </c>
      <c r="O27" s="64">
        <v>0</v>
      </c>
      <c r="P27" s="64">
        <v>0.88</v>
      </c>
      <c r="Q27" s="64">
        <v>9.25</v>
      </c>
      <c r="R27" s="198"/>
      <c r="S27" s="198"/>
      <c r="T27" s="198"/>
      <c r="U27" s="198"/>
    </row>
    <row r="28" spans="1:21" s="12" customFormat="1" x14ac:dyDescent="0.25">
      <c r="A28" s="215" t="s">
        <v>843</v>
      </c>
      <c r="B28" s="64">
        <v>23.66</v>
      </c>
      <c r="C28" s="64">
        <v>42.35</v>
      </c>
      <c r="D28" s="64">
        <v>39.729999999999997</v>
      </c>
      <c r="E28" s="64">
        <v>5.01</v>
      </c>
      <c r="F28" s="64">
        <v>3.65</v>
      </c>
      <c r="G28" s="64">
        <v>35.11</v>
      </c>
      <c r="H28" s="64">
        <v>32.299999999999997</v>
      </c>
      <c r="I28" s="64">
        <v>8.4700000000000006</v>
      </c>
      <c r="J28" s="64">
        <v>0.24</v>
      </c>
      <c r="K28" s="64">
        <v>61.74</v>
      </c>
      <c r="L28" s="64">
        <v>17.350000000000001</v>
      </c>
      <c r="M28" s="64">
        <v>62.79</v>
      </c>
      <c r="N28" s="64">
        <v>96.9</v>
      </c>
      <c r="O28" s="64">
        <v>0</v>
      </c>
      <c r="P28" s="64">
        <v>0.8</v>
      </c>
      <c r="Q28" s="64">
        <v>9.26</v>
      </c>
      <c r="R28" s="198"/>
      <c r="S28" s="198"/>
      <c r="T28" s="198"/>
      <c r="U28" s="198"/>
    </row>
    <row r="29" spans="1:21" s="12" customFormat="1" x14ac:dyDescent="0.25">
      <c r="A29" s="215" t="s">
        <v>844</v>
      </c>
      <c r="B29" s="64">
        <v>22.31</v>
      </c>
      <c r="C29" s="64">
        <v>43.65</v>
      </c>
      <c r="D29" s="64">
        <v>39.32</v>
      </c>
      <c r="E29" s="64">
        <v>4.5599999999999996</v>
      </c>
      <c r="F29" s="64">
        <v>3.66</v>
      </c>
      <c r="G29" s="64">
        <v>42.41</v>
      </c>
      <c r="H29" s="64">
        <v>30.48</v>
      </c>
      <c r="I29" s="64">
        <v>8.39</v>
      </c>
      <c r="J29" s="64">
        <v>0.91</v>
      </c>
      <c r="K29" s="64">
        <v>338.08</v>
      </c>
      <c r="L29" s="64">
        <v>17.420000000000002</v>
      </c>
      <c r="M29" s="64">
        <v>61.85</v>
      </c>
      <c r="N29" s="64">
        <v>100.8</v>
      </c>
      <c r="O29" s="64">
        <v>0</v>
      </c>
      <c r="P29" s="64">
        <v>0.82</v>
      </c>
      <c r="Q29" s="64">
        <v>9.14</v>
      </c>
      <c r="R29" s="198"/>
      <c r="S29" s="198"/>
      <c r="T29" s="198"/>
      <c r="U29" s="198"/>
    </row>
    <row r="30" spans="1:21" s="12" customFormat="1" x14ac:dyDescent="0.25">
      <c r="A30" s="215" t="s">
        <v>845</v>
      </c>
      <c r="B30" s="64">
        <v>21.19</v>
      </c>
      <c r="C30" s="64">
        <v>46.42</v>
      </c>
      <c r="D30" s="64">
        <v>39.869999999999997</v>
      </c>
      <c r="E30" s="64">
        <v>4.7</v>
      </c>
      <c r="F30" s="64">
        <v>3.83</v>
      </c>
      <c r="G30" s="64">
        <v>42.41</v>
      </c>
      <c r="H30" s="64">
        <v>30.48</v>
      </c>
      <c r="I30" s="64">
        <v>8.68</v>
      </c>
      <c r="J30" s="64">
        <v>0.84</v>
      </c>
      <c r="K30" s="64">
        <v>322.27999999999997</v>
      </c>
      <c r="L30" s="64">
        <v>17.38</v>
      </c>
      <c r="M30" s="64">
        <v>61.29</v>
      </c>
      <c r="N30" s="64">
        <v>108.5</v>
      </c>
      <c r="O30" s="64">
        <v>0</v>
      </c>
      <c r="P30" s="64">
        <v>0.8</v>
      </c>
      <c r="Q30" s="64">
        <v>8.9600000000000009</v>
      </c>
      <c r="R30" s="198"/>
      <c r="S30" s="198"/>
      <c r="T30" s="198"/>
      <c r="U30" s="198"/>
    </row>
    <row r="31" spans="1:21" s="12" customFormat="1" x14ac:dyDescent="0.25">
      <c r="A31" s="215" t="s">
        <v>846</v>
      </c>
      <c r="B31" s="64">
        <v>20</v>
      </c>
      <c r="C31" s="64">
        <v>44.24</v>
      </c>
      <c r="D31" s="64">
        <v>37.78</v>
      </c>
      <c r="E31" s="64">
        <v>4.4400000000000004</v>
      </c>
      <c r="F31" s="64">
        <v>4.0999999999999996</v>
      </c>
      <c r="G31" s="64">
        <v>42.41</v>
      </c>
      <c r="H31" s="64">
        <v>30.48</v>
      </c>
      <c r="I31" s="64">
        <v>9.1300000000000008</v>
      </c>
      <c r="J31" s="64">
        <v>0.79</v>
      </c>
      <c r="K31" s="64">
        <v>355.69</v>
      </c>
      <c r="L31" s="64">
        <v>17.3</v>
      </c>
      <c r="M31" s="64">
        <v>61.81</v>
      </c>
      <c r="N31" s="64">
        <v>109.5</v>
      </c>
      <c r="O31" s="64">
        <v>0</v>
      </c>
      <c r="P31" s="64">
        <v>0.74</v>
      </c>
      <c r="Q31" s="64">
        <v>8.6999999999999993</v>
      </c>
      <c r="R31" s="198"/>
      <c r="S31" s="198"/>
      <c r="T31" s="198"/>
      <c r="U31" s="198"/>
    </row>
    <row r="32" spans="1:21" s="12" customFormat="1" x14ac:dyDescent="0.25">
      <c r="A32" s="215" t="s">
        <v>847</v>
      </c>
      <c r="B32" s="64">
        <v>18.88</v>
      </c>
      <c r="C32" s="64">
        <v>44.77</v>
      </c>
      <c r="D32" s="64">
        <v>37.15</v>
      </c>
      <c r="E32" s="64">
        <v>4.8499999999999996</v>
      </c>
      <c r="F32" s="64">
        <v>3.99</v>
      </c>
      <c r="G32" s="64">
        <v>44.55</v>
      </c>
      <c r="H32" s="64">
        <v>26.91</v>
      </c>
      <c r="I32" s="64">
        <v>9.0500000000000007</v>
      </c>
      <c r="J32" s="64">
        <v>0.71</v>
      </c>
      <c r="K32" s="64">
        <v>323.14</v>
      </c>
      <c r="L32" s="64">
        <v>17.13</v>
      </c>
      <c r="M32" s="64">
        <v>63</v>
      </c>
      <c r="N32" s="64">
        <v>107</v>
      </c>
      <c r="O32" s="64">
        <v>0</v>
      </c>
      <c r="P32" s="64">
        <v>0.7</v>
      </c>
      <c r="Q32" s="64">
        <v>8.59</v>
      </c>
      <c r="R32" s="198"/>
      <c r="S32" s="198"/>
      <c r="T32" s="198"/>
      <c r="U32" s="198"/>
    </row>
    <row r="33" spans="1:21" s="12" customFormat="1" x14ac:dyDescent="0.25">
      <c r="A33" s="215" t="s">
        <v>848</v>
      </c>
      <c r="B33" s="64">
        <v>18.34</v>
      </c>
      <c r="C33" s="64">
        <v>44.84</v>
      </c>
      <c r="D33" s="64">
        <v>36.76</v>
      </c>
      <c r="E33" s="64">
        <v>4.58</v>
      </c>
      <c r="F33" s="64">
        <v>3.66</v>
      </c>
      <c r="G33" s="64">
        <v>46.19</v>
      </c>
      <c r="H33" s="64">
        <v>24.58</v>
      </c>
      <c r="I33" s="64">
        <v>8.85</v>
      </c>
      <c r="J33" s="64">
        <v>0.57999999999999996</v>
      </c>
      <c r="K33" s="64">
        <v>106.99</v>
      </c>
      <c r="L33" s="64">
        <v>16.78</v>
      </c>
      <c r="M33" s="64">
        <v>64.77</v>
      </c>
      <c r="N33" s="64">
        <v>105.9</v>
      </c>
      <c r="O33" s="64">
        <v>0</v>
      </c>
      <c r="P33" s="64">
        <v>0.67</v>
      </c>
      <c r="Q33" s="64">
        <v>8.52</v>
      </c>
      <c r="R33" s="198"/>
      <c r="S33" s="198"/>
      <c r="T33" s="198"/>
      <c r="U33" s="198"/>
    </row>
    <row r="34" spans="1:21" s="12" customFormat="1" x14ac:dyDescent="0.25">
      <c r="A34" s="215" t="s">
        <v>849</v>
      </c>
      <c r="B34" s="64">
        <v>18.11</v>
      </c>
      <c r="C34" s="64">
        <v>44.08</v>
      </c>
      <c r="D34" s="64">
        <v>36.18</v>
      </c>
      <c r="E34" s="64">
        <v>4.67</v>
      </c>
      <c r="F34" s="64">
        <v>3.85</v>
      </c>
      <c r="G34" s="64">
        <v>46.19</v>
      </c>
      <c r="H34" s="64">
        <v>24.58</v>
      </c>
      <c r="I34" s="64">
        <v>8.57</v>
      </c>
      <c r="J34" s="64">
        <v>0.4</v>
      </c>
      <c r="K34" s="64">
        <v>69.33</v>
      </c>
      <c r="L34" s="64">
        <v>16.64</v>
      </c>
      <c r="M34" s="64">
        <v>66.44</v>
      </c>
      <c r="N34" s="64">
        <v>108.5</v>
      </c>
      <c r="O34" s="64">
        <v>0</v>
      </c>
      <c r="P34" s="64">
        <v>0.63</v>
      </c>
      <c r="Q34" s="64">
        <v>8.49</v>
      </c>
      <c r="R34" s="198"/>
      <c r="S34" s="198"/>
      <c r="T34" s="198"/>
      <c r="U34" s="198"/>
    </row>
    <row r="35" spans="1:21" s="12" customFormat="1" x14ac:dyDescent="0.25">
      <c r="A35" s="215" t="s">
        <v>850</v>
      </c>
      <c r="B35" s="64">
        <v>18.11</v>
      </c>
      <c r="C35" s="64">
        <v>43.6</v>
      </c>
      <c r="D35" s="64">
        <v>35.93</v>
      </c>
      <c r="E35" s="64">
        <v>4.53</v>
      </c>
      <c r="F35" s="64">
        <v>3.47</v>
      </c>
      <c r="G35" s="64">
        <v>46.19</v>
      </c>
      <c r="H35" s="64">
        <v>24.58</v>
      </c>
      <c r="I35" s="64">
        <v>8.2899999999999991</v>
      </c>
      <c r="J35" s="64">
        <v>0.78</v>
      </c>
      <c r="K35" s="64">
        <v>93.86</v>
      </c>
      <c r="L35" s="64">
        <v>16.68</v>
      </c>
      <c r="M35" s="64">
        <v>65.819999999999993</v>
      </c>
      <c r="N35" s="64">
        <v>110.7</v>
      </c>
      <c r="O35" s="64">
        <v>0</v>
      </c>
      <c r="P35" s="64">
        <v>0.6</v>
      </c>
      <c r="Q35" s="64">
        <v>8.51</v>
      </c>
      <c r="R35" s="198"/>
      <c r="S35" s="198"/>
      <c r="T35" s="198"/>
      <c r="U35" s="198"/>
    </row>
    <row r="36" spans="1:21" s="12" customFormat="1" x14ac:dyDescent="0.25">
      <c r="A36" s="215" t="s">
        <v>851</v>
      </c>
      <c r="B36" s="64">
        <v>18.13</v>
      </c>
      <c r="C36" s="64">
        <v>45.65</v>
      </c>
      <c r="D36" s="64">
        <v>37.01</v>
      </c>
      <c r="E36" s="64">
        <v>4.6399999999999997</v>
      </c>
      <c r="F36" s="64">
        <v>3.5</v>
      </c>
      <c r="G36" s="64">
        <v>42.66</v>
      </c>
      <c r="H36" s="64">
        <v>23.09</v>
      </c>
      <c r="I36" s="64">
        <v>8.01</v>
      </c>
      <c r="J36" s="64">
        <v>1.1599999999999999</v>
      </c>
      <c r="K36" s="64">
        <v>330.07</v>
      </c>
      <c r="L36" s="64">
        <v>16.600000000000001</v>
      </c>
      <c r="M36" s="64">
        <v>67.67</v>
      </c>
      <c r="N36" s="64">
        <v>123.1</v>
      </c>
      <c r="O36" s="64">
        <v>0</v>
      </c>
      <c r="P36" s="64">
        <v>0.57999999999999996</v>
      </c>
      <c r="Q36" s="64">
        <v>8.49</v>
      </c>
      <c r="R36" s="198"/>
      <c r="S36" s="198"/>
      <c r="T36" s="198"/>
      <c r="U36" s="198"/>
    </row>
    <row r="37" spans="1:21" s="12" customFormat="1" x14ac:dyDescent="0.25">
      <c r="A37" s="215" t="s">
        <v>852</v>
      </c>
      <c r="B37" s="64">
        <v>18.59</v>
      </c>
      <c r="C37" s="64">
        <v>43.6</v>
      </c>
      <c r="D37" s="64">
        <v>36.31</v>
      </c>
      <c r="E37" s="64">
        <v>4.87</v>
      </c>
      <c r="F37" s="64">
        <v>3.65</v>
      </c>
      <c r="G37" s="64">
        <v>39.840000000000003</v>
      </c>
      <c r="H37" s="64">
        <v>22.59</v>
      </c>
      <c r="I37" s="64">
        <v>7.86</v>
      </c>
      <c r="J37" s="64">
        <v>1.28</v>
      </c>
      <c r="K37" s="64">
        <v>350.56</v>
      </c>
      <c r="L37" s="64">
        <v>16.71</v>
      </c>
      <c r="M37" s="64">
        <v>67.709999999999994</v>
      </c>
      <c r="N37" s="64">
        <v>127.2</v>
      </c>
      <c r="O37" s="64">
        <v>0</v>
      </c>
      <c r="P37" s="64">
        <v>0.82</v>
      </c>
      <c r="Q37" s="64">
        <v>8.51</v>
      </c>
      <c r="R37" s="198"/>
      <c r="S37" s="198"/>
      <c r="T37" s="198"/>
      <c r="U37" s="198"/>
    </row>
    <row r="38" spans="1:21" s="12" customFormat="1" x14ac:dyDescent="0.25">
      <c r="A38" s="215" t="s">
        <v>853</v>
      </c>
      <c r="B38" s="64">
        <v>19.28</v>
      </c>
      <c r="C38" s="64">
        <v>45.3</v>
      </c>
      <c r="D38" s="64">
        <v>37.75</v>
      </c>
      <c r="E38" s="64">
        <v>4.7</v>
      </c>
      <c r="F38" s="64">
        <v>3.54</v>
      </c>
      <c r="G38" s="64">
        <v>39.840000000000003</v>
      </c>
      <c r="H38" s="64">
        <v>22.59</v>
      </c>
      <c r="I38" s="64">
        <v>7.69</v>
      </c>
      <c r="J38" s="64">
        <v>0.66</v>
      </c>
      <c r="K38" s="64">
        <v>31.19</v>
      </c>
      <c r="L38" s="64">
        <v>16.8</v>
      </c>
      <c r="M38" s="64">
        <v>67.97</v>
      </c>
      <c r="N38" s="64">
        <v>127.1</v>
      </c>
      <c r="O38" s="64">
        <v>0</v>
      </c>
      <c r="P38" s="64">
        <v>0.84</v>
      </c>
      <c r="Q38" s="64">
        <v>8.59</v>
      </c>
      <c r="R38" s="198"/>
      <c r="S38" s="198"/>
      <c r="T38" s="198"/>
      <c r="U38" s="198"/>
    </row>
    <row r="39" spans="1:21" s="12" customFormat="1" x14ac:dyDescent="0.25">
      <c r="A39" s="215" t="s">
        <v>854</v>
      </c>
      <c r="B39" s="64">
        <v>19.47</v>
      </c>
      <c r="C39" s="64">
        <v>41.92</v>
      </c>
      <c r="D39" s="64">
        <v>36.130000000000003</v>
      </c>
      <c r="E39" s="64">
        <v>4.5</v>
      </c>
      <c r="F39" s="64">
        <v>3.97</v>
      </c>
      <c r="G39" s="64">
        <v>39.840000000000003</v>
      </c>
      <c r="H39" s="64">
        <v>22.59</v>
      </c>
      <c r="I39" s="64">
        <v>7.55</v>
      </c>
      <c r="J39" s="64">
        <v>1.1399999999999999</v>
      </c>
      <c r="K39" s="64">
        <v>92.66</v>
      </c>
      <c r="L39" s="64">
        <v>16.93</v>
      </c>
      <c r="M39" s="64">
        <v>67.680000000000007</v>
      </c>
      <c r="N39" s="64">
        <v>138.4</v>
      </c>
      <c r="O39" s="64">
        <v>0</v>
      </c>
      <c r="P39" s="64">
        <v>0.79</v>
      </c>
      <c r="Q39" s="64">
        <v>8.5500000000000007</v>
      </c>
      <c r="R39" s="198"/>
      <c r="S39" s="198"/>
      <c r="T39" s="198"/>
      <c r="U39" s="198"/>
    </row>
    <row r="40" spans="1:21" s="12" customFormat="1" x14ac:dyDescent="0.25">
      <c r="A40" s="215" t="s">
        <v>855</v>
      </c>
      <c r="B40" s="64">
        <v>19.399999999999999</v>
      </c>
      <c r="C40" s="64">
        <v>42.01</v>
      </c>
      <c r="D40" s="64">
        <v>36.130000000000003</v>
      </c>
      <c r="E40" s="64">
        <v>6.09</v>
      </c>
      <c r="F40" s="64">
        <v>3.74</v>
      </c>
      <c r="G40" s="64">
        <v>46.22</v>
      </c>
      <c r="H40" s="64">
        <v>25.2</v>
      </c>
      <c r="I40" s="64">
        <v>7.22</v>
      </c>
      <c r="J40" s="64">
        <v>0.94</v>
      </c>
      <c r="K40" s="64">
        <v>79.180000000000007</v>
      </c>
      <c r="L40" s="64">
        <v>17.13</v>
      </c>
      <c r="M40" s="64">
        <v>66.88</v>
      </c>
      <c r="N40" s="64">
        <v>143.30000000000001</v>
      </c>
      <c r="O40" s="64">
        <v>0</v>
      </c>
      <c r="P40" s="64">
        <v>0.77</v>
      </c>
      <c r="Q40" s="64">
        <v>8.4600000000000009</v>
      </c>
      <c r="R40" s="198"/>
      <c r="S40" s="198"/>
      <c r="T40" s="198"/>
      <c r="U40" s="198"/>
    </row>
    <row r="41" spans="1:21" s="12" customFormat="1" x14ac:dyDescent="0.25">
      <c r="A41" s="215" t="s">
        <v>856</v>
      </c>
      <c r="B41" s="64">
        <v>19.32</v>
      </c>
      <c r="C41" s="64">
        <v>42.18</v>
      </c>
      <c r="D41" s="64">
        <v>36.15</v>
      </c>
      <c r="E41" s="64">
        <v>6.93</v>
      </c>
      <c r="F41" s="64">
        <v>3.55</v>
      </c>
      <c r="G41" s="64">
        <v>51.1</v>
      </c>
      <c r="H41" s="64">
        <v>26.09</v>
      </c>
      <c r="I41" s="64">
        <v>6.33</v>
      </c>
      <c r="J41" s="64">
        <v>1.54</v>
      </c>
      <c r="K41" s="64">
        <v>106.33</v>
      </c>
      <c r="L41" s="64">
        <v>17.09</v>
      </c>
      <c r="M41" s="64">
        <v>67.180000000000007</v>
      </c>
      <c r="N41" s="64">
        <v>112</v>
      </c>
      <c r="O41" s="64">
        <v>0</v>
      </c>
      <c r="P41" s="64">
        <v>0.77</v>
      </c>
      <c r="Q41" s="64">
        <v>8.23</v>
      </c>
      <c r="R41" s="198"/>
      <c r="S41" s="198"/>
      <c r="T41" s="198"/>
      <c r="U41" s="198"/>
    </row>
    <row r="42" spans="1:21" s="12" customFormat="1" x14ac:dyDescent="0.25">
      <c r="A42" s="215" t="s">
        <v>857</v>
      </c>
      <c r="B42" s="64">
        <v>19.09</v>
      </c>
      <c r="C42" s="64">
        <v>42.4</v>
      </c>
      <c r="D42" s="64">
        <v>36.08</v>
      </c>
      <c r="E42" s="64">
        <v>7.23</v>
      </c>
      <c r="F42" s="64">
        <v>3.58</v>
      </c>
      <c r="G42" s="64">
        <v>51.1</v>
      </c>
      <c r="H42" s="64">
        <v>26.09</v>
      </c>
      <c r="I42" s="64">
        <v>6.07</v>
      </c>
      <c r="J42" s="64">
        <v>2.5299999999999998</v>
      </c>
      <c r="K42" s="64">
        <v>116.45</v>
      </c>
      <c r="L42" s="64">
        <v>17.05</v>
      </c>
      <c r="M42" s="64">
        <v>68.64</v>
      </c>
      <c r="N42" s="64">
        <v>169.7</v>
      </c>
      <c r="O42" s="64">
        <v>0</v>
      </c>
      <c r="P42" s="64">
        <v>0.76</v>
      </c>
      <c r="Q42" s="64">
        <v>8.2100000000000009</v>
      </c>
      <c r="R42" s="198"/>
      <c r="S42" s="198"/>
      <c r="T42" s="198"/>
      <c r="U42" s="198"/>
    </row>
    <row r="43" spans="1:21" s="12" customFormat="1" x14ac:dyDescent="0.25">
      <c r="A43" s="215" t="s">
        <v>858</v>
      </c>
      <c r="B43" s="64">
        <v>18.559999999999999</v>
      </c>
      <c r="C43" s="64">
        <v>42.02</v>
      </c>
      <c r="D43" s="64">
        <v>35.46</v>
      </c>
      <c r="E43" s="64">
        <v>6.93</v>
      </c>
      <c r="F43" s="64">
        <v>4.0199999999999996</v>
      </c>
      <c r="G43" s="64">
        <v>51.1</v>
      </c>
      <c r="H43" s="64">
        <v>26.09</v>
      </c>
      <c r="I43" s="64">
        <v>6.66</v>
      </c>
      <c r="J43" s="64">
        <v>1.69</v>
      </c>
      <c r="K43" s="64">
        <v>104.78</v>
      </c>
      <c r="L43" s="64">
        <v>17.170000000000002</v>
      </c>
      <c r="M43" s="64">
        <v>68.739999999999995</v>
      </c>
      <c r="N43" s="64">
        <v>189.1</v>
      </c>
      <c r="O43" s="64">
        <v>0</v>
      </c>
      <c r="P43" s="64">
        <v>0.74</v>
      </c>
      <c r="Q43" s="64">
        <v>8.24</v>
      </c>
      <c r="R43" s="198"/>
      <c r="S43" s="198"/>
      <c r="T43" s="198"/>
      <c r="U43" s="198"/>
    </row>
    <row r="44" spans="1:21" s="12" customFormat="1" x14ac:dyDescent="0.25">
      <c r="A44" s="215" t="s">
        <v>859</v>
      </c>
      <c r="B44" s="64">
        <v>18.29</v>
      </c>
      <c r="C44" s="64">
        <v>41.84</v>
      </c>
      <c r="D44" s="64">
        <v>35.15</v>
      </c>
      <c r="E44" s="64">
        <v>6.84</v>
      </c>
      <c r="F44" s="64">
        <v>3.4</v>
      </c>
      <c r="G44" s="64">
        <v>50.3</v>
      </c>
      <c r="H44" s="64">
        <v>25.78</v>
      </c>
      <c r="I44" s="64">
        <v>7.22</v>
      </c>
      <c r="J44" s="64">
        <v>1.92</v>
      </c>
      <c r="K44" s="64">
        <v>102.73</v>
      </c>
      <c r="L44" s="64">
        <v>17.57</v>
      </c>
      <c r="M44" s="64">
        <v>67.92</v>
      </c>
      <c r="N44" s="64">
        <v>184.6</v>
      </c>
      <c r="O44" s="64">
        <v>0</v>
      </c>
      <c r="P44" s="64">
        <v>0.75</v>
      </c>
      <c r="Q44" s="64">
        <v>8.44</v>
      </c>
      <c r="R44" s="198"/>
      <c r="S44" s="198"/>
      <c r="T44" s="198"/>
      <c r="U44" s="198"/>
    </row>
    <row r="45" spans="1:21" s="12" customFormat="1" x14ac:dyDescent="0.25">
      <c r="A45" s="215" t="s">
        <v>860</v>
      </c>
      <c r="B45" s="64">
        <v>18.059999999999999</v>
      </c>
      <c r="C45" s="64">
        <v>41.65</v>
      </c>
      <c r="D45" s="64">
        <v>34.869999999999997</v>
      </c>
      <c r="E45" s="64">
        <v>6.79</v>
      </c>
      <c r="F45" s="64">
        <v>3.41</v>
      </c>
      <c r="G45" s="64">
        <v>49.69</v>
      </c>
      <c r="H45" s="64">
        <v>25.67</v>
      </c>
      <c r="I45" s="64">
        <v>6.71</v>
      </c>
      <c r="J45" s="64">
        <v>2.56</v>
      </c>
      <c r="K45" s="64">
        <v>107.13</v>
      </c>
      <c r="L45" s="64">
        <v>17.559999999999999</v>
      </c>
      <c r="M45" s="64">
        <v>67.510000000000005</v>
      </c>
      <c r="N45" s="64">
        <v>143.80000000000001</v>
      </c>
      <c r="O45" s="64">
        <v>0</v>
      </c>
      <c r="P45" s="64">
        <v>0.73</v>
      </c>
      <c r="Q45" s="64">
        <v>8.48</v>
      </c>
      <c r="R45" s="198"/>
      <c r="S45" s="198"/>
      <c r="T45" s="198"/>
      <c r="U45" s="198"/>
    </row>
    <row r="46" spans="1:21" s="12" customFormat="1" x14ac:dyDescent="0.25">
      <c r="A46" s="215" t="s">
        <v>861</v>
      </c>
      <c r="B46" s="64">
        <v>17.62</v>
      </c>
      <c r="C46" s="64">
        <v>40.56</v>
      </c>
      <c r="D46" s="64">
        <v>33.950000000000003</v>
      </c>
      <c r="E46" s="64">
        <v>7</v>
      </c>
      <c r="F46" s="64">
        <v>3.75</v>
      </c>
      <c r="G46" s="64">
        <v>49.69</v>
      </c>
      <c r="H46" s="64">
        <v>25.67</v>
      </c>
      <c r="I46" s="64">
        <v>7.49</v>
      </c>
      <c r="J46" s="64">
        <v>3.11</v>
      </c>
      <c r="K46" s="64">
        <v>114.32</v>
      </c>
      <c r="L46" s="64">
        <v>17.82</v>
      </c>
      <c r="M46" s="64">
        <v>66.61</v>
      </c>
      <c r="N46" s="64">
        <v>209.1</v>
      </c>
      <c r="O46" s="64">
        <v>0</v>
      </c>
      <c r="P46" s="64">
        <v>0.72</v>
      </c>
      <c r="Q46" s="64">
        <v>8.39</v>
      </c>
      <c r="R46" s="198"/>
      <c r="S46" s="198"/>
      <c r="T46" s="198"/>
      <c r="U46" s="198"/>
    </row>
    <row r="47" spans="1:21" s="12" customFormat="1" x14ac:dyDescent="0.25">
      <c r="A47" s="215" t="s">
        <v>862</v>
      </c>
      <c r="B47" s="64">
        <v>16.809999999999999</v>
      </c>
      <c r="C47" s="64">
        <v>40.93</v>
      </c>
      <c r="D47" s="64">
        <v>33.49</v>
      </c>
      <c r="E47" s="64">
        <v>7.04</v>
      </c>
      <c r="F47" s="64">
        <v>4.1399999999999997</v>
      </c>
      <c r="G47" s="64">
        <v>49.69</v>
      </c>
      <c r="H47" s="64">
        <v>25.67</v>
      </c>
      <c r="I47" s="64">
        <v>7.04</v>
      </c>
      <c r="J47" s="64">
        <v>2.99</v>
      </c>
      <c r="K47" s="64">
        <v>110.25</v>
      </c>
      <c r="L47" s="64">
        <v>18.61</v>
      </c>
      <c r="M47" s="64">
        <v>64.010000000000005</v>
      </c>
      <c r="N47" s="64">
        <v>339.3</v>
      </c>
      <c r="O47" s="64">
        <v>0</v>
      </c>
      <c r="P47" s="64">
        <v>0.72</v>
      </c>
      <c r="Q47" s="64">
        <v>8.2100000000000009</v>
      </c>
      <c r="R47" s="198"/>
      <c r="S47" s="198"/>
      <c r="T47" s="198"/>
      <c r="U47" s="198"/>
    </row>
    <row r="48" spans="1:21" s="12" customFormat="1" x14ac:dyDescent="0.25">
      <c r="A48" s="215" t="s">
        <v>863</v>
      </c>
      <c r="B48" s="64">
        <v>15.59</v>
      </c>
      <c r="C48" s="64">
        <v>41.23</v>
      </c>
      <c r="D48" s="64">
        <v>32.67</v>
      </c>
      <c r="E48" s="64">
        <v>6.45</v>
      </c>
      <c r="F48" s="64">
        <v>3.94</v>
      </c>
      <c r="G48" s="64">
        <v>51.06</v>
      </c>
      <c r="H48" s="64">
        <v>25.48</v>
      </c>
      <c r="I48" s="64">
        <v>8.0399999999999991</v>
      </c>
      <c r="J48" s="64">
        <v>4.0599999999999996</v>
      </c>
      <c r="K48" s="64">
        <v>111.14</v>
      </c>
      <c r="L48" s="64">
        <v>18.7</v>
      </c>
      <c r="M48" s="64">
        <v>60.34</v>
      </c>
      <c r="N48" s="64">
        <v>256.7</v>
      </c>
      <c r="O48" s="64">
        <v>0</v>
      </c>
      <c r="P48" s="64">
        <v>0.71</v>
      </c>
      <c r="Q48" s="64">
        <v>8.2100000000000009</v>
      </c>
      <c r="R48" s="198"/>
      <c r="S48" s="198"/>
      <c r="T48" s="198"/>
      <c r="U48" s="198"/>
    </row>
    <row r="49" spans="1:21" s="12" customFormat="1" x14ac:dyDescent="0.25">
      <c r="A49" s="215" t="s">
        <v>864</v>
      </c>
      <c r="B49" s="64">
        <v>14.03</v>
      </c>
      <c r="C49" s="64">
        <v>42.16</v>
      </c>
      <c r="D49" s="64">
        <v>31.9</v>
      </c>
      <c r="E49" s="64">
        <v>6.58</v>
      </c>
      <c r="F49" s="64">
        <v>4.0999999999999996</v>
      </c>
      <c r="G49" s="64">
        <v>52.11</v>
      </c>
      <c r="H49" s="64">
        <v>25.36</v>
      </c>
      <c r="I49" s="64">
        <v>7.9</v>
      </c>
      <c r="J49" s="64">
        <v>3.4</v>
      </c>
      <c r="K49" s="64">
        <v>110.46</v>
      </c>
      <c r="L49" s="64">
        <v>19.43</v>
      </c>
      <c r="M49" s="64">
        <v>57.48</v>
      </c>
      <c r="N49" s="64">
        <v>339</v>
      </c>
      <c r="O49" s="64">
        <v>0</v>
      </c>
      <c r="P49" s="64">
        <v>0.68</v>
      </c>
      <c r="Q49" s="64">
        <v>8.2100000000000009</v>
      </c>
      <c r="R49" s="198"/>
      <c r="S49" s="198"/>
      <c r="T49" s="198"/>
      <c r="U49" s="198"/>
    </row>
    <row r="50" spans="1:21" s="12" customFormat="1" x14ac:dyDescent="0.25">
      <c r="A50" s="215" t="s">
        <v>865</v>
      </c>
      <c r="B50" s="64">
        <v>12.34</v>
      </c>
      <c r="C50" s="64">
        <v>42.96</v>
      </c>
      <c r="D50" s="64">
        <v>30.96</v>
      </c>
      <c r="E50" s="64">
        <v>6.79</v>
      </c>
      <c r="F50" s="64">
        <v>4.24</v>
      </c>
      <c r="G50" s="64">
        <v>52.11</v>
      </c>
      <c r="H50" s="64">
        <v>25.36</v>
      </c>
      <c r="I50" s="64">
        <v>8.1</v>
      </c>
      <c r="J50" s="64">
        <v>2.0299999999999998</v>
      </c>
      <c r="K50" s="64">
        <v>96.32</v>
      </c>
      <c r="L50" s="64">
        <v>19.440000000000001</v>
      </c>
      <c r="M50" s="64">
        <v>56.42</v>
      </c>
      <c r="N50" s="64">
        <v>169.7</v>
      </c>
      <c r="O50" s="64">
        <v>0</v>
      </c>
      <c r="P50" s="64">
        <v>0.67</v>
      </c>
      <c r="Q50" s="64">
        <v>8.2100000000000009</v>
      </c>
      <c r="R50" s="198"/>
      <c r="S50" s="198"/>
      <c r="T50" s="198"/>
      <c r="U50" s="198"/>
    </row>
    <row r="51" spans="1:21" s="12" customFormat="1" x14ac:dyDescent="0.25">
      <c r="A51" s="215" t="s">
        <v>866</v>
      </c>
      <c r="B51" s="64">
        <v>11.52</v>
      </c>
      <c r="C51" s="64">
        <v>43.22</v>
      </c>
      <c r="D51" s="64">
        <v>30.45</v>
      </c>
      <c r="E51" s="64">
        <v>6.86</v>
      </c>
      <c r="F51" s="64">
        <v>4.3099999999999996</v>
      </c>
      <c r="G51" s="64">
        <v>52.11</v>
      </c>
      <c r="H51" s="64">
        <v>25.36</v>
      </c>
      <c r="I51" s="64">
        <v>8.1199999999999992</v>
      </c>
      <c r="J51" s="64">
        <v>1.1299999999999999</v>
      </c>
      <c r="K51" s="64">
        <v>44.93</v>
      </c>
      <c r="L51" s="64">
        <v>19.63</v>
      </c>
      <c r="M51" s="64">
        <v>56.64</v>
      </c>
      <c r="N51" s="64">
        <v>182.8</v>
      </c>
      <c r="O51" s="64">
        <v>0</v>
      </c>
      <c r="P51" s="64">
        <v>0.66</v>
      </c>
      <c r="Q51" s="64">
        <v>8.2100000000000009</v>
      </c>
      <c r="R51" s="198"/>
      <c r="S51" s="198"/>
      <c r="T51" s="198"/>
      <c r="U51" s="198"/>
    </row>
    <row r="52" spans="1:21" s="12" customFormat="1" x14ac:dyDescent="0.25">
      <c r="A52" s="215" t="s">
        <v>867</v>
      </c>
      <c r="B52" s="64">
        <v>11.62</v>
      </c>
      <c r="C52" s="64">
        <v>45.93</v>
      </c>
      <c r="D52" s="64">
        <v>31.94</v>
      </c>
      <c r="E52" s="64">
        <v>7</v>
      </c>
      <c r="F52" s="64">
        <v>3.93</v>
      </c>
      <c r="G52" s="64">
        <v>55.88</v>
      </c>
      <c r="H52" s="64">
        <v>22.96</v>
      </c>
      <c r="I52" s="64">
        <v>7.96</v>
      </c>
      <c r="J52" s="64">
        <v>2.67</v>
      </c>
      <c r="K52" s="64">
        <v>105.56</v>
      </c>
      <c r="L52" s="64">
        <v>20.05</v>
      </c>
      <c r="M52" s="64">
        <v>53.87</v>
      </c>
      <c r="N52" s="64">
        <v>288.3</v>
      </c>
      <c r="O52" s="64">
        <v>0</v>
      </c>
      <c r="P52" s="64">
        <v>0.67</v>
      </c>
      <c r="Q52" s="64">
        <v>8.2100000000000009</v>
      </c>
      <c r="R52" s="198"/>
      <c r="S52" s="198"/>
      <c r="T52" s="198"/>
      <c r="U52" s="198"/>
    </row>
    <row r="53" spans="1:21" s="12" customFormat="1" x14ac:dyDescent="0.25">
      <c r="A53" s="215" t="s">
        <v>868</v>
      </c>
      <c r="B53" s="64">
        <v>11.18</v>
      </c>
      <c r="C53" s="64">
        <v>44.43</v>
      </c>
      <c r="D53" s="64">
        <v>30.8</v>
      </c>
      <c r="E53" s="64">
        <v>6.91</v>
      </c>
      <c r="F53" s="64">
        <v>4.1900000000000004</v>
      </c>
      <c r="G53" s="64">
        <v>58.76</v>
      </c>
      <c r="H53" s="64">
        <v>22.14</v>
      </c>
      <c r="I53" s="64">
        <v>7.93</v>
      </c>
      <c r="J53" s="64">
        <v>1.23</v>
      </c>
      <c r="K53" s="64">
        <v>99.85</v>
      </c>
      <c r="L53" s="64">
        <v>19.87</v>
      </c>
      <c r="M53" s="64">
        <v>54.57</v>
      </c>
      <c r="N53" s="64">
        <v>161.5</v>
      </c>
      <c r="O53" s="64">
        <v>0</v>
      </c>
      <c r="P53" s="64">
        <v>0.65</v>
      </c>
      <c r="Q53" s="64">
        <v>8.2100000000000009</v>
      </c>
      <c r="R53" s="198"/>
      <c r="S53" s="198"/>
      <c r="T53" s="198"/>
      <c r="U53" s="198"/>
    </row>
    <row r="54" spans="1:21" s="12" customFormat="1" x14ac:dyDescent="0.25">
      <c r="A54" s="215" t="s">
        <v>869</v>
      </c>
      <c r="B54" s="64">
        <v>11.39</v>
      </c>
      <c r="C54" s="64">
        <v>47.09</v>
      </c>
      <c r="D54" s="64">
        <v>32.36</v>
      </c>
      <c r="E54" s="64">
        <v>7.03</v>
      </c>
      <c r="F54" s="64">
        <v>4.0999999999999996</v>
      </c>
      <c r="G54" s="64">
        <v>58.76</v>
      </c>
      <c r="H54" s="64">
        <v>22.14</v>
      </c>
      <c r="I54" s="64">
        <v>7.87</v>
      </c>
      <c r="J54" s="64">
        <v>1.81</v>
      </c>
      <c r="K54" s="64">
        <v>344.98</v>
      </c>
      <c r="L54" s="64">
        <v>19.98</v>
      </c>
      <c r="M54" s="64">
        <v>55.21</v>
      </c>
      <c r="N54" s="64">
        <v>108</v>
      </c>
      <c r="O54" s="64">
        <v>0</v>
      </c>
      <c r="P54" s="64">
        <v>0.68</v>
      </c>
      <c r="Q54" s="64">
        <v>8.2100000000000009</v>
      </c>
      <c r="R54" s="198"/>
      <c r="S54" s="198"/>
      <c r="T54" s="198"/>
      <c r="U54" s="198"/>
    </row>
    <row r="55" spans="1:21" s="12" customFormat="1" x14ac:dyDescent="0.25">
      <c r="A55" s="215" t="s">
        <v>870</v>
      </c>
      <c r="B55" s="64">
        <v>12.72</v>
      </c>
      <c r="C55" s="64">
        <v>46.28</v>
      </c>
      <c r="D55" s="64">
        <v>33.01</v>
      </c>
      <c r="E55" s="64">
        <v>6.6</v>
      </c>
      <c r="F55" s="64">
        <v>4.25</v>
      </c>
      <c r="G55" s="64">
        <v>58.76</v>
      </c>
      <c r="H55" s="64">
        <v>22.14</v>
      </c>
      <c r="I55" s="64">
        <v>7.84</v>
      </c>
      <c r="J55" s="64">
        <v>1.4</v>
      </c>
      <c r="K55" s="64">
        <v>65.91</v>
      </c>
      <c r="L55" s="64">
        <v>19.940000000000001</v>
      </c>
      <c r="M55" s="64">
        <v>53.89</v>
      </c>
      <c r="N55" s="64">
        <v>97</v>
      </c>
      <c r="O55" s="64">
        <v>0</v>
      </c>
      <c r="P55" s="64">
        <v>0.71</v>
      </c>
      <c r="Q55" s="64">
        <v>8.2100000000000009</v>
      </c>
      <c r="R55" s="198"/>
      <c r="S55" s="198"/>
      <c r="T55" s="198"/>
      <c r="U55" s="198"/>
    </row>
    <row r="56" spans="1:21" s="12" customFormat="1" x14ac:dyDescent="0.25">
      <c r="A56" s="215" t="s">
        <v>871</v>
      </c>
      <c r="B56" s="64">
        <v>13.17</v>
      </c>
      <c r="C56" s="64">
        <v>46.52</v>
      </c>
      <c r="D56" s="64">
        <v>33.49</v>
      </c>
      <c r="E56" s="64">
        <v>7.27</v>
      </c>
      <c r="F56" s="64">
        <v>4.28</v>
      </c>
      <c r="G56" s="64">
        <v>64.88</v>
      </c>
      <c r="H56" s="64">
        <v>24.92</v>
      </c>
      <c r="I56" s="64">
        <v>7.66</v>
      </c>
      <c r="J56" s="64">
        <v>1.86</v>
      </c>
      <c r="K56" s="64">
        <v>356.06</v>
      </c>
      <c r="L56" s="64">
        <v>19.510000000000002</v>
      </c>
      <c r="M56" s="64">
        <v>61.92</v>
      </c>
      <c r="N56" s="64">
        <v>114.6</v>
      </c>
      <c r="O56" s="64">
        <v>0</v>
      </c>
      <c r="P56" s="64">
        <v>0.81</v>
      </c>
      <c r="Q56" s="64">
        <v>8.2100000000000009</v>
      </c>
      <c r="R56" s="198"/>
      <c r="S56" s="198"/>
      <c r="T56" s="198"/>
      <c r="U56" s="198"/>
    </row>
    <row r="57" spans="1:21" s="12" customFormat="1" x14ac:dyDescent="0.25">
      <c r="A57" s="215" t="s">
        <v>872</v>
      </c>
      <c r="B57" s="64">
        <v>14.07</v>
      </c>
      <c r="C57" s="64">
        <v>47.22</v>
      </c>
      <c r="D57" s="64">
        <v>34.57</v>
      </c>
      <c r="E57" s="64">
        <v>7</v>
      </c>
      <c r="F57" s="64">
        <v>3.88</v>
      </c>
      <c r="G57" s="64">
        <v>69.56</v>
      </c>
      <c r="H57" s="64">
        <v>25.87</v>
      </c>
      <c r="I57" s="64">
        <v>6.11</v>
      </c>
      <c r="J57" s="64">
        <v>0.73</v>
      </c>
      <c r="K57" s="64">
        <v>49.09</v>
      </c>
      <c r="L57" s="64">
        <v>19.63</v>
      </c>
      <c r="M57" s="64">
        <v>60.91</v>
      </c>
      <c r="N57" s="64">
        <v>174.8</v>
      </c>
      <c r="O57" s="64">
        <v>0</v>
      </c>
      <c r="P57" s="64">
        <v>0.81</v>
      </c>
      <c r="Q57" s="64">
        <v>8.2100000000000009</v>
      </c>
      <c r="R57" s="198"/>
      <c r="S57" s="198"/>
      <c r="T57" s="198"/>
      <c r="U57" s="198"/>
    </row>
    <row r="58" spans="1:21" s="12" customFormat="1" x14ac:dyDescent="0.25">
      <c r="A58" s="215" t="s">
        <v>873</v>
      </c>
      <c r="B58" s="64">
        <v>14.96</v>
      </c>
      <c r="C58" s="64">
        <v>47.57</v>
      </c>
      <c r="D58" s="64">
        <v>35.47</v>
      </c>
      <c r="E58" s="64">
        <v>7.11</v>
      </c>
      <c r="F58" s="64">
        <v>4.07</v>
      </c>
      <c r="G58" s="64">
        <v>69.56</v>
      </c>
      <c r="H58" s="64">
        <v>25.87</v>
      </c>
      <c r="I58" s="64">
        <v>6.24</v>
      </c>
      <c r="J58" s="64">
        <v>1.28</v>
      </c>
      <c r="K58" s="64">
        <v>20.46</v>
      </c>
      <c r="L58" s="64">
        <v>20.12</v>
      </c>
      <c r="M58" s="64">
        <v>59.07</v>
      </c>
      <c r="N58" s="64">
        <v>209</v>
      </c>
      <c r="O58" s="64">
        <v>0</v>
      </c>
      <c r="P58" s="64">
        <v>0.79</v>
      </c>
      <c r="Q58" s="64">
        <v>8.2100000000000009</v>
      </c>
      <c r="R58" s="198"/>
      <c r="S58" s="198"/>
      <c r="T58" s="198"/>
      <c r="U58" s="198"/>
    </row>
    <row r="59" spans="1:21" s="12" customFormat="1" x14ac:dyDescent="0.25">
      <c r="A59" s="215" t="s">
        <v>874</v>
      </c>
      <c r="B59" s="64">
        <v>15.32</v>
      </c>
      <c r="C59" s="64">
        <v>47.67</v>
      </c>
      <c r="D59" s="64">
        <v>35.81</v>
      </c>
      <c r="E59" s="64">
        <v>7.17</v>
      </c>
      <c r="F59" s="64">
        <v>4.17</v>
      </c>
      <c r="G59" s="64">
        <v>69.56</v>
      </c>
      <c r="H59" s="64">
        <v>25.87</v>
      </c>
      <c r="I59" s="64">
        <v>6.19</v>
      </c>
      <c r="J59" s="64">
        <v>1.08</v>
      </c>
      <c r="K59" s="64">
        <v>64.09</v>
      </c>
      <c r="L59" s="64">
        <v>20.83</v>
      </c>
      <c r="M59" s="64">
        <v>57.86</v>
      </c>
      <c r="N59" s="64">
        <v>298.8</v>
      </c>
      <c r="O59" s="64">
        <v>0</v>
      </c>
      <c r="P59" s="64">
        <v>0.8</v>
      </c>
      <c r="Q59" s="64">
        <v>8.2100000000000009</v>
      </c>
      <c r="R59" s="198"/>
      <c r="S59" s="198"/>
      <c r="T59" s="198"/>
      <c r="U59" s="198"/>
    </row>
    <row r="60" spans="1:21" s="12" customFormat="1" x14ac:dyDescent="0.25">
      <c r="A60" s="215" t="s">
        <v>875</v>
      </c>
      <c r="B60" s="64">
        <v>15.39</v>
      </c>
      <c r="C60" s="64">
        <v>47.76</v>
      </c>
      <c r="D60" s="64">
        <v>35.92</v>
      </c>
      <c r="E60" s="64">
        <v>7.27</v>
      </c>
      <c r="F60" s="64">
        <v>3.96</v>
      </c>
      <c r="G60" s="64">
        <v>73.7</v>
      </c>
      <c r="H60" s="64">
        <v>29.94</v>
      </c>
      <c r="I60" s="64">
        <v>6.88</v>
      </c>
      <c r="J60" s="64">
        <v>1.68</v>
      </c>
      <c r="K60" s="64">
        <v>112.37</v>
      </c>
      <c r="L60" s="64">
        <v>20.47</v>
      </c>
      <c r="M60" s="64">
        <v>58.14</v>
      </c>
      <c r="N60" s="64">
        <v>265.7</v>
      </c>
      <c r="O60" s="64">
        <v>0</v>
      </c>
      <c r="P60" s="64">
        <v>0.76</v>
      </c>
      <c r="Q60" s="64">
        <v>8.2799999999999994</v>
      </c>
      <c r="R60" s="198"/>
      <c r="S60" s="198"/>
      <c r="T60" s="198"/>
      <c r="U60" s="198"/>
    </row>
    <row r="61" spans="1:21" s="12" customFormat="1" x14ac:dyDescent="0.25">
      <c r="A61" s="215" t="s">
        <v>876</v>
      </c>
      <c r="B61" s="64">
        <v>15.03</v>
      </c>
      <c r="C61" s="64">
        <v>47.22</v>
      </c>
      <c r="D61" s="64">
        <v>35.35</v>
      </c>
      <c r="E61" s="64">
        <v>7.35</v>
      </c>
      <c r="F61" s="64">
        <v>3.79</v>
      </c>
      <c r="G61" s="64">
        <v>76.87</v>
      </c>
      <c r="H61" s="64">
        <v>31.33</v>
      </c>
      <c r="I61" s="64">
        <v>6.41</v>
      </c>
      <c r="J61" s="64">
        <v>3.22</v>
      </c>
      <c r="K61" s="64">
        <v>110.54</v>
      </c>
      <c r="L61" s="64">
        <v>20.29</v>
      </c>
      <c r="M61" s="64">
        <v>57.32</v>
      </c>
      <c r="N61" s="64">
        <v>257</v>
      </c>
      <c r="O61" s="64">
        <v>0</v>
      </c>
      <c r="P61" s="64">
        <v>0.73</v>
      </c>
      <c r="Q61" s="64">
        <v>8.31</v>
      </c>
      <c r="R61" s="198"/>
      <c r="S61" s="198"/>
      <c r="T61" s="198"/>
      <c r="U61" s="198"/>
    </row>
    <row r="62" spans="1:21" s="12" customFormat="1" x14ac:dyDescent="0.25">
      <c r="A62" s="215" t="s">
        <v>877</v>
      </c>
      <c r="B62" s="64">
        <v>13.9</v>
      </c>
      <c r="C62" s="64">
        <v>47.58</v>
      </c>
      <c r="D62" s="64">
        <v>34.630000000000003</v>
      </c>
      <c r="E62" s="64">
        <v>7.51</v>
      </c>
      <c r="F62" s="64">
        <v>4.2</v>
      </c>
      <c r="G62" s="64">
        <v>76.87</v>
      </c>
      <c r="H62" s="64">
        <v>31.33</v>
      </c>
      <c r="I62" s="64">
        <v>6.42</v>
      </c>
      <c r="J62" s="64">
        <v>3.4</v>
      </c>
      <c r="K62" s="64">
        <v>109.94</v>
      </c>
      <c r="L62" s="64">
        <v>20.41</v>
      </c>
      <c r="M62" s="64">
        <v>55.19</v>
      </c>
      <c r="N62" s="64">
        <v>308.60000000000002</v>
      </c>
      <c r="O62" s="64">
        <v>0</v>
      </c>
      <c r="P62" s="64">
        <v>0.73</v>
      </c>
      <c r="Q62" s="64">
        <v>8.24</v>
      </c>
      <c r="R62" s="198"/>
      <c r="S62" s="198"/>
      <c r="T62" s="198"/>
      <c r="U62" s="198"/>
    </row>
    <row r="63" spans="1:21" s="12" customFormat="1" x14ac:dyDescent="0.25">
      <c r="A63" s="215" t="s">
        <v>878</v>
      </c>
      <c r="B63" s="64">
        <v>12.4</v>
      </c>
      <c r="C63" s="64">
        <v>50.2</v>
      </c>
      <c r="D63" s="64">
        <v>34.79</v>
      </c>
      <c r="E63" s="64">
        <v>6.89</v>
      </c>
      <c r="F63" s="64">
        <v>4.38</v>
      </c>
      <c r="G63" s="64">
        <v>76.87</v>
      </c>
      <c r="H63" s="64">
        <v>31.33</v>
      </c>
      <c r="I63" s="64">
        <v>7.09</v>
      </c>
      <c r="J63" s="64">
        <v>3.26</v>
      </c>
      <c r="K63" s="64">
        <v>103.53</v>
      </c>
      <c r="L63" s="64">
        <v>20.77</v>
      </c>
      <c r="M63" s="64">
        <v>52.47</v>
      </c>
      <c r="N63" s="64">
        <v>325.5</v>
      </c>
      <c r="O63" s="64">
        <v>0</v>
      </c>
      <c r="P63" s="64">
        <v>0.74</v>
      </c>
      <c r="Q63" s="64">
        <v>8.2100000000000009</v>
      </c>
      <c r="R63" s="198"/>
      <c r="S63" s="198"/>
      <c r="T63" s="198"/>
      <c r="U63" s="198"/>
    </row>
    <row r="64" spans="1:21" s="12" customFormat="1" x14ac:dyDescent="0.25">
      <c r="A64" s="215" t="s">
        <v>879</v>
      </c>
      <c r="B64" s="64">
        <v>10.49</v>
      </c>
      <c r="C64" s="64">
        <v>49.33</v>
      </c>
      <c r="D64" s="64">
        <v>32.81</v>
      </c>
      <c r="E64" s="64">
        <v>7.16</v>
      </c>
      <c r="F64" s="64">
        <v>4.6399999999999997</v>
      </c>
      <c r="G64" s="64">
        <v>74.19</v>
      </c>
      <c r="H64" s="64">
        <v>31.77</v>
      </c>
      <c r="I64" s="64">
        <v>7.97</v>
      </c>
      <c r="J64" s="64">
        <v>3.66</v>
      </c>
      <c r="K64" s="64">
        <v>109.08</v>
      </c>
      <c r="L64" s="64">
        <v>20.93</v>
      </c>
      <c r="M64" s="64">
        <v>51.03</v>
      </c>
      <c r="N64" s="64">
        <v>342.8</v>
      </c>
      <c r="O64" s="64">
        <v>0</v>
      </c>
      <c r="P64" s="64">
        <v>0.71</v>
      </c>
      <c r="Q64" s="64">
        <v>8.2100000000000009</v>
      </c>
      <c r="R64" s="198"/>
      <c r="S64" s="198"/>
      <c r="T64" s="198"/>
      <c r="U64" s="198"/>
    </row>
    <row r="65" spans="1:21" s="12" customFormat="1" x14ac:dyDescent="0.25">
      <c r="A65" s="215" t="s">
        <v>880</v>
      </c>
      <c r="B65" s="64">
        <v>8.76</v>
      </c>
      <c r="C65" s="64">
        <v>50.19</v>
      </c>
      <c r="D65" s="64">
        <v>31.87</v>
      </c>
      <c r="E65" s="64">
        <v>7.11</v>
      </c>
      <c r="F65" s="64">
        <v>4.91</v>
      </c>
      <c r="G65" s="64">
        <v>72.13</v>
      </c>
      <c r="H65" s="64">
        <v>32.07</v>
      </c>
      <c r="I65" s="64">
        <v>8.7899999999999991</v>
      </c>
      <c r="J65" s="64">
        <v>3.64</v>
      </c>
      <c r="K65" s="64">
        <v>113.16</v>
      </c>
      <c r="L65" s="64">
        <v>21.41</v>
      </c>
      <c r="M65" s="64">
        <v>49.37</v>
      </c>
      <c r="N65" s="64">
        <v>277.3</v>
      </c>
      <c r="O65" s="64">
        <v>0</v>
      </c>
      <c r="P65" s="64">
        <v>0.69</v>
      </c>
      <c r="Q65" s="64">
        <v>8.2100000000000009</v>
      </c>
      <c r="R65" s="198"/>
      <c r="S65" s="198"/>
      <c r="T65" s="198"/>
      <c r="U65" s="198"/>
    </row>
    <row r="66" spans="1:21" s="12" customFormat="1" x14ac:dyDescent="0.25">
      <c r="A66" s="215" t="s">
        <v>881</v>
      </c>
      <c r="B66" s="64">
        <v>7.3</v>
      </c>
      <c r="C66" s="64">
        <v>47.72</v>
      </c>
      <c r="D66" s="64">
        <v>29.41</v>
      </c>
      <c r="E66" s="64">
        <v>6.71</v>
      </c>
      <c r="F66" s="64">
        <v>4.8</v>
      </c>
      <c r="G66" s="64">
        <v>72.13</v>
      </c>
      <c r="H66" s="64">
        <v>32.07</v>
      </c>
      <c r="I66" s="64">
        <v>8.76</v>
      </c>
      <c r="J66" s="64">
        <v>4.43</v>
      </c>
      <c r="K66" s="64">
        <v>111.43</v>
      </c>
      <c r="L66" s="64">
        <v>21.28</v>
      </c>
      <c r="M66" s="64">
        <v>49.34</v>
      </c>
      <c r="N66" s="64">
        <v>247.4</v>
      </c>
      <c r="O66" s="64">
        <v>0</v>
      </c>
      <c r="P66" s="64">
        <v>0.66</v>
      </c>
      <c r="Q66" s="64">
        <v>8.2100000000000009</v>
      </c>
      <c r="R66" s="198"/>
      <c r="S66" s="198"/>
      <c r="T66" s="198"/>
      <c r="U66" s="198"/>
    </row>
    <row r="67" spans="1:21" s="12" customFormat="1" x14ac:dyDescent="0.25">
      <c r="A67" s="215" t="s">
        <v>882</v>
      </c>
      <c r="B67" s="64">
        <v>5.92</v>
      </c>
      <c r="C67" s="64">
        <v>49.51</v>
      </c>
      <c r="D67" s="64">
        <v>29.24</v>
      </c>
      <c r="E67" s="64">
        <v>7.03</v>
      </c>
      <c r="F67" s="64">
        <v>5.23</v>
      </c>
      <c r="G67" s="64">
        <v>72.13</v>
      </c>
      <c r="H67" s="64">
        <v>32.07</v>
      </c>
      <c r="I67" s="64">
        <v>8.5500000000000007</v>
      </c>
      <c r="J67" s="64">
        <v>3.91</v>
      </c>
      <c r="K67" s="64">
        <v>111.44</v>
      </c>
      <c r="L67" s="64">
        <v>21.43</v>
      </c>
      <c r="M67" s="64">
        <v>49.66</v>
      </c>
      <c r="N67" s="64">
        <v>226.9</v>
      </c>
      <c r="O67" s="64">
        <v>0</v>
      </c>
      <c r="P67" s="64">
        <v>0.64</v>
      </c>
      <c r="Q67" s="64">
        <v>8.2100000000000009</v>
      </c>
      <c r="R67" s="198"/>
      <c r="S67" s="198"/>
      <c r="T67" s="198"/>
      <c r="U67" s="198"/>
    </row>
    <row r="68" spans="1:21" s="12" customFormat="1" x14ac:dyDescent="0.25">
      <c r="A68" s="215" t="s">
        <v>883</v>
      </c>
      <c r="B68" s="64">
        <v>4.93</v>
      </c>
      <c r="C68" s="64">
        <v>47.91</v>
      </c>
      <c r="D68" s="64">
        <v>27.61</v>
      </c>
      <c r="E68" s="64">
        <v>6.79</v>
      </c>
      <c r="F68" s="64">
        <v>5.42</v>
      </c>
      <c r="G68" s="64">
        <v>60.2</v>
      </c>
      <c r="H68" s="64">
        <v>27.88</v>
      </c>
      <c r="I68" s="64">
        <v>8.7799999999999994</v>
      </c>
      <c r="J68" s="64">
        <v>3.68</v>
      </c>
      <c r="K68" s="64">
        <v>109.99</v>
      </c>
      <c r="L68" s="64">
        <v>21.6</v>
      </c>
      <c r="M68" s="64">
        <v>50.23</v>
      </c>
      <c r="N68" s="64">
        <v>203.3</v>
      </c>
      <c r="O68" s="64">
        <v>0</v>
      </c>
      <c r="P68" s="64">
        <v>0.61</v>
      </c>
      <c r="Q68" s="64">
        <v>8.2100000000000009</v>
      </c>
      <c r="R68" s="198"/>
      <c r="S68" s="198"/>
      <c r="T68" s="198"/>
      <c r="U68" s="198"/>
    </row>
    <row r="69" spans="1:21" s="12" customFormat="1" x14ac:dyDescent="0.25">
      <c r="A69" s="215" t="s">
        <v>884</v>
      </c>
      <c r="B69" s="64">
        <v>4.1900000000000004</v>
      </c>
      <c r="C69" s="64">
        <v>48.54</v>
      </c>
      <c r="D69" s="64">
        <v>27.34</v>
      </c>
      <c r="E69" s="64">
        <v>7.08</v>
      </c>
      <c r="F69" s="64">
        <v>4.83</v>
      </c>
      <c r="G69" s="64">
        <v>51.08</v>
      </c>
      <c r="H69" s="64">
        <v>26.45</v>
      </c>
      <c r="I69" s="64">
        <v>8.5</v>
      </c>
      <c r="J69" s="64">
        <v>3.14</v>
      </c>
      <c r="K69" s="64">
        <v>105.13</v>
      </c>
      <c r="L69" s="64">
        <v>21.52</v>
      </c>
      <c r="M69" s="64">
        <v>50.36</v>
      </c>
      <c r="N69" s="64">
        <v>214.6</v>
      </c>
      <c r="O69" s="64">
        <v>0</v>
      </c>
      <c r="P69" s="64">
        <v>0.59</v>
      </c>
      <c r="Q69" s="64">
        <v>8.2100000000000009</v>
      </c>
      <c r="R69" s="198"/>
      <c r="S69" s="198"/>
      <c r="T69" s="198"/>
      <c r="U69" s="198"/>
    </row>
    <row r="70" spans="1:21" s="12" customFormat="1" x14ac:dyDescent="0.25">
      <c r="A70" s="215" t="s">
        <v>885</v>
      </c>
      <c r="B70" s="64">
        <v>3.68</v>
      </c>
      <c r="C70" s="64">
        <v>47.08</v>
      </c>
      <c r="D70" s="64">
        <v>26.17</v>
      </c>
      <c r="E70" s="64">
        <v>6.7</v>
      </c>
      <c r="F70" s="64">
        <v>5.0199999999999996</v>
      </c>
      <c r="G70" s="64">
        <v>51.08</v>
      </c>
      <c r="H70" s="64">
        <v>26.45</v>
      </c>
      <c r="I70" s="64">
        <v>8.7100000000000009</v>
      </c>
      <c r="J70" s="64">
        <v>3.51</v>
      </c>
      <c r="K70" s="64">
        <v>110.8</v>
      </c>
      <c r="L70" s="64">
        <v>21.55</v>
      </c>
      <c r="M70" s="64">
        <v>50.98</v>
      </c>
      <c r="N70" s="64">
        <v>167.4</v>
      </c>
      <c r="O70" s="64">
        <v>0</v>
      </c>
      <c r="P70" s="64">
        <v>0.57999999999999996</v>
      </c>
      <c r="Q70" s="64">
        <v>8.2100000000000009</v>
      </c>
      <c r="R70" s="198"/>
      <c r="S70" s="198"/>
      <c r="T70" s="198"/>
      <c r="U70" s="198"/>
    </row>
    <row r="71" spans="1:21" s="12" customFormat="1" x14ac:dyDescent="0.25">
      <c r="A71" s="215" t="s">
        <v>886</v>
      </c>
      <c r="B71" s="64">
        <v>3.37</v>
      </c>
      <c r="C71" s="64">
        <v>47.67</v>
      </c>
      <c r="D71" s="64">
        <v>26.23</v>
      </c>
      <c r="E71" s="64">
        <v>7.16</v>
      </c>
      <c r="F71" s="64">
        <v>4.99</v>
      </c>
      <c r="G71" s="64">
        <v>51.08</v>
      </c>
      <c r="H71" s="64">
        <v>26.45</v>
      </c>
      <c r="I71" s="64">
        <v>8.02</v>
      </c>
      <c r="J71" s="64">
        <v>1.87</v>
      </c>
      <c r="K71" s="64">
        <v>107.59</v>
      </c>
      <c r="L71" s="64">
        <v>21.62</v>
      </c>
      <c r="M71" s="64">
        <v>50.28</v>
      </c>
      <c r="N71" s="64">
        <v>166.9</v>
      </c>
      <c r="O71" s="64">
        <v>0</v>
      </c>
      <c r="P71" s="64">
        <v>0.56000000000000005</v>
      </c>
      <c r="Q71" s="64">
        <v>8.2100000000000009</v>
      </c>
      <c r="R71" s="198"/>
      <c r="S71" s="198"/>
      <c r="T71" s="198"/>
      <c r="U71" s="198"/>
    </row>
    <row r="72" spans="1:21" s="12" customFormat="1" x14ac:dyDescent="0.25">
      <c r="A72" s="215" t="s">
        <v>887</v>
      </c>
      <c r="B72" s="64">
        <v>3.26</v>
      </c>
      <c r="C72" s="64">
        <v>44.05</v>
      </c>
      <c r="D72" s="64">
        <v>24.25</v>
      </c>
      <c r="E72" s="64">
        <v>4.93</v>
      </c>
      <c r="F72" s="64">
        <v>5.19</v>
      </c>
      <c r="G72" s="64">
        <v>59.12</v>
      </c>
      <c r="H72" s="64">
        <v>29.49</v>
      </c>
      <c r="I72" s="64">
        <v>8.35</v>
      </c>
      <c r="J72" s="64">
        <v>3.23</v>
      </c>
      <c r="K72" s="64">
        <v>100.93</v>
      </c>
      <c r="L72" s="64">
        <v>21.42</v>
      </c>
      <c r="M72" s="64">
        <v>50.48</v>
      </c>
      <c r="N72" s="64">
        <v>156.69999999999999</v>
      </c>
      <c r="O72" s="64">
        <v>0</v>
      </c>
      <c r="P72" s="64">
        <v>0.53</v>
      </c>
      <c r="Q72" s="64">
        <v>8.2100000000000009</v>
      </c>
      <c r="R72" s="198"/>
      <c r="S72" s="198"/>
      <c r="T72" s="198"/>
      <c r="U72" s="198"/>
    </row>
    <row r="73" spans="1:21" s="12" customFormat="1" x14ac:dyDescent="0.25">
      <c r="A73" s="215" t="s">
        <v>888</v>
      </c>
      <c r="B73" s="64">
        <v>3.27</v>
      </c>
      <c r="C73" s="64">
        <v>43.24</v>
      </c>
      <c r="D73" s="64">
        <v>23.83</v>
      </c>
      <c r="E73" s="64">
        <v>4.93</v>
      </c>
      <c r="F73" s="64">
        <v>5.0199999999999996</v>
      </c>
      <c r="G73" s="64">
        <v>65.27</v>
      </c>
      <c r="H73" s="64">
        <v>30.52</v>
      </c>
      <c r="I73" s="64">
        <v>6.97</v>
      </c>
      <c r="J73" s="64">
        <v>3.8</v>
      </c>
      <c r="K73" s="64">
        <v>111.29</v>
      </c>
      <c r="L73" s="64">
        <v>21.27</v>
      </c>
      <c r="M73" s="64">
        <v>50.98</v>
      </c>
      <c r="N73" s="64">
        <v>139.6</v>
      </c>
      <c r="O73" s="64">
        <v>0</v>
      </c>
      <c r="P73" s="64">
        <v>0.52</v>
      </c>
      <c r="Q73" s="64">
        <v>8.2100000000000009</v>
      </c>
      <c r="R73" s="198"/>
      <c r="S73" s="198"/>
      <c r="T73" s="198"/>
      <c r="U73" s="198"/>
    </row>
    <row r="74" spans="1:21" s="12" customFormat="1" x14ac:dyDescent="0.25">
      <c r="A74" s="215" t="s">
        <v>889</v>
      </c>
      <c r="B74" s="64">
        <v>3.32</v>
      </c>
      <c r="C74" s="64">
        <v>43.02</v>
      </c>
      <c r="D74" s="64">
        <v>23.77</v>
      </c>
      <c r="E74" s="64">
        <v>4.84</v>
      </c>
      <c r="F74" s="64">
        <v>4.8899999999999997</v>
      </c>
      <c r="G74" s="64">
        <v>65.27</v>
      </c>
      <c r="H74" s="64">
        <v>30.52</v>
      </c>
      <c r="I74" s="64">
        <v>6.23</v>
      </c>
      <c r="J74" s="64">
        <v>2.72</v>
      </c>
      <c r="K74" s="64">
        <v>107.91</v>
      </c>
      <c r="L74" s="64">
        <v>21.13</v>
      </c>
      <c r="M74" s="64">
        <v>51.6</v>
      </c>
      <c r="N74" s="64">
        <v>124.2</v>
      </c>
      <c r="O74" s="64">
        <v>0</v>
      </c>
      <c r="P74" s="64">
        <v>0.51</v>
      </c>
      <c r="Q74" s="64">
        <v>8.2100000000000009</v>
      </c>
      <c r="R74" s="198"/>
      <c r="S74" s="198"/>
      <c r="T74" s="198"/>
      <c r="U74" s="198"/>
    </row>
    <row r="75" spans="1:21" s="12" customFormat="1" x14ac:dyDescent="0.25">
      <c r="A75" s="215" t="s">
        <v>890</v>
      </c>
      <c r="B75" s="64">
        <v>3.37</v>
      </c>
      <c r="C75" s="64">
        <v>42.69</v>
      </c>
      <c r="D75" s="64">
        <v>23.63</v>
      </c>
      <c r="E75" s="64">
        <v>4.83</v>
      </c>
      <c r="F75" s="64">
        <v>4.95</v>
      </c>
      <c r="G75" s="64">
        <v>65.27</v>
      </c>
      <c r="H75" s="64">
        <v>30.52</v>
      </c>
      <c r="I75" s="64">
        <v>5.73</v>
      </c>
      <c r="J75" s="64">
        <v>3.14</v>
      </c>
      <c r="K75" s="64">
        <v>107.82</v>
      </c>
      <c r="L75" s="64">
        <v>20.94</v>
      </c>
      <c r="M75" s="64">
        <v>52.8</v>
      </c>
      <c r="N75" s="64">
        <v>114.4</v>
      </c>
      <c r="O75" s="64">
        <v>0</v>
      </c>
      <c r="P75" s="64">
        <v>0.51</v>
      </c>
      <c r="Q75" s="64">
        <v>8.2100000000000009</v>
      </c>
      <c r="R75" s="198"/>
      <c r="S75" s="198"/>
      <c r="T75" s="198"/>
      <c r="U75" s="198"/>
    </row>
    <row r="76" spans="1:21" s="12" customFormat="1" x14ac:dyDescent="0.25">
      <c r="A76" s="215" t="s">
        <v>891</v>
      </c>
      <c r="B76" s="64">
        <v>3.41</v>
      </c>
      <c r="C76" s="64">
        <v>42.35</v>
      </c>
      <c r="D76" s="64">
        <v>23.48</v>
      </c>
      <c r="E76" s="64">
        <v>5.0999999999999996</v>
      </c>
      <c r="F76" s="64">
        <v>4.72</v>
      </c>
      <c r="G76" s="64">
        <v>57.24</v>
      </c>
      <c r="H76" s="64">
        <v>22.55</v>
      </c>
      <c r="I76" s="64">
        <v>5.9</v>
      </c>
      <c r="J76" s="64">
        <v>2.06</v>
      </c>
      <c r="K76" s="64">
        <v>110.15</v>
      </c>
      <c r="L76" s="64">
        <v>20.69</v>
      </c>
      <c r="M76" s="64">
        <v>54.26</v>
      </c>
      <c r="N76" s="64">
        <v>105.1</v>
      </c>
      <c r="O76" s="64">
        <v>0</v>
      </c>
      <c r="P76" s="64">
        <v>0.55000000000000004</v>
      </c>
      <c r="Q76" s="64">
        <v>8.2100000000000009</v>
      </c>
      <c r="R76" s="198"/>
      <c r="S76" s="198"/>
      <c r="T76" s="198"/>
      <c r="U76" s="198"/>
    </row>
    <row r="77" spans="1:21" s="12" customFormat="1" x14ac:dyDescent="0.25">
      <c r="A77" s="215" t="s">
        <v>892</v>
      </c>
      <c r="B77" s="64">
        <v>3.57</v>
      </c>
      <c r="C77" s="64">
        <v>42.05</v>
      </c>
      <c r="D77" s="64">
        <v>23.45</v>
      </c>
      <c r="E77" s="64">
        <v>5.0199999999999996</v>
      </c>
      <c r="F77" s="64">
        <v>4.66</v>
      </c>
      <c r="G77" s="64">
        <v>51.1</v>
      </c>
      <c r="H77" s="64">
        <v>19.84</v>
      </c>
      <c r="I77" s="64">
        <v>5.79</v>
      </c>
      <c r="J77" s="64">
        <v>2.86</v>
      </c>
      <c r="K77" s="64">
        <v>112.76</v>
      </c>
      <c r="L77" s="64">
        <v>20.41</v>
      </c>
      <c r="M77" s="64">
        <v>55.39</v>
      </c>
      <c r="N77" s="64">
        <v>101.4</v>
      </c>
      <c r="O77" s="64">
        <v>0</v>
      </c>
      <c r="P77" s="64">
        <v>0.54</v>
      </c>
      <c r="Q77" s="64">
        <v>8.2100000000000009</v>
      </c>
      <c r="R77" s="198"/>
      <c r="S77" s="198"/>
      <c r="T77" s="198"/>
      <c r="U77" s="198"/>
    </row>
    <row r="78" spans="1:21" s="12" customFormat="1" x14ac:dyDescent="0.25">
      <c r="A78" s="215" t="s">
        <v>893</v>
      </c>
      <c r="B78" s="64">
        <v>3.71</v>
      </c>
      <c r="C78" s="64">
        <v>41.89</v>
      </c>
      <c r="D78" s="64">
        <v>23.48</v>
      </c>
      <c r="E78" s="64">
        <v>5.24</v>
      </c>
      <c r="F78" s="64">
        <v>5.01</v>
      </c>
      <c r="G78" s="64">
        <v>51.1</v>
      </c>
      <c r="H78" s="64">
        <v>19.84</v>
      </c>
      <c r="I78" s="64">
        <v>5.04</v>
      </c>
      <c r="J78" s="64">
        <v>2.71</v>
      </c>
      <c r="K78" s="64">
        <v>104.48</v>
      </c>
      <c r="L78" s="64">
        <v>20.27</v>
      </c>
      <c r="M78" s="64">
        <v>55.14</v>
      </c>
      <c r="N78" s="64">
        <v>85.8</v>
      </c>
      <c r="O78" s="64">
        <v>0</v>
      </c>
      <c r="P78" s="64">
        <v>0.53</v>
      </c>
      <c r="Q78" s="64">
        <v>8.2100000000000009</v>
      </c>
      <c r="R78" s="198"/>
      <c r="S78" s="198"/>
      <c r="T78" s="198"/>
      <c r="U78" s="198"/>
    </row>
    <row r="79" spans="1:21" s="12" customFormat="1" x14ac:dyDescent="0.25">
      <c r="A79" s="215" t="s">
        <v>894</v>
      </c>
      <c r="B79" s="64">
        <v>3.92</v>
      </c>
      <c r="C79" s="64">
        <v>42.26</v>
      </c>
      <c r="D79" s="64">
        <v>23.85</v>
      </c>
      <c r="E79" s="64">
        <v>5.21</v>
      </c>
      <c r="F79" s="64">
        <v>4.5199999999999996</v>
      </c>
      <c r="G79" s="64">
        <v>51.1</v>
      </c>
      <c r="H79" s="64">
        <v>19.84</v>
      </c>
      <c r="I79" s="64">
        <v>5.26</v>
      </c>
      <c r="J79" s="64">
        <v>2.5099999999999998</v>
      </c>
      <c r="K79" s="64">
        <v>99.74</v>
      </c>
      <c r="L79" s="64">
        <v>20.09</v>
      </c>
      <c r="M79" s="64">
        <v>56.2</v>
      </c>
      <c r="N79" s="64">
        <v>78.900000000000006</v>
      </c>
      <c r="O79" s="64">
        <v>0</v>
      </c>
      <c r="P79" s="64">
        <v>0.56000000000000005</v>
      </c>
      <c r="Q79" s="64">
        <v>8.2100000000000009</v>
      </c>
      <c r="R79" s="198"/>
      <c r="S79" s="198"/>
      <c r="T79" s="198"/>
      <c r="U79" s="198"/>
    </row>
    <row r="80" spans="1:21" s="12" customFormat="1" x14ac:dyDescent="0.25">
      <c r="A80" s="215" t="s">
        <v>895</v>
      </c>
      <c r="B80" s="64">
        <v>4.1500000000000004</v>
      </c>
      <c r="C80" s="64">
        <v>44.54</v>
      </c>
      <c r="D80" s="64">
        <v>25.22</v>
      </c>
      <c r="E80" s="64">
        <v>5.21</v>
      </c>
      <c r="F80" s="64">
        <v>4.24</v>
      </c>
      <c r="G80" s="64">
        <v>61.44</v>
      </c>
      <c r="H80" s="64">
        <v>15.92</v>
      </c>
      <c r="I80" s="64">
        <v>5.27</v>
      </c>
      <c r="J80" s="64">
        <v>2.64</v>
      </c>
      <c r="K80" s="64">
        <v>106.33</v>
      </c>
      <c r="L80" s="64">
        <v>19.989999999999998</v>
      </c>
      <c r="M80" s="64">
        <v>56.87</v>
      </c>
      <c r="N80" s="64">
        <v>78.900000000000006</v>
      </c>
      <c r="O80" s="64">
        <v>0</v>
      </c>
      <c r="P80" s="64">
        <v>0.55000000000000004</v>
      </c>
      <c r="Q80" s="64">
        <v>8.2100000000000009</v>
      </c>
      <c r="R80" s="198"/>
      <c r="S80" s="198"/>
      <c r="T80" s="198"/>
      <c r="U80" s="198"/>
    </row>
    <row r="81" spans="1:26" s="12" customFormat="1" x14ac:dyDescent="0.25">
      <c r="A81" s="215" t="s">
        <v>896</v>
      </c>
      <c r="B81" s="64">
        <v>4.24</v>
      </c>
      <c r="C81" s="64">
        <v>44.94</v>
      </c>
      <c r="D81" s="64">
        <v>25.5</v>
      </c>
      <c r="E81" s="64">
        <v>5.27</v>
      </c>
      <c r="F81" s="64">
        <v>4.37</v>
      </c>
      <c r="G81" s="64">
        <v>69.349999999999994</v>
      </c>
      <c r="H81" s="64">
        <v>13.46</v>
      </c>
      <c r="I81" s="64">
        <v>7.64</v>
      </c>
      <c r="J81" s="64">
        <v>3.04</v>
      </c>
      <c r="K81" s="64">
        <v>107.9</v>
      </c>
      <c r="L81" s="64">
        <v>19.97</v>
      </c>
      <c r="M81" s="64">
        <v>57.12</v>
      </c>
      <c r="N81" s="64">
        <v>88.3</v>
      </c>
      <c r="O81" s="64">
        <v>0</v>
      </c>
      <c r="P81" s="64">
        <v>0.57999999999999996</v>
      </c>
      <c r="Q81" s="64">
        <v>8.2100000000000009</v>
      </c>
      <c r="R81" s="198"/>
      <c r="S81" s="198"/>
      <c r="T81" s="198"/>
      <c r="U81" s="198"/>
    </row>
    <row r="82" spans="1:26" s="12" customFormat="1" x14ac:dyDescent="0.25">
      <c r="A82" s="215" t="s">
        <v>897</v>
      </c>
      <c r="B82" s="64">
        <v>4.3499999999999996</v>
      </c>
      <c r="C82" s="64">
        <v>45.87</v>
      </c>
      <c r="D82" s="64">
        <v>26.07</v>
      </c>
      <c r="E82" s="64">
        <v>5.21</v>
      </c>
      <c r="F82" s="64">
        <v>4.6500000000000004</v>
      </c>
      <c r="G82" s="64">
        <v>69.349999999999994</v>
      </c>
      <c r="H82" s="64">
        <v>13.46</v>
      </c>
      <c r="I82" s="64">
        <v>8.1</v>
      </c>
      <c r="J82" s="64">
        <v>3.38</v>
      </c>
      <c r="K82" s="64">
        <v>101.71</v>
      </c>
      <c r="L82" s="64">
        <v>19.899999999999999</v>
      </c>
      <c r="M82" s="64">
        <v>56.88</v>
      </c>
      <c r="N82" s="64">
        <v>90.6</v>
      </c>
      <c r="O82" s="64">
        <v>0</v>
      </c>
      <c r="P82" s="64">
        <v>0.57999999999999996</v>
      </c>
      <c r="Q82" s="64">
        <v>8.2100000000000009</v>
      </c>
      <c r="R82" s="198"/>
      <c r="S82" s="198"/>
      <c r="T82" s="198"/>
      <c r="U82" s="198"/>
    </row>
    <row r="83" spans="1:26" s="12" customFormat="1" x14ac:dyDescent="0.25">
      <c r="A83" s="215" t="s">
        <v>898</v>
      </c>
      <c r="B83" s="64">
        <v>4.3</v>
      </c>
      <c r="C83" s="64">
        <v>46.8</v>
      </c>
      <c r="D83" s="64">
        <v>26.53</v>
      </c>
      <c r="E83" s="64">
        <v>4.97</v>
      </c>
      <c r="F83" s="64">
        <v>4.47</v>
      </c>
      <c r="G83" s="64">
        <v>69.349999999999994</v>
      </c>
      <c r="H83" s="64">
        <v>13.46</v>
      </c>
      <c r="I83" s="64">
        <v>7.29</v>
      </c>
      <c r="J83" s="64">
        <v>3.75</v>
      </c>
      <c r="K83" s="64">
        <v>106.27</v>
      </c>
      <c r="L83" s="64">
        <v>19.7</v>
      </c>
      <c r="M83" s="64">
        <v>57.36</v>
      </c>
      <c r="N83" s="64">
        <v>89.1</v>
      </c>
      <c r="O83" s="64">
        <v>0</v>
      </c>
      <c r="P83" s="64">
        <v>0.57999999999999996</v>
      </c>
      <c r="Q83" s="64">
        <v>8.2100000000000009</v>
      </c>
      <c r="R83" s="198"/>
      <c r="S83" s="198"/>
      <c r="T83" s="198"/>
      <c r="U83" s="198"/>
    </row>
    <row r="84" spans="1:26" s="12" customFormat="1" x14ac:dyDescent="0.25">
      <c r="A84" s="215" t="s">
        <v>899</v>
      </c>
      <c r="B84" s="64">
        <v>4.04</v>
      </c>
      <c r="C84" s="64">
        <v>48.28</v>
      </c>
      <c r="D84" s="64">
        <v>27.09</v>
      </c>
      <c r="E84" s="64">
        <v>5.38</v>
      </c>
      <c r="F84" s="64">
        <v>4.5599999999999996</v>
      </c>
      <c r="G84" s="64">
        <v>62.06</v>
      </c>
      <c r="H84" s="64">
        <v>10.63</v>
      </c>
      <c r="I84" s="64">
        <v>8.11</v>
      </c>
      <c r="J84" s="64">
        <v>3.58</v>
      </c>
      <c r="K84" s="64">
        <v>108.79</v>
      </c>
      <c r="L84" s="64">
        <v>19.52</v>
      </c>
      <c r="M84" s="64">
        <v>57.9</v>
      </c>
      <c r="N84" s="64">
        <v>94.8</v>
      </c>
      <c r="O84" s="64">
        <v>0</v>
      </c>
      <c r="P84" s="64">
        <v>0.59</v>
      </c>
      <c r="Q84" s="64">
        <v>8.2100000000000009</v>
      </c>
      <c r="R84" s="198"/>
      <c r="S84" s="198"/>
      <c r="T84" s="198"/>
      <c r="U84" s="198"/>
    </row>
    <row r="85" spans="1:26" s="12" customFormat="1" x14ac:dyDescent="0.25">
      <c r="A85" s="215" t="s">
        <v>900</v>
      </c>
      <c r="B85" s="64">
        <v>3.77</v>
      </c>
      <c r="C85" s="64">
        <v>46.23</v>
      </c>
      <c r="D85" s="64">
        <v>25.8</v>
      </c>
      <c r="E85" s="64">
        <v>5.29</v>
      </c>
      <c r="F85" s="64">
        <v>4.91</v>
      </c>
      <c r="G85" s="64">
        <v>56.47</v>
      </c>
      <c r="H85" s="64">
        <v>10.29</v>
      </c>
      <c r="I85" s="64">
        <v>8.2799999999999994</v>
      </c>
      <c r="J85" s="64">
        <v>3.73</v>
      </c>
      <c r="K85" s="64">
        <v>112.5</v>
      </c>
      <c r="L85" s="64">
        <v>19.309999999999999</v>
      </c>
      <c r="M85" s="64">
        <v>59.56</v>
      </c>
      <c r="N85" s="64">
        <v>87.7</v>
      </c>
      <c r="O85" s="64">
        <v>0</v>
      </c>
      <c r="P85" s="64">
        <v>0.6</v>
      </c>
      <c r="Q85" s="64">
        <v>8.2100000000000009</v>
      </c>
      <c r="R85" s="198"/>
      <c r="S85" s="198"/>
      <c r="T85" s="198"/>
      <c r="U85" s="198"/>
    </row>
    <row r="86" spans="1:26" s="12" customFormat="1" x14ac:dyDescent="0.25">
      <c r="A86" s="215" t="s">
        <v>901</v>
      </c>
      <c r="B86" s="64">
        <v>3.59</v>
      </c>
      <c r="C86" s="64">
        <v>47.79</v>
      </c>
      <c r="D86" s="64">
        <v>26.47</v>
      </c>
      <c r="E86" s="64">
        <v>5.1100000000000003</v>
      </c>
      <c r="F86" s="64">
        <v>4.63</v>
      </c>
      <c r="G86" s="64">
        <v>56.47</v>
      </c>
      <c r="H86" s="64">
        <v>10.29</v>
      </c>
      <c r="I86" s="64">
        <v>8.68</v>
      </c>
      <c r="J86" s="64">
        <v>3.69</v>
      </c>
      <c r="K86" s="64">
        <v>112.88</v>
      </c>
      <c r="L86" s="64">
        <v>19.07</v>
      </c>
      <c r="M86" s="64">
        <v>60.87</v>
      </c>
      <c r="N86" s="64">
        <v>90.2</v>
      </c>
      <c r="O86" s="64">
        <v>0</v>
      </c>
      <c r="P86" s="64">
        <v>0.64</v>
      </c>
      <c r="Q86" s="64">
        <v>8.2100000000000009</v>
      </c>
      <c r="R86" s="198"/>
      <c r="S86" s="198"/>
      <c r="T86" s="198"/>
      <c r="U86" s="198"/>
    </row>
    <row r="87" spans="1:26" s="12" customFormat="1" x14ac:dyDescent="0.25">
      <c r="A87" s="215" t="s">
        <v>902</v>
      </c>
      <c r="B87" s="64">
        <v>3.54</v>
      </c>
      <c r="C87" s="64">
        <v>46.57</v>
      </c>
      <c r="D87" s="64">
        <v>25.79</v>
      </c>
      <c r="E87" s="64">
        <v>5.56</v>
      </c>
      <c r="F87" s="64">
        <v>4.6399999999999997</v>
      </c>
      <c r="G87" s="64">
        <v>56.47</v>
      </c>
      <c r="H87" s="64">
        <v>10.29</v>
      </c>
      <c r="I87" s="64">
        <v>8.85</v>
      </c>
      <c r="J87" s="64">
        <v>1.75</v>
      </c>
      <c r="K87" s="64">
        <v>122.22</v>
      </c>
      <c r="L87" s="64">
        <v>18.87</v>
      </c>
      <c r="M87" s="64">
        <v>61.89</v>
      </c>
      <c r="N87" s="64">
        <v>93.1</v>
      </c>
      <c r="O87" s="64">
        <v>0</v>
      </c>
      <c r="P87" s="64">
        <v>0.65</v>
      </c>
      <c r="Q87" s="64">
        <v>8.2100000000000009</v>
      </c>
      <c r="R87" s="198"/>
      <c r="S87" s="198"/>
      <c r="T87" s="198"/>
      <c r="U87" s="198"/>
    </row>
    <row r="88" spans="1:26" s="12" customFormat="1" x14ac:dyDescent="0.25">
      <c r="A88" s="215" t="s">
        <v>903</v>
      </c>
      <c r="B88" s="64">
        <v>3.62</v>
      </c>
      <c r="C88" s="64">
        <v>47.19</v>
      </c>
      <c r="D88" s="64">
        <v>26.18</v>
      </c>
      <c r="E88" s="64">
        <v>5.84</v>
      </c>
      <c r="F88" s="64">
        <v>4.6500000000000004</v>
      </c>
      <c r="G88" s="64">
        <v>69.790000000000006</v>
      </c>
      <c r="H88" s="64">
        <v>60.23</v>
      </c>
      <c r="I88" s="64">
        <v>8.3000000000000007</v>
      </c>
      <c r="J88" s="64">
        <v>1.04</v>
      </c>
      <c r="K88" s="64">
        <v>176.28</v>
      </c>
      <c r="L88" s="64">
        <v>18.53</v>
      </c>
      <c r="M88" s="64">
        <v>63.85</v>
      </c>
      <c r="N88" s="64">
        <v>95.6</v>
      </c>
      <c r="O88" s="64">
        <v>0</v>
      </c>
      <c r="P88" s="64">
        <v>0.7</v>
      </c>
      <c r="Q88" s="64">
        <v>8.2100000000000009</v>
      </c>
      <c r="R88" s="198"/>
      <c r="S88" s="198"/>
      <c r="T88" s="198"/>
      <c r="U88" s="198"/>
    </row>
    <row r="89" spans="1:26" s="12" customFormat="1" x14ac:dyDescent="0.25">
      <c r="A89" s="215" t="s">
        <v>904</v>
      </c>
      <c r="B89" s="64">
        <v>3.91</v>
      </c>
      <c r="C89" s="64">
        <v>44.16</v>
      </c>
      <c r="D89" s="64">
        <v>24.83</v>
      </c>
      <c r="E89" s="64">
        <v>5.57</v>
      </c>
      <c r="F89" s="64">
        <v>4.8499999999999996</v>
      </c>
      <c r="G89" s="64">
        <v>79.98</v>
      </c>
      <c r="H89" s="64">
        <v>35.049999999999997</v>
      </c>
      <c r="I89" s="64">
        <v>8.25</v>
      </c>
      <c r="J89" s="64">
        <v>0.69</v>
      </c>
      <c r="K89" s="64">
        <v>188.13</v>
      </c>
      <c r="L89" s="64">
        <v>18.27</v>
      </c>
      <c r="M89" s="64">
        <v>65.459999999999994</v>
      </c>
      <c r="N89" s="64">
        <v>93.3</v>
      </c>
      <c r="O89" s="64">
        <v>0</v>
      </c>
      <c r="P89" s="64">
        <v>0.77</v>
      </c>
      <c r="Q89" s="64">
        <v>8.2100000000000009</v>
      </c>
      <c r="R89" s="198"/>
      <c r="S89" s="198"/>
      <c r="T89" s="198"/>
      <c r="U89" s="198"/>
    </row>
    <row r="90" spans="1:26" s="12" customFormat="1" x14ac:dyDescent="0.25">
      <c r="A90" s="215" t="s">
        <v>905</v>
      </c>
      <c r="B90" s="64">
        <v>4.43</v>
      </c>
      <c r="C90" s="64">
        <v>44.54</v>
      </c>
      <c r="D90" s="64">
        <v>25.45</v>
      </c>
      <c r="E90" s="64">
        <v>5.36</v>
      </c>
      <c r="F90" s="64">
        <v>4.41</v>
      </c>
      <c r="G90" s="64">
        <v>79.98</v>
      </c>
      <c r="H90" s="64">
        <v>35.049999999999997</v>
      </c>
      <c r="I90" s="64">
        <v>6.97</v>
      </c>
      <c r="J90" s="64">
        <v>1.01</v>
      </c>
      <c r="K90" s="64">
        <v>142.44999999999999</v>
      </c>
      <c r="L90" s="64">
        <v>18.18</v>
      </c>
      <c r="M90" s="64">
        <v>66.27</v>
      </c>
      <c r="N90" s="64">
        <v>92</v>
      </c>
      <c r="O90" s="64">
        <v>0</v>
      </c>
      <c r="P90" s="64">
        <v>0.74</v>
      </c>
      <c r="Q90" s="64">
        <v>8.2100000000000009</v>
      </c>
      <c r="R90" s="198"/>
      <c r="S90" s="198"/>
      <c r="T90" s="198"/>
      <c r="U90" s="198"/>
    </row>
    <row r="91" spans="1:26" s="12" customFormat="1" x14ac:dyDescent="0.25">
      <c r="A91" s="215" t="s">
        <v>906</v>
      </c>
      <c r="B91" s="64">
        <v>4.83</v>
      </c>
      <c r="C91" s="64">
        <v>44.53</v>
      </c>
      <c r="D91" s="64">
        <v>25.76</v>
      </c>
      <c r="E91" s="64">
        <v>5.42</v>
      </c>
      <c r="F91" s="64">
        <v>4.05</v>
      </c>
      <c r="G91" s="64">
        <v>79.98</v>
      </c>
      <c r="H91" s="64">
        <v>35.049999999999997</v>
      </c>
      <c r="I91" s="64">
        <v>6.28</v>
      </c>
      <c r="J91" s="64">
        <v>1.9</v>
      </c>
      <c r="K91" s="64">
        <v>91.66</v>
      </c>
      <c r="L91" s="64">
        <v>18.23</v>
      </c>
      <c r="M91" s="64">
        <v>66.66</v>
      </c>
      <c r="N91" s="64">
        <v>89.6</v>
      </c>
      <c r="O91" s="64">
        <v>0</v>
      </c>
      <c r="P91" s="64">
        <v>0.72</v>
      </c>
      <c r="Q91" s="64">
        <v>8.2100000000000009</v>
      </c>
      <c r="R91" s="198"/>
      <c r="S91" s="198"/>
      <c r="T91" s="198"/>
      <c r="U91" s="198"/>
    </row>
    <row r="92" spans="1:26" s="12" customFormat="1" x14ac:dyDescent="0.25">
      <c r="A92" s="215" t="s">
        <v>907</v>
      </c>
      <c r="B92" s="64">
        <v>5.01</v>
      </c>
      <c r="C92" s="64">
        <v>44.43</v>
      </c>
      <c r="D92" s="64">
        <v>25.86</v>
      </c>
      <c r="E92" s="64">
        <v>5.31</v>
      </c>
      <c r="F92" s="64">
        <v>4.08</v>
      </c>
      <c r="G92" s="64">
        <v>79.760000000000005</v>
      </c>
      <c r="H92" s="64">
        <v>70.209999999999994</v>
      </c>
      <c r="I92" s="64">
        <v>5.83</v>
      </c>
      <c r="J92" s="64">
        <v>1.6</v>
      </c>
      <c r="K92" s="64">
        <v>165.83</v>
      </c>
      <c r="L92" s="64">
        <v>18.170000000000002</v>
      </c>
      <c r="M92" s="64">
        <v>67.86</v>
      </c>
      <c r="N92" s="64">
        <v>94</v>
      </c>
      <c r="O92" s="64">
        <v>0</v>
      </c>
      <c r="P92" s="64">
        <v>0.73</v>
      </c>
      <c r="Q92" s="64">
        <v>8.2100000000000009</v>
      </c>
      <c r="R92" s="198"/>
      <c r="S92" s="198"/>
      <c r="T92" s="198"/>
      <c r="U92" s="198"/>
    </row>
    <row r="93" spans="1:26" s="12" customFormat="1" x14ac:dyDescent="0.25">
      <c r="A93" s="215" t="s">
        <v>908</v>
      </c>
      <c r="B93" s="64">
        <v>5.27</v>
      </c>
      <c r="C93" s="64">
        <v>44.09</v>
      </c>
      <c r="D93" s="64">
        <v>25.89</v>
      </c>
      <c r="E93" s="64">
        <v>5.67</v>
      </c>
      <c r="F93" s="64">
        <v>3.87</v>
      </c>
      <c r="G93" s="64">
        <v>79.59</v>
      </c>
      <c r="H93" s="64">
        <v>82.16</v>
      </c>
      <c r="I93" s="64">
        <v>5.89</v>
      </c>
      <c r="J93" s="64">
        <v>1.54</v>
      </c>
      <c r="K93" s="64">
        <v>188.57</v>
      </c>
      <c r="L93" s="64">
        <v>17.98</v>
      </c>
      <c r="M93" s="64">
        <v>69.36</v>
      </c>
      <c r="N93" s="64">
        <v>96.3</v>
      </c>
      <c r="O93" s="64">
        <v>0</v>
      </c>
      <c r="P93" s="64">
        <v>0.72</v>
      </c>
      <c r="Q93" s="64">
        <v>8.2100000000000009</v>
      </c>
      <c r="R93" s="198"/>
      <c r="S93" s="198"/>
      <c r="T93" s="198"/>
      <c r="U93" s="198"/>
    </row>
    <row r="94" spans="1:26" s="12" customFormat="1" x14ac:dyDescent="0.25">
      <c r="A94" s="215" t="s">
        <v>909</v>
      </c>
      <c r="B94" s="64">
        <v>5.77</v>
      </c>
      <c r="C94" s="64">
        <v>43.76</v>
      </c>
      <c r="D94" s="64">
        <v>26.11</v>
      </c>
      <c r="E94" s="64">
        <v>5.41</v>
      </c>
      <c r="F94" s="64">
        <v>4.09</v>
      </c>
      <c r="G94" s="64">
        <v>79.59</v>
      </c>
      <c r="H94" s="64">
        <v>82.16</v>
      </c>
      <c r="I94" s="64">
        <v>6.89</v>
      </c>
      <c r="J94" s="64">
        <v>1.45</v>
      </c>
      <c r="K94" s="64">
        <v>104.36</v>
      </c>
      <c r="L94" s="64">
        <v>17.88</v>
      </c>
      <c r="M94" s="64">
        <v>69.790000000000006</v>
      </c>
      <c r="N94" s="64">
        <v>97.6</v>
      </c>
      <c r="O94" s="64">
        <v>0</v>
      </c>
      <c r="P94" s="64">
        <v>0.72</v>
      </c>
      <c r="Q94" s="64">
        <v>8.2100000000000009</v>
      </c>
      <c r="R94" s="198"/>
      <c r="S94" s="198"/>
      <c r="T94" s="198"/>
      <c r="U94" s="198"/>
    </row>
    <row r="95" spans="1:26" s="12" customFormat="1" x14ac:dyDescent="0.25">
      <c r="A95" s="215" t="s">
        <v>910</v>
      </c>
      <c r="B95" s="64">
        <v>6</v>
      </c>
      <c r="C95" s="64">
        <v>43.69</v>
      </c>
      <c r="D95" s="64">
        <v>26.26</v>
      </c>
      <c r="E95" s="64">
        <v>5.73</v>
      </c>
      <c r="F95" s="64">
        <v>4.04</v>
      </c>
      <c r="G95" s="64">
        <v>79.59</v>
      </c>
      <c r="H95" s="64">
        <v>82.16</v>
      </c>
      <c r="I95" s="64">
        <v>6.51</v>
      </c>
      <c r="J95" s="64">
        <v>1.74</v>
      </c>
      <c r="K95" s="64">
        <v>198.54</v>
      </c>
      <c r="L95" s="64">
        <v>17.86</v>
      </c>
      <c r="M95" s="64">
        <v>69.16</v>
      </c>
      <c r="N95" s="64">
        <v>99.1</v>
      </c>
      <c r="O95" s="64">
        <v>0</v>
      </c>
      <c r="P95" s="64">
        <v>0.73</v>
      </c>
      <c r="Q95" s="64">
        <v>8.2100000000000009</v>
      </c>
      <c r="R95" s="198"/>
      <c r="S95" s="198"/>
      <c r="T95" s="198"/>
      <c r="U95" s="198"/>
    </row>
    <row r="96" spans="1:26" s="12" customFormat="1" x14ac:dyDescent="0.25">
      <c r="A96" s="215" t="s">
        <v>911</v>
      </c>
      <c r="B96" s="64">
        <v>6.33</v>
      </c>
      <c r="C96" s="64">
        <v>44.82</v>
      </c>
      <c r="D96" s="64">
        <v>27.12</v>
      </c>
      <c r="E96" s="64">
        <v>5.34</v>
      </c>
      <c r="F96" s="64">
        <v>4.1399999999999997</v>
      </c>
      <c r="G96" s="64">
        <v>77.150000000000006</v>
      </c>
      <c r="H96" s="64">
        <v>64.48</v>
      </c>
      <c r="I96" s="64">
        <v>5.84</v>
      </c>
      <c r="J96" s="64">
        <v>1.06</v>
      </c>
      <c r="K96" s="64">
        <v>259.55</v>
      </c>
      <c r="L96" s="64">
        <v>17.57</v>
      </c>
      <c r="M96" s="64">
        <v>70.900000000000006</v>
      </c>
      <c r="N96" s="64">
        <v>91.3</v>
      </c>
      <c r="O96" s="64">
        <v>0</v>
      </c>
      <c r="P96" s="64">
        <v>0.72</v>
      </c>
      <c r="Q96" s="64">
        <v>8.2100000000000009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912</v>
      </c>
      <c r="B97" s="64">
        <v>6.88</v>
      </c>
      <c r="C97" s="64">
        <v>46.24</v>
      </c>
      <c r="D97" s="64">
        <v>28.3</v>
      </c>
      <c r="E97" s="64">
        <v>5.6</v>
      </c>
      <c r="F97" s="64">
        <v>4.12</v>
      </c>
      <c r="G97" s="64">
        <v>75.290000000000006</v>
      </c>
      <c r="H97" s="64">
        <v>53.35</v>
      </c>
      <c r="I97" s="64">
        <v>6.95</v>
      </c>
      <c r="J97" s="64">
        <v>1.37</v>
      </c>
      <c r="K97" s="64">
        <v>183.68</v>
      </c>
      <c r="L97" s="64">
        <v>17.510000000000002</v>
      </c>
      <c r="M97" s="64">
        <v>70.8</v>
      </c>
      <c r="N97" s="64">
        <v>98.7</v>
      </c>
      <c r="O97" s="64">
        <v>0</v>
      </c>
      <c r="P97" s="64">
        <v>0.74</v>
      </c>
      <c r="Q97" s="64">
        <v>8.2100000000000009</v>
      </c>
      <c r="R97" s="198"/>
      <c r="S97" s="198"/>
      <c r="T97" s="198"/>
      <c r="U97" s="198"/>
    </row>
    <row r="98" spans="1:33" s="12" customFormat="1" x14ac:dyDescent="0.25">
      <c r="A98" s="215" t="s">
        <v>913</v>
      </c>
      <c r="B98" s="64">
        <v>6.76</v>
      </c>
      <c r="C98" s="64">
        <v>45.04</v>
      </c>
      <c r="D98" s="64">
        <v>27.58</v>
      </c>
      <c r="E98" s="64">
        <v>5.36</v>
      </c>
      <c r="F98" s="64">
        <v>4.53</v>
      </c>
      <c r="G98" s="64">
        <v>75.290000000000006</v>
      </c>
      <c r="H98" s="64">
        <v>53.35</v>
      </c>
      <c r="I98" s="64">
        <v>7.87</v>
      </c>
      <c r="J98" s="64">
        <v>2.6</v>
      </c>
      <c r="K98" s="64">
        <v>188.13</v>
      </c>
      <c r="L98" s="64">
        <v>17.5</v>
      </c>
      <c r="M98" s="64">
        <v>71.2</v>
      </c>
      <c r="N98" s="64">
        <v>96.5</v>
      </c>
      <c r="O98" s="64">
        <v>0</v>
      </c>
      <c r="P98" s="64">
        <v>0.74</v>
      </c>
      <c r="Q98" s="64">
        <v>8.2100000000000009</v>
      </c>
      <c r="R98" s="198"/>
      <c r="S98" s="198"/>
      <c r="T98" s="198"/>
      <c r="U98" s="198"/>
    </row>
    <row r="99" spans="1:33" s="12" customFormat="1" x14ac:dyDescent="0.25">
      <c r="A99" s="215" t="s">
        <v>914</v>
      </c>
      <c r="B99" s="64">
        <v>6.42</v>
      </c>
      <c r="C99" s="64">
        <v>43.83</v>
      </c>
      <c r="D99" s="64">
        <v>26.67</v>
      </c>
      <c r="E99" s="64">
        <v>5.31</v>
      </c>
      <c r="F99" s="64">
        <v>4.71</v>
      </c>
      <c r="G99" s="64">
        <v>75.290000000000006</v>
      </c>
      <c r="H99" s="64">
        <v>53.35</v>
      </c>
      <c r="I99" s="64">
        <v>7.61</v>
      </c>
      <c r="J99" s="64">
        <v>1.81</v>
      </c>
      <c r="K99" s="64">
        <v>192.77</v>
      </c>
      <c r="L99" s="64">
        <v>17.38</v>
      </c>
      <c r="M99" s="64">
        <v>73.17</v>
      </c>
      <c r="N99" s="64">
        <v>97.9</v>
      </c>
      <c r="O99" s="64">
        <v>0</v>
      </c>
      <c r="P99" s="64">
        <v>0.73</v>
      </c>
      <c r="Q99" s="64">
        <v>8.2100000000000009</v>
      </c>
      <c r="R99" s="198"/>
      <c r="S99" s="198"/>
      <c r="T99" s="198"/>
      <c r="U99" s="198"/>
    </row>
    <row r="100" spans="1:33" s="12" customFormat="1" x14ac:dyDescent="0.25">
      <c r="A100" s="215" t="s">
        <v>915</v>
      </c>
      <c r="B100" s="64">
        <v>6.12</v>
      </c>
      <c r="C100" s="64">
        <v>44.74</v>
      </c>
      <c r="D100" s="64">
        <v>26.91</v>
      </c>
      <c r="E100" s="64">
        <v>5.17</v>
      </c>
      <c r="F100" s="64">
        <v>4.4000000000000004</v>
      </c>
      <c r="G100" s="64">
        <v>68.87</v>
      </c>
      <c r="H100" s="64">
        <v>15.93</v>
      </c>
      <c r="I100" s="64">
        <v>7.57</v>
      </c>
      <c r="J100" s="64">
        <v>1.87</v>
      </c>
      <c r="K100" s="64">
        <v>190.06</v>
      </c>
      <c r="L100" s="64">
        <v>17.149999999999999</v>
      </c>
      <c r="M100" s="64">
        <v>74.97</v>
      </c>
      <c r="N100" s="64">
        <v>98.6</v>
      </c>
      <c r="O100" s="64">
        <v>0</v>
      </c>
      <c r="P100" s="64">
        <v>0.73</v>
      </c>
      <c r="Q100" s="64">
        <v>8.2100000000000009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916</v>
      </c>
      <c r="B101" s="64">
        <v>6.11</v>
      </c>
      <c r="C101" s="64">
        <v>45.15</v>
      </c>
      <c r="D101" s="64">
        <v>27.11</v>
      </c>
      <c r="E101" s="64">
        <v>5.32</v>
      </c>
      <c r="F101" s="64">
        <v>4.22</v>
      </c>
      <c r="G101" s="64">
        <v>63.96</v>
      </c>
      <c r="H101" s="64">
        <v>3.2</v>
      </c>
      <c r="I101" s="64">
        <v>7.41</v>
      </c>
      <c r="J101" s="64">
        <v>1.39</v>
      </c>
      <c r="K101" s="64">
        <v>293.58999999999997</v>
      </c>
      <c r="L101" s="64">
        <v>16.940000000000001</v>
      </c>
      <c r="M101" s="64">
        <v>77.16</v>
      </c>
      <c r="N101" s="64">
        <v>92.4</v>
      </c>
      <c r="O101" s="64">
        <v>0</v>
      </c>
      <c r="P101" s="64">
        <v>0.73</v>
      </c>
      <c r="Q101" s="64">
        <v>8.2100000000000009</v>
      </c>
      <c r="R101" s="198"/>
      <c r="S101" s="198"/>
      <c r="T101" s="198"/>
      <c r="U101" s="198"/>
    </row>
    <row r="102" spans="1:33" s="12" customFormat="1" x14ac:dyDescent="0.25">
      <c r="A102" s="215" t="s">
        <v>917</v>
      </c>
      <c r="B102" s="64">
        <v>6.48</v>
      </c>
      <c r="C102" s="64">
        <v>43.14</v>
      </c>
      <c r="D102" s="64">
        <v>26.36</v>
      </c>
      <c r="E102" s="64">
        <v>4.74</v>
      </c>
      <c r="F102" s="64">
        <v>4.13</v>
      </c>
      <c r="G102" s="64">
        <v>63.96</v>
      </c>
      <c r="H102" s="64">
        <v>3.2</v>
      </c>
      <c r="I102" s="64">
        <v>7.23</v>
      </c>
      <c r="J102" s="64">
        <v>2.41</v>
      </c>
      <c r="K102" s="64">
        <v>255.06</v>
      </c>
      <c r="L102" s="64">
        <v>16.66</v>
      </c>
      <c r="M102" s="64">
        <v>79.48</v>
      </c>
      <c r="N102" s="64">
        <v>92.2</v>
      </c>
      <c r="O102" s="64">
        <v>0</v>
      </c>
      <c r="P102" s="64">
        <v>0.74</v>
      </c>
      <c r="Q102" s="64">
        <v>8.2100000000000009</v>
      </c>
      <c r="R102" s="198"/>
      <c r="S102" s="198"/>
      <c r="T102" s="198"/>
      <c r="U102" s="198"/>
    </row>
    <row r="103" spans="1:33" s="12" customFormat="1" x14ac:dyDescent="0.25">
      <c r="A103" s="215" t="s">
        <v>918</v>
      </c>
      <c r="B103" s="64">
        <v>6.59</v>
      </c>
      <c r="C103" s="64">
        <v>44.88</v>
      </c>
      <c r="D103" s="64">
        <v>27.36</v>
      </c>
      <c r="E103" s="64">
        <v>4.72</v>
      </c>
      <c r="F103" s="64">
        <v>4.01</v>
      </c>
      <c r="G103" s="64">
        <v>63.96</v>
      </c>
      <c r="H103" s="64">
        <v>3.2</v>
      </c>
      <c r="I103" s="64">
        <v>7.05</v>
      </c>
      <c r="J103" s="64">
        <v>1.49</v>
      </c>
      <c r="K103" s="64">
        <v>244.45</v>
      </c>
      <c r="L103" s="64">
        <v>16.600000000000001</v>
      </c>
      <c r="M103" s="64">
        <v>80.739999999999995</v>
      </c>
      <c r="N103" s="64">
        <v>94.2</v>
      </c>
      <c r="O103" s="64">
        <v>0</v>
      </c>
      <c r="P103" s="64">
        <v>0.73</v>
      </c>
      <c r="Q103" s="64">
        <v>8.2100000000000009</v>
      </c>
      <c r="R103" s="198"/>
      <c r="S103" s="198"/>
      <c r="T103" s="198"/>
      <c r="U103" s="198"/>
    </row>
    <row r="104" spans="1:33" s="12" customFormat="1" x14ac:dyDescent="0.25">
      <c r="A104" s="215" t="s">
        <v>919</v>
      </c>
      <c r="B104" s="64">
        <v>6.63</v>
      </c>
      <c r="C104" s="64">
        <v>45.5</v>
      </c>
      <c r="D104" s="64">
        <v>27.71</v>
      </c>
      <c r="E104" s="64">
        <v>4.71</v>
      </c>
      <c r="F104" s="64">
        <v>4.1900000000000004</v>
      </c>
      <c r="G104" s="64">
        <v>64.599999999999994</v>
      </c>
      <c r="H104" s="64">
        <v>38.799999999999997</v>
      </c>
      <c r="I104" s="64">
        <v>6.89</v>
      </c>
      <c r="J104" s="64">
        <v>1.9</v>
      </c>
      <c r="K104" s="64">
        <v>204.11</v>
      </c>
      <c r="L104" s="64">
        <v>16.62</v>
      </c>
      <c r="M104" s="64">
        <v>80.27</v>
      </c>
      <c r="N104" s="64">
        <v>94.3</v>
      </c>
      <c r="O104" s="64">
        <v>0</v>
      </c>
      <c r="P104" s="64">
        <v>0.73</v>
      </c>
      <c r="Q104" s="64">
        <v>8.2100000000000009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3.26</v>
      </c>
      <c r="C106" s="67">
        <f>MIN(C9:C104)</f>
        <v>40.56</v>
      </c>
      <c r="D106" s="67">
        <f t="shared" ref="D106:Q106" si="0">MIN(D9:D104)</f>
        <v>23.45</v>
      </c>
      <c r="E106" s="67">
        <f t="shared" si="0"/>
        <v>4.4400000000000004</v>
      </c>
      <c r="F106" s="67">
        <f t="shared" si="0"/>
        <v>3.4</v>
      </c>
      <c r="G106" s="67">
        <f t="shared" si="0"/>
        <v>25.55</v>
      </c>
      <c r="H106" s="67">
        <f t="shared" si="0"/>
        <v>3.2</v>
      </c>
      <c r="I106" s="67">
        <f t="shared" si="0"/>
        <v>5.04</v>
      </c>
      <c r="J106" s="67">
        <f t="shared" si="0"/>
        <v>0.24</v>
      </c>
      <c r="K106" s="67">
        <f t="shared" si="0"/>
        <v>20.46</v>
      </c>
      <c r="L106" s="67">
        <f t="shared" si="0"/>
        <v>16.600000000000001</v>
      </c>
      <c r="M106" s="67">
        <f t="shared" si="0"/>
        <v>49.34</v>
      </c>
      <c r="N106" s="67">
        <f t="shared" si="0"/>
        <v>63.4</v>
      </c>
      <c r="O106" s="67">
        <f t="shared" si="0"/>
        <v>0</v>
      </c>
      <c r="P106" s="67">
        <f t="shared" si="0"/>
        <v>0.51</v>
      </c>
      <c r="Q106" s="67">
        <f t="shared" si="0"/>
        <v>8.2100000000000009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105.52</v>
      </c>
      <c r="C107" s="66">
        <f t="shared" ref="C107:Q107" si="1">MAX(C9:C104)</f>
        <v>52.12</v>
      </c>
      <c r="D107" s="66">
        <f t="shared" si="1"/>
        <v>110.47</v>
      </c>
      <c r="E107" s="66">
        <f t="shared" si="1"/>
        <v>9.57</v>
      </c>
      <c r="F107" s="66">
        <f t="shared" si="1"/>
        <v>5.62</v>
      </c>
      <c r="G107" s="66">
        <f t="shared" si="1"/>
        <v>204.69</v>
      </c>
      <c r="H107" s="66">
        <f t="shared" si="1"/>
        <v>110.14</v>
      </c>
      <c r="I107" s="66">
        <f t="shared" si="1"/>
        <v>12.97</v>
      </c>
      <c r="J107" s="66">
        <f t="shared" si="1"/>
        <v>4.43</v>
      </c>
      <c r="K107" s="66">
        <f t="shared" si="1"/>
        <v>356.06</v>
      </c>
      <c r="L107" s="66">
        <f t="shared" si="1"/>
        <v>21.62</v>
      </c>
      <c r="M107" s="66">
        <f t="shared" si="1"/>
        <v>80.739999999999995</v>
      </c>
      <c r="N107" s="66">
        <f t="shared" si="1"/>
        <v>342.8</v>
      </c>
      <c r="O107" s="66">
        <f t="shared" si="1"/>
        <v>0</v>
      </c>
      <c r="P107" s="66">
        <f t="shared" si="1"/>
        <v>2.63</v>
      </c>
      <c r="Q107" s="66">
        <f t="shared" si="1"/>
        <v>11.06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20.292812499999997</v>
      </c>
      <c r="C108" s="67">
        <f t="shared" ref="C108:Q108" si="2">AVERAGE(C9:C104)</f>
        <v>45.396458333333335</v>
      </c>
      <c r="D108" s="67">
        <f t="shared" si="2"/>
        <v>38.614479166666676</v>
      </c>
      <c r="E108" s="67">
        <f t="shared" si="2"/>
        <v>5.9715625000000001</v>
      </c>
      <c r="F108" s="67">
        <f t="shared" si="2"/>
        <v>4.2763541666666658</v>
      </c>
      <c r="G108" s="67">
        <f t="shared" si="2"/>
        <v>67.467291666666696</v>
      </c>
      <c r="H108" s="67">
        <f t="shared" si="2"/>
        <v>36.816041666666663</v>
      </c>
      <c r="I108" s="67">
        <f t="shared" si="2"/>
        <v>8.1027083333333341</v>
      </c>
      <c r="J108" s="67">
        <f t="shared" si="2"/>
        <v>2.0256249999999998</v>
      </c>
      <c r="K108" s="67">
        <f t="shared" si="2"/>
        <v>145.41833333333329</v>
      </c>
      <c r="L108" s="67">
        <f t="shared" si="2"/>
        <v>18.744270833333335</v>
      </c>
      <c r="M108" s="67">
        <f t="shared" si="2"/>
        <v>62.170416666666675</v>
      </c>
      <c r="N108" s="67">
        <f t="shared" si="2"/>
        <v>136.84791666666666</v>
      </c>
      <c r="O108" s="67">
        <f t="shared" si="2"/>
        <v>0</v>
      </c>
      <c r="P108" s="67">
        <f t="shared" si="2"/>
        <v>0.88635416666666667</v>
      </c>
      <c r="Q108" s="67">
        <f t="shared" si="2"/>
        <v>8.705416666666677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24.012632101201056</v>
      </c>
      <c r="C109" s="67">
        <f t="shared" ref="C109:Q109" si="3">STDEV(C9:C104)</f>
        <v>2.7202302453504368</v>
      </c>
      <c r="D109" s="67">
        <f t="shared" si="3"/>
        <v>19.977245628058228</v>
      </c>
      <c r="E109" s="67">
        <f t="shared" si="3"/>
        <v>1.1516928758411098</v>
      </c>
      <c r="F109" s="67">
        <f t="shared" si="3"/>
        <v>0.53154416520304415</v>
      </c>
      <c r="G109" s="67">
        <f t="shared" si="3"/>
        <v>37.251434235311216</v>
      </c>
      <c r="H109" s="67">
        <f t="shared" si="3"/>
        <v>24.071382812012605</v>
      </c>
      <c r="I109" s="67">
        <f t="shared" si="3"/>
        <v>1.8093648080947971</v>
      </c>
      <c r="J109" s="67">
        <f t="shared" si="3"/>
        <v>1.0298194144197275</v>
      </c>
      <c r="K109" s="67">
        <f t="shared" si="3"/>
        <v>86.539243701056748</v>
      </c>
      <c r="L109" s="67">
        <f t="shared" si="3"/>
        <v>1.5284155847024734</v>
      </c>
      <c r="M109" s="67">
        <f t="shared" si="3"/>
        <v>7.4596051703991231</v>
      </c>
      <c r="N109" s="67">
        <f t="shared" si="3"/>
        <v>71.169983293027556</v>
      </c>
      <c r="O109" s="67">
        <f t="shared" si="3"/>
        <v>0</v>
      </c>
      <c r="P109" s="67">
        <f t="shared" si="3"/>
        <v>0.49008725279370008</v>
      </c>
      <c r="Q109" s="67">
        <f t="shared" si="3"/>
        <v>0.87892388349757355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0" sqref="G12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247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08/12/2024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231</v>
      </c>
      <c r="C7" s="198" t="s">
        <v>232</v>
      </c>
      <c r="D7" s="198" t="s">
        <v>233</v>
      </c>
      <c r="E7" s="198" t="s">
        <v>234</v>
      </c>
      <c r="F7" s="198" t="s">
        <v>235</v>
      </c>
      <c r="G7" s="198" t="s">
        <v>236</v>
      </c>
      <c r="H7" s="198" t="s">
        <v>237</v>
      </c>
      <c r="I7" s="198" t="s">
        <v>238</v>
      </c>
      <c r="J7" s="198" t="s">
        <v>239</v>
      </c>
      <c r="K7" s="198" t="s">
        <v>240</v>
      </c>
      <c r="L7" s="198" t="s">
        <v>241</v>
      </c>
      <c r="M7" s="198" t="s">
        <v>242</v>
      </c>
      <c r="N7" s="198" t="s">
        <v>243</v>
      </c>
      <c r="O7" s="198" t="s">
        <v>244</v>
      </c>
      <c r="P7" s="198" t="s">
        <v>245</v>
      </c>
      <c r="Q7" s="198" t="s">
        <v>246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920</v>
      </c>
      <c r="B9" s="64">
        <v>6.56</v>
      </c>
      <c r="C9" s="64">
        <v>41.82</v>
      </c>
      <c r="D9" s="64">
        <v>25.73</v>
      </c>
      <c r="E9" s="64">
        <v>4.26</v>
      </c>
      <c r="F9" s="64">
        <v>3.87</v>
      </c>
      <c r="G9" s="64">
        <v>65.09</v>
      </c>
      <c r="H9" s="64">
        <v>50.9</v>
      </c>
      <c r="I9" s="64">
        <v>6.71</v>
      </c>
      <c r="J9" s="64">
        <v>0.57999999999999996</v>
      </c>
      <c r="K9" s="64">
        <v>64.540000000000006</v>
      </c>
      <c r="L9" s="64">
        <v>16.649999999999999</v>
      </c>
      <c r="M9" s="64">
        <v>80.349999999999994</v>
      </c>
      <c r="N9" s="64">
        <v>96.8</v>
      </c>
      <c r="O9" s="64">
        <v>0</v>
      </c>
      <c r="P9" s="64">
        <v>0.71</v>
      </c>
      <c r="Q9" s="64">
        <v>8.2100000000000009</v>
      </c>
      <c r="R9" s="198"/>
      <c r="S9" s="198"/>
      <c r="T9" s="198"/>
      <c r="U9" s="198"/>
    </row>
    <row r="10" spans="1:21" s="12" customFormat="1" x14ac:dyDescent="0.25">
      <c r="A10" s="215" t="s">
        <v>921</v>
      </c>
      <c r="B10" s="64">
        <v>6.57</v>
      </c>
      <c r="C10" s="64">
        <v>40.090000000000003</v>
      </c>
      <c r="D10" s="64">
        <v>24.84</v>
      </c>
      <c r="E10" s="64">
        <v>3.84</v>
      </c>
      <c r="F10" s="64">
        <v>4.32</v>
      </c>
      <c r="G10" s="64">
        <v>65.09</v>
      </c>
      <c r="H10" s="64">
        <v>50.9</v>
      </c>
      <c r="I10" s="64">
        <v>6.57</v>
      </c>
      <c r="J10" s="64">
        <v>2.0699999999999998</v>
      </c>
      <c r="K10" s="64">
        <v>94.78</v>
      </c>
      <c r="L10" s="64">
        <v>16.64</v>
      </c>
      <c r="M10" s="64">
        <v>80.73</v>
      </c>
      <c r="N10" s="64">
        <v>93.7</v>
      </c>
      <c r="O10" s="64">
        <v>0</v>
      </c>
      <c r="P10" s="64">
        <v>0.68</v>
      </c>
      <c r="Q10" s="64">
        <v>8.2100000000000009</v>
      </c>
      <c r="R10" s="198"/>
      <c r="S10" s="198"/>
      <c r="T10" s="198"/>
      <c r="U10" s="198"/>
    </row>
    <row r="11" spans="1:21" s="12" customFormat="1" x14ac:dyDescent="0.25">
      <c r="A11" s="215" t="s">
        <v>922</v>
      </c>
      <c r="B11" s="64">
        <v>6.53</v>
      </c>
      <c r="C11" s="64">
        <v>40.29</v>
      </c>
      <c r="D11" s="64">
        <v>24.91</v>
      </c>
      <c r="E11" s="64">
        <v>3.97</v>
      </c>
      <c r="F11" s="64">
        <v>3.98</v>
      </c>
      <c r="G11" s="64">
        <v>65.09</v>
      </c>
      <c r="H11" s="64">
        <v>50.9</v>
      </c>
      <c r="I11" s="64">
        <v>5.17</v>
      </c>
      <c r="J11" s="64">
        <v>2.4500000000000002</v>
      </c>
      <c r="K11" s="64">
        <v>106.14</v>
      </c>
      <c r="L11" s="64">
        <v>16.64</v>
      </c>
      <c r="M11" s="64">
        <v>80.459999999999994</v>
      </c>
      <c r="N11" s="64">
        <v>90.9</v>
      </c>
      <c r="O11" s="64">
        <v>0</v>
      </c>
      <c r="P11" s="64">
        <v>0.67</v>
      </c>
      <c r="Q11" s="64">
        <v>8.2100000000000009</v>
      </c>
      <c r="R11" s="198"/>
      <c r="S11" s="198"/>
      <c r="T11" s="198"/>
      <c r="U11" s="198"/>
    </row>
    <row r="12" spans="1:21" s="12" customFormat="1" x14ac:dyDescent="0.25">
      <c r="A12" s="215" t="s">
        <v>923</v>
      </c>
      <c r="B12" s="64">
        <v>6.53</v>
      </c>
      <c r="C12" s="64">
        <v>40.56</v>
      </c>
      <c r="D12" s="64">
        <v>25.05</v>
      </c>
      <c r="E12" s="64">
        <v>3.9</v>
      </c>
      <c r="F12" s="64">
        <v>3.94</v>
      </c>
      <c r="G12" s="64">
        <v>59.95</v>
      </c>
      <c r="H12" s="64">
        <v>27.61</v>
      </c>
      <c r="I12" s="64">
        <v>4.95</v>
      </c>
      <c r="J12" s="64">
        <v>1.06</v>
      </c>
      <c r="K12" s="64">
        <v>9.1</v>
      </c>
      <c r="L12" s="64">
        <v>16.66</v>
      </c>
      <c r="M12" s="64">
        <v>80.95</v>
      </c>
      <c r="N12" s="64">
        <v>92.8</v>
      </c>
      <c r="O12" s="64">
        <v>0</v>
      </c>
      <c r="P12" s="64">
        <v>0.67</v>
      </c>
      <c r="Q12" s="64">
        <v>8.2100000000000009</v>
      </c>
      <c r="R12" s="198"/>
      <c r="S12" s="198"/>
      <c r="T12" s="198"/>
      <c r="U12" s="198"/>
    </row>
    <row r="13" spans="1:21" s="12" customFormat="1" x14ac:dyDescent="0.25">
      <c r="A13" s="215" t="s">
        <v>924</v>
      </c>
      <c r="B13" s="64">
        <v>6.63</v>
      </c>
      <c r="C13" s="64">
        <v>39.93</v>
      </c>
      <c r="D13" s="64">
        <v>24.81</v>
      </c>
      <c r="E13" s="64">
        <v>4.29</v>
      </c>
      <c r="F13" s="64">
        <v>4.21</v>
      </c>
      <c r="G13" s="64">
        <v>56.01</v>
      </c>
      <c r="H13" s="64">
        <v>19.690000000000001</v>
      </c>
      <c r="I13" s="64">
        <v>5.42</v>
      </c>
      <c r="J13" s="64">
        <v>1.46</v>
      </c>
      <c r="K13" s="64">
        <v>86.98</v>
      </c>
      <c r="L13" s="64">
        <v>16.34</v>
      </c>
      <c r="M13" s="64">
        <v>83.39</v>
      </c>
      <c r="N13" s="64">
        <v>94</v>
      </c>
      <c r="O13" s="64">
        <v>0</v>
      </c>
      <c r="P13" s="64">
        <v>0.66</v>
      </c>
      <c r="Q13" s="64">
        <v>8.2100000000000009</v>
      </c>
      <c r="R13" s="198"/>
      <c r="S13" s="198"/>
      <c r="T13" s="198"/>
      <c r="U13" s="198"/>
    </row>
    <row r="14" spans="1:21" s="12" customFormat="1" x14ac:dyDescent="0.25">
      <c r="A14" s="215" t="s">
        <v>925</v>
      </c>
      <c r="B14" s="64">
        <v>6.74</v>
      </c>
      <c r="C14" s="64">
        <v>39.75</v>
      </c>
      <c r="D14" s="64">
        <v>24.79</v>
      </c>
      <c r="E14" s="64">
        <v>4.28</v>
      </c>
      <c r="F14" s="64">
        <v>3.99</v>
      </c>
      <c r="G14" s="64">
        <v>56.01</v>
      </c>
      <c r="H14" s="64">
        <v>19.690000000000001</v>
      </c>
      <c r="I14" s="64">
        <v>5.34</v>
      </c>
      <c r="J14" s="64">
        <v>3.18</v>
      </c>
      <c r="K14" s="64">
        <v>113.63</v>
      </c>
      <c r="L14" s="64">
        <v>16.239999999999998</v>
      </c>
      <c r="M14" s="64">
        <v>84.12</v>
      </c>
      <c r="N14" s="64">
        <v>92.4</v>
      </c>
      <c r="O14" s="64">
        <v>0</v>
      </c>
      <c r="P14" s="64">
        <v>0.66</v>
      </c>
      <c r="Q14" s="64">
        <v>8.2100000000000009</v>
      </c>
      <c r="R14" s="198"/>
      <c r="S14" s="198"/>
      <c r="T14" s="198"/>
      <c r="U14" s="198"/>
    </row>
    <row r="15" spans="1:21" s="12" customFormat="1" x14ac:dyDescent="0.25">
      <c r="A15" s="215" t="s">
        <v>926</v>
      </c>
      <c r="B15" s="64">
        <v>6.78</v>
      </c>
      <c r="C15" s="64">
        <v>39.229999999999997</v>
      </c>
      <c r="D15" s="64">
        <v>24.56</v>
      </c>
      <c r="E15" s="64">
        <v>4.1399999999999997</v>
      </c>
      <c r="F15" s="64">
        <v>4.08</v>
      </c>
      <c r="G15" s="64">
        <v>56.01</v>
      </c>
      <c r="H15" s="64">
        <v>19.690000000000001</v>
      </c>
      <c r="I15" s="64">
        <v>5.0599999999999996</v>
      </c>
      <c r="J15" s="64">
        <v>2.74</v>
      </c>
      <c r="K15" s="64">
        <v>101.86</v>
      </c>
      <c r="L15" s="64">
        <v>16.27</v>
      </c>
      <c r="M15" s="64">
        <v>83.73</v>
      </c>
      <c r="N15" s="64">
        <v>92.5</v>
      </c>
      <c r="O15" s="64">
        <v>0</v>
      </c>
      <c r="P15" s="64">
        <v>0.67</v>
      </c>
      <c r="Q15" s="64">
        <v>8.2100000000000009</v>
      </c>
      <c r="R15" s="198"/>
      <c r="S15" s="198"/>
      <c r="T15" s="198"/>
      <c r="U15" s="198"/>
    </row>
    <row r="16" spans="1:21" s="12" customFormat="1" x14ac:dyDescent="0.25">
      <c r="A16" s="215" t="s">
        <v>927</v>
      </c>
      <c r="B16" s="64">
        <v>6.77</v>
      </c>
      <c r="C16" s="64">
        <v>39.21</v>
      </c>
      <c r="D16" s="64">
        <v>24.54</v>
      </c>
      <c r="E16" s="64">
        <v>3.98</v>
      </c>
      <c r="F16" s="64">
        <v>4.17</v>
      </c>
      <c r="G16" s="64">
        <v>61.34</v>
      </c>
      <c r="H16" s="64">
        <v>26.9</v>
      </c>
      <c r="I16" s="64">
        <v>5.67</v>
      </c>
      <c r="J16" s="64">
        <v>2.95</v>
      </c>
      <c r="K16" s="64">
        <v>98.17</v>
      </c>
      <c r="L16" s="64">
        <v>16.2</v>
      </c>
      <c r="M16" s="64">
        <v>84.55</v>
      </c>
      <c r="N16" s="64">
        <v>94.5</v>
      </c>
      <c r="O16" s="64">
        <v>0</v>
      </c>
      <c r="P16" s="64">
        <v>0.65</v>
      </c>
      <c r="Q16" s="64">
        <v>8.2100000000000009</v>
      </c>
      <c r="R16" s="198"/>
      <c r="S16" s="198"/>
      <c r="T16" s="198"/>
      <c r="U16" s="198"/>
    </row>
    <row r="17" spans="1:21" s="12" customFormat="1" x14ac:dyDescent="0.25">
      <c r="A17" s="215" t="s">
        <v>928</v>
      </c>
      <c r="B17" s="64">
        <v>6.8</v>
      </c>
      <c r="C17" s="64">
        <v>39.35</v>
      </c>
      <c r="D17" s="64">
        <v>24.64</v>
      </c>
      <c r="E17" s="64">
        <v>4.08</v>
      </c>
      <c r="F17" s="64">
        <v>4.0199999999999996</v>
      </c>
      <c r="G17" s="64">
        <v>65.61</v>
      </c>
      <c r="H17" s="64">
        <v>31.44</v>
      </c>
      <c r="I17" s="64">
        <v>5.29</v>
      </c>
      <c r="J17" s="64">
        <v>1.32</v>
      </c>
      <c r="K17" s="64">
        <v>7.37</v>
      </c>
      <c r="L17" s="64">
        <v>16.12</v>
      </c>
      <c r="M17" s="64">
        <v>86.41</v>
      </c>
      <c r="N17" s="64">
        <v>94.5</v>
      </c>
      <c r="O17" s="64">
        <v>0</v>
      </c>
      <c r="P17" s="64">
        <v>0.67</v>
      </c>
      <c r="Q17" s="64">
        <v>8.2100000000000009</v>
      </c>
      <c r="R17" s="198"/>
      <c r="S17" s="198"/>
      <c r="T17" s="198"/>
      <c r="U17" s="198"/>
    </row>
    <row r="18" spans="1:21" s="12" customFormat="1" x14ac:dyDescent="0.25">
      <c r="A18" s="215" t="s">
        <v>929</v>
      </c>
      <c r="B18" s="64">
        <v>6.87</v>
      </c>
      <c r="C18" s="64">
        <v>39.64</v>
      </c>
      <c r="D18" s="64">
        <v>24.84</v>
      </c>
      <c r="E18" s="64">
        <v>4.3499999999999996</v>
      </c>
      <c r="F18" s="64">
        <v>4.2699999999999996</v>
      </c>
      <c r="G18" s="64">
        <v>65.61</v>
      </c>
      <c r="H18" s="64">
        <v>31.44</v>
      </c>
      <c r="I18" s="64">
        <v>6.18</v>
      </c>
      <c r="J18" s="64">
        <v>1.76</v>
      </c>
      <c r="K18" s="64">
        <v>335.8</v>
      </c>
      <c r="L18" s="64">
        <v>16.23</v>
      </c>
      <c r="M18" s="64">
        <v>86.29</v>
      </c>
      <c r="N18" s="64">
        <v>92.7</v>
      </c>
      <c r="O18" s="64">
        <v>0</v>
      </c>
      <c r="P18" s="64">
        <v>0.67</v>
      </c>
      <c r="Q18" s="64">
        <v>8.2100000000000009</v>
      </c>
      <c r="R18" s="198"/>
      <c r="S18" s="198"/>
      <c r="T18" s="198"/>
      <c r="U18" s="198"/>
    </row>
    <row r="19" spans="1:21" s="12" customFormat="1" x14ac:dyDescent="0.25">
      <c r="A19" s="215" t="s">
        <v>930</v>
      </c>
      <c r="B19" s="64">
        <v>7.09</v>
      </c>
      <c r="C19" s="64">
        <v>38.049999999999997</v>
      </c>
      <c r="D19" s="64">
        <v>24.19</v>
      </c>
      <c r="E19" s="64">
        <v>4.0599999999999996</v>
      </c>
      <c r="F19" s="64">
        <v>4.28</v>
      </c>
      <c r="G19" s="64">
        <v>65.61</v>
      </c>
      <c r="H19" s="64">
        <v>31.44</v>
      </c>
      <c r="I19" s="64">
        <v>7.02</v>
      </c>
      <c r="J19" s="64">
        <v>1.56</v>
      </c>
      <c r="K19" s="64">
        <v>11.31</v>
      </c>
      <c r="L19" s="64">
        <v>16.23</v>
      </c>
      <c r="M19" s="64">
        <v>88.5</v>
      </c>
      <c r="N19" s="64">
        <v>93.4</v>
      </c>
      <c r="O19" s="64">
        <v>0</v>
      </c>
      <c r="P19" s="64">
        <v>0.66</v>
      </c>
      <c r="Q19" s="64">
        <v>8.2100000000000009</v>
      </c>
      <c r="R19" s="198"/>
      <c r="S19" s="198"/>
      <c r="T19" s="198"/>
      <c r="U19" s="198"/>
    </row>
    <row r="20" spans="1:21" s="12" customFormat="1" x14ac:dyDescent="0.25">
      <c r="A20" s="215" t="s">
        <v>931</v>
      </c>
      <c r="B20" s="64">
        <v>7.28</v>
      </c>
      <c r="C20" s="64">
        <v>39.520000000000003</v>
      </c>
      <c r="D20" s="64">
        <v>25.11</v>
      </c>
      <c r="E20" s="64">
        <v>3.73</v>
      </c>
      <c r="F20" s="64">
        <v>4.4000000000000004</v>
      </c>
      <c r="G20" s="64">
        <v>66.77</v>
      </c>
      <c r="H20" s="64">
        <v>65.78</v>
      </c>
      <c r="I20" s="64">
        <v>6.83</v>
      </c>
      <c r="J20" s="64">
        <v>2.65</v>
      </c>
      <c r="K20" s="64">
        <v>352.82</v>
      </c>
      <c r="L20" s="64">
        <v>16.239999999999998</v>
      </c>
      <c r="M20" s="64">
        <v>89.17</v>
      </c>
      <c r="N20" s="64">
        <v>94.4</v>
      </c>
      <c r="O20" s="64">
        <v>0</v>
      </c>
      <c r="P20" s="64">
        <v>0.66</v>
      </c>
      <c r="Q20" s="64">
        <v>8.2100000000000009</v>
      </c>
      <c r="R20" s="198"/>
      <c r="S20" s="198"/>
      <c r="T20" s="198"/>
      <c r="U20" s="198"/>
    </row>
    <row r="21" spans="1:21" s="12" customFormat="1" x14ac:dyDescent="0.25">
      <c r="A21" s="215" t="s">
        <v>932</v>
      </c>
      <c r="B21" s="64">
        <v>7.45</v>
      </c>
      <c r="C21" s="64">
        <v>40.700000000000003</v>
      </c>
      <c r="D21" s="64">
        <v>25.87</v>
      </c>
      <c r="E21" s="64">
        <v>4.43</v>
      </c>
      <c r="F21" s="64">
        <v>4.5199999999999996</v>
      </c>
      <c r="G21" s="64">
        <v>67.67</v>
      </c>
      <c r="H21" s="64">
        <v>77.459999999999994</v>
      </c>
      <c r="I21" s="64">
        <v>6.72</v>
      </c>
      <c r="J21" s="64">
        <v>3.12</v>
      </c>
      <c r="K21" s="64">
        <v>350.23</v>
      </c>
      <c r="L21" s="64">
        <v>16.39</v>
      </c>
      <c r="M21" s="64">
        <v>85.44</v>
      </c>
      <c r="N21" s="64">
        <v>94.5</v>
      </c>
      <c r="O21" s="64">
        <v>0</v>
      </c>
      <c r="P21" s="64">
        <v>0.66</v>
      </c>
      <c r="Q21" s="64">
        <v>8.2100000000000009</v>
      </c>
      <c r="R21" s="198"/>
      <c r="S21" s="198"/>
      <c r="T21" s="198"/>
      <c r="U21" s="198"/>
    </row>
    <row r="22" spans="1:21" s="12" customFormat="1" x14ac:dyDescent="0.25">
      <c r="A22" s="215" t="s">
        <v>933</v>
      </c>
      <c r="B22" s="64">
        <v>7.56</v>
      </c>
      <c r="C22" s="64">
        <v>39.54</v>
      </c>
      <c r="D22" s="64">
        <v>25.34</v>
      </c>
      <c r="E22" s="64">
        <v>3.98</v>
      </c>
      <c r="F22" s="64">
        <v>4.24</v>
      </c>
      <c r="G22" s="64">
        <v>67.67</v>
      </c>
      <c r="H22" s="64">
        <v>77.459999999999994</v>
      </c>
      <c r="I22" s="64">
        <v>6.56</v>
      </c>
      <c r="J22" s="64">
        <v>2.82</v>
      </c>
      <c r="K22" s="64">
        <v>350.12</v>
      </c>
      <c r="L22" s="64">
        <v>16.149999999999999</v>
      </c>
      <c r="M22" s="64">
        <v>84.62</v>
      </c>
      <c r="N22" s="64">
        <v>91.2</v>
      </c>
      <c r="O22" s="64">
        <v>0</v>
      </c>
      <c r="P22" s="64">
        <v>0.65</v>
      </c>
      <c r="Q22" s="64">
        <v>8.2100000000000009</v>
      </c>
      <c r="R22" s="198"/>
      <c r="S22" s="198"/>
      <c r="T22" s="198"/>
      <c r="U22" s="198"/>
    </row>
    <row r="23" spans="1:21" s="12" customFormat="1" x14ac:dyDescent="0.25">
      <c r="A23" s="215" t="s">
        <v>934</v>
      </c>
      <c r="B23" s="64">
        <v>7.57</v>
      </c>
      <c r="C23" s="64">
        <v>39.74</v>
      </c>
      <c r="D23" s="64">
        <v>25.45</v>
      </c>
      <c r="E23" s="64">
        <v>4.43</v>
      </c>
      <c r="F23" s="64">
        <v>4.29</v>
      </c>
      <c r="G23" s="64">
        <v>67.67</v>
      </c>
      <c r="H23" s="64">
        <v>77.459999999999994</v>
      </c>
      <c r="I23" s="64">
        <v>6.33</v>
      </c>
      <c r="J23" s="64">
        <v>2.82</v>
      </c>
      <c r="K23" s="64">
        <v>347.77</v>
      </c>
      <c r="L23" s="64">
        <v>15.75</v>
      </c>
      <c r="M23" s="64">
        <v>86.43</v>
      </c>
      <c r="N23" s="64">
        <v>92.2</v>
      </c>
      <c r="O23" s="64">
        <v>0</v>
      </c>
      <c r="P23" s="64">
        <v>0.66</v>
      </c>
      <c r="Q23" s="64">
        <v>8.2100000000000009</v>
      </c>
      <c r="R23" s="198"/>
      <c r="S23" s="198"/>
      <c r="T23" s="198"/>
      <c r="U23" s="198"/>
    </row>
    <row r="24" spans="1:21" s="12" customFormat="1" x14ac:dyDescent="0.25">
      <c r="A24" s="215" t="s">
        <v>935</v>
      </c>
      <c r="B24" s="64">
        <v>7.54</v>
      </c>
      <c r="C24" s="64">
        <v>41.46</v>
      </c>
      <c r="D24" s="64">
        <v>26.34</v>
      </c>
      <c r="E24" s="64">
        <v>4.25</v>
      </c>
      <c r="F24" s="64">
        <v>4.0199999999999996</v>
      </c>
      <c r="G24" s="64">
        <v>70.5</v>
      </c>
      <c r="H24" s="64">
        <v>62.21</v>
      </c>
      <c r="I24" s="64">
        <v>6.25</v>
      </c>
      <c r="J24" s="64">
        <v>1.3</v>
      </c>
      <c r="K24" s="64">
        <v>3.27</v>
      </c>
      <c r="L24" s="64">
        <v>15.62</v>
      </c>
      <c r="M24" s="64">
        <v>87.14</v>
      </c>
      <c r="N24" s="64">
        <v>92.4</v>
      </c>
      <c r="O24" s="64">
        <v>0</v>
      </c>
      <c r="P24" s="64">
        <v>0.67</v>
      </c>
      <c r="Q24" s="64">
        <v>8.2100000000000009</v>
      </c>
      <c r="R24" s="198"/>
      <c r="S24" s="198"/>
      <c r="T24" s="198"/>
      <c r="U24" s="198"/>
    </row>
    <row r="25" spans="1:21" s="12" customFormat="1" x14ac:dyDescent="0.25">
      <c r="A25" s="215" t="s">
        <v>936</v>
      </c>
      <c r="B25" s="64">
        <v>7.58</v>
      </c>
      <c r="C25" s="64">
        <v>39.24</v>
      </c>
      <c r="D25" s="64">
        <v>25.2</v>
      </c>
      <c r="E25" s="64">
        <v>4.88</v>
      </c>
      <c r="F25" s="64">
        <v>4.05</v>
      </c>
      <c r="G25" s="64">
        <v>72.67</v>
      </c>
      <c r="H25" s="64">
        <v>57.03</v>
      </c>
      <c r="I25" s="64">
        <v>6.12</v>
      </c>
      <c r="J25" s="64">
        <v>1.04</v>
      </c>
      <c r="K25" s="64">
        <v>82.24</v>
      </c>
      <c r="L25" s="64">
        <v>15.47</v>
      </c>
      <c r="M25" s="64">
        <v>88.16</v>
      </c>
      <c r="N25" s="64">
        <v>95</v>
      </c>
      <c r="O25" s="64">
        <v>0</v>
      </c>
      <c r="P25" s="64">
        <v>0.67</v>
      </c>
      <c r="Q25" s="64">
        <v>8.2100000000000009</v>
      </c>
      <c r="R25" s="198"/>
      <c r="S25" s="198"/>
      <c r="T25" s="198"/>
      <c r="U25" s="198"/>
    </row>
    <row r="26" spans="1:21" s="12" customFormat="1" x14ac:dyDescent="0.25">
      <c r="A26" s="215" t="s">
        <v>937</v>
      </c>
      <c r="B26" s="64">
        <v>7.83</v>
      </c>
      <c r="C26" s="64">
        <v>39.549999999999997</v>
      </c>
      <c r="D26" s="64">
        <v>25.56</v>
      </c>
      <c r="E26" s="64">
        <v>4.34</v>
      </c>
      <c r="F26" s="64">
        <v>4.42</v>
      </c>
      <c r="G26" s="64">
        <v>72.67</v>
      </c>
      <c r="H26" s="64">
        <v>57.03</v>
      </c>
      <c r="I26" s="64">
        <v>6.02</v>
      </c>
      <c r="J26" s="64">
        <v>2.88</v>
      </c>
      <c r="K26" s="64">
        <v>106.83</v>
      </c>
      <c r="L26" s="64">
        <v>15.25</v>
      </c>
      <c r="M26" s="64">
        <v>89.73</v>
      </c>
      <c r="N26" s="64">
        <v>93.6</v>
      </c>
      <c r="O26" s="64">
        <v>0</v>
      </c>
      <c r="P26" s="64">
        <v>0.67</v>
      </c>
      <c r="Q26" s="64">
        <v>8.2100000000000009</v>
      </c>
      <c r="R26" s="198"/>
      <c r="S26" s="198"/>
      <c r="T26" s="198"/>
      <c r="U26" s="198"/>
    </row>
    <row r="27" spans="1:21" s="12" customFormat="1" x14ac:dyDescent="0.25">
      <c r="A27" s="215" t="s">
        <v>938</v>
      </c>
      <c r="B27" s="64">
        <v>7.95</v>
      </c>
      <c r="C27" s="64">
        <v>39.520000000000003</v>
      </c>
      <c r="D27" s="64">
        <v>25.64</v>
      </c>
      <c r="E27" s="64">
        <v>4.3</v>
      </c>
      <c r="F27" s="64">
        <v>4.13</v>
      </c>
      <c r="G27" s="64">
        <v>72.67</v>
      </c>
      <c r="H27" s="64">
        <v>57.03</v>
      </c>
      <c r="I27" s="64">
        <v>5.98</v>
      </c>
      <c r="J27" s="64">
        <v>0.94</v>
      </c>
      <c r="K27" s="64">
        <v>78.680000000000007</v>
      </c>
      <c r="L27" s="64">
        <v>15.16</v>
      </c>
      <c r="M27" s="64">
        <v>91.01</v>
      </c>
      <c r="N27" s="64">
        <v>92.1</v>
      </c>
      <c r="O27" s="64">
        <v>0</v>
      </c>
      <c r="P27" s="64">
        <v>0.67</v>
      </c>
      <c r="Q27" s="64">
        <v>8.2100000000000009</v>
      </c>
      <c r="R27" s="198"/>
      <c r="S27" s="198"/>
      <c r="T27" s="198"/>
      <c r="U27" s="198"/>
    </row>
    <row r="28" spans="1:21" s="12" customFormat="1" x14ac:dyDescent="0.25">
      <c r="A28" s="215" t="s">
        <v>939</v>
      </c>
      <c r="B28" s="64">
        <v>8.14</v>
      </c>
      <c r="C28" s="64">
        <v>39.53</v>
      </c>
      <c r="D28" s="64">
        <v>25.8</v>
      </c>
      <c r="E28" s="64">
        <v>4.5999999999999996</v>
      </c>
      <c r="F28" s="64">
        <v>3.9</v>
      </c>
      <c r="G28" s="64">
        <v>74.209999999999994</v>
      </c>
      <c r="H28" s="64">
        <v>34.479999999999997</v>
      </c>
      <c r="I28" s="64">
        <v>6.09</v>
      </c>
      <c r="J28" s="64">
        <v>3.15</v>
      </c>
      <c r="K28" s="64">
        <v>108.68</v>
      </c>
      <c r="L28" s="64">
        <v>15.19</v>
      </c>
      <c r="M28" s="64">
        <v>90.67</v>
      </c>
      <c r="N28" s="64">
        <v>90.4</v>
      </c>
      <c r="O28" s="64">
        <v>0</v>
      </c>
      <c r="P28" s="64">
        <v>0.66</v>
      </c>
      <c r="Q28" s="64">
        <v>8.2100000000000009</v>
      </c>
      <c r="R28" s="198"/>
      <c r="S28" s="198"/>
      <c r="T28" s="198"/>
      <c r="U28" s="198"/>
    </row>
    <row r="29" spans="1:21" s="12" customFormat="1" x14ac:dyDescent="0.25">
      <c r="A29" s="215" t="s">
        <v>940</v>
      </c>
      <c r="B29" s="64">
        <v>8.2100000000000009</v>
      </c>
      <c r="C29" s="64">
        <v>39.53</v>
      </c>
      <c r="D29" s="64">
        <v>25.86</v>
      </c>
      <c r="E29" s="64">
        <v>4.51</v>
      </c>
      <c r="F29" s="64">
        <v>4.05</v>
      </c>
      <c r="G29" s="64">
        <v>75.39</v>
      </c>
      <c r="H29" s="64">
        <v>26.81</v>
      </c>
      <c r="I29" s="64">
        <v>5.73</v>
      </c>
      <c r="J29" s="64">
        <v>2.58</v>
      </c>
      <c r="K29" s="64">
        <v>103.74</v>
      </c>
      <c r="L29" s="64">
        <v>15.38</v>
      </c>
      <c r="M29" s="64">
        <v>89.6</v>
      </c>
      <c r="N29" s="64">
        <v>90.5</v>
      </c>
      <c r="O29" s="64">
        <v>0</v>
      </c>
      <c r="P29" s="64">
        <v>0.67</v>
      </c>
      <c r="Q29" s="64">
        <v>8.2100000000000009</v>
      </c>
      <c r="R29" s="198"/>
      <c r="S29" s="198"/>
      <c r="T29" s="198"/>
      <c r="U29" s="198"/>
    </row>
    <row r="30" spans="1:21" s="12" customFormat="1" x14ac:dyDescent="0.25">
      <c r="A30" s="215" t="s">
        <v>941</v>
      </c>
      <c r="B30" s="64">
        <v>8.23</v>
      </c>
      <c r="C30" s="64">
        <v>38.85</v>
      </c>
      <c r="D30" s="64">
        <v>25.52</v>
      </c>
      <c r="E30" s="64">
        <v>4.2</v>
      </c>
      <c r="F30" s="64">
        <v>4.33</v>
      </c>
      <c r="G30" s="64">
        <v>75.39</v>
      </c>
      <c r="H30" s="64">
        <v>26.81</v>
      </c>
      <c r="I30" s="64">
        <v>6.34</v>
      </c>
      <c r="J30" s="64">
        <v>3.35</v>
      </c>
      <c r="K30" s="64">
        <v>101.24</v>
      </c>
      <c r="L30" s="64">
        <v>15.26</v>
      </c>
      <c r="M30" s="64">
        <v>90.54</v>
      </c>
      <c r="N30" s="64">
        <v>90.2</v>
      </c>
      <c r="O30" s="64">
        <v>0</v>
      </c>
      <c r="P30" s="64">
        <v>0.66</v>
      </c>
      <c r="Q30" s="64">
        <v>8.2100000000000009</v>
      </c>
      <c r="R30" s="198"/>
      <c r="S30" s="198"/>
      <c r="T30" s="198"/>
      <c r="U30" s="198"/>
    </row>
    <row r="31" spans="1:21" s="12" customFormat="1" x14ac:dyDescent="0.25">
      <c r="A31" s="215" t="s">
        <v>942</v>
      </c>
      <c r="B31" s="64">
        <v>8.18</v>
      </c>
      <c r="C31" s="64">
        <v>38.96</v>
      </c>
      <c r="D31" s="64">
        <v>25.54</v>
      </c>
      <c r="E31" s="64">
        <v>4.34</v>
      </c>
      <c r="F31" s="64">
        <v>4.37</v>
      </c>
      <c r="G31" s="64">
        <v>75.39</v>
      </c>
      <c r="H31" s="64">
        <v>26.81</v>
      </c>
      <c r="I31" s="64">
        <v>6.55</v>
      </c>
      <c r="J31" s="64">
        <v>3.74</v>
      </c>
      <c r="K31" s="64">
        <v>110.26</v>
      </c>
      <c r="L31" s="64">
        <v>15.12</v>
      </c>
      <c r="M31" s="64">
        <v>92.44</v>
      </c>
      <c r="N31" s="64">
        <v>91.5</v>
      </c>
      <c r="O31" s="64">
        <v>0</v>
      </c>
      <c r="P31" s="64">
        <v>0.66</v>
      </c>
      <c r="Q31" s="64">
        <v>8.2100000000000009</v>
      </c>
      <c r="R31" s="198"/>
      <c r="S31" s="198"/>
      <c r="T31" s="198"/>
      <c r="U31" s="198"/>
    </row>
    <row r="32" spans="1:21" s="12" customFormat="1" x14ac:dyDescent="0.25">
      <c r="A32" s="215" t="s">
        <v>943</v>
      </c>
      <c r="B32" s="64">
        <v>8.25</v>
      </c>
      <c r="C32" s="64">
        <v>38.590000000000003</v>
      </c>
      <c r="D32" s="64">
        <v>25.4</v>
      </c>
      <c r="E32" s="64">
        <v>4.3499999999999996</v>
      </c>
      <c r="F32" s="64">
        <v>3.92</v>
      </c>
      <c r="G32" s="64">
        <v>69.819999999999993</v>
      </c>
      <c r="H32" s="64">
        <v>13.84</v>
      </c>
      <c r="I32" s="64">
        <v>6.96</v>
      </c>
      <c r="J32" s="64">
        <v>2.2999999999999998</v>
      </c>
      <c r="K32" s="64">
        <v>95.21</v>
      </c>
      <c r="L32" s="64">
        <v>15.07</v>
      </c>
      <c r="M32" s="64">
        <v>93.35</v>
      </c>
      <c r="N32" s="64">
        <v>91.3</v>
      </c>
      <c r="O32" s="64">
        <v>0</v>
      </c>
      <c r="P32" s="64">
        <v>0.65</v>
      </c>
      <c r="Q32" s="64">
        <v>8.2100000000000009</v>
      </c>
      <c r="R32" s="198"/>
      <c r="S32" s="198"/>
      <c r="T32" s="198"/>
      <c r="U32" s="198"/>
    </row>
    <row r="33" spans="1:21" s="12" customFormat="1" x14ac:dyDescent="0.25">
      <c r="A33" s="215" t="s">
        <v>944</v>
      </c>
      <c r="B33" s="64">
        <v>8.61</v>
      </c>
      <c r="C33" s="64">
        <v>38.15</v>
      </c>
      <c r="D33" s="64">
        <v>25.46</v>
      </c>
      <c r="E33" s="64">
        <v>4.41</v>
      </c>
      <c r="F33" s="64">
        <v>3.5</v>
      </c>
      <c r="G33" s="64">
        <v>65.56</v>
      </c>
      <c r="H33" s="64">
        <v>5.36</v>
      </c>
      <c r="I33" s="64">
        <v>6.78</v>
      </c>
      <c r="J33" s="64">
        <v>1.03</v>
      </c>
      <c r="K33" s="64">
        <v>22.97</v>
      </c>
      <c r="L33" s="64">
        <v>15.04</v>
      </c>
      <c r="M33" s="64">
        <v>94.09</v>
      </c>
      <c r="N33" s="64">
        <v>92.2</v>
      </c>
      <c r="O33" s="64">
        <v>0</v>
      </c>
      <c r="P33" s="64">
        <v>0.65</v>
      </c>
      <c r="Q33" s="64">
        <v>8.2100000000000009</v>
      </c>
      <c r="R33" s="198"/>
      <c r="S33" s="198"/>
      <c r="T33" s="198"/>
      <c r="U33" s="198"/>
    </row>
    <row r="34" spans="1:21" s="12" customFormat="1" x14ac:dyDescent="0.25">
      <c r="A34" s="215" t="s">
        <v>945</v>
      </c>
      <c r="B34" s="64">
        <v>9.39</v>
      </c>
      <c r="C34" s="64">
        <v>37.56</v>
      </c>
      <c r="D34" s="64">
        <v>25.78</v>
      </c>
      <c r="E34" s="64">
        <v>4.4800000000000004</v>
      </c>
      <c r="F34" s="64">
        <v>3.7</v>
      </c>
      <c r="G34" s="64">
        <v>65.56</v>
      </c>
      <c r="H34" s="64">
        <v>5.36</v>
      </c>
      <c r="I34" s="64">
        <v>6.53</v>
      </c>
      <c r="J34" s="64">
        <v>1.29</v>
      </c>
      <c r="K34" s="64">
        <v>22</v>
      </c>
      <c r="L34" s="64">
        <v>15.16</v>
      </c>
      <c r="M34" s="64">
        <v>93.33</v>
      </c>
      <c r="N34" s="64">
        <v>95.2</v>
      </c>
      <c r="O34" s="64">
        <v>0</v>
      </c>
      <c r="P34" s="64">
        <v>0.66</v>
      </c>
      <c r="Q34" s="64">
        <v>8.2100000000000009</v>
      </c>
      <c r="R34" s="198"/>
      <c r="S34" s="198"/>
      <c r="T34" s="198"/>
      <c r="U34" s="198"/>
    </row>
    <row r="35" spans="1:21" s="12" customFormat="1" x14ac:dyDescent="0.25">
      <c r="A35" s="215" t="s">
        <v>946</v>
      </c>
      <c r="B35" s="64">
        <v>10.210000000000001</v>
      </c>
      <c r="C35" s="64">
        <v>37.54</v>
      </c>
      <c r="D35" s="64">
        <v>26.43</v>
      </c>
      <c r="E35" s="64">
        <v>4.45</v>
      </c>
      <c r="F35" s="64">
        <v>3.82</v>
      </c>
      <c r="G35" s="64">
        <v>65.56</v>
      </c>
      <c r="H35" s="64">
        <v>5.36</v>
      </c>
      <c r="I35" s="64">
        <v>6.74</v>
      </c>
      <c r="J35" s="64">
        <v>2.48</v>
      </c>
      <c r="K35" s="64">
        <v>354.68</v>
      </c>
      <c r="L35" s="64">
        <v>15.31</v>
      </c>
      <c r="M35" s="64">
        <v>93.35</v>
      </c>
      <c r="N35" s="64">
        <v>101.1</v>
      </c>
      <c r="O35" s="64">
        <v>0</v>
      </c>
      <c r="P35" s="64">
        <v>0.67</v>
      </c>
      <c r="Q35" s="64">
        <v>8.2100000000000009</v>
      </c>
      <c r="R35" s="198"/>
      <c r="S35" s="198"/>
      <c r="T35" s="198"/>
      <c r="U35" s="198"/>
    </row>
    <row r="36" spans="1:21" s="12" customFormat="1" x14ac:dyDescent="0.25">
      <c r="A36" s="215" t="s">
        <v>947</v>
      </c>
      <c r="B36" s="64">
        <v>11.69</v>
      </c>
      <c r="C36" s="64">
        <v>39.33</v>
      </c>
      <c r="D36" s="64">
        <v>28.54</v>
      </c>
      <c r="E36" s="64">
        <v>4.87</v>
      </c>
      <c r="F36" s="64">
        <v>4.34</v>
      </c>
      <c r="G36" s="64">
        <v>63.2</v>
      </c>
      <c r="H36" s="64">
        <v>8.98</v>
      </c>
      <c r="I36" s="64">
        <v>7.05</v>
      </c>
      <c r="J36" s="64">
        <v>3.28</v>
      </c>
      <c r="K36" s="64">
        <v>347.75</v>
      </c>
      <c r="L36" s="64">
        <v>15.29</v>
      </c>
      <c r="M36" s="64">
        <v>92.17</v>
      </c>
      <c r="N36" s="64">
        <v>116.7</v>
      </c>
      <c r="O36" s="64">
        <v>0</v>
      </c>
      <c r="P36" s="64">
        <v>0.69</v>
      </c>
      <c r="Q36" s="64">
        <v>8.2100000000000009</v>
      </c>
      <c r="R36" s="198"/>
      <c r="S36" s="198"/>
      <c r="T36" s="198"/>
      <c r="U36" s="198"/>
    </row>
    <row r="37" spans="1:21" s="12" customFormat="1" x14ac:dyDescent="0.25">
      <c r="A37" s="215" t="s">
        <v>948</v>
      </c>
      <c r="B37" s="64">
        <v>13.17</v>
      </c>
      <c r="C37" s="64">
        <v>37.69</v>
      </c>
      <c r="D37" s="64">
        <v>28.88</v>
      </c>
      <c r="E37" s="64">
        <v>4.76</v>
      </c>
      <c r="F37" s="64">
        <v>4.43</v>
      </c>
      <c r="G37" s="64">
        <v>61.39</v>
      </c>
      <c r="H37" s="64">
        <v>10.210000000000001</v>
      </c>
      <c r="I37" s="64">
        <v>6.93</v>
      </c>
      <c r="J37" s="64">
        <v>2.79</v>
      </c>
      <c r="K37" s="64">
        <v>347.47</v>
      </c>
      <c r="L37" s="64">
        <v>15.26</v>
      </c>
      <c r="M37" s="64">
        <v>90.45</v>
      </c>
      <c r="N37" s="64">
        <v>149.1</v>
      </c>
      <c r="O37" s="64">
        <v>0</v>
      </c>
      <c r="P37" s="64">
        <v>0.67</v>
      </c>
      <c r="Q37" s="64">
        <v>8.2100000000000009</v>
      </c>
      <c r="R37" s="198"/>
      <c r="S37" s="198"/>
      <c r="T37" s="198"/>
      <c r="U37" s="198"/>
    </row>
    <row r="38" spans="1:21" s="12" customFormat="1" x14ac:dyDescent="0.25">
      <c r="A38" s="215" t="s">
        <v>949</v>
      </c>
      <c r="B38" s="64">
        <v>14.18</v>
      </c>
      <c r="C38" s="64">
        <v>39.58</v>
      </c>
      <c r="D38" s="64">
        <v>30.67</v>
      </c>
      <c r="E38" s="64">
        <v>5.17</v>
      </c>
      <c r="F38" s="64">
        <v>4.1500000000000004</v>
      </c>
      <c r="G38" s="64">
        <v>61.39</v>
      </c>
      <c r="H38" s="64">
        <v>10.210000000000001</v>
      </c>
      <c r="I38" s="64">
        <v>6.81</v>
      </c>
      <c r="J38" s="64">
        <v>1.99</v>
      </c>
      <c r="K38" s="64">
        <v>342.84</v>
      </c>
      <c r="L38" s="64">
        <v>15.29</v>
      </c>
      <c r="M38" s="64">
        <v>88.4</v>
      </c>
      <c r="N38" s="64">
        <v>177.4</v>
      </c>
      <c r="O38" s="64">
        <v>0</v>
      </c>
      <c r="P38" s="64">
        <v>0.7</v>
      </c>
      <c r="Q38" s="64">
        <v>8.2100000000000009</v>
      </c>
      <c r="R38" s="198"/>
      <c r="S38" s="198"/>
      <c r="T38" s="198"/>
      <c r="U38" s="198"/>
    </row>
    <row r="39" spans="1:21" s="12" customFormat="1" x14ac:dyDescent="0.25">
      <c r="A39" s="215" t="s">
        <v>950</v>
      </c>
      <c r="B39" s="64">
        <v>14.61</v>
      </c>
      <c r="C39" s="64">
        <v>39.78</v>
      </c>
      <c r="D39" s="64">
        <v>31.12</v>
      </c>
      <c r="E39" s="64">
        <v>4.76</v>
      </c>
      <c r="F39" s="64">
        <v>4.1399999999999997</v>
      </c>
      <c r="G39" s="64">
        <v>61.39</v>
      </c>
      <c r="H39" s="64">
        <v>10.210000000000001</v>
      </c>
      <c r="I39" s="64">
        <v>6.68</v>
      </c>
      <c r="J39" s="64">
        <v>1.52</v>
      </c>
      <c r="K39" s="64">
        <v>349.41</v>
      </c>
      <c r="L39" s="64">
        <v>15.89</v>
      </c>
      <c r="M39" s="64">
        <v>84.21</v>
      </c>
      <c r="N39" s="64">
        <v>206.1</v>
      </c>
      <c r="O39" s="64">
        <v>0</v>
      </c>
      <c r="P39" s="64">
        <v>0.71</v>
      </c>
      <c r="Q39" s="64">
        <v>8.2100000000000009</v>
      </c>
      <c r="R39" s="198"/>
      <c r="S39" s="198"/>
      <c r="T39" s="198"/>
      <c r="U39" s="198"/>
    </row>
    <row r="40" spans="1:21" s="12" customFormat="1" x14ac:dyDescent="0.25">
      <c r="A40" s="215" t="s">
        <v>951</v>
      </c>
      <c r="B40" s="64">
        <v>15.91</v>
      </c>
      <c r="C40" s="64">
        <v>40.22</v>
      </c>
      <c r="D40" s="64">
        <v>32.4</v>
      </c>
      <c r="E40" s="64">
        <v>5.54</v>
      </c>
      <c r="F40" s="64">
        <v>3.75</v>
      </c>
      <c r="G40" s="64">
        <v>66.78</v>
      </c>
      <c r="H40" s="64">
        <v>31.38</v>
      </c>
      <c r="I40" s="64">
        <v>6.54</v>
      </c>
      <c r="J40" s="64">
        <v>2.36</v>
      </c>
      <c r="K40" s="64">
        <v>106.24</v>
      </c>
      <c r="L40" s="64">
        <v>16.190000000000001</v>
      </c>
      <c r="M40" s="64">
        <v>81.52</v>
      </c>
      <c r="N40" s="64">
        <v>211.8</v>
      </c>
      <c r="O40" s="64">
        <v>0</v>
      </c>
      <c r="P40" s="64">
        <v>0.72</v>
      </c>
      <c r="Q40" s="64">
        <v>8.2100000000000009</v>
      </c>
      <c r="R40" s="198"/>
      <c r="S40" s="198"/>
      <c r="T40" s="198"/>
      <c r="U40" s="198"/>
    </row>
    <row r="41" spans="1:21" s="12" customFormat="1" x14ac:dyDescent="0.25">
      <c r="A41" s="215" t="s">
        <v>952</v>
      </c>
      <c r="B41" s="64">
        <v>16.16</v>
      </c>
      <c r="C41" s="64">
        <v>41.27</v>
      </c>
      <c r="D41" s="64">
        <v>33.14</v>
      </c>
      <c r="E41" s="64">
        <v>6.39</v>
      </c>
      <c r="F41" s="64">
        <v>3.86</v>
      </c>
      <c r="G41" s="64">
        <v>70.900000000000006</v>
      </c>
      <c r="H41" s="64">
        <v>38.58</v>
      </c>
      <c r="I41" s="64">
        <v>6.44</v>
      </c>
      <c r="J41" s="64">
        <v>2.85</v>
      </c>
      <c r="K41" s="64">
        <v>110.28</v>
      </c>
      <c r="L41" s="64">
        <v>16.170000000000002</v>
      </c>
      <c r="M41" s="64">
        <v>81.22</v>
      </c>
      <c r="N41" s="64">
        <v>258.89999999999998</v>
      </c>
      <c r="O41" s="64">
        <v>0</v>
      </c>
      <c r="P41" s="64">
        <v>0.71</v>
      </c>
      <c r="Q41" s="64">
        <v>8.2100000000000009</v>
      </c>
      <c r="R41" s="198"/>
      <c r="S41" s="198"/>
      <c r="T41" s="198"/>
      <c r="U41" s="198"/>
    </row>
    <row r="42" spans="1:21" s="12" customFormat="1" x14ac:dyDescent="0.25">
      <c r="A42" s="215" t="s">
        <v>953</v>
      </c>
      <c r="B42" s="64">
        <v>15.62</v>
      </c>
      <c r="C42" s="64">
        <v>41.13</v>
      </c>
      <c r="D42" s="64">
        <v>32.64</v>
      </c>
      <c r="E42" s="64">
        <v>6.02</v>
      </c>
      <c r="F42" s="64">
        <v>4.1900000000000004</v>
      </c>
      <c r="G42" s="64">
        <v>70.900000000000006</v>
      </c>
      <c r="H42" s="64">
        <v>38.58</v>
      </c>
      <c r="I42" s="64">
        <v>6.44</v>
      </c>
      <c r="J42" s="64">
        <v>2.54</v>
      </c>
      <c r="K42" s="64">
        <v>105.81</v>
      </c>
      <c r="L42" s="64">
        <v>16.95</v>
      </c>
      <c r="M42" s="64">
        <v>77.260000000000005</v>
      </c>
      <c r="N42" s="64">
        <v>259.5</v>
      </c>
      <c r="O42" s="64">
        <v>0</v>
      </c>
      <c r="P42" s="64">
        <v>0.71</v>
      </c>
      <c r="Q42" s="64">
        <v>8.2100000000000009</v>
      </c>
      <c r="R42" s="198"/>
      <c r="S42" s="198"/>
      <c r="T42" s="198"/>
      <c r="U42" s="198"/>
    </row>
    <row r="43" spans="1:21" s="12" customFormat="1" x14ac:dyDescent="0.25">
      <c r="A43" s="215" t="s">
        <v>954</v>
      </c>
      <c r="B43" s="64">
        <v>15.16</v>
      </c>
      <c r="C43" s="64">
        <v>41.1</v>
      </c>
      <c r="D43" s="64">
        <v>32.26</v>
      </c>
      <c r="E43" s="64">
        <v>6.09</v>
      </c>
      <c r="F43" s="64">
        <v>4.4000000000000004</v>
      </c>
      <c r="G43" s="64">
        <v>70.900000000000006</v>
      </c>
      <c r="H43" s="64">
        <v>38.58</v>
      </c>
      <c r="I43" s="64">
        <v>6.53</v>
      </c>
      <c r="J43" s="64">
        <v>2.14</v>
      </c>
      <c r="K43" s="64">
        <v>111.05</v>
      </c>
      <c r="L43" s="64">
        <v>17.12</v>
      </c>
      <c r="M43" s="64">
        <v>75.89</v>
      </c>
      <c r="N43" s="64">
        <v>190.2</v>
      </c>
      <c r="O43" s="64">
        <v>0</v>
      </c>
      <c r="P43" s="64">
        <v>0.71</v>
      </c>
      <c r="Q43" s="64">
        <v>8.2100000000000009</v>
      </c>
      <c r="R43" s="198"/>
      <c r="S43" s="198"/>
      <c r="T43" s="198"/>
      <c r="U43" s="198"/>
    </row>
    <row r="44" spans="1:21" s="12" customFormat="1" x14ac:dyDescent="0.25">
      <c r="A44" s="215" t="s">
        <v>955</v>
      </c>
      <c r="B44" s="64">
        <v>14.75</v>
      </c>
      <c r="C44" s="64">
        <v>41.81</v>
      </c>
      <c r="D44" s="64">
        <v>32.299999999999997</v>
      </c>
      <c r="E44" s="64">
        <v>6.02</v>
      </c>
      <c r="F44" s="64">
        <v>4.4400000000000004</v>
      </c>
      <c r="G44" s="64">
        <v>70.430000000000007</v>
      </c>
      <c r="H44" s="64">
        <v>38.619999999999997</v>
      </c>
      <c r="I44" s="64">
        <v>6.63</v>
      </c>
      <c r="J44" s="64">
        <v>2.85</v>
      </c>
      <c r="K44" s="64">
        <v>107.91</v>
      </c>
      <c r="L44" s="64">
        <v>16.98</v>
      </c>
      <c r="M44" s="64">
        <v>75.599999999999994</v>
      </c>
      <c r="N44" s="64">
        <v>213.6</v>
      </c>
      <c r="O44" s="64">
        <v>0</v>
      </c>
      <c r="P44" s="64">
        <v>0.71</v>
      </c>
      <c r="Q44" s="64">
        <v>8.2100000000000009</v>
      </c>
      <c r="R44" s="198"/>
      <c r="S44" s="198"/>
      <c r="T44" s="198"/>
      <c r="U44" s="198"/>
    </row>
    <row r="45" spans="1:21" s="12" customFormat="1" x14ac:dyDescent="0.25">
      <c r="A45" s="215" t="s">
        <v>956</v>
      </c>
      <c r="B45" s="64">
        <v>14.32</v>
      </c>
      <c r="C45" s="64">
        <v>42.06</v>
      </c>
      <c r="D45" s="64">
        <v>32.08</v>
      </c>
      <c r="E45" s="64">
        <v>6.01</v>
      </c>
      <c r="F45" s="64">
        <v>4.24</v>
      </c>
      <c r="G45" s="64">
        <v>70.069999999999993</v>
      </c>
      <c r="H45" s="64">
        <v>38.64</v>
      </c>
      <c r="I45" s="64">
        <v>6.67</v>
      </c>
      <c r="J45" s="64">
        <v>1.64</v>
      </c>
      <c r="K45" s="64">
        <v>106.38</v>
      </c>
      <c r="L45" s="64">
        <v>17.75</v>
      </c>
      <c r="M45" s="64">
        <v>72.739999999999995</v>
      </c>
      <c r="N45" s="64">
        <v>360.2</v>
      </c>
      <c r="O45" s="64">
        <v>0</v>
      </c>
      <c r="P45" s="64">
        <v>0.71</v>
      </c>
      <c r="Q45" s="64">
        <v>8.2100000000000009</v>
      </c>
      <c r="R45" s="198"/>
      <c r="S45" s="198"/>
      <c r="T45" s="198"/>
      <c r="U45" s="198"/>
    </row>
    <row r="46" spans="1:21" s="12" customFormat="1" x14ac:dyDescent="0.25">
      <c r="A46" s="215" t="s">
        <v>957</v>
      </c>
      <c r="B46" s="64">
        <v>13.97</v>
      </c>
      <c r="C46" s="64">
        <v>41.77</v>
      </c>
      <c r="D46" s="64">
        <v>31.65</v>
      </c>
      <c r="E46" s="64">
        <v>6.03</v>
      </c>
      <c r="F46" s="64">
        <v>3.79</v>
      </c>
      <c r="G46" s="64">
        <v>70.069999999999993</v>
      </c>
      <c r="H46" s="64">
        <v>38.64</v>
      </c>
      <c r="I46" s="64">
        <v>6.83</v>
      </c>
      <c r="J46" s="64">
        <v>2.5</v>
      </c>
      <c r="K46" s="64">
        <v>113.41</v>
      </c>
      <c r="L46" s="64">
        <v>18.53</v>
      </c>
      <c r="M46" s="64">
        <v>71.069999999999993</v>
      </c>
      <c r="N46" s="64">
        <v>377.1</v>
      </c>
      <c r="O46" s="64">
        <v>0</v>
      </c>
      <c r="P46" s="64">
        <v>0.7</v>
      </c>
      <c r="Q46" s="64">
        <v>8.2100000000000009</v>
      </c>
      <c r="R46" s="198"/>
      <c r="S46" s="198"/>
      <c r="T46" s="198"/>
      <c r="U46" s="198"/>
    </row>
    <row r="47" spans="1:21" s="12" customFormat="1" x14ac:dyDescent="0.25">
      <c r="A47" s="215" t="s">
        <v>958</v>
      </c>
      <c r="B47" s="64">
        <v>13.48</v>
      </c>
      <c r="C47" s="64">
        <v>41.65</v>
      </c>
      <c r="D47" s="64">
        <v>31.19</v>
      </c>
      <c r="E47" s="64">
        <v>6.42</v>
      </c>
      <c r="F47" s="64">
        <v>3.32</v>
      </c>
      <c r="G47" s="64">
        <v>70.069999999999993</v>
      </c>
      <c r="H47" s="64">
        <v>38.64</v>
      </c>
      <c r="I47" s="64">
        <v>6.8</v>
      </c>
      <c r="J47" s="64">
        <v>3.63</v>
      </c>
      <c r="K47" s="64">
        <v>115.09</v>
      </c>
      <c r="L47" s="64">
        <v>18.47</v>
      </c>
      <c r="M47" s="64">
        <v>72.03</v>
      </c>
      <c r="N47" s="64">
        <v>356.1</v>
      </c>
      <c r="O47" s="64">
        <v>0</v>
      </c>
      <c r="P47" s="64">
        <v>0.69</v>
      </c>
      <c r="Q47" s="64">
        <v>8.2100000000000009</v>
      </c>
      <c r="R47" s="198"/>
      <c r="S47" s="198"/>
      <c r="T47" s="198"/>
      <c r="U47" s="198"/>
    </row>
    <row r="48" spans="1:21" s="12" customFormat="1" x14ac:dyDescent="0.25">
      <c r="A48" s="215" t="s">
        <v>959</v>
      </c>
      <c r="B48" s="64">
        <v>12.74</v>
      </c>
      <c r="C48" s="64">
        <v>41.64</v>
      </c>
      <c r="D48" s="64">
        <v>30.6</v>
      </c>
      <c r="E48" s="64">
        <v>6.32</v>
      </c>
      <c r="F48" s="64">
        <v>4.1100000000000003</v>
      </c>
      <c r="G48" s="64">
        <v>69.58</v>
      </c>
      <c r="H48" s="64">
        <v>44</v>
      </c>
      <c r="I48" s="64">
        <v>7.19</v>
      </c>
      <c r="J48" s="64">
        <v>3.57</v>
      </c>
      <c r="K48" s="64">
        <v>108.5</v>
      </c>
      <c r="L48" s="64">
        <v>18.97</v>
      </c>
      <c r="M48" s="64">
        <v>71.180000000000007</v>
      </c>
      <c r="N48" s="64">
        <v>448.2</v>
      </c>
      <c r="O48" s="64">
        <v>0</v>
      </c>
      <c r="P48" s="64">
        <v>0.69</v>
      </c>
      <c r="Q48" s="64">
        <v>8.2100000000000009</v>
      </c>
      <c r="R48" s="198"/>
      <c r="S48" s="198"/>
      <c r="T48" s="198"/>
      <c r="U48" s="198"/>
    </row>
    <row r="49" spans="1:21" s="12" customFormat="1" x14ac:dyDescent="0.25">
      <c r="A49" s="215" t="s">
        <v>960</v>
      </c>
      <c r="B49" s="64">
        <v>12.05</v>
      </c>
      <c r="C49" s="64">
        <v>41.71</v>
      </c>
      <c r="D49" s="64">
        <v>30.08</v>
      </c>
      <c r="E49" s="64">
        <v>6.29</v>
      </c>
      <c r="F49" s="64">
        <v>4.29</v>
      </c>
      <c r="G49" s="64">
        <v>69.180000000000007</v>
      </c>
      <c r="H49" s="64">
        <v>47.37</v>
      </c>
      <c r="I49" s="64">
        <v>7.51</v>
      </c>
      <c r="J49" s="64">
        <v>2.78</v>
      </c>
      <c r="K49" s="64">
        <v>104.33</v>
      </c>
      <c r="L49" s="64">
        <v>20</v>
      </c>
      <c r="M49" s="64">
        <v>68.489999999999995</v>
      </c>
      <c r="N49" s="64">
        <v>553</v>
      </c>
      <c r="O49" s="64">
        <v>0</v>
      </c>
      <c r="P49" s="64">
        <v>0.68</v>
      </c>
      <c r="Q49" s="64">
        <v>8.2100000000000009</v>
      </c>
      <c r="R49" s="198"/>
      <c r="S49" s="198"/>
      <c r="T49" s="198"/>
      <c r="U49" s="198"/>
    </row>
    <row r="50" spans="1:21" s="12" customFormat="1" x14ac:dyDescent="0.25">
      <c r="A50" s="215" t="s">
        <v>961</v>
      </c>
      <c r="B50" s="64">
        <v>11.12</v>
      </c>
      <c r="C50" s="64">
        <v>42.95</v>
      </c>
      <c r="D50" s="64">
        <v>29.98</v>
      </c>
      <c r="E50" s="64">
        <v>6.34</v>
      </c>
      <c r="F50" s="64">
        <v>4.37</v>
      </c>
      <c r="G50" s="64">
        <v>69.180000000000007</v>
      </c>
      <c r="H50" s="64">
        <v>47.37</v>
      </c>
      <c r="I50" s="64">
        <v>7.59</v>
      </c>
      <c r="J50" s="64">
        <v>1.63</v>
      </c>
      <c r="K50" s="64">
        <v>93.27</v>
      </c>
      <c r="L50" s="64">
        <v>20.85</v>
      </c>
      <c r="M50" s="64">
        <v>66.7</v>
      </c>
      <c r="N50" s="64">
        <v>509.3</v>
      </c>
      <c r="O50" s="64">
        <v>0</v>
      </c>
      <c r="P50" s="64">
        <v>0.68</v>
      </c>
      <c r="Q50" s="64">
        <v>8.2100000000000009</v>
      </c>
      <c r="R50" s="198"/>
      <c r="S50" s="198"/>
      <c r="T50" s="198"/>
      <c r="U50" s="198"/>
    </row>
    <row r="51" spans="1:21" s="12" customFormat="1" x14ac:dyDescent="0.25">
      <c r="A51" s="215" t="s">
        <v>962</v>
      </c>
      <c r="B51" s="64">
        <v>10.15</v>
      </c>
      <c r="C51" s="64">
        <v>44.87</v>
      </c>
      <c r="D51" s="64">
        <v>30.2</v>
      </c>
      <c r="E51" s="64">
        <v>6.31</v>
      </c>
      <c r="F51" s="64">
        <v>4.5199999999999996</v>
      </c>
      <c r="G51" s="64">
        <v>69.180000000000007</v>
      </c>
      <c r="H51" s="64">
        <v>47.37</v>
      </c>
      <c r="I51" s="64">
        <v>8.42</v>
      </c>
      <c r="J51" s="64">
        <v>2.36</v>
      </c>
      <c r="K51" s="64">
        <v>119.38</v>
      </c>
      <c r="L51" s="64">
        <v>21.56</v>
      </c>
      <c r="M51" s="64">
        <v>64.650000000000006</v>
      </c>
      <c r="N51" s="64">
        <v>510.6</v>
      </c>
      <c r="O51" s="64">
        <v>0</v>
      </c>
      <c r="P51" s="64">
        <v>0.69</v>
      </c>
      <c r="Q51" s="64">
        <v>8.2100000000000009</v>
      </c>
      <c r="R51" s="198"/>
      <c r="S51" s="198"/>
      <c r="T51" s="198"/>
      <c r="U51" s="198"/>
    </row>
    <row r="52" spans="1:21" s="12" customFormat="1" x14ac:dyDescent="0.25">
      <c r="A52" s="215" t="s">
        <v>963</v>
      </c>
      <c r="B52" s="64">
        <v>9.0399999999999991</v>
      </c>
      <c r="C52" s="64">
        <v>41.62</v>
      </c>
      <c r="D52" s="64">
        <v>27.61</v>
      </c>
      <c r="E52" s="64">
        <v>6.29</v>
      </c>
      <c r="F52" s="64">
        <v>4.75</v>
      </c>
      <c r="G52" s="64">
        <v>68.75</v>
      </c>
      <c r="H52" s="64">
        <v>48.72</v>
      </c>
      <c r="I52" s="64">
        <v>8.7100000000000009</v>
      </c>
      <c r="J52" s="64">
        <v>1.98</v>
      </c>
      <c r="K52" s="64">
        <v>349.52</v>
      </c>
      <c r="L52" s="64">
        <v>23.04</v>
      </c>
      <c r="M52" s="64">
        <v>60.99</v>
      </c>
      <c r="N52" s="64">
        <v>502.5</v>
      </c>
      <c r="O52" s="64">
        <v>0</v>
      </c>
      <c r="P52" s="64">
        <v>0.69</v>
      </c>
      <c r="Q52" s="64">
        <v>8.2100000000000009</v>
      </c>
      <c r="R52" s="198"/>
      <c r="S52" s="198"/>
      <c r="T52" s="198"/>
      <c r="U52" s="198"/>
    </row>
    <row r="53" spans="1:21" s="12" customFormat="1" x14ac:dyDescent="0.25">
      <c r="A53" s="215" t="s">
        <v>964</v>
      </c>
      <c r="B53" s="64">
        <v>8.42</v>
      </c>
      <c r="C53" s="64">
        <v>45.64</v>
      </c>
      <c r="D53" s="64">
        <v>29.22</v>
      </c>
      <c r="E53" s="64">
        <v>6.15</v>
      </c>
      <c r="F53" s="64">
        <v>4.74</v>
      </c>
      <c r="G53" s="64">
        <v>68.430000000000007</v>
      </c>
      <c r="H53" s="64">
        <v>49.18</v>
      </c>
      <c r="I53" s="64">
        <v>8.6199999999999992</v>
      </c>
      <c r="J53" s="64">
        <v>2.69</v>
      </c>
      <c r="K53" s="64">
        <v>337.84</v>
      </c>
      <c r="L53" s="64">
        <v>24.65</v>
      </c>
      <c r="M53" s="64">
        <v>57.1</v>
      </c>
      <c r="N53" s="64">
        <v>591.29999999999995</v>
      </c>
      <c r="O53" s="64">
        <v>0</v>
      </c>
      <c r="P53" s="64">
        <v>0.71</v>
      </c>
      <c r="Q53" s="64">
        <v>8.2100000000000009</v>
      </c>
      <c r="R53" s="198"/>
      <c r="S53" s="198"/>
      <c r="T53" s="198"/>
      <c r="U53" s="198"/>
    </row>
    <row r="54" spans="1:21" s="12" customFormat="1" x14ac:dyDescent="0.25">
      <c r="A54" s="215" t="s">
        <v>965</v>
      </c>
      <c r="B54" s="64">
        <v>8.07</v>
      </c>
      <c r="C54" s="64">
        <v>44.4</v>
      </c>
      <c r="D54" s="64">
        <v>28.29</v>
      </c>
      <c r="E54" s="64">
        <v>6.07</v>
      </c>
      <c r="F54" s="64">
        <v>4.84</v>
      </c>
      <c r="G54" s="64">
        <v>68.430000000000007</v>
      </c>
      <c r="H54" s="64">
        <v>49.18</v>
      </c>
      <c r="I54" s="64">
        <v>8.43</v>
      </c>
      <c r="J54" s="64">
        <v>2.64</v>
      </c>
      <c r="K54" s="64">
        <v>338.19</v>
      </c>
      <c r="L54" s="64">
        <v>26.34</v>
      </c>
      <c r="M54" s="64">
        <v>51.71</v>
      </c>
      <c r="N54" s="64">
        <v>662.7</v>
      </c>
      <c r="O54" s="64">
        <v>0</v>
      </c>
      <c r="P54" s="64">
        <v>0.72</v>
      </c>
      <c r="Q54" s="64">
        <v>8.2100000000000009</v>
      </c>
      <c r="R54" s="198"/>
      <c r="S54" s="198"/>
      <c r="T54" s="198"/>
      <c r="U54" s="198"/>
    </row>
    <row r="55" spans="1:21" s="12" customFormat="1" x14ac:dyDescent="0.25">
      <c r="A55" s="215" t="s">
        <v>966</v>
      </c>
      <c r="B55" s="64">
        <v>7.25</v>
      </c>
      <c r="C55" s="64">
        <v>48.21</v>
      </c>
      <c r="D55" s="64">
        <v>29.62</v>
      </c>
      <c r="E55" s="64">
        <v>6.14</v>
      </c>
      <c r="F55" s="64">
        <v>4.4000000000000004</v>
      </c>
      <c r="G55" s="64">
        <v>68.430000000000007</v>
      </c>
      <c r="H55" s="64">
        <v>49.18</v>
      </c>
      <c r="I55" s="64">
        <v>8.19</v>
      </c>
      <c r="J55" s="64">
        <v>0.25</v>
      </c>
      <c r="K55" s="64">
        <v>107.3</v>
      </c>
      <c r="L55" s="64">
        <v>24.99</v>
      </c>
      <c r="M55" s="64">
        <v>59</v>
      </c>
      <c r="N55" s="64">
        <v>510.2</v>
      </c>
      <c r="O55" s="64">
        <v>0</v>
      </c>
      <c r="P55" s="64">
        <v>0.72</v>
      </c>
      <c r="Q55" s="64">
        <v>8.2100000000000009</v>
      </c>
      <c r="R55" s="198"/>
      <c r="S55" s="198"/>
      <c r="T55" s="198"/>
      <c r="U55" s="198"/>
    </row>
    <row r="56" spans="1:21" s="12" customFormat="1" x14ac:dyDescent="0.25">
      <c r="A56" s="215" t="s">
        <v>967</v>
      </c>
      <c r="B56" s="64">
        <v>6.38</v>
      </c>
      <c r="C56" s="64">
        <v>45.13</v>
      </c>
      <c r="D56" s="64">
        <v>27.32</v>
      </c>
      <c r="E56" s="64">
        <v>6.04</v>
      </c>
      <c r="F56" s="64">
        <v>4.7699999999999996</v>
      </c>
      <c r="G56" s="64">
        <v>72.5</v>
      </c>
      <c r="H56" s="64">
        <v>43.07</v>
      </c>
      <c r="I56" s="64">
        <v>8.02</v>
      </c>
      <c r="J56" s="64">
        <v>3.32</v>
      </c>
      <c r="K56" s="64">
        <v>337.93</v>
      </c>
      <c r="L56" s="64">
        <v>25.3</v>
      </c>
      <c r="M56" s="64">
        <v>59.01</v>
      </c>
      <c r="N56" s="64">
        <v>393.7</v>
      </c>
      <c r="O56" s="64">
        <v>0</v>
      </c>
      <c r="P56" s="64">
        <v>0.72</v>
      </c>
      <c r="Q56" s="64">
        <v>8.2100000000000009</v>
      </c>
      <c r="R56" s="198"/>
      <c r="S56" s="198"/>
      <c r="T56" s="198"/>
      <c r="U56" s="198"/>
    </row>
    <row r="57" spans="1:21" s="12" customFormat="1" x14ac:dyDescent="0.25">
      <c r="A57" s="215" t="s">
        <v>968</v>
      </c>
      <c r="B57" s="64">
        <v>6.15</v>
      </c>
      <c r="C57" s="64">
        <v>49.46</v>
      </c>
      <c r="D57" s="64">
        <v>29.4</v>
      </c>
      <c r="E57" s="64">
        <v>6.34</v>
      </c>
      <c r="F57" s="64">
        <v>4.63</v>
      </c>
      <c r="G57" s="64">
        <v>75.61</v>
      </c>
      <c r="H57" s="64">
        <v>40.99</v>
      </c>
      <c r="I57" s="64">
        <v>7.71</v>
      </c>
      <c r="J57" s="64">
        <v>2.57</v>
      </c>
      <c r="K57" s="64">
        <v>345.02</v>
      </c>
      <c r="L57" s="64">
        <v>25.38</v>
      </c>
      <c r="M57" s="64">
        <v>58.87</v>
      </c>
      <c r="N57" s="64">
        <v>436</v>
      </c>
      <c r="O57" s="64">
        <v>0</v>
      </c>
      <c r="P57" s="64">
        <v>0.75</v>
      </c>
      <c r="Q57" s="64">
        <v>8.2100000000000009</v>
      </c>
      <c r="R57" s="198"/>
      <c r="S57" s="198"/>
      <c r="T57" s="198"/>
      <c r="U57" s="198"/>
    </row>
    <row r="58" spans="1:21" s="12" customFormat="1" x14ac:dyDescent="0.25">
      <c r="A58" s="215" t="s">
        <v>969</v>
      </c>
      <c r="B58" s="64">
        <v>5.9</v>
      </c>
      <c r="C58" s="64">
        <v>45.09</v>
      </c>
      <c r="D58" s="64">
        <v>26.91</v>
      </c>
      <c r="E58" s="64">
        <v>6.85</v>
      </c>
      <c r="F58" s="64">
        <v>4.75</v>
      </c>
      <c r="G58" s="64">
        <v>75.61</v>
      </c>
      <c r="H58" s="64">
        <v>40.99</v>
      </c>
      <c r="I58" s="64">
        <v>7.59</v>
      </c>
      <c r="J58" s="64">
        <v>2.9</v>
      </c>
      <c r="K58" s="64">
        <v>334.82</v>
      </c>
      <c r="L58" s="64">
        <v>25.45</v>
      </c>
      <c r="M58" s="64">
        <v>58.75</v>
      </c>
      <c r="N58" s="64">
        <v>360.5</v>
      </c>
      <c r="O58" s="64">
        <v>0</v>
      </c>
      <c r="P58" s="64">
        <v>0.76</v>
      </c>
      <c r="Q58" s="64">
        <v>8.2100000000000009</v>
      </c>
      <c r="R58" s="198"/>
      <c r="S58" s="198"/>
      <c r="T58" s="198"/>
      <c r="U58" s="198"/>
    </row>
    <row r="59" spans="1:21" s="12" customFormat="1" x14ac:dyDescent="0.25">
      <c r="A59" s="215" t="s">
        <v>970</v>
      </c>
      <c r="B59" s="64">
        <v>5.86</v>
      </c>
      <c r="C59" s="64">
        <v>49.22</v>
      </c>
      <c r="D59" s="64">
        <v>29.04</v>
      </c>
      <c r="E59" s="64">
        <v>6.24</v>
      </c>
      <c r="F59" s="64">
        <v>4.8600000000000003</v>
      </c>
      <c r="G59" s="64">
        <v>75.61</v>
      </c>
      <c r="H59" s="64">
        <v>40.99</v>
      </c>
      <c r="I59" s="64">
        <v>7.14</v>
      </c>
      <c r="J59" s="64">
        <v>1.99</v>
      </c>
      <c r="K59" s="64">
        <v>328.51</v>
      </c>
      <c r="L59" s="64">
        <v>25.14</v>
      </c>
      <c r="M59" s="64">
        <v>59.38</v>
      </c>
      <c r="N59" s="64">
        <v>395.5</v>
      </c>
      <c r="O59" s="64">
        <v>0</v>
      </c>
      <c r="P59" s="64">
        <v>0.77</v>
      </c>
      <c r="Q59" s="64">
        <v>8.2100000000000009</v>
      </c>
      <c r="R59" s="198"/>
      <c r="S59" s="198"/>
      <c r="T59" s="198"/>
      <c r="U59" s="198"/>
    </row>
    <row r="60" spans="1:21" s="12" customFormat="1" x14ac:dyDescent="0.25">
      <c r="A60" s="215" t="s">
        <v>971</v>
      </c>
      <c r="B60" s="64">
        <v>5.69</v>
      </c>
      <c r="C60" s="64">
        <v>47.24</v>
      </c>
      <c r="D60" s="64">
        <v>27.86</v>
      </c>
      <c r="E60" s="64">
        <v>6.39</v>
      </c>
      <c r="F60" s="64">
        <v>4.5</v>
      </c>
      <c r="G60" s="64">
        <v>72.760000000000005</v>
      </c>
      <c r="H60" s="64">
        <v>45.42</v>
      </c>
      <c r="I60" s="64">
        <v>7.16</v>
      </c>
      <c r="J60" s="64">
        <v>1.25</v>
      </c>
      <c r="K60" s="64">
        <v>99.09</v>
      </c>
      <c r="L60" s="64">
        <v>23.92</v>
      </c>
      <c r="M60" s="64">
        <v>64.23</v>
      </c>
      <c r="N60" s="64">
        <v>382.7</v>
      </c>
      <c r="O60" s="64">
        <v>0</v>
      </c>
      <c r="P60" s="64">
        <v>0.78</v>
      </c>
      <c r="Q60" s="64">
        <v>8.2100000000000009</v>
      </c>
      <c r="R60" s="198"/>
      <c r="S60" s="198"/>
      <c r="T60" s="198"/>
      <c r="U60" s="198"/>
    </row>
    <row r="61" spans="1:21" s="12" customFormat="1" x14ac:dyDescent="0.25">
      <c r="A61" s="215" t="s">
        <v>972</v>
      </c>
      <c r="B61" s="64">
        <v>5.59</v>
      </c>
      <c r="C61" s="64">
        <v>47.58</v>
      </c>
      <c r="D61" s="64">
        <v>27.96</v>
      </c>
      <c r="E61" s="64">
        <v>6.4</v>
      </c>
      <c r="F61" s="64">
        <v>6.57</v>
      </c>
      <c r="G61" s="64">
        <v>70.58</v>
      </c>
      <c r="H61" s="64">
        <v>46.92</v>
      </c>
      <c r="I61" s="64">
        <v>4.7300000000000004</v>
      </c>
      <c r="J61" s="64">
        <v>1.19</v>
      </c>
      <c r="K61" s="64">
        <v>321.2</v>
      </c>
      <c r="L61" s="64">
        <v>23.87</v>
      </c>
      <c r="M61" s="64">
        <v>65.430000000000007</v>
      </c>
      <c r="N61" s="64">
        <v>440.8</v>
      </c>
      <c r="O61" s="64">
        <v>0</v>
      </c>
      <c r="P61" s="64">
        <v>0.7</v>
      </c>
      <c r="Q61" s="64">
        <v>8.2100000000000009</v>
      </c>
      <c r="R61" s="198"/>
      <c r="S61" s="198"/>
      <c r="T61" s="198"/>
      <c r="U61" s="198"/>
    </row>
    <row r="62" spans="1:21" s="12" customFormat="1" x14ac:dyDescent="0.25">
      <c r="A62" s="215" t="s">
        <v>973</v>
      </c>
      <c r="B62" s="64">
        <v>5.69</v>
      </c>
      <c r="C62" s="64">
        <v>47.57</v>
      </c>
      <c r="D62" s="64">
        <v>28.04</v>
      </c>
      <c r="E62" s="64">
        <v>6.19</v>
      </c>
      <c r="F62" s="64">
        <v>4.7699999999999996</v>
      </c>
      <c r="G62" s="64">
        <v>70.58</v>
      </c>
      <c r="H62" s="64">
        <v>46.92</v>
      </c>
      <c r="I62" s="64">
        <v>4.22</v>
      </c>
      <c r="J62" s="64">
        <v>0.74</v>
      </c>
      <c r="K62" s="64">
        <v>261.31</v>
      </c>
      <c r="L62" s="64">
        <v>23.93</v>
      </c>
      <c r="M62" s="64">
        <v>65.12</v>
      </c>
      <c r="N62" s="64">
        <v>520.5</v>
      </c>
      <c r="O62" s="64">
        <v>0</v>
      </c>
      <c r="P62" s="64">
        <v>0.68</v>
      </c>
      <c r="Q62" s="64">
        <v>8.2100000000000009</v>
      </c>
      <c r="R62" s="198"/>
      <c r="S62" s="198"/>
      <c r="T62" s="198"/>
      <c r="U62" s="198"/>
    </row>
    <row r="63" spans="1:21" s="12" customFormat="1" x14ac:dyDescent="0.25">
      <c r="A63" s="215" t="s">
        <v>974</v>
      </c>
      <c r="B63" s="64">
        <v>5.34</v>
      </c>
      <c r="C63" s="64">
        <v>47.21</v>
      </c>
      <c r="D63" s="64">
        <v>27.57</v>
      </c>
      <c r="E63" s="64">
        <v>6.77</v>
      </c>
      <c r="F63" s="64">
        <v>5.16</v>
      </c>
      <c r="G63" s="64">
        <v>70.58</v>
      </c>
      <c r="H63" s="64">
        <v>46.92</v>
      </c>
      <c r="I63" s="64">
        <v>5.24</v>
      </c>
      <c r="J63" s="64">
        <v>1.56</v>
      </c>
      <c r="K63" s="64">
        <v>291.52</v>
      </c>
      <c r="L63" s="64">
        <v>24.15</v>
      </c>
      <c r="M63" s="64">
        <v>63.85</v>
      </c>
      <c r="N63" s="64">
        <v>385.3</v>
      </c>
      <c r="O63" s="64">
        <v>0</v>
      </c>
      <c r="P63" s="64">
        <v>0.71</v>
      </c>
      <c r="Q63" s="64">
        <v>8.2100000000000009</v>
      </c>
      <c r="R63" s="198"/>
      <c r="S63" s="198"/>
      <c r="T63" s="198"/>
      <c r="U63" s="198"/>
    </row>
    <row r="64" spans="1:21" s="12" customFormat="1" x14ac:dyDescent="0.25">
      <c r="A64" s="215" t="s">
        <v>975</v>
      </c>
      <c r="B64" s="64">
        <v>4.84</v>
      </c>
      <c r="C64" s="64">
        <v>47.18</v>
      </c>
      <c r="D64" s="64">
        <v>27.16</v>
      </c>
      <c r="E64" s="64">
        <v>6.65</v>
      </c>
      <c r="F64" s="64">
        <v>5.0599999999999996</v>
      </c>
      <c r="G64" s="64">
        <v>71.790000000000006</v>
      </c>
      <c r="H64" s="64">
        <v>43.11</v>
      </c>
      <c r="I64" s="64">
        <v>5.93</v>
      </c>
      <c r="J64" s="64">
        <v>1.27</v>
      </c>
      <c r="K64" s="64">
        <v>17.47</v>
      </c>
      <c r="L64" s="64">
        <v>23.91</v>
      </c>
      <c r="M64" s="64">
        <v>65.56</v>
      </c>
      <c r="N64" s="64">
        <v>420.8</v>
      </c>
      <c r="O64" s="64">
        <v>0</v>
      </c>
      <c r="P64" s="64">
        <v>0.66</v>
      </c>
      <c r="Q64" s="64">
        <v>8.2100000000000009</v>
      </c>
      <c r="R64" s="198"/>
      <c r="S64" s="198"/>
      <c r="T64" s="198"/>
      <c r="U64" s="198"/>
    </row>
    <row r="65" spans="1:21" s="12" customFormat="1" x14ac:dyDescent="0.25">
      <c r="A65" s="215" t="s">
        <v>976</v>
      </c>
      <c r="B65" s="64">
        <v>4.6399999999999997</v>
      </c>
      <c r="C65" s="64">
        <v>46.54</v>
      </c>
      <c r="D65" s="64">
        <v>26.65</v>
      </c>
      <c r="E65" s="64">
        <v>6.51</v>
      </c>
      <c r="F65" s="64">
        <v>4.79</v>
      </c>
      <c r="G65" s="64">
        <v>72.72</v>
      </c>
      <c r="H65" s="64">
        <v>40.61</v>
      </c>
      <c r="I65" s="64">
        <v>6.11</v>
      </c>
      <c r="J65" s="64">
        <v>1.96</v>
      </c>
      <c r="K65" s="64">
        <v>334.28</v>
      </c>
      <c r="L65" s="64">
        <v>25.23</v>
      </c>
      <c r="M65" s="64">
        <v>60.97</v>
      </c>
      <c r="N65" s="64">
        <v>287.89999999999998</v>
      </c>
      <c r="O65" s="64">
        <v>0</v>
      </c>
      <c r="P65" s="64">
        <v>0.71</v>
      </c>
      <c r="Q65" s="64">
        <v>8.2100000000000009</v>
      </c>
      <c r="R65" s="198"/>
      <c r="S65" s="198"/>
      <c r="T65" s="198"/>
      <c r="U65" s="198"/>
    </row>
    <row r="66" spans="1:21" s="12" customFormat="1" x14ac:dyDescent="0.25">
      <c r="A66" s="215" t="s">
        <v>977</v>
      </c>
      <c r="B66" s="64">
        <v>4.4000000000000004</v>
      </c>
      <c r="C66" s="64">
        <v>45.91</v>
      </c>
      <c r="D66" s="64">
        <v>26.14</v>
      </c>
      <c r="E66" s="64">
        <v>6.56</v>
      </c>
      <c r="F66" s="64">
        <v>5.0199999999999996</v>
      </c>
      <c r="G66" s="64">
        <v>72.72</v>
      </c>
      <c r="H66" s="64">
        <v>40.61</v>
      </c>
      <c r="I66" s="64">
        <v>4.03</v>
      </c>
      <c r="J66" s="64">
        <v>0.72</v>
      </c>
      <c r="K66" s="64">
        <v>145.12</v>
      </c>
      <c r="L66" s="64">
        <v>24.13</v>
      </c>
      <c r="M66" s="64">
        <v>64.67</v>
      </c>
      <c r="N66" s="64">
        <v>260.5</v>
      </c>
      <c r="O66" s="64">
        <v>0</v>
      </c>
      <c r="P66" s="64">
        <v>0.69</v>
      </c>
      <c r="Q66" s="64">
        <v>8.2100000000000009</v>
      </c>
      <c r="R66" s="198"/>
      <c r="S66" s="198"/>
      <c r="T66" s="198"/>
      <c r="U66" s="198"/>
    </row>
    <row r="67" spans="1:21" s="12" customFormat="1" x14ac:dyDescent="0.25">
      <c r="A67" s="215" t="s">
        <v>978</v>
      </c>
      <c r="B67" s="64">
        <v>3.97</v>
      </c>
      <c r="C67" s="64">
        <v>44.95</v>
      </c>
      <c r="D67" s="64">
        <v>25.29</v>
      </c>
      <c r="E67" s="64">
        <v>6.65</v>
      </c>
      <c r="F67" s="64">
        <v>5.1100000000000003</v>
      </c>
      <c r="G67" s="64">
        <v>72.72</v>
      </c>
      <c r="H67" s="64">
        <v>40.61</v>
      </c>
      <c r="I67" s="64">
        <v>3.72</v>
      </c>
      <c r="J67" s="64">
        <v>1.7</v>
      </c>
      <c r="K67" s="64">
        <v>317.16000000000003</v>
      </c>
      <c r="L67" s="64">
        <v>24.29</v>
      </c>
      <c r="M67" s="64">
        <v>64.31</v>
      </c>
      <c r="N67" s="64">
        <v>256.5</v>
      </c>
      <c r="O67" s="64">
        <v>0</v>
      </c>
      <c r="P67" s="64">
        <v>0.71</v>
      </c>
      <c r="Q67" s="64">
        <v>8.2100000000000009</v>
      </c>
      <c r="R67" s="198"/>
      <c r="S67" s="198"/>
      <c r="T67" s="198"/>
      <c r="U67" s="198"/>
    </row>
    <row r="68" spans="1:21" s="12" customFormat="1" x14ac:dyDescent="0.25">
      <c r="A68" s="215" t="s">
        <v>979</v>
      </c>
      <c r="B68" s="64">
        <v>3.8</v>
      </c>
      <c r="C68" s="64">
        <v>43.55</v>
      </c>
      <c r="D68" s="64">
        <v>24.43</v>
      </c>
      <c r="E68" s="64">
        <v>7.08</v>
      </c>
      <c r="F68" s="64">
        <v>5</v>
      </c>
      <c r="G68" s="64">
        <v>75.23</v>
      </c>
      <c r="H68" s="64">
        <v>37.58</v>
      </c>
      <c r="I68" s="64">
        <v>5.07</v>
      </c>
      <c r="J68" s="64">
        <v>0.5</v>
      </c>
      <c r="K68" s="64">
        <v>163.69999999999999</v>
      </c>
      <c r="L68" s="64">
        <v>24.19</v>
      </c>
      <c r="M68" s="64">
        <v>64.84</v>
      </c>
      <c r="N68" s="64">
        <v>244.7</v>
      </c>
      <c r="O68" s="64">
        <v>0</v>
      </c>
      <c r="P68" s="64">
        <v>0.71</v>
      </c>
      <c r="Q68" s="64">
        <v>8.2100000000000009</v>
      </c>
      <c r="R68" s="198"/>
      <c r="S68" s="198"/>
      <c r="T68" s="198"/>
      <c r="U68" s="198"/>
    </row>
    <row r="69" spans="1:21" s="12" customFormat="1" x14ac:dyDescent="0.25">
      <c r="A69" s="215" t="s">
        <v>980</v>
      </c>
      <c r="B69" s="64">
        <v>3.51</v>
      </c>
      <c r="C69" s="64">
        <v>39.24</v>
      </c>
      <c r="D69" s="64">
        <v>21.94</v>
      </c>
      <c r="E69" s="64">
        <v>6.67</v>
      </c>
      <c r="F69" s="64">
        <v>5.28</v>
      </c>
      <c r="G69" s="64">
        <v>77.14</v>
      </c>
      <c r="H69" s="64">
        <v>36.549999999999997</v>
      </c>
      <c r="I69" s="64">
        <v>6.15</v>
      </c>
      <c r="J69" s="64">
        <v>2.4500000000000002</v>
      </c>
      <c r="K69" s="64">
        <v>323.51</v>
      </c>
      <c r="L69" s="64">
        <v>24.31</v>
      </c>
      <c r="M69" s="64">
        <v>64.67</v>
      </c>
      <c r="N69" s="64">
        <v>216</v>
      </c>
      <c r="O69" s="64">
        <v>0</v>
      </c>
      <c r="P69" s="64">
        <v>0.71</v>
      </c>
      <c r="Q69" s="64">
        <v>8.2100000000000009</v>
      </c>
      <c r="R69" s="198"/>
      <c r="S69" s="198"/>
      <c r="T69" s="198"/>
      <c r="U69" s="198"/>
    </row>
    <row r="70" spans="1:21" s="12" customFormat="1" x14ac:dyDescent="0.25">
      <c r="A70" s="215" t="s">
        <v>981</v>
      </c>
      <c r="B70" s="64">
        <v>3.26</v>
      </c>
      <c r="C70" s="64">
        <v>45.6</v>
      </c>
      <c r="D70" s="64">
        <v>25.06</v>
      </c>
      <c r="E70" s="64">
        <v>6.83</v>
      </c>
      <c r="F70" s="64">
        <v>5.64</v>
      </c>
      <c r="G70" s="64">
        <v>77.14</v>
      </c>
      <c r="H70" s="64">
        <v>36.549999999999997</v>
      </c>
      <c r="I70" s="64">
        <v>4.16</v>
      </c>
      <c r="J70" s="64">
        <v>2.4500000000000002</v>
      </c>
      <c r="K70" s="64">
        <v>302.58</v>
      </c>
      <c r="L70" s="64">
        <v>24.23</v>
      </c>
      <c r="M70" s="64">
        <v>64.150000000000006</v>
      </c>
      <c r="N70" s="64">
        <v>189.3</v>
      </c>
      <c r="O70" s="64">
        <v>0</v>
      </c>
      <c r="P70" s="64">
        <v>0.74</v>
      </c>
      <c r="Q70" s="64">
        <v>8.2100000000000009</v>
      </c>
      <c r="R70" s="198"/>
      <c r="S70" s="198"/>
      <c r="T70" s="198"/>
      <c r="U70" s="198"/>
    </row>
    <row r="71" spans="1:21" s="12" customFormat="1" x14ac:dyDescent="0.25">
      <c r="A71" s="215" t="s">
        <v>982</v>
      </c>
      <c r="B71" s="64">
        <v>3.17</v>
      </c>
      <c r="C71" s="64">
        <v>44.06</v>
      </c>
      <c r="D71" s="64">
        <v>24.18</v>
      </c>
      <c r="E71" s="64">
        <v>6.88</v>
      </c>
      <c r="F71" s="64">
        <v>5.56</v>
      </c>
      <c r="G71" s="64">
        <v>77.14</v>
      </c>
      <c r="H71" s="64">
        <v>36.549999999999997</v>
      </c>
      <c r="I71" s="64">
        <v>5.53</v>
      </c>
      <c r="J71" s="64">
        <v>3.89</v>
      </c>
      <c r="K71" s="64">
        <v>329.92</v>
      </c>
      <c r="L71" s="64">
        <v>24.16</v>
      </c>
      <c r="M71" s="64">
        <v>64.400000000000006</v>
      </c>
      <c r="N71" s="64">
        <v>169.5</v>
      </c>
      <c r="O71" s="64">
        <v>0</v>
      </c>
      <c r="P71" s="64">
        <v>0.75</v>
      </c>
      <c r="Q71" s="64">
        <v>8.2100000000000009</v>
      </c>
      <c r="R71" s="198"/>
      <c r="S71" s="198"/>
      <c r="T71" s="198"/>
      <c r="U71" s="198"/>
    </row>
    <row r="72" spans="1:21" s="12" customFormat="1" x14ac:dyDescent="0.25">
      <c r="A72" s="215" t="s">
        <v>983</v>
      </c>
      <c r="B72" s="64">
        <v>3.25</v>
      </c>
      <c r="C72" s="64">
        <v>42.29</v>
      </c>
      <c r="D72" s="64">
        <v>23.32</v>
      </c>
      <c r="E72" s="64">
        <v>7.18</v>
      </c>
      <c r="F72" s="64">
        <v>6.2</v>
      </c>
      <c r="G72" s="64">
        <v>79.61</v>
      </c>
      <c r="H72" s="64">
        <v>32.29</v>
      </c>
      <c r="I72" s="64">
        <v>5.91</v>
      </c>
      <c r="J72" s="64">
        <v>3.38</v>
      </c>
      <c r="K72" s="64">
        <v>331.6</v>
      </c>
      <c r="L72" s="64">
        <v>23.87</v>
      </c>
      <c r="M72" s="64">
        <v>65.83</v>
      </c>
      <c r="N72" s="64">
        <v>162.19999999999999</v>
      </c>
      <c r="O72" s="64">
        <v>0</v>
      </c>
      <c r="P72" s="64">
        <v>0.8</v>
      </c>
      <c r="Q72" s="64">
        <v>8.2100000000000009</v>
      </c>
      <c r="R72" s="198"/>
      <c r="S72" s="198"/>
      <c r="T72" s="198"/>
      <c r="U72" s="198"/>
    </row>
    <row r="73" spans="1:21" s="12" customFormat="1" x14ac:dyDescent="0.25">
      <c r="A73" s="215" t="s">
        <v>984</v>
      </c>
      <c r="B73" s="64">
        <v>3.25</v>
      </c>
      <c r="C73" s="64">
        <v>49.53</v>
      </c>
      <c r="D73" s="64">
        <v>27.11</v>
      </c>
      <c r="E73" s="64">
        <v>7.26</v>
      </c>
      <c r="F73" s="64">
        <v>5.53</v>
      </c>
      <c r="G73" s="64">
        <v>81.489999999999995</v>
      </c>
      <c r="H73" s="64">
        <v>30.84</v>
      </c>
      <c r="I73" s="64">
        <v>5.91</v>
      </c>
      <c r="J73" s="64">
        <v>3.71</v>
      </c>
      <c r="K73" s="64">
        <v>345.21</v>
      </c>
      <c r="L73" s="64">
        <v>23.57</v>
      </c>
      <c r="M73" s="64">
        <v>66.73</v>
      </c>
      <c r="N73" s="64">
        <v>158.4</v>
      </c>
      <c r="O73" s="64">
        <v>0</v>
      </c>
      <c r="P73" s="64">
        <v>1.03</v>
      </c>
      <c r="Q73" s="64">
        <v>8.2100000000000009</v>
      </c>
      <c r="R73" s="198"/>
      <c r="S73" s="198"/>
      <c r="T73" s="198"/>
      <c r="U73" s="198"/>
    </row>
    <row r="74" spans="1:21" s="12" customFormat="1" x14ac:dyDescent="0.25">
      <c r="A74" s="215" t="s">
        <v>985</v>
      </c>
      <c r="B74" s="64">
        <v>3.54</v>
      </c>
      <c r="C74" s="64">
        <v>45.06</v>
      </c>
      <c r="D74" s="64">
        <v>25.01</v>
      </c>
      <c r="E74" s="64">
        <v>7.22</v>
      </c>
      <c r="F74" s="64">
        <v>5.59</v>
      </c>
      <c r="G74" s="64">
        <v>81.489999999999995</v>
      </c>
      <c r="H74" s="64">
        <v>30.84</v>
      </c>
      <c r="I74" s="64">
        <v>5.97</v>
      </c>
      <c r="J74" s="64">
        <v>3.2</v>
      </c>
      <c r="K74" s="64">
        <v>341.35</v>
      </c>
      <c r="L74" s="64">
        <v>23.37</v>
      </c>
      <c r="M74" s="64">
        <v>67.61</v>
      </c>
      <c r="N74" s="64">
        <v>162.19999999999999</v>
      </c>
      <c r="O74" s="64">
        <v>0</v>
      </c>
      <c r="P74" s="64">
        <v>1.29</v>
      </c>
      <c r="Q74" s="64">
        <v>8.2100000000000009</v>
      </c>
      <c r="R74" s="198"/>
      <c r="S74" s="198"/>
      <c r="T74" s="198"/>
      <c r="U74" s="198"/>
    </row>
    <row r="75" spans="1:21" s="12" customFormat="1" x14ac:dyDescent="0.25">
      <c r="A75" s="215" t="s">
        <v>986</v>
      </c>
      <c r="B75" s="64">
        <v>4.09</v>
      </c>
      <c r="C75" s="64">
        <v>53.68</v>
      </c>
      <c r="D75" s="64">
        <v>29.95</v>
      </c>
      <c r="E75" s="64">
        <v>7.11</v>
      </c>
      <c r="F75" s="64">
        <v>5.07</v>
      </c>
      <c r="G75" s="64">
        <v>81.489999999999995</v>
      </c>
      <c r="H75" s="64">
        <v>30.84</v>
      </c>
      <c r="I75" s="64">
        <v>6.74</v>
      </c>
      <c r="J75" s="64">
        <v>2.68</v>
      </c>
      <c r="K75" s="64">
        <v>355.53</v>
      </c>
      <c r="L75" s="64">
        <v>23.08</v>
      </c>
      <c r="M75" s="64">
        <v>68.42</v>
      </c>
      <c r="N75" s="64">
        <v>141.6</v>
      </c>
      <c r="O75" s="64">
        <v>0</v>
      </c>
      <c r="P75" s="64">
        <v>1.23</v>
      </c>
      <c r="Q75" s="64">
        <v>8.2100000000000009</v>
      </c>
      <c r="R75" s="198"/>
      <c r="S75" s="198"/>
      <c r="T75" s="198"/>
      <c r="U75" s="198"/>
    </row>
    <row r="76" spans="1:21" s="12" customFormat="1" x14ac:dyDescent="0.25">
      <c r="A76" s="215" t="s">
        <v>987</v>
      </c>
      <c r="B76" s="64">
        <v>4.72</v>
      </c>
      <c r="C76" s="64">
        <v>52.09</v>
      </c>
      <c r="D76" s="64">
        <v>29.62</v>
      </c>
      <c r="E76" s="64">
        <v>7.54</v>
      </c>
      <c r="F76" s="64">
        <v>4.6100000000000003</v>
      </c>
      <c r="G76" s="64">
        <v>85.28</v>
      </c>
      <c r="H76" s="64">
        <v>50.26</v>
      </c>
      <c r="I76" s="64">
        <v>7.28</v>
      </c>
      <c r="J76" s="64">
        <v>2.6</v>
      </c>
      <c r="K76" s="64">
        <v>349.42</v>
      </c>
      <c r="L76" s="64">
        <v>22.61</v>
      </c>
      <c r="M76" s="64">
        <v>70.77</v>
      </c>
      <c r="N76" s="64">
        <v>123.6</v>
      </c>
      <c r="O76" s="64">
        <v>0</v>
      </c>
      <c r="P76" s="64">
        <v>1.67</v>
      </c>
      <c r="Q76" s="64">
        <v>8.2100000000000009</v>
      </c>
      <c r="R76" s="198"/>
      <c r="S76" s="198"/>
      <c r="T76" s="198"/>
      <c r="U76" s="198"/>
    </row>
    <row r="77" spans="1:21" s="12" customFormat="1" x14ac:dyDescent="0.25">
      <c r="A77" s="215" t="s">
        <v>988</v>
      </c>
      <c r="B77" s="64">
        <v>5.66</v>
      </c>
      <c r="C77" s="64">
        <v>51.86</v>
      </c>
      <c r="D77" s="64">
        <v>30.26</v>
      </c>
      <c r="E77" s="64">
        <v>7.4</v>
      </c>
      <c r="F77" s="64">
        <v>4.62</v>
      </c>
      <c r="G77" s="64">
        <v>88.18</v>
      </c>
      <c r="H77" s="64">
        <v>56.86</v>
      </c>
      <c r="I77" s="64">
        <v>7.03</v>
      </c>
      <c r="J77" s="64">
        <v>2.67</v>
      </c>
      <c r="K77" s="64">
        <v>301.89</v>
      </c>
      <c r="L77" s="64">
        <v>21.84</v>
      </c>
      <c r="M77" s="64">
        <v>76.56</v>
      </c>
      <c r="N77" s="64">
        <v>117.3</v>
      </c>
      <c r="O77" s="64">
        <v>0</v>
      </c>
      <c r="P77" s="64">
        <v>1.78</v>
      </c>
      <c r="Q77" s="64">
        <v>8.2100000000000009</v>
      </c>
      <c r="R77" s="198"/>
      <c r="S77" s="198"/>
      <c r="T77" s="198"/>
      <c r="U77" s="198"/>
    </row>
    <row r="78" spans="1:21" s="12" customFormat="1" x14ac:dyDescent="0.25">
      <c r="A78" s="215" t="s">
        <v>989</v>
      </c>
      <c r="B78" s="64">
        <v>7.04</v>
      </c>
      <c r="C78" s="64">
        <v>52.69</v>
      </c>
      <c r="D78" s="64">
        <v>31.8</v>
      </c>
      <c r="E78" s="64">
        <v>7.02</v>
      </c>
      <c r="F78" s="64">
        <v>4.21</v>
      </c>
      <c r="G78" s="64">
        <v>88.18</v>
      </c>
      <c r="H78" s="64">
        <v>56.86</v>
      </c>
      <c r="I78" s="64">
        <v>7.5</v>
      </c>
      <c r="J78" s="64">
        <v>2.88</v>
      </c>
      <c r="K78" s="64">
        <v>314.97000000000003</v>
      </c>
      <c r="L78" s="64">
        <v>21.07</v>
      </c>
      <c r="M78" s="64">
        <v>85.56</v>
      </c>
      <c r="N78" s="64">
        <v>112</v>
      </c>
      <c r="O78" s="64">
        <v>0</v>
      </c>
      <c r="P78" s="64">
        <v>2.2200000000000002</v>
      </c>
      <c r="Q78" s="64">
        <v>8.2100000000000009</v>
      </c>
      <c r="R78" s="198"/>
      <c r="S78" s="198"/>
      <c r="T78" s="198"/>
      <c r="U78" s="198"/>
    </row>
    <row r="79" spans="1:21" s="12" customFormat="1" x14ac:dyDescent="0.25">
      <c r="A79" s="215" t="s">
        <v>990</v>
      </c>
      <c r="B79" s="64">
        <v>9</v>
      </c>
      <c r="C79" s="64">
        <v>53.19</v>
      </c>
      <c r="D79" s="64">
        <v>33.630000000000003</v>
      </c>
      <c r="E79" s="64">
        <v>7.16</v>
      </c>
      <c r="F79" s="64">
        <v>4.25</v>
      </c>
      <c r="G79" s="64">
        <v>88.18</v>
      </c>
      <c r="H79" s="64">
        <v>56.86</v>
      </c>
      <c r="I79" s="64">
        <v>7.86</v>
      </c>
      <c r="J79" s="64">
        <v>2.78</v>
      </c>
      <c r="K79" s="64">
        <v>232.44</v>
      </c>
      <c r="L79" s="64">
        <v>20.47</v>
      </c>
      <c r="M79" s="64">
        <v>86.91</v>
      </c>
      <c r="N79" s="64">
        <v>110.5</v>
      </c>
      <c r="O79" s="64">
        <v>0</v>
      </c>
      <c r="P79" s="64">
        <v>1.74</v>
      </c>
      <c r="Q79" s="64">
        <v>8.2100000000000009</v>
      </c>
      <c r="R79" s="198"/>
      <c r="S79" s="198"/>
      <c r="T79" s="198"/>
      <c r="U79" s="198"/>
    </row>
    <row r="80" spans="1:21" s="12" customFormat="1" x14ac:dyDescent="0.25">
      <c r="A80" s="215" t="s">
        <v>991</v>
      </c>
      <c r="B80" s="64">
        <v>10.63</v>
      </c>
      <c r="C80" s="64">
        <v>53.41</v>
      </c>
      <c r="D80" s="64">
        <v>35.06</v>
      </c>
      <c r="E80" s="64">
        <v>7.3</v>
      </c>
      <c r="F80" s="64">
        <v>4.3</v>
      </c>
      <c r="G80" s="64">
        <v>97.46</v>
      </c>
      <c r="H80" s="64">
        <v>62.11</v>
      </c>
      <c r="I80" s="64">
        <v>9.91</v>
      </c>
      <c r="J80" s="64">
        <v>1.85</v>
      </c>
      <c r="K80" s="64">
        <v>280.08</v>
      </c>
      <c r="L80" s="64">
        <v>20.12</v>
      </c>
      <c r="M80" s="64">
        <v>88.49</v>
      </c>
      <c r="N80" s="64">
        <v>111.4</v>
      </c>
      <c r="O80" s="64">
        <v>0</v>
      </c>
      <c r="P80" s="64">
        <v>2</v>
      </c>
      <c r="Q80" s="64">
        <v>8.2200000000000006</v>
      </c>
      <c r="R80" s="198"/>
      <c r="S80" s="198"/>
      <c r="T80" s="198"/>
      <c r="U80" s="198"/>
    </row>
    <row r="81" spans="1:26" s="12" customFormat="1" x14ac:dyDescent="0.25">
      <c r="A81" s="215" t="s">
        <v>992</v>
      </c>
      <c r="B81" s="64">
        <v>12.92</v>
      </c>
      <c r="C81" s="64">
        <v>53.15</v>
      </c>
      <c r="D81" s="64">
        <v>36.75</v>
      </c>
      <c r="E81" s="64">
        <v>7.94</v>
      </c>
      <c r="F81" s="64">
        <v>4.55</v>
      </c>
      <c r="G81" s="64">
        <v>104.56</v>
      </c>
      <c r="H81" s="64">
        <v>65.41</v>
      </c>
      <c r="I81" s="64">
        <v>8.3800000000000008</v>
      </c>
      <c r="J81" s="64">
        <v>1.43</v>
      </c>
      <c r="K81" s="64">
        <v>259.19</v>
      </c>
      <c r="L81" s="64">
        <v>19.739999999999998</v>
      </c>
      <c r="M81" s="64">
        <v>89.9</v>
      </c>
      <c r="N81" s="64">
        <v>110.3</v>
      </c>
      <c r="O81" s="64">
        <v>0</v>
      </c>
      <c r="P81" s="64">
        <v>1.98</v>
      </c>
      <c r="Q81" s="64">
        <v>8.4</v>
      </c>
      <c r="R81" s="198"/>
      <c r="S81" s="198"/>
      <c r="T81" s="198"/>
      <c r="U81" s="198"/>
    </row>
    <row r="82" spans="1:26" s="12" customFormat="1" x14ac:dyDescent="0.25">
      <c r="A82" s="215" t="s">
        <v>993</v>
      </c>
      <c r="B82" s="64">
        <v>17.21</v>
      </c>
      <c r="C82" s="64">
        <v>52.58</v>
      </c>
      <c r="D82" s="64">
        <v>39.9</v>
      </c>
      <c r="E82" s="64">
        <v>7.85</v>
      </c>
      <c r="F82" s="64">
        <v>4.7699999999999996</v>
      </c>
      <c r="G82" s="64">
        <v>104.56</v>
      </c>
      <c r="H82" s="64">
        <v>65.41</v>
      </c>
      <c r="I82" s="64">
        <v>9.4700000000000006</v>
      </c>
      <c r="J82" s="64">
        <v>2.5299999999999998</v>
      </c>
      <c r="K82" s="64">
        <v>318.88</v>
      </c>
      <c r="L82" s="64">
        <v>19.55</v>
      </c>
      <c r="M82" s="64">
        <v>94.8</v>
      </c>
      <c r="N82" s="64">
        <v>109.9</v>
      </c>
      <c r="O82" s="64">
        <v>0</v>
      </c>
      <c r="P82" s="64">
        <v>2.54</v>
      </c>
      <c r="Q82" s="64">
        <v>8.8000000000000007</v>
      </c>
      <c r="R82" s="198"/>
      <c r="S82" s="198"/>
      <c r="T82" s="198"/>
      <c r="U82" s="198"/>
    </row>
    <row r="83" spans="1:26" s="12" customFormat="1" x14ac:dyDescent="0.25">
      <c r="A83" s="215" t="s">
        <v>994</v>
      </c>
      <c r="B83" s="64">
        <v>21.19</v>
      </c>
      <c r="C83" s="64">
        <v>52.71</v>
      </c>
      <c r="D83" s="64">
        <v>43.16</v>
      </c>
      <c r="E83" s="64">
        <v>8.1</v>
      </c>
      <c r="F83" s="64">
        <v>4.5599999999999996</v>
      </c>
      <c r="G83" s="64">
        <v>104.56</v>
      </c>
      <c r="H83" s="64">
        <v>65.41</v>
      </c>
      <c r="I83" s="64">
        <v>10.34</v>
      </c>
      <c r="J83" s="64">
        <v>1.96</v>
      </c>
      <c r="K83" s="64">
        <v>125.22</v>
      </c>
      <c r="L83" s="64">
        <v>19.149999999999999</v>
      </c>
      <c r="M83" s="64">
        <v>96.33</v>
      </c>
      <c r="N83" s="64">
        <v>110.9</v>
      </c>
      <c r="O83" s="64">
        <v>0</v>
      </c>
      <c r="P83" s="64">
        <v>2.23</v>
      </c>
      <c r="Q83" s="64">
        <v>9.2899999999999991</v>
      </c>
      <c r="R83" s="198"/>
      <c r="S83" s="198"/>
      <c r="T83" s="198"/>
      <c r="U83" s="198"/>
    </row>
    <row r="84" spans="1:26" s="12" customFormat="1" x14ac:dyDescent="0.25">
      <c r="A84" s="215" t="s">
        <v>995</v>
      </c>
      <c r="B84" s="64">
        <v>26.4</v>
      </c>
      <c r="C84" s="64">
        <v>55.4</v>
      </c>
      <c r="D84" s="64">
        <v>48.74</v>
      </c>
      <c r="E84" s="64">
        <v>8.08</v>
      </c>
      <c r="F84" s="64">
        <v>4.82</v>
      </c>
      <c r="G84" s="64">
        <v>124.49</v>
      </c>
      <c r="H84" s="64">
        <v>69.88</v>
      </c>
      <c r="I84" s="64">
        <v>13.46</v>
      </c>
      <c r="J84" s="64">
        <v>2.84</v>
      </c>
      <c r="K84" s="64">
        <v>112.5</v>
      </c>
      <c r="L84" s="64">
        <v>18.899999999999999</v>
      </c>
      <c r="M84" s="64">
        <v>97.6</v>
      </c>
      <c r="N84" s="64">
        <v>111.7</v>
      </c>
      <c r="O84" s="64">
        <v>0</v>
      </c>
      <c r="P84" s="64">
        <v>1.77</v>
      </c>
      <c r="Q84" s="64">
        <v>9.91</v>
      </c>
      <c r="R84" s="198"/>
      <c r="S84" s="198"/>
      <c r="T84" s="198"/>
      <c r="U84" s="198"/>
    </row>
    <row r="85" spans="1:26" s="12" customFormat="1" x14ac:dyDescent="0.25">
      <c r="A85" s="215" t="s">
        <v>996</v>
      </c>
      <c r="B85" s="64">
        <v>34.24</v>
      </c>
      <c r="C85" s="64">
        <v>49.55</v>
      </c>
      <c r="D85" s="64">
        <v>51.97</v>
      </c>
      <c r="E85" s="64">
        <v>9.0299999999999994</v>
      </c>
      <c r="F85" s="64">
        <v>4.71</v>
      </c>
      <c r="G85" s="64">
        <v>139.72</v>
      </c>
      <c r="H85" s="64">
        <v>71.41</v>
      </c>
      <c r="I85" s="64">
        <v>11.67</v>
      </c>
      <c r="J85" s="64">
        <v>1.82</v>
      </c>
      <c r="K85" s="64">
        <v>211.2</v>
      </c>
      <c r="L85" s="64">
        <v>18.829999999999998</v>
      </c>
      <c r="M85" s="64">
        <v>95.76</v>
      </c>
      <c r="N85" s="64">
        <v>111.4</v>
      </c>
      <c r="O85" s="64">
        <v>0</v>
      </c>
      <c r="P85" s="64">
        <v>1.85</v>
      </c>
      <c r="Q85" s="64">
        <v>10.3</v>
      </c>
      <c r="R85" s="198"/>
      <c r="S85" s="198"/>
      <c r="T85" s="198"/>
      <c r="U85" s="198"/>
    </row>
    <row r="86" spans="1:26" s="12" customFormat="1" x14ac:dyDescent="0.25">
      <c r="A86" s="215" t="s">
        <v>997</v>
      </c>
      <c r="B86" s="64">
        <v>39.909999999999997</v>
      </c>
      <c r="C86" s="64">
        <v>52.98</v>
      </c>
      <c r="D86" s="64">
        <v>58.31</v>
      </c>
      <c r="E86" s="64">
        <v>9.1999999999999993</v>
      </c>
      <c r="F86" s="64">
        <v>5.35</v>
      </c>
      <c r="G86" s="64">
        <v>139.72</v>
      </c>
      <c r="H86" s="64">
        <v>71.41</v>
      </c>
      <c r="I86" s="64">
        <v>10.78</v>
      </c>
      <c r="J86" s="64">
        <v>2.52</v>
      </c>
      <c r="K86" s="64">
        <v>339.16</v>
      </c>
      <c r="L86" s="64">
        <v>18.78</v>
      </c>
      <c r="M86" s="64">
        <v>98.48</v>
      </c>
      <c r="N86" s="64">
        <v>111.5</v>
      </c>
      <c r="O86" s="64">
        <v>0</v>
      </c>
      <c r="P86" s="64">
        <v>1.82</v>
      </c>
      <c r="Q86" s="64">
        <v>10.27</v>
      </c>
      <c r="R86" s="198"/>
      <c r="S86" s="198"/>
      <c r="T86" s="198"/>
      <c r="U86" s="198"/>
    </row>
    <row r="87" spans="1:26" s="12" customFormat="1" x14ac:dyDescent="0.25">
      <c r="A87" s="215" t="s">
        <v>998</v>
      </c>
      <c r="B87" s="64">
        <v>45.83</v>
      </c>
      <c r="C87" s="64">
        <v>51.94</v>
      </c>
      <c r="D87" s="64">
        <v>62.52</v>
      </c>
      <c r="E87" s="64">
        <v>9.86</v>
      </c>
      <c r="F87" s="64">
        <v>4.32</v>
      </c>
      <c r="G87" s="64">
        <v>139.72</v>
      </c>
      <c r="H87" s="64">
        <v>71.41</v>
      </c>
      <c r="I87" s="64">
        <v>10.54</v>
      </c>
      <c r="J87" s="64">
        <v>1.86</v>
      </c>
      <c r="K87" s="64">
        <v>338.58</v>
      </c>
      <c r="L87" s="64">
        <v>18.510000000000002</v>
      </c>
      <c r="M87" s="64">
        <v>98.76</v>
      </c>
      <c r="N87" s="64">
        <v>110.7</v>
      </c>
      <c r="O87" s="64">
        <v>0</v>
      </c>
      <c r="P87" s="64">
        <v>2.5499999999999998</v>
      </c>
      <c r="Q87" s="64">
        <v>10.4</v>
      </c>
      <c r="R87" s="198"/>
      <c r="S87" s="198"/>
      <c r="T87" s="198"/>
      <c r="U87" s="198"/>
    </row>
    <row r="88" spans="1:26" s="12" customFormat="1" x14ac:dyDescent="0.25">
      <c r="A88" s="215" t="s">
        <v>999</v>
      </c>
      <c r="B88" s="64">
        <v>51.42</v>
      </c>
      <c r="C88" s="64">
        <v>51.76</v>
      </c>
      <c r="D88" s="64">
        <v>66.91</v>
      </c>
      <c r="E88" s="64">
        <v>10.24</v>
      </c>
      <c r="F88" s="64">
        <v>5.15</v>
      </c>
      <c r="G88" s="64">
        <v>149.43</v>
      </c>
      <c r="H88" s="64">
        <v>80.5</v>
      </c>
      <c r="I88" s="64">
        <v>11.39</v>
      </c>
      <c r="J88" s="64">
        <v>2.35</v>
      </c>
      <c r="K88" s="64">
        <v>313.41000000000003</v>
      </c>
      <c r="L88" s="64">
        <v>18.37</v>
      </c>
      <c r="M88" s="64">
        <v>101.03</v>
      </c>
      <c r="N88" s="64">
        <v>111.7</v>
      </c>
      <c r="O88" s="64">
        <v>0</v>
      </c>
      <c r="P88" s="64">
        <v>1.91</v>
      </c>
      <c r="Q88" s="64">
        <v>10.4</v>
      </c>
      <c r="R88" s="198"/>
      <c r="S88" s="198"/>
      <c r="T88" s="198"/>
      <c r="U88" s="198"/>
    </row>
    <row r="89" spans="1:26" s="12" customFormat="1" x14ac:dyDescent="0.25">
      <c r="A89" s="215" t="s">
        <v>1000</v>
      </c>
      <c r="B89" s="64">
        <v>56.95</v>
      </c>
      <c r="C89" s="64">
        <v>53.39</v>
      </c>
      <c r="D89" s="64">
        <v>72.19</v>
      </c>
      <c r="E89" s="64">
        <v>10.32</v>
      </c>
      <c r="F89" s="64">
        <v>3.98</v>
      </c>
      <c r="G89" s="64">
        <v>156.86000000000001</v>
      </c>
      <c r="H89" s="64">
        <v>83.59</v>
      </c>
      <c r="I89" s="64">
        <v>12.53</v>
      </c>
      <c r="J89" s="64">
        <v>2.61</v>
      </c>
      <c r="K89" s="64">
        <v>292.86</v>
      </c>
      <c r="L89" s="64">
        <v>18.170000000000002</v>
      </c>
      <c r="M89" s="64">
        <v>101.3</v>
      </c>
      <c r="N89" s="64">
        <v>111.4</v>
      </c>
      <c r="O89" s="64">
        <v>0</v>
      </c>
      <c r="P89" s="64">
        <v>2.4500000000000002</v>
      </c>
      <c r="Q89" s="64">
        <v>10.54</v>
      </c>
      <c r="R89" s="198"/>
      <c r="S89" s="198"/>
      <c r="T89" s="198"/>
      <c r="U89" s="198"/>
    </row>
    <row r="90" spans="1:26" s="12" customFormat="1" x14ac:dyDescent="0.25">
      <c r="A90" s="215" t="s">
        <v>1001</v>
      </c>
      <c r="B90" s="64">
        <v>61.43</v>
      </c>
      <c r="C90" s="64">
        <v>51.74</v>
      </c>
      <c r="D90" s="64">
        <v>74.91</v>
      </c>
      <c r="E90" s="64">
        <v>10.42</v>
      </c>
      <c r="F90" s="64">
        <v>4.8899999999999997</v>
      </c>
      <c r="G90" s="64">
        <v>156.86000000000001</v>
      </c>
      <c r="H90" s="64">
        <v>83.59</v>
      </c>
      <c r="I90" s="64">
        <v>11.66</v>
      </c>
      <c r="J90" s="64">
        <v>2.1800000000000002</v>
      </c>
      <c r="K90" s="64">
        <v>107.2</v>
      </c>
      <c r="L90" s="64">
        <v>18.149999999999999</v>
      </c>
      <c r="M90" s="64">
        <v>101.67</v>
      </c>
      <c r="N90" s="64">
        <v>111.8</v>
      </c>
      <c r="O90" s="64">
        <v>0</v>
      </c>
      <c r="P90" s="64">
        <v>2.16</v>
      </c>
      <c r="Q90" s="64">
        <v>10.5</v>
      </c>
      <c r="R90" s="198"/>
      <c r="S90" s="198"/>
      <c r="T90" s="198"/>
      <c r="U90" s="198"/>
    </row>
    <row r="91" spans="1:26" s="12" customFormat="1" x14ac:dyDescent="0.25">
      <c r="A91" s="215" t="s">
        <v>1002</v>
      </c>
      <c r="B91" s="64">
        <v>68.92</v>
      </c>
      <c r="C91" s="64">
        <v>52.22</v>
      </c>
      <c r="D91" s="64">
        <v>81.180000000000007</v>
      </c>
      <c r="E91" s="64">
        <v>11</v>
      </c>
      <c r="F91" s="64">
        <v>4.33</v>
      </c>
      <c r="G91" s="64">
        <v>156.86000000000001</v>
      </c>
      <c r="H91" s="64">
        <v>83.59</v>
      </c>
      <c r="I91" s="64">
        <v>12.54</v>
      </c>
      <c r="J91" s="64">
        <v>2</v>
      </c>
      <c r="K91" s="64">
        <v>354.63</v>
      </c>
      <c r="L91" s="64">
        <v>18.100000000000001</v>
      </c>
      <c r="M91" s="64">
        <v>102.71</v>
      </c>
      <c r="N91" s="64">
        <v>112.6</v>
      </c>
      <c r="O91" s="64">
        <v>0</v>
      </c>
      <c r="P91" s="64">
        <v>3.25</v>
      </c>
      <c r="Q91" s="64">
        <v>10.69</v>
      </c>
      <c r="R91" s="198"/>
      <c r="S91" s="198"/>
      <c r="T91" s="198"/>
      <c r="U91" s="198"/>
    </row>
    <row r="92" spans="1:26" s="12" customFormat="1" x14ac:dyDescent="0.25">
      <c r="A92" s="215" t="s">
        <v>1003</v>
      </c>
      <c r="B92" s="64">
        <v>77.540000000000006</v>
      </c>
      <c r="C92" s="64">
        <v>47.01</v>
      </c>
      <c r="D92" s="64">
        <v>85.36</v>
      </c>
      <c r="E92" s="64">
        <v>10.95</v>
      </c>
      <c r="F92" s="64">
        <v>5.12</v>
      </c>
      <c r="G92" s="64">
        <v>161.12</v>
      </c>
      <c r="H92" s="64">
        <v>91.22</v>
      </c>
      <c r="I92" s="64">
        <v>12.09</v>
      </c>
      <c r="J92" s="64">
        <v>2.5299999999999998</v>
      </c>
      <c r="K92" s="64">
        <v>310.33</v>
      </c>
      <c r="L92" s="64">
        <v>17.93</v>
      </c>
      <c r="M92" s="64">
        <v>103.36</v>
      </c>
      <c r="N92" s="64">
        <v>115.8</v>
      </c>
      <c r="O92" s="64">
        <v>0</v>
      </c>
      <c r="P92" s="64">
        <v>3</v>
      </c>
      <c r="Q92" s="64">
        <v>10.63</v>
      </c>
      <c r="R92" s="198"/>
      <c r="S92" s="198"/>
      <c r="T92" s="198"/>
      <c r="U92" s="198"/>
    </row>
    <row r="93" spans="1:26" s="12" customFormat="1" x14ac:dyDescent="0.25">
      <c r="A93" s="215" t="s">
        <v>1004</v>
      </c>
      <c r="B93" s="64">
        <v>82.88</v>
      </c>
      <c r="C93" s="64">
        <v>47.29</v>
      </c>
      <c r="D93" s="64">
        <v>89.79</v>
      </c>
      <c r="E93" s="64">
        <v>11.14</v>
      </c>
      <c r="F93" s="64">
        <v>4.87</v>
      </c>
      <c r="G93" s="64">
        <v>164.37</v>
      </c>
      <c r="H93" s="64">
        <v>93.82</v>
      </c>
      <c r="I93" s="64">
        <v>16.16</v>
      </c>
      <c r="J93" s="64">
        <v>2.59</v>
      </c>
      <c r="K93" s="64">
        <v>2.31</v>
      </c>
      <c r="L93" s="64">
        <v>17.86</v>
      </c>
      <c r="M93" s="64">
        <v>103.39</v>
      </c>
      <c r="N93" s="64">
        <v>114</v>
      </c>
      <c r="O93" s="64">
        <v>0</v>
      </c>
      <c r="P93" s="64">
        <v>2.94</v>
      </c>
      <c r="Q93" s="64">
        <v>10.58</v>
      </c>
      <c r="R93" s="198"/>
      <c r="S93" s="198"/>
      <c r="T93" s="198"/>
      <c r="U93" s="198"/>
    </row>
    <row r="94" spans="1:26" s="12" customFormat="1" x14ac:dyDescent="0.25">
      <c r="A94" s="215" t="s">
        <v>1005</v>
      </c>
      <c r="B94" s="64">
        <v>87.46</v>
      </c>
      <c r="C94" s="64">
        <v>46.8</v>
      </c>
      <c r="D94" s="64">
        <v>93.21</v>
      </c>
      <c r="E94" s="64">
        <v>11.07</v>
      </c>
      <c r="F94" s="64">
        <v>4.66</v>
      </c>
      <c r="G94" s="64">
        <v>164.37</v>
      </c>
      <c r="H94" s="64">
        <v>93.82</v>
      </c>
      <c r="I94" s="64">
        <v>15.45</v>
      </c>
      <c r="J94" s="64">
        <v>2.23</v>
      </c>
      <c r="K94" s="64">
        <v>240.19</v>
      </c>
      <c r="L94" s="64">
        <v>18.059999999999999</v>
      </c>
      <c r="M94" s="64">
        <v>102.64</v>
      </c>
      <c r="N94" s="64">
        <v>112.6</v>
      </c>
      <c r="O94" s="64">
        <v>0</v>
      </c>
      <c r="P94" s="64">
        <v>3.07</v>
      </c>
      <c r="Q94" s="64">
        <v>10.6</v>
      </c>
      <c r="R94" s="198"/>
      <c r="S94" s="198"/>
      <c r="T94" s="198"/>
      <c r="U94" s="198"/>
    </row>
    <row r="95" spans="1:26" s="12" customFormat="1" x14ac:dyDescent="0.25">
      <c r="A95" s="215" t="s">
        <v>1006</v>
      </c>
      <c r="B95" s="64">
        <v>90.94</v>
      </c>
      <c r="C95" s="64">
        <v>47.2</v>
      </c>
      <c r="D95" s="64">
        <v>96.21</v>
      </c>
      <c r="E95" s="64">
        <v>10.95</v>
      </c>
      <c r="F95" s="64">
        <v>4.71</v>
      </c>
      <c r="G95" s="64">
        <v>164.37</v>
      </c>
      <c r="H95" s="64">
        <v>93.82</v>
      </c>
      <c r="I95" s="64">
        <v>15.55</v>
      </c>
      <c r="J95" s="64">
        <v>1.55</v>
      </c>
      <c r="K95" s="64">
        <v>290.24</v>
      </c>
      <c r="L95" s="64">
        <v>18.239999999999998</v>
      </c>
      <c r="M95" s="64">
        <v>102.63</v>
      </c>
      <c r="N95" s="64">
        <v>114</v>
      </c>
      <c r="O95" s="64">
        <v>0</v>
      </c>
      <c r="P95" s="64">
        <v>3.06</v>
      </c>
      <c r="Q95" s="64">
        <v>10.66</v>
      </c>
      <c r="R95" s="198"/>
      <c r="S95" s="198"/>
      <c r="T95" s="198"/>
      <c r="U95" s="198"/>
    </row>
    <row r="96" spans="1:26" s="12" customFormat="1" x14ac:dyDescent="0.25">
      <c r="A96" s="215" t="s">
        <v>1007</v>
      </c>
      <c r="B96" s="64">
        <v>94.01</v>
      </c>
      <c r="C96" s="64">
        <v>46.82</v>
      </c>
      <c r="D96" s="64">
        <v>98.47</v>
      </c>
      <c r="E96" s="64">
        <v>10.72</v>
      </c>
      <c r="F96" s="64">
        <v>4.82</v>
      </c>
      <c r="G96" s="64">
        <v>174.18</v>
      </c>
      <c r="H96" s="64">
        <v>92.81</v>
      </c>
      <c r="I96" s="64">
        <v>17.62</v>
      </c>
      <c r="J96" s="64">
        <v>1.83</v>
      </c>
      <c r="K96" s="64">
        <v>343.91</v>
      </c>
      <c r="L96" s="64">
        <v>18.52</v>
      </c>
      <c r="M96" s="64">
        <v>99.98</v>
      </c>
      <c r="N96" s="64">
        <v>114</v>
      </c>
      <c r="O96" s="64">
        <v>0</v>
      </c>
      <c r="P96" s="64">
        <v>2.85</v>
      </c>
      <c r="Q96" s="64">
        <v>10.73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1008</v>
      </c>
      <c r="B97" s="64">
        <v>94.77</v>
      </c>
      <c r="C97" s="64">
        <v>46.74</v>
      </c>
      <c r="D97" s="64">
        <v>99.04</v>
      </c>
      <c r="E97" s="64">
        <v>10.61</v>
      </c>
      <c r="F97" s="64">
        <v>4.5</v>
      </c>
      <c r="G97" s="64">
        <v>181.68</v>
      </c>
      <c r="H97" s="64">
        <v>92.1</v>
      </c>
      <c r="I97" s="64">
        <v>18.13</v>
      </c>
      <c r="J97" s="64">
        <v>0.68</v>
      </c>
      <c r="K97" s="64">
        <v>76.989999999999995</v>
      </c>
      <c r="L97" s="64">
        <v>18.78</v>
      </c>
      <c r="M97" s="64">
        <v>95.6</v>
      </c>
      <c r="N97" s="64">
        <v>113.8</v>
      </c>
      <c r="O97" s="64">
        <v>0</v>
      </c>
      <c r="P97" s="64">
        <v>1.92</v>
      </c>
      <c r="Q97" s="64">
        <v>10.76</v>
      </c>
      <c r="R97" s="198"/>
      <c r="S97" s="198"/>
      <c r="T97" s="198"/>
      <c r="U97" s="198"/>
    </row>
    <row r="98" spans="1:33" s="12" customFormat="1" x14ac:dyDescent="0.25">
      <c r="A98" s="215" t="s">
        <v>1009</v>
      </c>
      <c r="B98" s="64">
        <v>92.49</v>
      </c>
      <c r="C98" s="64">
        <v>45.21</v>
      </c>
      <c r="D98" s="64">
        <v>96.41</v>
      </c>
      <c r="E98" s="64">
        <v>10.17</v>
      </c>
      <c r="F98" s="64">
        <v>4.78</v>
      </c>
      <c r="G98" s="64">
        <v>181.68</v>
      </c>
      <c r="H98" s="64">
        <v>92.1</v>
      </c>
      <c r="I98" s="64">
        <v>14.08</v>
      </c>
      <c r="J98" s="64">
        <v>2.77</v>
      </c>
      <c r="K98" s="64">
        <v>134.55000000000001</v>
      </c>
      <c r="L98" s="64">
        <v>18.86</v>
      </c>
      <c r="M98" s="64">
        <v>95.67</v>
      </c>
      <c r="N98" s="64">
        <v>114.2</v>
      </c>
      <c r="O98" s="64">
        <v>0</v>
      </c>
      <c r="P98" s="64">
        <v>2.12</v>
      </c>
      <c r="Q98" s="64">
        <v>10.76</v>
      </c>
      <c r="R98" s="198"/>
      <c r="S98" s="198"/>
      <c r="T98" s="198"/>
      <c r="U98" s="198"/>
    </row>
    <row r="99" spans="1:33" s="12" customFormat="1" x14ac:dyDescent="0.25">
      <c r="A99" s="215" t="s">
        <v>1010</v>
      </c>
      <c r="B99" s="64">
        <v>89.53</v>
      </c>
      <c r="C99" s="64">
        <v>44.56</v>
      </c>
      <c r="D99" s="64">
        <v>93.7</v>
      </c>
      <c r="E99" s="64">
        <v>9.68</v>
      </c>
      <c r="F99" s="64">
        <v>4.72</v>
      </c>
      <c r="G99" s="64">
        <v>181.68</v>
      </c>
      <c r="H99" s="64">
        <v>92.1</v>
      </c>
      <c r="I99" s="64">
        <v>11.52</v>
      </c>
      <c r="J99" s="64">
        <v>2.11</v>
      </c>
      <c r="K99" s="64">
        <v>165.95</v>
      </c>
      <c r="L99" s="64">
        <v>18.79</v>
      </c>
      <c r="M99" s="64">
        <v>97.21</v>
      </c>
      <c r="N99" s="64">
        <v>114.5</v>
      </c>
      <c r="O99" s="64">
        <v>0</v>
      </c>
      <c r="P99" s="64">
        <v>2.02</v>
      </c>
      <c r="Q99" s="64">
        <v>10.77</v>
      </c>
      <c r="R99" s="198"/>
      <c r="S99" s="198"/>
      <c r="T99" s="198"/>
      <c r="U99" s="198"/>
    </row>
    <row r="100" spans="1:33" s="12" customFormat="1" x14ac:dyDescent="0.25">
      <c r="A100" s="215" t="s">
        <v>1011</v>
      </c>
      <c r="B100" s="64">
        <v>86.14</v>
      </c>
      <c r="C100" s="64">
        <v>44.59</v>
      </c>
      <c r="D100" s="64">
        <v>91</v>
      </c>
      <c r="E100" s="64">
        <v>8.65</v>
      </c>
      <c r="F100" s="64">
        <v>4.97</v>
      </c>
      <c r="G100" s="64">
        <v>160.66999999999999</v>
      </c>
      <c r="H100" s="64">
        <v>79.37</v>
      </c>
      <c r="I100" s="64">
        <v>10.1</v>
      </c>
      <c r="J100" s="64">
        <v>2.5</v>
      </c>
      <c r="K100" s="64">
        <v>144.97</v>
      </c>
      <c r="L100" s="64">
        <v>18.54</v>
      </c>
      <c r="M100" s="64">
        <v>99.19</v>
      </c>
      <c r="N100" s="64">
        <v>115</v>
      </c>
      <c r="O100" s="64">
        <v>0</v>
      </c>
      <c r="P100" s="64">
        <v>2.4500000000000002</v>
      </c>
      <c r="Q100" s="64">
        <v>10.73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1012</v>
      </c>
      <c r="B101" s="64">
        <v>82.24</v>
      </c>
      <c r="C101" s="64">
        <v>46.42</v>
      </c>
      <c r="D101" s="64">
        <v>88.83</v>
      </c>
      <c r="E101" s="64">
        <v>8.81</v>
      </c>
      <c r="F101" s="64">
        <v>4.47</v>
      </c>
      <c r="G101" s="64">
        <v>144.61000000000001</v>
      </c>
      <c r="H101" s="64">
        <v>75.05</v>
      </c>
      <c r="I101" s="64">
        <v>10.72</v>
      </c>
      <c r="J101" s="64">
        <v>2.42</v>
      </c>
      <c r="K101" s="64">
        <v>150.27000000000001</v>
      </c>
      <c r="L101" s="64">
        <v>18.329999999999998</v>
      </c>
      <c r="M101" s="64">
        <v>101.19</v>
      </c>
      <c r="N101" s="64">
        <v>115.7</v>
      </c>
      <c r="O101" s="64">
        <v>0</v>
      </c>
      <c r="P101" s="64">
        <v>2.34</v>
      </c>
      <c r="Q101" s="64">
        <v>10.69</v>
      </c>
      <c r="R101" s="198"/>
      <c r="S101" s="198"/>
      <c r="T101" s="198"/>
      <c r="U101" s="198"/>
    </row>
    <row r="102" spans="1:33" s="12" customFormat="1" x14ac:dyDescent="0.25">
      <c r="A102" s="215" t="s">
        <v>1013</v>
      </c>
      <c r="B102" s="64">
        <v>77.900000000000006</v>
      </c>
      <c r="C102" s="64">
        <v>37.93</v>
      </c>
      <c r="D102" s="64">
        <v>80.91</v>
      </c>
      <c r="E102" s="64">
        <v>8.44</v>
      </c>
      <c r="F102" s="64">
        <v>4.57</v>
      </c>
      <c r="G102" s="64">
        <v>144.61000000000001</v>
      </c>
      <c r="H102" s="64">
        <v>75.05</v>
      </c>
      <c r="I102" s="64">
        <v>13.09</v>
      </c>
      <c r="J102" s="64">
        <v>2.87</v>
      </c>
      <c r="K102" s="64">
        <v>151.62</v>
      </c>
      <c r="L102" s="64">
        <v>18.190000000000001</v>
      </c>
      <c r="M102" s="64">
        <v>101.94</v>
      </c>
      <c r="N102" s="64">
        <v>115.7</v>
      </c>
      <c r="O102" s="64">
        <v>0</v>
      </c>
      <c r="P102" s="64">
        <v>2.23</v>
      </c>
      <c r="Q102" s="64">
        <v>10.56</v>
      </c>
      <c r="R102" s="198"/>
      <c r="S102" s="198"/>
      <c r="T102" s="198"/>
      <c r="U102" s="198"/>
    </row>
    <row r="103" spans="1:33" s="12" customFormat="1" x14ac:dyDescent="0.25">
      <c r="A103" s="215" t="s">
        <v>1014</v>
      </c>
      <c r="B103" s="64">
        <v>72.709999999999994</v>
      </c>
      <c r="C103" s="64">
        <v>43.82</v>
      </c>
      <c r="D103" s="64">
        <v>79.83</v>
      </c>
      <c r="E103" s="64">
        <v>7.9</v>
      </c>
      <c r="F103" s="64">
        <v>4.4400000000000004</v>
      </c>
      <c r="G103" s="64">
        <v>144.61000000000001</v>
      </c>
      <c r="H103" s="64">
        <v>75.05</v>
      </c>
      <c r="I103" s="64">
        <v>12.86</v>
      </c>
      <c r="J103" s="64">
        <v>3.14</v>
      </c>
      <c r="K103" s="64">
        <v>146.49</v>
      </c>
      <c r="L103" s="64">
        <v>18.11</v>
      </c>
      <c r="M103" s="64">
        <v>101.09</v>
      </c>
      <c r="N103" s="64">
        <v>116.8</v>
      </c>
      <c r="O103" s="64">
        <v>0</v>
      </c>
      <c r="P103" s="64">
        <v>2.16</v>
      </c>
      <c r="Q103" s="64">
        <v>10.5</v>
      </c>
      <c r="R103" s="198"/>
      <c r="S103" s="198"/>
      <c r="T103" s="198"/>
      <c r="U103" s="198"/>
    </row>
    <row r="104" spans="1:33" s="12" customFormat="1" x14ac:dyDescent="0.25">
      <c r="A104" s="215" t="s">
        <v>1015</v>
      </c>
      <c r="B104" s="64">
        <v>68.540000000000006</v>
      </c>
      <c r="C104" s="64">
        <v>39.17</v>
      </c>
      <c r="D104" s="64">
        <v>74.05</v>
      </c>
      <c r="E104" s="64">
        <v>6.65</v>
      </c>
      <c r="F104" s="64">
        <v>4.2300000000000004</v>
      </c>
      <c r="G104" s="64">
        <v>119.9</v>
      </c>
      <c r="H104" s="64">
        <v>63.25</v>
      </c>
      <c r="I104" s="64">
        <v>12.34</v>
      </c>
      <c r="J104" s="64">
        <v>3.37</v>
      </c>
      <c r="K104" s="64">
        <v>144.05000000000001</v>
      </c>
      <c r="L104" s="64">
        <v>18.03</v>
      </c>
      <c r="M104" s="64">
        <v>101.25</v>
      </c>
      <c r="N104" s="64">
        <v>117.8</v>
      </c>
      <c r="O104" s="64">
        <v>0</v>
      </c>
      <c r="P104" s="64">
        <v>2.0499999999999998</v>
      </c>
      <c r="Q104" s="64">
        <v>10.44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3.17</v>
      </c>
      <c r="C106" s="67">
        <f>MIN(C9:C104)</f>
        <v>37.54</v>
      </c>
      <c r="D106" s="67">
        <f t="shared" ref="D106:Q106" si="0">MIN(D9:D104)</f>
        <v>21.94</v>
      </c>
      <c r="E106" s="67">
        <f t="shared" si="0"/>
        <v>3.73</v>
      </c>
      <c r="F106" s="67">
        <f t="shared" si="0"/>
        <v>3.32</v>
      </c>
      <c r="G106" s="67">
        <f t="shared" si="0"/>
        <v>56.01</v>
      </c>
      <c r="H106" s="67">
        <f t="shared" si="0"/>
        <v>5.36</v>
      </c>
      <c r="I106" s="67">
        <f t="shared" si="0"/>
        <v>3.72</v>
      </c>
      <c r="J106" s="67">
        <f t="shared" si="0"/>
        <v>0.25</v>
      </c>
      <c r="K106" s="67">
        <f t="shared" si="0"/>
        <v>2.31</v>
      </c>
      <c r="L106" s="67">
        <f t="shared" si="0"/>
        <v>15.04</v>
      </c>
      <c r="M106" s="67">
        <f t="shared" si="0"/>
        <v>51.71</v>
      </c>
      <c r="N106" s="67">
        <f t="shared" si="0"/>
        <v>90.2</v>
      </c>
      <c r="O106" s="67">
        <f t="shared" si="0"/>
        <v>0</v>
      </c>
      <c r="P106" s="67">
        <f t="shared" si="0"/>
        <v>0.65</v>
      </c>
      <c r="Q106" s="67">
        <f t="shared" si="0"/>
        <v>8.2100000000000009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94.77</v>
      </c>
      <c r="C107" s="66">
        <f t="shared" ref="C107:Q107" si="1">MAX(C9:C104)</f>
        <v>55.4</v>
      </c>
      <c r="D107" s="66">
        <f t="shared" si="1"/>
        <v>99.04</v>
      </c>
      <c r="E107" s="66">
        <f t="shared" si="1"/>
        <v>11.14</v>
      </c>
      <c r="F107" s="66">
        <f t="shared" si="1"/>
        <v>6.57</v>
      </c>
      <c r="G107" s="66">
        <f t="shared" si="1"/>
        <v>181.68</v>
      </c>
      <c r="H107" s="66">
        <f t="shared" si="1"/>
        <v>93.82</v>
      </c>
      <c r="I107" s="66">
        <f t="shared" si="1"/>
        <v>18.13</v>
      </c>
      <c r="J107" s="66">
        <f t="shared" si="1"/>
        <v>3.89</v>
      </c>
      <c r="K107" s="66">
        <f t="shared" si="1"/>
        <v>355.53</v>
      </c>
      <c r="L107" s="66">
        <f t="shared" si="1"/>
        <v>26.34</v>
      </c>
      <c r="M107" s="66">
        <f t="shared" si="1"/>
        <v>103.39</v>
      </c>
      <c r="N107" s="66">
        <f t="shared" si="1"/>
        <v>662.7</v>
      </c>
      <c r="O107" s="66">
        <f t="shared" si="1"/>
        <v>0</v>
      </c>
      <c r="P107" s="66">
        <f t="shared" si="1"/>
        <v>3.25</v>
      </c>
      <c r="Q107" s="66">
        <f t="shared" si="1"/>
        <v>10.77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22.069270833333334</v>
      </c>
      <c r="C108" s="67">
        <f t="shared" ref="C108:Q108" si="2">AVERAGE(C9:C104)</f>
        <v>44.319166666666661</v>
      </c>
      <c r="D108" s="67">
        <f t="shared" si="2"/>
        <v>39.476354166666646</v>
      </c>
      <c r="E108" s="67">
        <f t="shared" si="2"/>
        <v>6.5712499999999983</v>
      </c>
      <c r="F108" s="67">
        <f t="shared" si="2"/>
        <v>4.5208333333333339</v>
      </c>
      <c r="G108" s="67">
        <f t="shared" si="2"/>
        <v>90.439791666666693</v>
      </c>
      <c r="H108" s="67">
        <f t="shared" si="2"/>
        <v>49.519270833333373</v>
      </c>
      <c r="I108" s="67">
        <f t="shared" si="2"/>
        <v>8.0209375000000005</v>
      </c>
      <c r="J108" s="67">
        <f t="shared" si="2"/>
        <v>2.2657291666666661</v>
      </c>
      <c r="K108" s="67">
        <f t="shared" si="2"/>
        <v>204.40333333333345</v>
      </c>
      <c r="L108" s="67">
        <f t="shared" si="2"/>
        <v>19.209895833333324</v>
      </c>
      <c r="M108" s="67">
        <f t="shared" si="2"/>
        <v>82.182291666666671</v>
      </c>
      <c r="N108" s="67">
        <f t="shared" si="2"/>
        <v>197.4760416666667</v>
      </c>
      <c r="O108" s="67">
        <f t="shared" si="2"/>
        <v>0</v>
      </c>
      <c r="P108" s="67">
        <f t="shared" si="2"/>
        <v>1.1874999999999998</v>
      </c>
      <c r="Q108" s="67">
        <f t="shared" si="2"/>
        <v>8.7399999999999967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27.754715606723259</v>
      </c>
      <c r="C109" s="67">
        <f t="shared" ref="C109:Q109" si="3">STDEV(C9:C104)</f>
        <v>4.9796837072812474</v>
      </c>
      <c r="D109" s="67">
        <f t="shared" si="3"/>
        <v>23.017870820175787</v>
      </c>
      <c r="E109" s="67">
        <f t="shared" si="3"/>
        <v>2.0805769695725784</v>
      </c>
      <c r="F109" s="67">
        <f t="shared" si="3"/>
        <v>0.53820103202909786</v>
      </c>
      <c r="G109" s="67">
        <f t="shared" si="3"/>
        <v>36.252530858415163</v>
      </c>
      <c r="H109" s="67">
        <f t="shared" si="3"/>
        <v>23.369226919843452</v>
      </c>
      <c r="I109" s="67">
        <f t="shared" si="3"/>
        <v>3.0893603760155175</v>
      </c>
      <c r="J109" s="67">
        <f t="shared" si="3"/>
        <v>0.81163220188725405</v>
      </c>
      <c r="K109" s="67">
        <f t="shared" si="3"/>
        <v>119.63308452506942</v>
      </c>
      <c r="L109" s="67">
        <f t="shared" si="3"/>
        <v>3.4158813287632421</v>
      </c>
      <c r="M109" s="67">
        <f t="shared" si="3"/>
        <v>14.384862766055388</v>
      </c>
      <c r="N109" s="67">
        <f t="shared" si="3"/>
        <v>145.71249684136762</v>
      </c>
      <c r="O109" s="67">
        <f t="shared" si="3"/>
        <v>0</v>
      </c>
      <c r="P109" s="67">
        <f t="shared" si="3"/>
        <v>0.76960687161829933</v>
      </c>
      <c r="Q109" s="67">
        <f t="shared" si="3"/>
        <v>0.97245646635077221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4" sqref="G12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247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09/12/2024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231</v>
      </c>
      <c r="C7" s="198" t="s">
        <v>232</v>
      </c>
      <c r="D7" s="198" t="s">
        <v>233</v>
      </c>
      <c r="E7" s="198" t="s">
        <v>234</v>
      </c>
      <c r="F7" s="198" t="s">
        <v>235</v>
      </c>
      <c r="G7" s="198" t="s">
        <v>236</v>
      </c>
      <c r="H7" s="198" t="s">
        <v>237</v>
      </c>
      <c r="I7" s="198" t="s">
        <v>238</v>
      </c>
      <c r="J7" s="198" t="s">
        <v>239</v>
      </c>
      <c r="K7" s="198" t="s">
        <v>240</v>
      </c>
      <c r="L7" s="198" t="s">
        <v>241</v>
      </c>
      <c r="M7" s="198" t="s">
        <v>242</v>
      </c>
      <c r="N7" s="198" t="s">
        <v>243</v>
      </c>
      <c r="O7" s="198" t="s">
        <v>244</v>
      </c>
      <c r="P7" s="198" t="s">
        <v>245</v>
      </c>
      <c r="Q7" s="198" t="s">
        <v>246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1016</v>
      </c>
      <c r="B9" s="64">
        <v>64.099999999999994</v>
      </c>
      <c r="C9" s="64">
        <v>42.94</v>
      </c>
      <c r="D9" s="64">
        <v>72.459999999999994</v>
      </c>
      <c r="E9" s="64">
        <v>6.73</v>
      </c>
      <c r="F9" s="64">
        <v>3.87</v>
      </c>
      <c r="G9" s="64">
        <v>101</v>
      </c>
      <c r="H9" s="64">
        <v>59.25</v>
      </c>
      <c r="I9" s="64">
        <v>12.08</v>
      </c>
      <c r="J9" s="64">
        <v>2.92</v>
      </c>
      <c r="K9" s="64">
        <v>141.94999999999999</v>
      </c>
      <c r="L9" s="64">
        <v>17.86</v>
      </c>
      <c r="M9" s="64">
        <v>101.93</v>
      </c>
      <c r="N9" s="64">
        <v>118.7</v>
      </c>
      <c r="O9" s="64">
        <v>0</v>
      </c>
      <c r="P9" s="64">
        <v>1.98</v>
      </c>
      <c r="Q9" s="64">
        <v>10.39</v>
      </c>
      <c r="R9" s="198"/>
      <c r="S9" s="198"/>
      <c r="T9" s="198"/>
      <c r="U9" s="198"/>
    </row>
    <row r="10" spans="1:21" s="12" customFormat="1" x14ac:dyDescent="0.25">
      <c r="A10" s="215" t="s">
        <v>1017</v>
      </c>
      <c r="B10" s="64">
        <v>60.33</v>
      </c>
      <c r="C10" s="64">
        <v>36.36</v>
      </c>
      <c r="D10" s="64">
        <v>66</v>
      </c>
      <c r="E10" s="64">
        <v>6.41</v>
      </c>
      <c r="F10" s="64">
        <v>4.2300000000000004</v>
      </c>
      <c r="G10" s="64">
        <v>101</v>
      </c>
      <c r="H10" s="64">
        <v>59.25</v>
      </c>
      <c r="I10" s="64">
        <v>11.78</v>
      </c>
      <c r="J10" s="64">
        <v>2.48</v>
      </c>
      <c r="K10" s="64">
        <v>162.63999999999999</v>
      </c>
      <c r="L10" s="64">
        <v>17.73</v>
      </c>
      <c r="M10" s="64">
        <v>102.32</v>
      </c>
      <c r="N10" s="64">
        <v>117.4</v>
      </c>
      <c r="O10" s="64">
        <v>0</v>
      </c>
      <c r="P10" s="64">
        <v>1.88</v>
      </c>
      <c r="Q10" s="64">
        <v>10.3</v>
      </c>
      <c r="R10" s="198"/>
      <c r="S10" s="198"/>
      <c r="T10" s="198"/>
      <c r="U10" s="198"/>
    </row>
    <row r="11" spans="1:21" s="12" customFormat="1" x14ac:dyDescent="0.25">
      <c r="A11" s="215" t="s">
        <v>1018</v>
      </c>
      <c r="B11" s="64">
        <v>56.36</v>
      </c>
      <c r="C11" s="64">
        <v>42.78</v>
      </c>
      <c r="D11" s="64">
        <v>66.180000000000007</v>
      </c>
      <c r="E11" s="64">
        <v>6.32</v>
      </c>
      <c r="F11" s="64">
        <v>4.09</v>
      </c>
      <c r="G11" s="64">
        <v>101</v>
      </c>
      <c r="H11" s="64">
        <v>59.25</v>
      </c>
      <c r="I11" s="64">
        <v>11.45</v>
      </c>
      <c r="J11" s="64">
        <v>2.59</v>
      </c>
      <c r="K11" s="64">
        <v>149.72999999999999</v>
      </c>
      <c r="L11" s="64">
        <v>17.59</v>
      </c>
      <c r="M11" s="64">
        <v>102.85</v>
      </c>
      <c r="N11" s="64">
        <v>118.4</v>
      </c>
      <c r="O11" s="64">
        <v>0</v>
      </c>
      <c r="P11" s="64">
        <v>1.8</v>
      </c>
      <c r="Q11" s="64">
        <v>10.29</v>
      </c>
      <c r="R11" s="198"/>
      <c r="S11" s="198"/>
      <c r="T11" s="198"/>
      <c r="U11" s="198"/>
    </row>
    <row r="12" spans="1:21" s="12" customFormat="1" x14ac:dyDescent="0.25">
      <c r="A12" s="215" t="s">
        <v>1019</v>
      </c>
      <c r="B12" s="64">
        <v>53.14</v>
      </c>
      <c r="C12" s="64">
        <v>38.799999999999997</v>
      </c>
      <c r="D12" s="64">
        <v>61.51</v>
      </c>
      <c r="E12" s="64">
        <v>6.31</v>
      </c>
      <c r="F12" s="64">
        <v>4.29</v>
      </c>
      <c r="G12" s="64">
        <v>85.73</v>
      </c>
      <c r="H12" s="64">
        <v>50.56</v>
      </c>
      <c r="I12" s="64">
        <v>11.27</v>
      </c>
      <c r="J12" s="64">
        <v>0.65</v>
      </c>
      <c r="K12" s="64">
        <v>141.49</v>
      </c>
      <c r="L12" s="64">
        <v>17.45</v>
      </c>
      <c r="M12" s="64">
        <v>103.38</v>
      </c>
      <c r="N12" s="64">
        <v>113.1</v>
      </c>
      <c r="O12" s="64">
        <v>0</v>
      </c>
      <c r="P12" s="64">
        <v>1.71</v>
      </c>
      <c r="Q12" s="64">
        <v>10.27</v>
      </c>
      <c r="R12" s="198"/>
      <c r="S12" s="198"/>
      <c r="T12" s="198"/>
      <c r="U12" s="198"/>
    </row>
    <row r="13" spans="1:21" s="12" customFormat="1" x14ac:dyDescent="0.25">
      <c r="A13" s="215" t="s">
        <v>1020</v>
      </c>
      <c r="B13" s="64">
        <v>50.35</v>
      </c>
      <c r="C13" s="64">
        <v>43.16</v>
      </c>
      <c r="D13" s="64">
        <v>61.55</v>
      </c>
      <c r="E13" s="64">
        <v>6.43</v>
      </c>
      <c r="F13" s="64">
        <v>3.95</v>
      </c>
      <c r="G13" s="64">
        <v>74.06</v>
      </c>
      <c r="H13" s="64">
        <v>47.61</v>
      </c>
      <c r="I13" s="64">
        <v>10.78</v>
      </c>
      <c r="J13" s="64">
        <v>0.83</v>
      </c>
      <c r="K13" s="64">
        <v>77.55</v>
      </c>
      <c r="L13" s="64">
        <v>17.21</v>
      </c>
      <c r="M13" s="64">
        <v>103.39</v>
      </c>
      <c r="N13" s="64">
        <v>108.6</v>
      </c>
      <c r="O13" s="64">
        <v>0</v>
      </c>
      <c r="P13" s="64">
        <v>1.4</v>
      </c>
      <c r="Q13" s="64">
        <v>10.32</v>
      </c>
      <c r="R13" s="198"/>
      <c r="S13" s="198"/>
      <c r="T13" s="198"/>
      <c r="U13" s="198"/>
    </row>
    <row r="14" spans="1:21" s="12" customFormat="1" x14ac:dyDescent="0.25">
      <c r="A14" s="215" t="s">
        <v>1021</v>
      </c>
      <c r="B14" s="64">
        <v>48.5</v>
      </c>
      <c r="C14" s="64">
        <v>35.64</v>
      </c>
      <c r="D14" s="64">
        <v>56.14</v>
      </c>
      <c r="E14" s="64">
        <v>5.86</v>
      </c>
      <c r="F14" s="64">
        <v>3.8</v>
      </c>
      <c r="G14" s="64">
        <v>74.06</v>
      </c>
      <c r="H14" s="64">
        <v>47.61</v>
      </c>
      <c r="I14" s="64">
        <v>10.53</v>
      </c>
      <c r="J14" s="64">
        <v>1.77</v>
      </c>
      <c r="K14" s="64">
        <v>180.62</v>
      </c>
      <c r="L14" s="64">
        <v>16.88</v>
      </c>
      <c r="M14" s="64">
        <v>103.42</v>
      </c>
      <c r="N14" s="64">
        <v>109.9</v>
      </c>
      <c r="O14" s="64">
        <v>0</v>
      </c>
      <c r="P14" s="64">
        <v>1.33</v>
      </c>
      <c r="Q14" s="64">
        <v>10.26</v>
      </c>
      <c r="R14" s="198"/>
      <c r="S14" s="198"/>
      <c r="T14" s="198"/>
      <c r="U14" s="198"/>
    </row>
    <row r="15" spans="1:21" s="12" customFormat="1" x14ac:dyDescent="0.25">
      <c r="A15" s="215" t="s">
        <v>1022</v>
      </c>
      <c r="B15" s="64">
        <v>46.81</v>
      </c>
      <c r="C15" s="64">
        <v>34.31</v>
      </c>
      <c r="D15" s="64">
        <v>54.09</v>
      </c>
      <c r="E15" s="64">
        <v>5.88</v>
      </c>
      <c r="F15" s="64">
        <v>4.18</v>
      </c>
      <c r="G15" s="64">
        <v>74.06</v>
      </c>
      <c r="H15" s="64">
        <v>47.61</v>
      </c>
      <c r="I15" s="64">
        <v>8.01</v>
      </c>
      <c r="J15" s="64">
        <v>1.1299999999999999</v>
      </c>
      <c r="K15" s="64">
        <v>111.01</v>
      </c>
      <c r="L15" s="64">
        <v>16.670000000000002</v>
      </c>
      <c r="M15" s="64">
        <v>103.41</v>
      </c>
      <c r="N15" s="64">
        <v>106.3</v>
      </c>
      <c r="O15" s="64">
        <v>0</v>
      </c>
      <c r="P15" s="64">
        <v>1.26</v>
      </c>
      <c r="Q15" s="64">
        <v>10.199999999999999</v>
      </c>
      <c r="R15" s="198"/>
      <c r="S15" s="198"/>
      <c r="T15" s="198"/>
      <c r="U15" s="198"/>
    </row>
    <row r="16" spans="1:21" s="12" customFormat="1" x14ac:dyDescent="0.25">
      <c r="A16" s="215" t="s">
        <v>1023</v>
      </c>
      <c r="B16" s="64">
        <v>45.29</v>
      </c>
      <c r="C16" s="64">
        <v>34.83</v>
      </c>
      <c r="D16" s="64">
        <v>53.14</v>
      </c>
      <c r="E16" s="64">
        <v>6.19</v>
      </c>
      <c r="F16" s="64">
        <v>3.98</v>
      </c>
      <c r="G16" s="64">
        <v>62.76</v>
      </c>
      <c r="H16" s="64">
        <v>38.5</v>
      </c>
      <c r="I16" s="64">
        <v>7.63</v>
      </c>
      <c r="J16" s="64">
        <v>1</v>
      </c>
      <c r="K16" s="64">
        <v>320.97000000000003</v>
      </c>
      <c r="L16" s="64">
        <v>16.64</v>
      </c>
      <c r="M16" s="64">
        <v>103.48</v>
      </c>
      <c r="N16" s="64">
        <v>104.5</v>
      </c>
      <c r="O16" s="64">
        <v>0</v>
      </c>
      <c r="P16" s="64">
        <v>1.32</v>
      </c>
      <c r="Q16" s="64">
        <v>10.19</v>
      </c>
      <c r="R16" s="198"/>
      <c r="S16" s="198"/>
      <c r="T16" s="198"/>
      <c r="U16" s="198"/>
    </row>
    <row r="17" spans="1:21" s="12" customFormat="1" x14ac:dyDescent="0.25">
      <c r="A17" s="215" t="s">
        <v>1024</v>
      </c>
      <c r="B17" s="64">
        <v>44.09</v>
      </c>
      <c r="C17" s="64">
        <v>36.090000000000003</v>
      </c>
      <c r="D17" s="64">
        <v>52.83</v>
      </c>
      <c r="E17" s="64">
        <v>5.66</v>
      </c>
      <c r="F17" s="64">
        <v>4.0599999999999996</v>
      </c>
      <c r="G17" s="64">
        <v>54.12</v>
      </c>
      <c r="H17" s="64">
        <v>32.76</v>
      </c>
      <c r="I17" s="64">
        <v>7.39</v>
      </c>
      <c r="J17" s="64">
        <v>2.14</v>
      </c>
      <c r="K17" s="64">
        <v>350.45</v>
      </c>
      <c r="L17" s="64">
        <v>16.579999999999998</v>
      </c>
      <c r="M17" s="64">
        <v>103.46</v>
      </c>
      <c r="N17" s="64">
        <v>107</v>
      </c>
      <c r="O17" s="64">
        <v>0</v>
      </c>
      <c r="P17" s="64">
        <v>1.19</v>
      </c>
      <c r="Q17" s="64">
        <v>10.210000000000001</v>
      </c>
      <c r="R17" s="198"/>
      <c r="S17" s="198"/>
      <c r="T17" s="198"/>
      <c r="U17" s="198"/>
    </row>
    <row r="18" spans="1:21" s="12" customFormat="1" x14ac:dyDescent="0.25">
      <c r="A18" s="215" t="s">
        <v>1025</v>
      </c>
      <c r="B18" s="64">
        <v>42.73</v>
      </c>
      <c r="C18" s="64">
        <v>36.229999999999997</v>
      </c>
      <c r="D18" s="64">
        <v>51.81</v>
      </c>
      <c r="E18" s="64">
        <v>5.88</v>
      </c>
      <c r="F18" s="64">
        <v>3.63</v>
      </c>
      <c r="G18" s="64">
        <v>54.12</v>
      </c>
      <c r="H18" s="64">
        <v>32.76</v>
      </c>
      <c r="I18" s="64">
        <v>6.84</v>
      </c>
      <c r="J18" s="64">
        <v>1.21</v>
      </c>
      <c r="K18" s="64">
        <v>191.4</v>
      </c>
      <c r="L18" s="64">
        <v>16.38</v>
      </c>
      <c r="M18" s="64">
        <v>103.51</v>
      </c>
      <c r="N18" s="64">
        <v>108.9</v>
      </c>
      <c r="O18" s="64">
        <v>0</v>
      </c>
      <c r="P18" s="64">
        <v>1.17</v>
      </c>
      <c r="Q18" s="64">
        <v>10.23</v>
      </c>
      <c r="R18" s="198"/>
      <c r="S18" s="198"/>
      <c r="T18" s="198"/>
      <c r="U18" s="198"/>
    </row>
    <row r="19" spans="1:21" s="12" customFormat="1" x14ac:dyDescent="0.25">
      <c r="A19" s="215" t="s">
        <v>1026</v>
      </c>
      <c r="B19" s="64">
        <v>41.5</v>
      </c>
      <c r="C19" s="64">
        <v>36.200000000000003</v>
      </c>
      <c r="D19" s="64">
        <v>50.82</v>
      </c>
      <c r="E19" s="64">
        <v>5.44</v>
      </c>
      <c r="F19" s="64">
        <v>3.87</v>
      </c>
      <c r="G19" s="64">
        <v>54.12</v>
      </c>
      <c r="H19" s="64">
        <v>32.76</v>
      </c>
      <c r="I19" s="64">
        <v>7.61</v>
      </c>
      <c r="J19" s="64">
        <v>1.85</v>
      </c>
      <c r="K19" s="64">
        <v>7.89</v>
      </c>
      <c r="L19" s="64">
        <v>16.27</v>
      </c>
      <c r="M19" s="64">
        <v>103.49</v>
      </c>
      <c r="N19" s="64">
        <v>109</v>
      </c>
      <c r="O19" s="64">
        <v>0</v>
      </c>
      <c r="P19" s="64">
        <v>1.1000000000000001</v>
      </c>
      <c r="Q19" s="64">
        <v>10.220000000000001</v>
      </c>
      <c r="R19" s="198"/>
      <c r="S19" s="198"/>
      <c r="T19" s="198"/>
      <c r="U19" s="198"/>
    </row>
    <row r="20" spans="1:21" s="12" customFormat="1" x14ac:dyDescent="0.25">
      <c r="A20" s="215" t="s">
        <v>1027</v>
      </c>
      <c r="B20" s="64">
        <v>40.46</v>
      </c>
      <c r="C20" s="64">
        <v>35.97</v>
      </c>
      <c r="D20" s="64">
        <v>49.86</v>
      </c>
      <c r="E20" s="64">
        <v>5.58</v>
      </c>
      <c r="F20" s="64">
        <v>3.89</v>
      </c>
      <c r="G20" s="64">
        <v>46.88</v>
      </c>
      <c r="H20" s="64">
        <v>37.909999999999997</v>
      </c>
      <c r="I20" s="64">
        <v>6.45</v>
      </c>
      <c r="J20" s="64">
        <v>1.61</v>
      </c>
      <c r="K20" s="64">
        <v>192.89</v>
      </c>
      <c r="L20" s="64">
        <v>16.46</v>
      </c>
      <c r="M20" s="64">
        <v>103.48</v>
      </c>
      <c r="N20" s="64">
        <v>107.9</v>
      </c>
      <c r="O20" s="64">
        <v>0</v>
      </c>
      <c r="P20" s="64">
        <v>1.1399999999999999</v>
      </c>
      <c r="Q20" s="64">
        <v>10.19</v>
      </c>
      <c r="R20" s="198"/>
      <c r="S20" s="198"/>
      <c r="T20" s="198"/>
      <c r="U20" s="198"/>
    </row>
    <row r="21" spans="1:21" s="12" customFormat="1" x14ac:dyDescent="0.25">
      <c r="A21" s="215" t="s">
        <v>1028</v>
      </c>
      <c r="B21" s="64">
        <v>39.51</v>
      </c>
      <c r="C21" s="64">
        <v>38.409999999999997</v>
      </c>
      <c r="D21" s="64">
        <v>50.37</v>
      </c>
      <c r="E21" s="64">
        <v>5.4</v>
      </c>
      <c r="F21" s="64">
        <v>4.01</v>
      </c>
      <c r="G21" s="64">
        <v>41.35</v>
      </c>
      <c r="H21" s="64">
        <v>39.659999999999997</v>
      </c>
      <c r="I21" s="64">
        <v>7.03</v>
      </c>
      <c r="J21" s="64">
        <v>1.29</v>
      </c>
      <c r="K21" s="64">
        <v>184.33</v>
      </c>
      <c r="L21" s="64">
        <v>16.36</v>
      </c>
      <c r="M21" s="64">
        <v>103.51</v>
      </c>
      <c r="N21" s="64">
        <v>111.1</v>
      </c>
      <c r="O21" s="64">
        <v>0</v>
      </c>
      <c r="P21" s="64">
        <v>1.22</v>
      </c>
      <c r="Q21" s="64">
        <v>10.18</v>
      </c>
      <c r="R21" s="198"/>
      <c r="S21" s="198"/>
      <c r="T21" s="198"/>
      <c r="U21" s="198"/>
    </row>
    <row r="22" spans="1:21" s="12" customFormat="1" x14ac:dyDescent="0.25">
      <c r="A22" s="215" t="s">
        <v>1029</v>
      </c>
      <c r="B22" s="64">
        <v>38.4</v>
      </c>
      <c r="C22" s="64">
        <v>35.729999999999997</v>
      </c>
      <c r="D22" s="64">
        <v>48.09</v>
      </c>
      <c r="E22" s="64">
        <v>4.9800000000000004</v>
      </c>
      <c r="F22" s="64">
        <v>3.49</v>
      </c>
      <c r="G22" s="64">
        <v>41.35</v>
      </c>
      <c r="H22" s="64">
        <v>39.659999999999997</v>
      </c>
      <c r="I22" s="64">
        <v>7.65</v>
      </c>
      <c r="J22" s="64">
        <v>2.46</v>
      </c>
      <c r="K22" s="64">
        <v>152.74</v>
      </c>
      <c r="L22" s="64">
        <v>16.149999999999999</v>
      </c>
      <c r="M22" s="64">
        <v>103.56</v>
      </c>
      <c r="N22" s="64">
        <v>113.1</v>
      </c>
      <c r="O22" s="64">
        <v>0</v>
      </c>
      <c r="P22" s="64">
        <v>1.1599999999999999</v>
      </c>
      <c r="Q22" s="64">
        <v>10.16</v>
      </c>
      <c r="R22" s="198"/>
      <c r="S22" s="198"/>
      <c r="T22" s="198"/>
      <c r="U22" s="198"/>
    </row>
    <row r="23" spans="1:21" s="12" customFormat="1" x14ac:dyDescent="0.25">
      <c r="A23" s="215" t="s">
        <v>1030</v>
      </c>
      <c r="B23" s="64">
        <v>36.74</v>
      </c>
      <c r="C23" s="64">
        <v>29.37</v>
      </c>
      <c r="D23" s="64">
        <v>43.43</v>
      </c>
      <c r="E23" s="64">
        <v>5.1100000000000003</v>
      </c>
      <c r="F23" s="64">
        <v>4.22</v>
      </c>
      <c r="G23" s="64">
        <v>41.35</v>
      </c>
      <c r="H23" s="64">
        <v>39.659999999999997</v>
      </c>
      <c r="I23" s="64">
        <v>8.8800000000000008</v>
      </c>
      <c r="J23" s="64">
        <v>1.61</v>
      </c>
      <c r="K23" s="64">
        <v>31.35</v>
      </c>
      <c r="L23" s="64">
        <v>16.05</v>
      </c>
      <c r="M23" s="64">
        <v>103.34</v>
      </c>
      <c r="N23" s="64">
        <v>112.2</v>
      </c>
      <c r="O23" s="64">
        <v>0</v>
      </c>
      <c r="P23" s="64">
        <v>1.1100000000000001</v>
      </c>
      <c r="Q23" s="64">
        <v>9.99</v>
      </c>
      <c r="R23" s="198"/>
      <c r="S23" s="198"/>
      <c r="T23" s="198"/>
      <c r="U23" s="198"/>
    </row>
    <row r="24" spans="1:21" s="12" customFormat="1" x14ac:dyDescent="0.25">
      <c r="A24" s="215" t="s">
        <v>1031</v>
      </c>
      <c r="B24" s="64">
        <v>34.93</v>
      </c>
      <c r="C24" s="64">
        <v>35.89</v>
      </c>
      <c r="D24" s="64">
        <v>45.39</v>
      </c>
      <c r="E24" s="64">
        <v>5.16</v>
      </c>
      <c r="F24" s="64">
        <v>3.39</v>
      </c>
      <c r="G24" s="64">
        <v>40.17</v>
      </c>
      <c r="H24" s="64">
        <v>38.119999999999997</v>
      </c>
      <c r="I24" s="64">
        <v>8.86</v>
      </c>
      <c r="J24" s="64">
        <v>2.38</v>
      </c>
      <c r="K24" s="64">
        <v>136.72999999999999</v>
      </c>
      <c r="L24" s="64">
        <v>15.92</v>
      </c>
      <c r="M24" s="64">
        <v>102.57</v>
      </c>
      <c r="N24" s="64">
        <v>110.1</v>
      </c>
      <c r="O24" s="64">
        <v>0</v>
      </c>
      <c r="P24" s="64">
        <v>1.06</v>
      </c>
      <c r="Q24" s="64">
        <v>9.9700000000000006</v>
      </c>
      <c r="R24" s="198"/>
      <c r="S24" s="198"/>
      <c r="T24" s="198"/>
      <c r="U24" s="198"/>
    </row>
    <row r="25" spans="1:21" s="12" customFormat="1" x14ac:dyDescent="0.25">
      <c r="A25" s="215" t="s">
        <v>1032</v>
      </c>
      <c r="B25" s="64">
        <v>33.71</v>
      </c>
      <c r="C25" s="64">
        <v>34.4</v>
      </c>
      <c r="D25" s="64">
        <v>43.63</v>
      </c>
      <c r="E25" s="64">
        <v>4.84</v>
      </c>
      <c r="F25" s="64">
        <v>4.2</v>
      </c>
      <c r="G25" s="64">
        <v>39.26</v>
      </c>
      <c r="H25" s="64">
        <v>37.6</v>
      </c>
      <c r="I25" s="64">
        <v>8.57</v>
      </c>
      <c r="J25" s="64">
        <v>2.2200000000000002</v>
      </c>
      <c r="K25" s="64">
        <v>331.03</v>
      </c>
      <c r="L25" s="64">
        <v>15.84</v>
      </c>
      <c r="M25" s="64">
        <v>102.77</v>
      </c>
      <c r="N25" s="64">
        <v>109.3</v>
      </c>
      <c r="O25" s="64">
        <v>0</v>
      </c>
      <c r="P25" s="64">
        <v>1.01</v>
      </c>
      <c r="Q25" s="64">
        <v>9.8000000000000007</v>
      </c>
      <c r="R25" s="198"/>
      <c r="S25" s="198"/>
      <c r="T25" s="198"/>
      <c r="U25" s="198"/>
    </row>
    <row r="26" spans="1:21" s="12" customFormat="1" x14ac:dyDescent="0.25">
      <c r="A26" s="215" t="s">
        <v>1033</v>
      </c>
      <c r="B26" s="64">
        <v>33.4</v>
      </c>
      <c r="C26" s="64">
        <v>34.979999999999997</v>
      </c>
      <c r="D26" s="64">
        <v>43.69</v>
      </c>
      <c r="E26" s="64">
        <v>5.21</v>
      </c>
      <c r="F26" s="64">
        <v>3.09</v>
      </c>
      <c r="G26" s="64">
        <v>39.26</v>
      </c>
      <c r="H26" s="64">
        <v>37.6</v>
      </c>
      <c r="I26" s="64">
        <v>8.2799999999999994</v>
      </c>
      <c r="J26" s="64">
        <v>0.75</v>
      </c>
      <c r="K26" s="64">
        <v>294.61</v>
      </c>
      <c r="L26" s="64">
        <v>15.67</v>
      </c>
      <c r="M26" s="64">
        <v>102.56</v>
      </c>
      <c r="N26" s="64">
        <v>113.2</v>
      </c>
      <c r="O26" s="64">
        <v>0</v>
      </c>
      <c r="P26" s="64">
        <v>0.97</v>
      </c>
      <c r="Q26" s="64">
        <v>9.81</v>
      </c>
      <c r="R26" s="198"/>
      <c r="S26" s="198"/>
      <c r="T26" s="198"/>
      <c r="U26" s="198"/>
    </row>
    <row r="27" spans="1:21" s="12" customFormat="1" x14ac:dyDescent="0.25">
      <c r="A27" s="215" t="s">
        <v>1034</v>
      </c>
      <c r="B27" s="64">
        <v>32.659999999999997</v>
      </c>
      <c r="C27" s="64">
        <v>34.869999999999997</v>
      </c>
      <c r="D27" s="64">
        <v>43.03</v>
      </c>
      <c r="E27" s="64">
        <v>4.87</v>
      </c>
      <c r="F27" s="64">
        <v>4.0599999999999996</v>
      </c>
      <c r="G27" s="64">
        <v>39.26</v>
      </c>
      <c r="H27" s="64">
        <v>37.6</v>
      </c>
      <c r="I27" s="64">
        <v>8.02</v>
      </c>
      <c r="J27" s="64">
        <v>1.2</v>
      </c>
      <c r="K27" s="64">
        <v>319.02</v>
      </c>
      <c r="L27" s="64">
        <v>15.61</v>
      </c>
      <c r="M27" s="64">
        <v>102.57</v>
      </c>
      <c r="N27" s="64">
        <v>115.4</v>
      </c>
      <c r="O27" s="64">
        <v>0</v>
      </c>
      <c r="P27" s="64">
        <v>0.94</v>
      </c>
      <c r="Q27" s="64">
        <v>9.66</v>
      </c>
      <c r="R27" s="198"/>
      <c r="S27" s="198"/>
      <c r="T27" s="198"/>
      <c r="U27" s="198"/>
    </row>
    <row r="28" spans="1:21" s="12" customFormat="1" x14ac:dyDescent="0.25">
      <c r="A28" s="215" t="s">
        <v>1035</v>
      </c>
      <c r="B28" s="64">
        <v>32.5</v>
      </c>
      <c r="C28" s="64">
        <v>34.21</v>
      </c>
      <c r="D28" s="64">
        <v>42.56</v>
      </c>
      <c r="E28" s="64">
        <v>5.66</v>
      </c>
      <c r="F28" s="64">
        <v>3.47</v>
      </c>
      <c r="G28" s="64">
        <v>39.03</v>
      </c>
      <c r="H28" s="64">
        <v>25.36</v>
      </c>
      <c r="I28" s="64">
        <v>7.72</v>
      </c>
      <c r="J28" s="64">
        <v>1.44</v>
      </c>
      <c r="K28" s="64">
        <v>103.6</v>
      </c>
      <c r="L28" s="64">
        <v>15.53</v>
      </c>
      <c r="M28" s="64">
        <v>102.79</v>
      </c>
      <c r="N28" s="64">
        <v>117.2</v>
      </c>
      <c r="O28" s="64">
        <v>0</v>
      </c>
      <c r="P28" s="64">
        <v>0.92</v>
      </c>
      <c r="Q28" s="64">
        <v>9.65</v>
      </c>
      <c r="R28" s="198"/>
      <c r="S28" s="198"/>
      <c r="T28" s="198"/>
      <c r="U28" s="198"/>
    </row>
    <row r="29" spans="1:21" s="12" customFormat="1" x14ac:dyDescent="0.25">
      <c r="A29" s="215" t="s">
        <v>1036</v>
      </c>
      <c r="B29" s="64">
        <v>32.979999999999997</v>
      </c>
      <c r="C29" s="64">
        <v>35.96</v>
      </c>
      <c r="D29" s="64">
        <v>43.86</v>
      </c>
      <c r="E29" s="64">
        <v>5.9</v>
      </c>
      <c r="F29" s="64">
        <v>2.76</v>
      </c>
      <c r="G29" s="64">
        <v>38.840000000000003</v>
      </c>
      <c r="H29" s="64">
        <v>21.2</v>
      </c>
      <c r="I29" s="64">
        <v>7.45</v>
      </c>
      <c r="J29" s="64">
        <v>2.66</v>
      </c>
      <c r="K29" s="64">
        <v>320.35000000000002</v>
      </c>
      <c r="L29" s="64">
        <v>15.41</v>
      </c>
      <c r="M29" s="64">
        <v>102.69</v>
      </c>
      <c r="N29" s="64">
        <v>114.7</v>
      </c>
      <c r="O29" s="64">
        <v>0</v>
      </c>
      <c r="P29" s="64">
        <v>0.88</v>
      </c>
      <c r="Q29" s="64">
        <v>9.65</v>
      </c>
      <c r="R29" s="198"/>
      <c r="S29" s="198"/>
      <c r="T29" s="198"/>
      <c r="U29" s="198"/>
    </row>
    <row r="30" spans="1:21" s="12" customFormat="1" x14ac:dyDescent="0.25">
      <c r="A30" s="215" t="s">
        <v>1037</v>
      </c>
      <c r="B30" s="64">
        <v>34.04</v>
      </c>
      <c r="C30" s="64">
        <v>32.33</v>
      </c>
      <c r="D30" s="64">
        <v>42.81</v>
      </c>
      <c r="E30" s="64">
        <v>5.92</v>
      </c>
      <c r="F30" s="64">
        <v>3.19</v>
      </c>
      <c r="G30" s="64">
        <v>38.840000000000003</v>
      </c>
      <c r="H30" s="64">
        <v>21.2</v>
      </c>
      <c r="I30" s="64">
        <v>7.25</v>
      </c>
      <c r="J30" s="64">
        <v>1.69</v>
      </c>
      <c r="K30" s="64">
        <v>282.25</v>
      </c>
      <c r="L30" s="64">
        <v>15.34</v>
      </c>
      <c r="M30" s="64">
        <v>102.82</v>
      </c>
      <c r="N30" s="64">
        <v>113.8</v>
      </c>
      <c r="O30" s="64">
        <v>0</v>
      </c>
      <c r="P30" s="64">
        <v>0.79</v>
      </c>
      <c r="Q30" s="64">
        <v>9.69</v>
      </c>
      <c r="R30" s="198"/>
      <c r="S30" s="198"/>
      <c r="T30" s="198"/>
      <c r="U30" s="198"/>
    </row>
    <row r="31" spans="1:21" s="12" customFormat="1" x14ac:dyDescent="0.25">
      <c r="A31" s="215" t="s">
        <v>1038</v>
      </c>
      <c r="B31" s="64">
        <v>34.92</v>
      </c>
      <c r="C31" s="64">
        <v>33.11</v>
      </c>
      <c r="D31" s="64">
        <v>43.93</v>
      </c>
      <c r="E31" s="64">
        <v>5.51</v>
      </c>
      <c r="F31" s="64">
        <v>3.53</v>
      </c>
      <c r="G31" s="64">
        <v>38.840000000000003</v>
      </c>
      <c r="H31" s="64">
        <v>21.2</v>
      </c>
      <c r="I31" s="64">
        <v>6.45</v>
      </c>
      <c r="J31" s="64">
        <v>1.8</v>
      </c>
      <c r="K31" s="64">
        <v>313.67</v>
      </c>
      <c r="L31" s="64">
        <v>15.31</v>
      </c>
      <c r="M31" s="64">
        <v>102.88</v>
      </c>
      <c r="N31" s="64">
        <v>105.7</v>
      </c>
      <c r="O31" s="64">
        <v>0</v>
      </c>
      <c r="P31" s="64">
        <v>0.8</v>
      </c>
      <c r="Q31" s="64">
        <v>9.6199999999999992</v>
      </c>
      <c r="R31" s="198"/>
      <c r="S31" s="198"/>
      <c r="T31" s="198"/>
      <c r="U31" s="198"/>
    </row>
    <row r="32" spans="1:21" s="12" customFormat="1" x14ac:dyDescent="0.25">
      <c r="A32" s="215" t="s">
        <v>1039</v>
      </c>
      <c r="B32" s="64">
        <v>35.65</v>
      </c>
      <c r="C32" s="64">
        <v>34.21</v>
      </c>
      <c r="D32" s="64">
        <v>45.08</v>
      </c>
      <c r="E32" s="64">
        <v>5.85</v>
      </c>
      <c r="F32" s="64">
        <v>3.49</v>
      </c>
      <c r="G32" s="64">
        <v>39.090000000000003</v>
      </c>
      <c r="H32" s="64">
        <v>23.13</v>
      </c>
      <c r="I32" s="64">
        <v>5.14</v>
      </c>
      <c r="J32" s="64">
        <v>1.66</v>
      </c>
      <c r="K32" s="64">
        <v>274.77</v>
      </c>
      <c r="L32" s="64">
        <v>15.33</v>
      </c>
      <c r="M32" s="64">
        <v>102.87</v>
      </c>
      <c r="N32" s="64">
        <v>105</v>
      </c>
      <c r="O32" s="64">
        <v>0</v>
      </c>
      <c r="P32" s="64">
        <v>0.72</v>
      </c>
      <c r="Q32" s="64">
        <v>9.52</v>
      </c>
      <c r="R32" s="198"/>
      <c r="S32" s="198"/>
      <c r="T32" s="198"/>
      <c r="U32" s="198"/>
    </row>
    <row r="33" spans="1:21" s="12" customFormat="1" x14ac:dyDescent="0.25">
      <c r="A33" s="215" t="s">
        <v>1040</v>
      </c>
      <c r="B33" s="64">
        <v>36.700000000000003</v>
      </c>
      <c r="C33" s="64">
        <v>34</v>
      </c>
      <c r="D33" s="64">
        <v>45.82</v>
      </c>
      <c r="E33" s="64">
        <v>6.11</v>
      </c>
      <c r="F33" s="64">
        <v>3.79</v>
      </c>
      <c r="G33" s="64">
        <v>39.29</v>
      </c>
      <c r="H33" s="64">
        <v>24.39</v>
      </c>
      <c r="I33" s="64">
        <v>4.4400000000000004</v>
      </c>
      <c r="J33" s="64">
        <v>2.76</v>
      </c>
      <c r="K33" s="64">
        <v>340.69</v>
      </c>
      <c r="L33" s="64">
        <v>15.39</v>
      </c>
      <c r="M33" s="64">
        <v>102.48</v>
      </c>
      <c r="N33" s="64">
        <v>105</v>
      </c>
      <c r="O33" s="64">
        <v>0</v>
      </c>
      <c r="P33" s="64">
        <v>0.77</v>
      </c>
      <c r="Q33" s="64">
        <v>9.49</v>
      </c>
      <c r="R33" s="198"/>
      <c r="S33" s="198"/>
      <c r="T33" s="198"/>
      <c r="U33" s="198"/>
    </row>
    <row r="34" spans="1:21" s="12" customFormat="1" x14ac:dyDescent="0.25">
      <c r="A34" s="215" t="s">
        <v>1041</v>
      </c>
      <c r="B34" s="64">
        <v>37.590000000000003</v>
      </c>
      <c r="C34" s="64">
        <v>34.25</v>
      </c>
      <c r="D34" s="64">
        <v>46.66</v>
      </c>
      <c r="E34" s="64">
        <v>5.61</v>
      </c>
      <c r="F34" s="64">
        <v>3.66</v>
      </c>
      <c r="G34" s="64">
        <v>39.29</v>
      </c>
      <c r="H34" s="64">
        <v>24.39</v>
      </c>
      <c r="I34" s="64">
        <v>5.36</v>
      </c>
      <c r="J34" s="64">
        <v>2</v>
      </c>
      <c r="K34" s="64">
        <v>326.79000000000002</v>
      </c>
      <c r="L34" s="64">
        <v>15.53</v>
      </c>
      <c r="M34" s="64">
        <v>103.03</v>
      </c>
      <c r="N34" s="64">
        <v>105.6</v>
      </c>
      <c r="O34" s="64">
        <v>0</v>
      </c>
      <c r="P34" s="64">
        <v>0.77</v>
      </c>
      <c r="Q34" s="64">
        <v>9.82</v>
      </c>
      <c r="R34" s="198"/>
      <c r="S34" s="198"/>
      <c r="T34" s="198"/>
      <c r="U34" s="198"/>
    </row>
    <row r="35" spans="1:21" s="12" customFormat="1" x14ac:dyDescent="0.25">
      <c r="A35" s="215" t="s">
        <v>1042</v>
      </c>
      <c r="B35" s="64">
        <v>38.07</v>
      </c>
      <c r="C35" s="64">
        <v>33.880000000000003</v>
      </c>
      <c r="D35" s="64">
        <v>46.85</v>
      </c>
      <c r="E35" s="64">
        <v>5.5</v>
      </c>
      <c r="F35" s="64">
        <v>3.79</v>
      </c>
      <c r="G35" s="64">
        <v>39.29</v>
      </c>
      <c r="H35" s="64">
        <v>24.39</v>
      </c>
      <c r="I35" s="64">
        <v>5.25</v>
      </c>
      <c r="J35" s="64">
        <v>2.19</v>
      </c>
      <c r="K35" s="64">
        <v>111.42</v>
      </c>
      <c r="L35" s="64">
        <v>15.58</v>
      </c>
      <c r="M35" s="64">
        <v>103.08</v>
      </c>
      <c r="N35" s="64">
        <v>111.8</v>
      </c>
      <c r="O35" s="64">
        <v>0</v>
      </c>
      <c r="P35" s="64">
        <v>0.74</v>
      </c>
      <c r="Q35" s="64">
        <v>10.050000000000001</v>
      </c>
      <c r="R35" s="198"/>
      <c r="S35" s="198"/>
      <c r="T35" s="198"/>
      <c r="U35" s="198"/>
    </row>
    <row r="36" spans="1:21" s="12" customFormat="1" x14ac:dyDescent="0.25">
      <c r="A36" s="215" t="s">
        <v>1043</v>
      </c>
      <c r="B36" s="64">
        <v>38.4</v>
      </c>
      <c r="C36" s="64">
        <v>34.549999999999997</v>
      </c>
      <c r="D36" s="64">
        <v>47.47</v>
      </c>
      <c r="E36" s="64">
        <v>6.04</v>
      </c>
      <c r="F36" s="64">
        <v>3.59</v>
      </c>
      <c r="G36" s="64">
        <v>40.200000000000003</v>
      </c>
      <c r="H36" s="64">
        <v>25.63</v>
      </c>
      <c r="I36" s="64">
        <v>5.32</v>
      </c>
      <c r="J36" s="64">
        <v>0.63</v>
      </c>
      <c r="K36" s="64">
        <v>347.93</v>
      </c>
      <c r="L36" s="64">
        <v>15.8</v>
      </c>
      <c r="M36" s="64">
        <v>103.13</v>
      </c>
      <c r="N36" s="64">
        <v>119.7</v>
      </c>
      <c r="O36" s="64">
        <v>0</v>
      </c>
      <c r="P36" s="64">
        <v>0.78</v>
      </c>
      <c r="Q36" s="64">
        <v>10.11</v>
      </c>
      <c r="R36" s="198"/>
      <c r="S36" s="198"/>
      <c r="T36" s="198"/>
      <c r="U36" s="198"/>
    </row>
    <row r="37" spans="1:21" s="12" customFormat="1" x14ac:dyDescent="0.25">
      <c r="A37" s="215" t="s">
        <v>1044</v>
      </c>
      <c r="B37" s="64">
        <v>39.08</v>
      </c>
      <c r="C37" s="64">
        <v>35.21</v>
      </c>
      <c r="D37" s="64">
        <v>48.36</v>
      </c>
      <c r="E37" s="64">
        <v>5.64</v>
      </c>
      <c r="F37" s="64">
        <v>4.4800000000000004</v>
      </c>
      <c r="G37" s="64">
        <v>40.9</v>
      </c>
      <c r="H37" s="64">
        <v>26.05</v>
      </c>
      <c r="I37" s="64">
        <v>4.8899999999999997</v>
      </c>
      <c r="J37" s="64">
        <v>0.62</v>
      </c>
      <c r="K37" s="64">
        <v>71.959999999999994</v>
      </c>
      <c r="L37" s="64">
        <v>16.13</v>
      </c>
      <c r="M37" s="64">
        <v>103.04</v>
      </c>
      <c r="N37" s="64">
        <v>123</v>
      </c>
      <c r="O37" s="64">
        <v>0</v>
      </c>
      <c r="P37" s="64">
        <v>0.82</v>
      </c>
      <c r="Q37" s="64">
        <v>10.1</v>
      </c>
      <c r="R37" s="198"/>
      <c r="S37" s="198"/>
      <c r="T37" s="198"/>
      <c r="U37" s="198"/>
    </row>
    <row r="38" spans="1:21" s="12" customFormat="1" x14ac:dyDescent="0.25">
      <c r="A38" s="215" t="s">
        <v>1045</v>
      </c>
      <c r="B38" s="64">
        <v>39.29</v>
      </c>
      <c r="C38" s="64">
        <v>41.5</v>
      </c>
      <c r="D38" s="64">
        <v>51.82</v>
      </c>
      <c r="E38" s="64">
        <v>6.48</v>
      </c>
      <c r="F38" s="64">
        <v>4.3499999999999996</v>
      </c>
      <c r="G38" s="64">
        <v>40.9</v>
      </c>
      <c r="H38" s="64">
        <v>26.05</v>
      </c>
      <c r="I38" s="64">
        <v>5.41</v>
      </c>
      <c r="J38" s="64">
        <v>0.48</v>
      </c>
      <c r="K38" s="64">
        <v>34.64</v>
      </c>
      <c r="L38" s="64">
        <v>16.47</v>
      </c>
      <c r="M38" s="64">
        <v>103.15</v>
      </c>
      <c r="N38" s="64">
        <v>144</v>
      </c>
      <c r="O38" s="64">
        <v>0</v>
      </c>
      <c r="P38" s="64">
        <v>0.88</v>
      </c>
      <c r="Q38" s="64">
        <v>10.15</v>
      </c>
      <c r="R38" s="198"/>
      <c r="S38" s="198"/>
      <c r="T38" s="198"/>
      <c r="U38" s="198"/>
    </row>
    <row r="39" spans="1:21" s="12" customFormat="1" x14ac:dyDescent="0.25">
      <c r="A39" s="215" t="s">
        <v>1046</v>
      </c>
      <c r="B39" s="64">
        <v>39.380000000000003</v>
      </c>
      <c r="C39" s="64">
        <v>39.53</v>
      </c>
      <c r="D39" s="64">
        <v>50.86</v>
      </c>
      <c r="E39" s="64">
        <v>6.6</v>
      </c>
      <c r="F39" s="64">
        <v>4.0599999999999996</v>
      </c>
      <c r="G39" s="64">
        <v>40.9</v>
      </c>
      <c r="H39" s="64">
        <v>26.05</v>
      </c>
      <c r="I39" s="64">
        <v>5.79</v>
      </c>
      <c r="J39" s="64">
        <v>0.64</v>
      </c>
      <c r="K39" s="64">
        <v>88.59</v>
      </c>
      <c r="L39" s="64">
        <v>16.850000000000001</v>
      </c>
      <c r="M39" s="64">
        <v>103.51</v>
      </c>
      <c r="N39" s="64">
        <v>140.1</v>
      </c>
      <c r="O39" s="64">
        <v>0</v>
      </c>
      <c r="P39" s="64">
        <v>0.89</v>
      </c>
      <c r="Q39" s="64">
        <v>10.18</v>
      </c>
      <c r="R39" s="198"/>
      <c r="S39" s="198"/>
      <c r="T39" s="198"/>
      <c r="U39" s="198"/>
    </row>
    <row r="40" spans="1:21" s="12" customFormat="1" x14ac:dyDescent="0.25">
      <c r="A40" s="215" t="s">
        <v>1047</v>
      </c>
      <c r="B40" s="64">
        <v>39.86</v>
      </c>
      <c r="C40" s="64">
        <v>33.56</v>
      </c>
      <c r="D40" s="64">
        <v>48.12</v>
      </c>
      <c r="E40" s="64">
        <v>7.7</v>
      </c>
      <c r="F40" s="64">
        <v>4.71</v>
      </c>
      <c r="G40" s="64">
        <v>62.84</v>
      </c>
      <c r="H40" s="64">
        <v>35.28</v>
      </c>
      <c r="I40" s="64">
        <v>6.39</v>
      </c>
      <c r="J40" s="64">
        <v>1.75</v>
      </c>
      <c r="K40" s="64">
        <v>328.62</v>
      </c>
      <c r="L40" s="64">
        <v>17.47</v>
      </c>
      <c r="M40" s="64">
        <v>103.3</v>
      </c>
      <c r="N40" s="64">
        <v>175</v>
      </c>
      <c r="O40" s="64">
        <v>0</v>
      </c>
      <c r="P40" s="64">
        <v>0.91</v>
      </c>
      <c r="Q40" s="64">
        <v>10.08</v>
      </c>
      <c r="R40" s="198"/>
      <c r="S40" s="198"/>
      <c r="T40" s="198"/>
      <c r="U40" s="198"/>
    </row>
    <row r="41" spans="1:21" s="12" customFormat="1" x14ac:dyDescent="0.25">
      <c r="A41" s="215" t="s">
        <v>1048</v>
      </c>
      <c r="B41" s="64">
        <v>40.08</v>
      </c>
      <c r="C41" s="64">
        <v>39.200000000000003</v>
      </c>
      <c r="D41" s="64">
        <v>51.24</v>
      </c>
      <c r="E41" s="64">
        <v>7.33</v>
      </c>
      <c r="F41" s="64">
        <v>4.13</v>
      </c>
      <c r="G41" s="64">
        <v>79.62</v>
      </c>
      <c r="H41" s="64">
        <v>38.42</v>
      </c>
      <c r="I41" s="64">
        <v>6.13</v>
      </c>
      <c r="J41" s="64">
        <v>1.75</v>
      </c>
      <c r="K41" s="64">
        <v>331.37</v>
      </c>
      <c r="L41" s="64">
        <v>18.41</v>
      </c>
      <c r="M41" s="64">
        <v>101.64</v>
      </c>
      <c r="N41" s="64">
        <v>227.4</v>
      </c>
      <c r="O41" s="64">
        <v>0</v>
      </c>
      <c r="P41" s="64">
        <v>0.91</v>
      </c>
      <c r="Q41" s="64">
        <v>10.15</v>
      </c>
      <c r="R41" s="198"/>
      <c r="S41" s="198"/>
      <c r="T41" s="198"/>
      <c r="U41" s="198"/>
    </row>
    <row r="42" spans="1:21" s="12" customFormat="1" x14ac:dyDescent="0.25">
      <c r="A42" s="215" t="s">
        <v>1049</v>
      </c>
      <c r="B42" s="64">
        <v>39.96</v>
      </c>
      <c r="C42" s="64">
        <v>35.99</v>
      </c>
      <c r="D42" s="64">
        <v>49.48</v>
      </c>
      <c r="E42" s="64">
        <v>7.05</v>
      </c>
      <c r="F42" s="64">
        <v>4.5199999999999996</v>
      </c>
      <c r="G42" s="64">
        <v>79.62</v>
      </c>
      <c r="H42" s="64">
        <v>38.42</v>
      </c>
      <c r="I42" s="64">
        <v>6.1</v>
      </c>
      <c r="J42" s="64">
        <v>1.24</v>
      </c>
      <c r="K42" s="64">
        <v>330.12</v>
      </c>
      <c r="L42" s="64">
        <v>19.399999999999999</v>
      </c>
      <c r="M42" s="64">
        <v>98.32</v>
      </c>
      <c r="N42" s="64">
        <v>275.10000000000002</v>
      </c>
      <c r="O42" s="64">
        <v>0</v>
      </c>
      <c r="P42" s="64">
        <v>0.9</v>
      </c>
      <c r="Q42" s="64">
        <v>10.09</v>
      </c>
      <c r="R42" s="198"/>
      <c r="S42" s="198"/>
      <c r="T42" s="198"/>
      <c r="U42" s="198"/>
    </row>
    <row r="43" spans="1:21" s="12" customFormat="1" x14ac:dyDescent="0.25">
      <c r="A43" s="215" t="s">
        <v>1050</v>
      </c>
      <c r="B43" s="64">
        <v>38.82</v>
      </c>
      <c r="C43" s="64">
        <v>39.56</v>
      </c>
      <c r="D43" s="64">
        <v>50.42</v>
      </c>
      <c r="E43" s="64">
        <v>6.76</v>
      </c>
      <c r="F43" s="64">
        <v>3.57</v>
      </c>
      <c r="G43" s="64">
        <v>79.62</v>
      </c>
      <c r="H43" s="64">
        <v>38.42</v>
      </c>
      <c r="I43" s="64">
        <v>5.96</v>
      </c>
      <c r="J43" s="64">
        <v>0.7</v>
      </c>
      <c r="K43" s="64">
        <v>213.54</v>
      </c>
      <c r="L43" s="64">
        <v>19.45</v>
      </c>
      <c r="M43" s="64">
        <v>98.26</v>
      </c>
      <c r="N43" s="64">
        <v>263.39999999999998</v>
      </c>
      <c r="O43" s="64">
        <v>0</v>
      </c>
      <c r="P43" s="64">
        <v>0.9</v>
      </c>
      <c r="Q43" s="64">
        <v>10.14</v>
      </c>
      <c r="R43" s="198"/>
      <c r="S43" s="198"/>
      <c r="T43" s="198"/>
      <c r="U43" s="198"/>
    </row>
    <row r="44" spans="1:21" s="12" customFormat="1" x14ac:dyDescent="0.25">
      <c r="A44" s="215" t="s">
        <v>1051</v>
      </c>
      <c r="B44" s="64">
        <v>36.99</v>
      </c>
      <c r="C44" s="64">
        <v>34.270000000000003</v>
      </c>
      <c r="D44" s="64">
        <v>46.19</v>
      </c>
      <c r="E44" s="64">
        <v>6.56</v>
      </c>
      <c r="F44" s="64">
        <v>4.71</v>
      </c>
      <c r="G44" s="64">
        <v>72.12</v>
      </c>
      <c r="H44" s="64">
        <v>38.729999999999997</v>
      </c>
      <c r="I44" s="64">
        <v>6.26</v>
      </c>
      <c r="J44" s="64">
        <v>1.67</v>
      </c>
      <c r="K44" s="64">
        <v>260.83</v>
      </c>
      <c r="L44" s="64">
        <v>19.03</v>
      </c>
      <c r="M44" s="64">
        <v>100.68</v>
      </c>
      <c r="N44" s="64">
        <v>205.8</v>
      </c>
      <c r="O44" s="64">
        <v>0</v>
      </c>
      <c r="P44" s="64">
        <v>0.88</v>
      </c>
      <c r="Q44" s="64">
        <v>10.06</v>
      </c>
      <c r="R44" s="198"/>
      <c r="S44" s="198"/>
      <c r="T44" s="198"/>
      <c r="U44" s="198"/>
    </row>
    <row r="45" spans="1:21" s="12" customFormat="1" x14ac:dyDescent="0.25">
      <c r="A45" s="215" t="s">
        <v>1052</v>
      </c>
      <c r="B45" s="64">
        <v>34.93</v>
      </c>
      <c r="C45" s="64">
        <v>41.23</v>
      </c>
      <c r="D45" s="64">
        <v>48.18</v>
      </c>
      <c r="E45" s="64">
        <v>6.45</v>
      </c>
      <c r="F45" s="64">
        <v>3.89</v>
      </c>
      <c r="G45" s="64">
        <v>66.39</v>
      </c>
      <c r="H45" s="64">
        <v>38.840000000000003</v>
      </c>
      <c r="I45" s="64">
        <v>5.85</v>
      </c>
      <c r="J45" s="64">
        <v>2.13</v>
      </c>
      <c r="K45" s="64">
        <v>289.18</v>
      </c>
      <c r="L45" s="64">
        <v>19.100000000000001</v>
      </c>
      <c r="M45" s="64">
        <v>100.66</v>
      </c>
      <c r="N45" s="64">
        <v>266.2</v>
      </c>
      <c r="O45" s="64">
        <v>0</v>
      </c>
      <c r="P45" s="64">
        <v>0.87</v>
      </c>
      <c r="Q45" s="64">
        <v>10.09</v>
      </c>
      <c r="R45" s="198"/>
      <c r="S45" s="198"/>
      <c r="T45" s="198"/>
      <c r="U45" s="198"/>
    </row>
    <row r="46" spans="1:21" s="12" customFormat="1" x14ac:dyDescent="0.25">
      <c r="A46" s="215" t="s">
        <v>1053</v>
      </c>
      <c r="B46" s="64">
        <v>34.08</v>
      </c>
      <c r="C46" s="64">
        <v>33.950000000000003</v>
      </c>
      <c r="D46" s="64">
        <v>43.69</v>
      </c>
      <c r="E46" s="64">
        <v>6.89</v>
      </c>
      <c r="F46" s="64">
        <v>3.56</v>
      </c>
      <c r="G46" s="64">
        <v>66.39</v>
      </c>
      <c r="H46" s="64">
        <v>38.840000000000003</v>
      </c>
      <c r="I46" s="64">
        <v>5.65</v>
      </c>
      <c r="J46" s="64">
        <v>2.08</v>
      </c>
      <c r="K46" s="64">
        <v>321.14</v>
      </c>
      <c r="L46" s="64">
        <v>20.74</v>
      </c>
      <c r="M46" s="64">
        <v>92.57</v>
      </c>
      <c r="N46" s="64">
        <v>343.5</v>
      </c>
      <c r="O46" s="64">
        <v>0</v>
      </c>
      <c r="P46" s="64">
        <v>0.85</v>
      </c>
      <c r="Q46" s="64">
        <v>9.98</v>
      </c>
      <c r="R46" s="198"/>
      <c r="S46" s="198"/>
      <c r="T46" s="198"/>
      <c r="U46" s="198"/>
    </row>
    <row r="47" spans="1:21" s="12" customFormat="1" x14ac:dyDescent="0.25">
      <c r="A47" s="215" t="s">
        <v>1054</v>
      </c>
      <c r="B47" s="64">
        <v>33.57</v>
      </c>
      <c r="C47" s="64">
        <v>33.909999999999997</v>
      </c>
      <c r="D47" s="64">
        <v>43.26</v>
      </c>
      <c r="E47" s="64">
        <v>6.59</v>
      </c>
      <c r="F47" s="64">
        <v>4.1100000000000003</v>
      </c>
      <c r="G47" s="64">
        <v>66.39</v>
      </c>
      <c r="H47" s="64">
        <v>38.840000000000003</v>
      </c>
      <c r="I47" s="64">
        <v>5.47</v>
      </c>
      <c r="J47" s="64">
        <v>1.27</v>
      </c>
      <c r="K47" s="64">
        <v>337</v>
      </c>
      <c r="L47" s="64">
        <v>21.3</v>
      </c>
      <c r="M47" s="64">
        <v>89.88</v>
      </c>
      <c r="N47" s="64">
        <v>450.9</v>
      </c>
      <c r="O47" s="64">
        <v>0</v>
      </c>
      <c r="P47" s="64">
        <v>0.85</v>
      </c>
      <c r="Q47" s="64">
        <v>9.7799999999999994</v>
      </c>
      <c r="R47" s="198"/>
      <c r="S47" s="198"/>
      <c r="T47" s="198"/>
      <c r="U47" s="198"/>
    </row>
    <row r="48" spans="1:21" s="12" customFormat="1" x14ac:dyDescent="0.25">
      <c r="A48" s="215" t="s">
        <v>1055</v>
      </c>
      <c r="B48" s="64">
        <v>32.39</v>
      </c>
      <c r="C48" s="64">
        <v>35.880000000000003</v>
      </c>
      <c r="D48" s="64">
        <v>43.34</v>
      </c>
      <c r="E48" s="64">
        <v>6.34</v>
      </c>
      <c r="F48" s="64">
        <v>3.8</v>
      </c>
      <c r="G48" s="64">
        <v>67.069999999999993</v>
      </c>
      <c r="H48" s="64">
        <v>37.049999999999997</v>
      </c>
      <c r="I48" s="64">
        <v>5.15</v>
      </c>
      <c r="J48" s="64">
        <v>1.78</v>
      </c>
      <c r="K48" s="64">
        <v>315.23</v>
      </c>
      <c r="L48" s="64">
        <v>22.38</v>
      </c>
      <c r="M48" s="64">
        <v>84.28</v>
      </c>
      <c r="N48" s="64">
        <v>501.5</v>
      </c>
      <c r="O48" s="64">
        <v>0</v>
      </c>
      <c r="P48" s="64">
        <v>0.84</v>
      </c>
      <c r="Q48" s="64">
        <v>9.5299999999999994</v>
      </c>
      <c r="R48" s="198"/>
      <c r="S48" s="198"/>
      <c r="T48" s="198"/>
      <c r="U48" s="198"/>
    </row>
    <row r="49" spans="1:21" s="12" customFormat="1" x14ac:dyDescent="0.25">
      <c r="A49" s="215" t="s">
        <v>1056</v>
      </c>
      <c r="B49" s="64">
        <v>29.3</v>
      </c>
      <c r="C49" s="64">
        <v>37.74</v>
      </c>
      <c r="D49" s="64">
        <v>41.83</v>
      </c>
      <c r="E49" s="64">
        <v>7.22</v>
      </c>
      <c r="F49" s="64">
        <v>4.21</v>
      </c>
      <c r="G49" s="64">
        <v>67.599999999999994</v>
      </c>
      <c r="H49" s="64">
        <v>35.880000000000003</v>
      </c>
      <c r="I49" s="64">
        <v>4.9400000000000004</v>
      </c>
      <c r="J49" s="64">
        <v>1.33</v>
      </c>
      <c r="K49" s="64">
        <v>284.54000000000002</v>
      </c>
      <c r="L49" s="64">
        <v>21.52</v>
      </c>
      <c r="M49" s="64">
        <v>87.91</v>
      </c>
      <c r="N49" s="64">
        <v>466.4</v>
      </c>
      <c r="O49" s="64">
        <v>0</v>
      </c>
      <c r="P49" s="64">
        <v>0.82</v>
      </c>
      <c r="Q49" s="64">
        <v>9.19</v>
      </c>
      <c r="R49" s="198"/>
      <c r="S49" s="198"/>
      <c r="T49" s="198"/>
      <c r="U49" s="198"/>
    </row>
    <row r="50" spans="1:21" s="12" customFormat="1" x14ac:dyDescent="0.25">
      <c r="A50" s="215" t="s">
        <v>1057</v>
      </c>
      <c r="B50" s="64">
        <v>25.7</v>
      </c>
      <c r="C50" s="64">
        <v>39.590000000000003</v>
      </c>
      <c r="D50" s="64">
        <v>39.92</v>
      </c>
      <c r="E50" s="64">
        <v>7.25</v>
      </c>
      <c r="F50" s="64">
        <v>3.85</v>
      </c>
      <c r="G50" s="64">
        <v>67.599999999999994</v>
      </c>
      <c r="H50" s="64">
        <v>35.880000000000003</v>
      </c>
      <c r="I50" s="64">
        <v>5.12</v>
      </c>
      <c r="J50" s="64">
        <v>2.1800000000000002</v>
      </c>
      <c r="K50" s="64">
        <v>297.85000000000002</v>
      </c>
      <c r="L50" s="64">
        <v>22.42</v>
      </c>
      <c r="M50" s="64">
        <v>83.35</v>
      </c>
      <c r="N50" s="64">
        <v>382.9</v>
      </c>
      <c r="O50" s="64">
        <v>0</v>
      </c>
      <c r="P50" s="64">
        <v>0.82</v>
      </c>
      <c r="Q50" s="64">
        <v>9.09</v>
      </c>
      <c r="R50" s="198"/>
      <c r="S50" s="198"/>
      <c r="T50" s="198"/>
      <c r="U50" s="198"/>
    </row>
    <row r="51" spans="1:21" s="12" customFormat="1" x14ac:dyDescent="0.25">
      <c r="A51" s="215" t="s">
        <v>1058</v>
      </c>
      <c r="B51" s="64">
        <v>23.34</v>
      </c>
      <c r="C51" s="64">
        <v>40.33</v>
      </c>
      <c r="D51" s="64">
        <v>38.409999999999997</v>
      </c>
      <c r="E51" s="64">
        <v>6.91</v>
      </c>
      <c r="F51" s="64">
        <v>4.38</v>
      </c>
      <c r="G51" s="64">
        <v>67.599999999999994</v>
      </c>
      <c r="H51" s="64">
        <v>35.880000000000003</v>
      </c>
      <c r="I51" s="64">
        <v>5.05</v>
      </c>
      <c r="J51" s="64">
        <v>1.83</v>
      </c>
      <c r="K51" s="64">
        <v>307.31</v>
      </c>
      <c r="L51" s="64">
        <v>23.34</v>
      </c>
      <c r="M51" s="64">
        <v>78.63</v>
      </c>
      <c r="N51" s="64">
        <v>580.29999999999995</v>
      </c>
      <c r="O51" s="64">
        <v>0</v>
      </c>
      <c r="P51" s="64">
        <v>0.81</v>
      </c>
      <c r="Q51" s="64">
        <v>9.0399999999999991</v>
      </c>
      <c r="R51" s="198"/>
      <c r="S51" s="198"/>
      <c r="T51" s="198"/>
      <c r="U51" s="198"/>
    </row>
    <row r="52" spans="1:21" s="12" customFormat="1" x14ac:dyDescent="0.25">
      <c r="A52" s="215" t="s">
        <v>1059</v>
      </c>
      <c r="B52" s="64">
        <v>21.17</v>
      </c>
      <c r="C52" s="64">
        <v>40.28</v>
      </c>
      <c r="D52" s="64">
        <v>36.65</v>
      </c>
      <c r="E52" s="64">
        <v>6.9</v>
      </c>
      <c r="F52" s="64">
        <v>4.04</v>
      </c>
      <c r="G52" s="64">
        <v>67.209999999999994</v>
      </c>
      <c r="H52" s="64">
        <v>37</v>
      </c>
      <c r="I52" s="64">
        <v>4.8600000000000003</v>
      </c>
      <c r="J52" s="64">
        <v>2.61</v>
      </c>
      <c r="K52" s="64">
        <v>307.69</v>
      </c>
      <c r="L52" s="64">
        <v>24.88</v>
      </c>
      <c r="M52" s="64">
        <v>71.81</v>
      </c>
      <c r="N52" s="64">
        <v>567.1</v>
      </c>
      <c r="O52" s="64">
        <v>0</v>
      </c>
      <c r="P52" s="64">
        <v>0.78</v>
      </c>
      <c r="Q52" s="64">
        <v>8.94</v>
      </c>
      <c r="R52" s="198"/>
      <c r="S52" s="198"/>
      <c r="T52" s="198"/>
      <c r="U52" s="198"/>
    </row>
    <row r="53" spans="1:21" s="12" customFormat="1" x14ac:dyDescent="0.25">
      <c r="A53" s="215" t="s">
        <v>1060</v>
      </c>
      <c r="B53" s="64">
        <v>19.22</v>
      </c>
      <c r="C53" s="64">
        <v>39.6</v>
      </c>
      <c r="D53" s="64">
        <v>34.729999999999997</v>
      </c>
      <c r="E53" s="64">
        <v>6.78</v>
      </c>
      <c r="F53" s="64">
        <v>4.22</v>
      </c>
      <c r="G53" s="64">
        <v>66.91</v>
      </c>
      <c r="H53" s="64">
        <v>37.39</v>
      </c>
      <c r="I53" s="64">
        <v>4.71</v>
      </c>
      <c r="J53" s="64">
        <v>2.12</v>
      </c>
      <c r="K53" s="64">
        <v>291.23</v>
      </c>
      <c r="L53" s="64">
        <v>24.27</v>
      </c>
      <c r="M53" s="64">
        <v>74.349999999999994</v>
      </c>
      <c r="N53" s="64">
        <v>321.60000000000002</v>
      </c>
      <c r="O53" s="64">
        <v>0</v>
      </c>
      <c r="P53" s="64">
        <v>0.79</v>
      </c>
      <c r="Q53" s="64">
        <v>8.7799999999999994</v>
      </c>
      <c r="R53" s="198"/>
      <c r="S53" s="198"/>
      <c r="T53" s="198"/>
      <c r="U53" s="198"/>
    </row>
    <row r="54" spans="1:21" s="12" customFormat="1" x14ac:dyDescent="0.25">
      <c r="A54" s="215" t="s">
        <v>1061</v>
      </c>
      <c r="B54" s="64">
        <v>17.64</v>
      </c>
      <c r="C54" s="64">
        <v>40.51</v>
      </c>
      <c r="D54" s="64">
        <v>33.94</v>
      </c>
      <c r="E54" s="64">
        <v>6.31</v>
      </c>
      <c r="F54" s="64">
        <v>4.5999999999999996</v>
      </c>
      <c r="G54" s="64">
        <v>66.91</v>
      </c>
      <c r="H54" s="64">
        <v>37.39</v>
      </c>
      <c r="I54" s="64">
        <v>4.32</v>
      </c>
      <c r="J54" s="64">
        <v>2.4</v>
      </c>
      <c r="K54" s="64">
        <v>293.64999999999998</v>
      </c>
      <c r="L54" s="64">
        <v>23.47</v>
      </c>
      <c r="M54" s="64">
        <v>76.8</v>
      </c>
      <c r="N54" s="64">
        <v>228.3</v>
      </c>
      <c r="O54" s="64">
        <v>0</v>
      </c>
      <c r="P54" s="64">
        <v>0.79</v>
      </c>
      <c r="Q54" s="64">
        <v>8.6300000000000008</v>
      </c>
      <c r="R54" s="198"/>
      <c r="S54" s="198"/>
      <c r="T54" s="198"/>
      <c r="U54" s="198"/>
    </row>
    <row r="55" spans="1:21" s="12" customFormat="1" x14ac:dyDescent="0.25">
      <c r="A55" s="215" t="s">
        <v>1062</v>
      </c>
      <c r="B55" s="64">
        <v>16.72</v>
      </c>
      <c r="C55" s="64">
        <v>48.53</v>
      </c>
      <c r="D55" s="64">
        <v>37.380000000000003</v>
      </c>
      <c r="E55" s="64">
        <v>6.63</v>
      </c>
      <c r="F55" s="64">
        <v>4.54</v>
      </c>
      <c r="G55" s="64">
        <v>66.91</v>
      </c>
      <c r="H55" s="64">
        <v>37.39</v>
      </c>
      <c r="I55" s="64">
        <v>4.3899999999999997</v>
      </c>
      <c r="J55" s="64">
        <v>2.78</v>
      </c>
      <c r="K55" s="64">
        <v>308.02999999999997</v>
      </c>
      <c r="L55" s="64">
        <v>23.72</v>
      </c>
      <c r="M55" s="64">
        <v>75.290000000000006</v>
      </c>
      <c r="N55" s="64">
        <v>220.3</v>
      </c>
      <c r="O55" s="64">
        <v>0</v>
      </c>
      <c r="P55" s="64">
        <v>0.81</v>
      </c>
      <c r="Q55" s="64">
        <v>8.57</v>
      </c>
      <c r="R55" s="198"/>
      <c r="S55" s="198"/>
      <c r="T55" s="198"/>
      <c r="U55" s="198"/>
    </row>
    <row r="56" spans="1:21" s="12" customFormat="1" x14ac:dyDescent="0.25">
      <c r="A56" s="215" t="s">
        <v>1063</v>
      </c>
      <c r="B56" s="64">
        <v>16.25</v>
      </c>
      <c r="C56" s="64">
        <v>40.64</v>
      </c>
      <c r="D56" s="64">
        <v>32.89</v>
      </c>
      <c r="E56" s="64">
        <v>6.6</v>
      </c>
      <c r="F56" s="64">
        <v>4.2300000000000004</v>
      </c>
      <c r="G56" s="64">
        <v>64.84</v>
      </c>
      <c r="H56" s="64">
        <v>33.880000000000003</v>
      </c>
      <c r="I56" s="64">
        <v>4.43</v>
      </c>
      <c r="J56" s="64">
        <v>3.04</v>
      </c>
      <c r="K56" s="64">
        <v>311.43</v>
      </c>
      <c r="L56" s="64">
        <v>24.12</v>
      </c>
      <c r="M56" s="64">
        <v>73.849999999999994</v>
      </c>
      <c r="N56" s="64">
        <v>311.60000000000002</v>
      </c>
      <c r="O56" s="64">
        <v>0</v>
      </c>
      <c r="P56" s="64">
        <v>0.81</v>
      </c>
      <c r="Q56" s="64">
        <v>8.5</v>
      </c>
      <c r="R56" s="198"/>
      <c r="S56" s="198"/>
      <c r="T56" s="198"/>
      <c r="U56" s="198"/>
    </row>
    <row r="57" spans="1:21" s="12" customFormat="1" x14ac:dyDescent="0.25">
      <c r="A57" s="215" t="s">
        <v>1064</v>
      </c>
      <c r="B57" s="64">
        <v>15.48</v>
      </c>
      <c r="C57" s="64">
        <v>33.950000000000003</v>
      </c>
      <c r="D57" s="64">
        <v>28.78</v>
      </c>
      <c r="E57" s="64">
        <v>5.93</v>
      </c>
      <c r="F57" s="64">
        <v>4.96</v>
      </c>
      <c r="G57" s="64">
        <v>63.26</v>
      </c>
      <c r="H57" s="64">
        <v>32.69</v>
      </c>
      <c r="I57" s="64">
        <v>4.4000000000000004</v>
      </c>
      <c r="J57" s="64">
        <v>1.75</v>
      </c>
      <c r="K57" s="64">
        <v>300.60000000000002</v>
      </c>
      <c r="L57" s="64">
        <v>25.1</v>
      </c>
      <c r="M57" s="64">
        <v>69.27</v>
      </c>
      <c r="N57" s="64">
        <v>614.70000000000005</v>
      </c>
      <c r="O57" s="64">
        <v>0</v>
      </c>
      <c r="P57" s="64">
        <v>0.83</v>
      </c>
      <c r="Q57" s="64">
        <v>8.26</v>
      </c>
      <c r="R57" s="198"/>
      <c r="S57" s="198"/>
      <c r="T57" s="198"/>
      <c r="U57" s="198"/>
    </row>
    <row r="58" spans="1:21" s="12" customFormat="1" x14ac:dyDescent="0.25">
      <c r="A58" s="215" t="s">
        <v>1065</v>
      </c>
      <c r="B58" s="64">
        <v>14</v>
      </c>
      <c r="C58" s="64">
        <v>44.09</v>
      </c>
      <c r="D58" s="64">
        <v>32.89</v>
      </c>
      <c r="E58" s="64">
        <v>5.97</v>
      </c>
      <c r="F58" s="64">
        <v>4.42</v>
      </c>
      <c r="G58" s="64">
        <v>63.26</v>
      </c>
      <c r="H58" s="64">
        <v>32.69</v>
      </c>
      <c r="I58" s="64">
        <v>4.29</v>
      </c>
      <c r="J58" s="64">
        <v>1.31</v>
      </c>
      <c r="K58" s="64">
        <v>299.95999999999998</v>
      </c>
      <c r="L58" s="64">
        <v>24.72</v>
      </c>
      <c r="M58" s="64">
        <v>68.8</v>
      </c>
      <c r="N58" s="64">
        <v>518.6</v>
      </c>
      <c r="O58" s="64">
        <v>0</v>
      </c>
      <c r="P58" s="64">
        <v>0.83</v>
      </c>
      <c r="Q58" s="64">
        <v>8.2100000000000009</v>
      </c>
      <c r="R58" s="198"/>
      <c r="S58" s="198"/>
      <c r="T58" s="198"/>
      <c r="U58" s="198"/>
    </row>
    <row r="59" spans="1:21" s="12" customFormat="1" x14ac:dyDescent="0.25">
      <c r="A59" s="215" t="s">
        <v>1066</v>
      </c>
      <c r="B59" s="64">
        <v>11.96</v>
      </c>
      <c r="C59" s="64">
        <v>41.49</v>
      </c>
      <c r="D59" s="64">
        <v>29.89</v>
      </c>
      <c r="E59" s="64">
        <v>6.39</v>
      </c>
      <c r="F59" s="64">
        <v>3.49</v>
      </c>
      <c r="G59" s="64">
        <v>63.26</v>
      </c>
      <c r="H59" s="64">
        <v>32.69</v>
      </c>
      <c r="I59" s="64">
        <v>4.18</v>
      </c>
      <c r="J59" s="64">
        <v>3.3</v>
      </c>
      <c r="K59" s="64">
        <v>324.70999999999998</v>
      </c>
      <c r="L59" s="64">
        <v>26.02</v>
      </c>
      <c r="M59" s="64">
        <v>62.94</v>
      </c>
      <c r="N59" s="64">
        <v>603.6</v>
      </c>
      <c r="O59" s="64">
        <v>0</v>
      </c>
      <c r="P59" s="64">
        <v>0.8</v>
      </c>
      <c r="Q59" s="64">
        <v>8.2100000000000009</v>
      </c>
      <c r="R59" s="198"/>
      <c r="S59" s="198"/>
      <c r="T59" s="198"/>
      <c r="U59" s="198"/>
    </row>
    <row r="60" spans="1:21" s="12" customFormat="1" x14ac:dyDescent="0.25">
      <c r="A60" s="215" t="s">
        <v>1067</v>
      </c>
      <c r="B60" s="64">
        <v>10.64</v>
      </c>
      <c r="C60" s="64">
        <v>36.74</v>
      </c>
      <c r="D60" s="64">
        <v>26.35</v>
      </c>
      <c r="E60" s="64">
        <v>5.87</v>
      </c>
      <c r="F60" s="64">
        <v>4.84</v>
      </c>
      <c r="G60" s="64">
        <v>63.66</v>
      </c>
      <c r="H60" s="64">
        <v>32.1</v>
      </c>
      <c r="I60" s="64">
        <v>4.22</v>
      </c>
      <c r="J60" s="64">
        <v>4.29</v>
      </c>
      <c r="K60" s="64">
        <v>328.1</v>
      </c>
      <c r="L60" s="64">
        <v>26.6</v>
      </c>
      <c r="M60" s="64">
        <v>63.88</v>
      </c>
      <c r="N60" s="64">
        <v>344</v>
      </c>
      <c r="O60" s="64">
        <v>0</v>
      </c>
      <c r="P60" s="64">
        <v>0.81</v>
      </c>
      <c r="Q60" s="64">
        <v>8.2100000000000009</v>
      </c>
      <c r="R60" s="198"/>
      <c r="S60" s="198"/>
      <c r="T60" s="198"/>
      <c r="U60" s="198"/>
    </row>
    <row r="61" spans="1:21" s="12" customFormat="1" x14ac:dyDescent="0.25">
      <c r="A61" s="215" t="s">
        <v>1068</v>
      </c>
      <c r="B61" s="64">
        <v>9.77</v>
      </c>
      <c r="C61" s="64">
        <v>45.49</v>
      </c>
      <c r="D61" s="64">
        <v>30.22</v>
      </c>
      <c r="E61" s="64">
        <v>6.35</v>
      </c>
      <c r="F61" s="64">
        <v>4.0999999999999996</v>
      </c>
      <c r="G61" s="64">
        <v>63.97</v>
      </c>
      <c r="H61" s="64">
        <v>31.9</v>
      </c>
      <c r="I61" s="64">
        <v>4.0199999999999996</v>
      </c>
      <c r="J61" s="64">
        <v>4.08</v>
      </c>
      <c r="K61" s="64">
        <v>336.77</v>
      </c>
      <c r="L61" s="64">
        <v>26.33</v>
      </c>
      <c r="M61" s="64">
        <v>63.61</v>
      </c>
      <c r="N61" s="64">
        <v>516.6</v>
      </c>
      <c r="O61" s="64">
        <v>0</v>
      </c>
      <c r="P61" s="64">
        <v>0.79</v>
      </c>
      <c r="Q61" s="64">
        <v>8.2100000000000009</v>
      </c>
      <c r="R61" s="198"/>
      <c r="S61" s="198"/>
      <c r="T61" s="198"/>
      <c r="U61" s="198"/>
    </row>
    <row r="62" spans="1:21" s="12" customFormat="1" x14ac:dyDescent="0.25">
      <c r="A62" s="215" t="s">
        <v>1069</v>
      </c>
      <c r="B62" s="64">
        <v>9.1199999999999992</v>
      </c>
      <c r="C62" s="64">
        <v>40.07</v>
      </c>
      <c r="D62" s="64">
        <v>26.87</v>
      </c>
      <c r="E62" s="64">
        <v>6.56</v>
      </c>
      <c r="F62" s="64">
        <v>4.3499999999999996</v>
      </c>
      <c r="G62" s="64">
        <v>63.97</v>
      </c>
      <c r="H62" s="64">
        <v>31.9</v>
      </c>
      <c r="I62" s="64">
        <v>4.09</v>
      </c>
      <c r="J62" s="64">
        <v>3.79</v>
      </c>
      <c r="K62" s="64">
        <v>329.11</v>
      </c>
      <c r="L62" s="64">
        <v>26.39</v>
      </c>
      <c r="M62" s="64">
        <v>62.36</v>
      </c>
      <c r="N62" s="64">
        <v>397.1</v>
      </c>
      <c r="O62" s="64">
        <v>0</v>
      </c>
      <c r="P62" s="64">
        <v>0.8</v>
      </c>
      <c r="Q62" s="64">
        <v>8.2100000000000009</v>
      </c>
      <c r="R62" s="198"/>
      <c r="S62" s="198"/>
      <c r="T62" s="198"/>
      <c r="U62" s="198"/>
    </row>
    <row r="63" spans="1:21" s="12" customFormat="1" x14ac:dyDescent="0.25">
      <c r="A63" s="215" t="s">
        <v>1070</v>
      </c>
      <c r="B63" s="64">
        <v>8.4</v>
      </c>
      <c r="C63" s="64">
        <v>40.729999999999997</v>
      </c>
      <c r="D63" s="64">
        <v>26.64</v>
      </c>
      <c r="E63" s="64">
        <v>6.27</v>
      </c>
      <c r="F63" s="64">
        <v>4.5599999999999996</v>
      </c>
      <c r="G63" s="64">
        <v>63.97</v>
      </c>
      <c r="H63" s="64">
        <v>31.9</v>
      </c>
      <c r="I63" s="64">
        <v>4.03</v>
      </c>
      <c r="J63" s="64">
        <v>3.24</v>
      </c>
      <c r="K63" s="64">
        <v>318.57</v>
      </c>
      <c r="L63" s="64">
        <v>26.07</v>
      </c>
      <c r="M63" s="64">
        <v>62.69</v>
      </c>
      <c r="N63" s="64">
        <v>365.5</v>
      </c>
      <c r="O63" s="64">
        <v>0</v>
      </c>
      <c r="P63" s="64">
        <v>0.8</v>
      </c>
      <c r="Q63" s="64">
        <v>8.2100000000000009</v>
      </c>
      <c r="R63" s="198"/>
      <c r="S63" s="198"/>
      <c r="T63" s="198"/>
      <c r="U63" s="198"/>
    </row>
    <row r="64" spans="1:21" s="12" customFormat="1" x14ac:dyDescent="0.25">
      <c r="A64" s="215" t="s">
        <v>1071</v>
      </c>
      <c r="B64" s="64">
        <v>7.93</v>
      </c>
      <c r="C64" s="64">
        <v>39.57</v>
      </c>
      <c r="D64" s="64">
        <v>25.65</v>
      </c>
      <c r="E64" s="64">
        <v>6.13</v>
      </c>
      <c r="F64" s="64">
        <v>4.9800000000000004</v>
      </c>
      <c r="G64" s="64">
        <v>63.94</v>
      </c>
      <c r="H64" s="64">
        <v>33.68</v>
      </c>
      <c r="I64" s="64">
        <v>4.04</v>
      </c>
      <c r="J64" s="64">
        <v>3.2</v>
      </c>
      <c r="K64" s="64">
        <v>317.92</v>
      </c>
      <c r="L64" s="64">
        <v>26.06</v>
      </c>
      <c r="M64" s="64">
        <v>61.26</v>
      </c>
      <c r="N64" s="64">
        <v>365.5</v>
      </c>
      <c r="O64" s="64">
        <v>0</v>
      </c>
      <c r="P64" s="64">
        <v>0.77</v>
      </c>
      <c r="Q64" s="64">
        <v>8.2100000000000009</v>
      </c>
      <c r="R64" s="198"/>
      <c r="S64" s="198"/>
      <c r="T64" s="198"/>
      <c r="U64" s="198"/>
    </row>
    <row r="65" spans="1:21" s="12" customFormat="1" x14ac:dyDescent="0.25">
      <c r="A65" s="215" t="s">
        <v>1072</v>
      </c>
      <c r="B65" s="64">
        <v>7.34</v>
      </c>
      <c r="C65" s="64">
        <v>38.11</v>
      </c>
      <c r="D65" s="64">
        <v>24.42</v>
      </c>
      <c r="E65" s="64">
        <v>6.67</v>
      </c>
      <c r="F65" s="64">
        <v>4.53</v>
      </c>
      <c r="G65" s="64">
        <v>63.92</v>
      </c>
      <c r="H65" s="64">
        <v>34.79</v>
      </c>
      <c r="I65" s="64">
        <v>3.95</v>
      </c>
      <c r="J65" s="64">
        <v>3.26</v>
      </c>
      <c r="K65" s="64">
        <v>320.95999999999998</v>
      </c>
      <c r="L65" s="64">
        <v>26.37</v>
      </c>
      <c r="M65" s="64">
        <v>58.74</v>
      </c>
      <c r="N65" s="64">
        <v>267</v>
      </c>
      <c r="O65" s="64">
        <v>0</v>
      </c>
      <c r="P65" s="64">
        <v>0.76</v>
      </c>
      <c r="Q65" s="64">
        <v>8.2100000000000009</v>
      </c>
      <c r="R65" s="198"/>
      <c r="S65" s="198"/>
      <c r="T65" s="198"/>
      <c r="U65" s="198"/>
    </row>
    <row r="66" spans="1:21" s="12" customFormat="1" x14ac:dyDescent="0.25">
      <c r="A66" s="215" t="s">
        <v>1073</v>
      </c>
      <c r="B66" s="64">
        <v>6.8</v>
      </c>
      <c r="C66" s="64">
        <v>37.58</v>
      </c>
      <c r="D66" s="64">
        <v>23.71</v>
      </c>
      <c r="E66" s="64">
        <v>6.56</v>
      </c>
      <c r="F66" s="64">
        <v>4.5999999999999996</v>
      </c>
      <c r="G66" s="64">
        <v>63.92</v>
      </c>
      <c r="H66" s="64">
        <v>34.79</v>
      </c>
      <c r="I66" s="64">
        <v>3.72</v>
      </c>
      <c r="J66" s="64">
        <v>3.08</v>
      </c>
      <c r="K66" s="64">
        <v>308.22000000000003</v>
      </c>
      <c r="L66" s="64">
        <v>26.27</v>
      </c>
      <c r="M66" s="64">
        <v>57.65</v>
      </c>
      <c r="N66" s="64">
        <v>247.4</v>
      </c>
      <c r="O66" s="64">
        <v>0</v>
      </c>
      <c r="P66" s="64">
        <v>0.77</v>
      </c>
      <c r="Q66" s="64">
        <v>8.2100000000000009</v>
      </c>
      <c r="R66" s="198"/>
      <c r="S66" s="198"/>
      <c r="T66" s="198"/>
      <c r="U66" s="198"/>
    </row>
    <row r="67" spans="1:21" s="12" customFormat="1" x14ac:dyDescent="0.25">
      <c r="A67" s="215" t="s">
        <v>1074</v>
      </c>
      <c r="B67" s="64">
        <v>6.36</v>
      </c>
      <c r="C67" s="64">
        <v>37.479999999999997</v>
      </c>
      <c r="D67" s="64">
        <v>23.3</v>
      </c>
      <c r="E67" s="64">
        <v>6.38</v>
      </c>
      <c r="F67" s="64">
        <v>4.9400000000000004</v>
      </c>
      <c r="G67" s="64">
        <v>63.92</v>
      </c>
      <c r="H67" s="64">
        <v>34.79</v>
      </c>
      <c r="I67" s="64">
        <v>3.4</v>
      </c>
      <c r="J67" s="64">
        <v>3.38</v>
      </c>
      <c r="K67" s="64">
        <v>311.38</v>
      </c>
      <c r="L67" s="64">
        <v>25.96</v>
      </c>
      <c r="M67" s="64">
        <v>59.47</v>
      </c>
      <c r="N67" s="64">
        <v>229.9</v>
      </c>
      <c r="O67" s="64">
        <v>0</v>
      </c>
      <c r="P67" s="64">
        <v>0.78</v>
      </c>
      <c r="Q67" s="64">
        <v>8.2100000000000009</v>
      </c>
      <c r="R67" s="198"/>
      <c r="S67" s="198"/>
      <c r="T67" s="198"/>
      <c r="U67" s="198"/>
    </row>
    <row r="68" spans="1:21" s="12" customFormat="1" x14ac:dyDescent="0.25">
      <c r="A68" s="215" t="s">
        <v>1075</v>
      </c>
      <c r="B68" s="64">
        <v>5.68</v>
      </c>
      <c r="C68" s="64">
        <v>37.450000000000003</v>
      </c>
      <c r="D68" s="64">
        <v>22.74</v>
      </c>
      <c r="E68" s="64">
        <v>6.65</v>
      </c>
      <c r="F68" s="64">
        <v>4.95</v>
      </c>
      <c r="G68" s="64">
        <v>60.24</v>
      </c>
      <c r="H68" s="64">
        <v>34.369999999999997</v>
      </c>
      <c r="I68" s="64">
        <v>3.62</v>
      </c>
      <c r="J68" s="64">
        <v>3.67</v>
      </c>
      <c r="K68" s="64">
        <v>328.33</v>
      </c>
      <c r="L68" s="64">
        <v>25.53</v>
      </c>
      <c r="M68" s="64">
        <v>60.7</v>
      </c>
      <c r="N68" s="64">
        <v>211.7</v>
      </c>
      <c r="O68" s="64">
        <v>0</v>
      </c>
      <c r="P68" s="64">
        <v>0.75</v>
      </c>
      <c r="Q68" s="64">
        <v>8.2100000000000009</v>
      </c>
      <c r="R68" s="198"/>
      <c r="S68" s="198"/>
      <c r="T68" s="198"/>
      <c r="U68" s="198"/>
    </row>
    <row r="69" spans="1:21" s="12" customFormat="1" x14ac:dyDescent="0.25">
      <c r="A69" s="215" t="s">
        <v>1076</v>
      </c>
      <c r="B69" s="64">
        <v>5.16</v>
      </c>
      <c r="C69" s="64">
        <v>37.54</v>
      </c>
      <c r="D69" s="64">
        <v>22.37</v>
      </c>
      <c r="E69" s="64">
        <v>6.84</v>
      </c>
      <c r="F69" s="64">
        <v>4.7</v>
      </c>
      <c r="G69" s="64">
        <v>57.42</v>
      </c>
      <c r="H69" s="64">
        <v>34.229999999999997</v>
      </c>
      <c r="I69" s="64">
        <v>3.66</v>
      </c>
      <c r="J69" s="64">
        <v>3.74</v>
      </c>
      <c r="K69" s="64">
        <v>326.02</v>
      </c>
      <c r="L69" s="64">
        <v>24.93</v>
      </c>
      <c r="M69" s="64">
        <v>61.63</v>
      </c>
      <c r="N69" s="64">
        <v>206.8</v>
      </c>
      <c r="O69" s="64">
        <v>0</v>
      </c>
      <c r="P69" s="64">
        <v>0.75</v>
      </c>
      <c r="Q69" s="64">
        <v>8.2100000000000009</v>
      </c>
      <c r="R69" s="198"/>
      <c r="S69" s="198"/>
      <c r="T69" s="198"/>
      <c r="U69" s="198"/>
    </row>
    <row r="70" spans="1:21" s="12" customFormat="1" x14ac:dyDescent="0.25">
      <c r="A70" s="215" t="s">
        <v>1077</v>
      </c>
      <c r="B70" s="64">
        <v>4.9400000000000004</v>
      </c>
      <c r="C70" s="64">
        <v>37.53</v>
      </c>
      <c r="D70" s="64">
        <v>22.19</v>
      </c>
      <c r="E70" s="64">
        <v>6.69</v>
      </c>
      <c r="F70" s="64">
        <v>5.24</v>
      </c>
      <c r="G70" s="64">
        <v>57.42</v>
      </c>
      <c r="H70" s="64">
        <v>34.229999999999997</v>
      </c>
      <c r="I70" s="64">
        <v>3.43</v>
      </c>
      <c r="J70" s="64">
        <v>3.75</v>
      </c>
      <c r="K70" s="64">
        <v>327.37</v>
      </c>
      <c r="L70" s="64">
        <v>24.63</v>
      </c>
      <c r="M70" s="64">
        <v>62.14</v>
      </c>
      <c r="N70" s="64">
        <v>190.9</v>
      </c>
      <c r="O70" s="64">
        <v>0</v>
      </c>
      <c r="P70" s="64">
        <v>0.74</v>
      </c>
      <c r="Q70" s="64">
        <v>8.2100000000000009</v>
      </c>
      <c r="R70" s="198"/>
      <c r="S70" s="198"/>
      <c r="T70" s="198"/>
      <c r="U70" s="198"/>
    </row>
    <row r="71" spans="1:21" s="12" customFormat="1" x14ac:dyDescent="0.25">
      <c r="A71" s="215" t="s">
        <v>1078</v>
      </c>
      <c r="B71" s="64">
        <v>4.95</v>
      </c>
      <c r="C71" s="64">
        <v>43.7</v>
      </c>
      <c r="D71" s="64">
        <v>25.42</v>
      </c>
      <c r="E71" s="64">
        <v>6.77</v>
      </c>
      <c r="F71" s="64">
        <v>5.51</v>
      </c>
      <c r="G71" s="64">
        <v>57.42</v>
      </c>
      <c r="H71" s="64">
        <v>34.229999999999997</v>
      </c>
      <c r="I71" s="64">
        <v>3.4</v>
      </c>
      <c r="J71" s="64">
        <v>3.53</v>
      </c>
      <c r="K71" s="64">
        <v>331.6</v>
      </c>
      <c r="L71" s="64">
        <v>24.25</v>
      </c>
      <c r="M71" s="64">
        <v>63.65</v>
      </c>
      <c r="N71" s="64">
        <v>173.8</v>
      </c>
      <c r="O71" s="64">
        <v>0</v>
      </c>
      <c r="P71" s="64">
        <v>0.76</v>
      </c>
      <c r="Q71" s="64">
        <v>8.2100000000000009</v>
      </c>
      <c r="R71" s="198"/>
      <c r="S71" s="198"/>
      <c r="T71" s="198"/>
      <c r="U71" s="198"/>
    </row>
    <row r="72" spans="1:21" s="12" customFormat="1" x14ac:dyDescent="0.25">
      <c r="A72" s="215" t="s">
        <v>1079</v>
      </c>
      <c r="B72" s="64">
        <v>4.97</v>
      </c>
      <c r="C72" s="64">
        <v>46.12</v>
      </c>
      <c r="D72" s="64">
        <v>26.71</v>
      </c>
      <c r="E72" s="64">
        <v>5.34</v>
      </c>
      <c r="F72" s="64">
        <v>4.07</v>
      </c>
      <c r="G72" s="64">
        <v>61.69</v>
      </c>
      <c r="H72" s="64">
        <v>32.979999999999997</v>
      </c>
      <c r="I72" s="64">
        <v>3.54</v>
      </c>
      <c r="J72" s="64">
        <v>3.61</v>
      </c>
      <c r="K72" s="64">
        <v>331.2</v>
      </c>
      <c r="L72" s="64">
        <v>23.69</v>
      </c>
      <c r="M72" s="64">
        <v>64.75</v>
      </c>
      <c r="N72" s="64">
        <v>137.1</v>
      </c>
      <c r="O72" s="64">
        <v>0</v>
      </c>
      <c r="P72" s="64">
        <v>0.75</v>
      </c>
      <c r="Q72" s="64">
        <v>8.2100000000000009</v>
      </c>
      <c r="R72" s="198"/>
      <c r="S72" s="198"/>
      <c r="T72" s="198"/>
      <c r="U72" s="198"/>
    </row>
    <row r="73" spans="1:21" s="12" customFormat="1" x14ac:dyDescent="0.25">
      <c r="A73" s="215" t="s">
        <v>1080</v>
      </c>
      <c r="B73" s="64">
        <v>4.9400000000000004</v>
      </c>
      <c r="C73" s="64">
        <v>38.450000000000003</v>
      </c>
      <c r="D73" s="64">
        <v>22.67</v>
      </c>
      <c r="E73" s="64">
        <v>5.81</v>
      </c>
      <c r="F73" s="64">
        <v>5.34</v>
      </c>
      <c r="G73" s="64">
        <v>64.95</v>
      </c>
      <c r="H73" s="64">
        <v>32.56</v>
      </c>
      <c r="I73" s="64">
        <v>3.72</v>
      </c>
      <c r="J73" s="64">
        <v>3.76</v>
      </c>
      <c r="K73" s="64">
        <v>339.86</v>
      </c>
      <c r="L73" s="64">
        <v>23.14</v>
      </c>
      <c r="M73" s="64">
        <v>66.75</v>
      </c>
      <c r="N73" s="64">
        <v>128.4</v>
      </c>
      <c r="O73" s="64">
        <v>0</v>
      </c>
      <c r="P73" s="64">
        <v>0.75</v>
      </c>
      <c r="Q73" s="64">
        <v>8.2100000000000009</v>
      </c>
      <c r="R73" s="198"/>
      <c r="S73" s="198"/>
      <c r="T73" s="198"/>
      <c r="U73" s="198"/>
    </row>
    <row r="74" spans="1:21" s="12" customFormat="1" x14ac:dyDescent="0.25">
      <c r="A74" s="215" t="s">
        <v>1081</v>
      </c>
      <c r="B74" s="64">
        <v>5.13</v>
      </c>
      <c r="C74" s="64">
        <v>46.97</v>
      </c>
      <c r="D74" s="64">
        <v>27.28</v>
      </c>
      <c r="E74" s="64">
        <v>6.18</v>
      </c>
      <c r="F74" s="64">
        <v>5.04</v>
      </c>
      <c r="G74" s="64">
        <v>64.95</v>
      </c>
      <c r="H74" s="64">
        <v>32.56</v>
      </c>
      <c r="I74" s="64">
        <v>3.53</v>
      </c>
      <c r="J74" s="64">
        <v>3.6</v>
      </c>
      <c r="K74" s="64">
        <v>342.4</v>
      </c>
      <c r="L74" s="64">
        <v>22.83</v>
      </c>
      <c r="M74" s="64">
        <v>67.7</v>
      </c>
      <c r="N74" s="64">
        <v>126.1</v>
      </c>
      <c r="O74" s="64">
        <v>0</v>
      </c>
      <c r="P74" s="64">
        <v>0.78</v>
      </c>
      <c r="Q74" s="64">
        <v>8.2100000000000009</v>
      </c>
      <c r="R74" s="198"/>
      <c r="S74" s="198"/>
      <c r="T74" s="198"/>
      <c r="U74" s="198"/>
    </row>
    <row r="75" spans="1:21" s="12" customFormat="1" x14ac:dyDescent="0.25">
      <c r="A75" s="215" t="s">
        <v>1082</v>
      </c>
      <c r="B75" s="64">
        <v>5.53</v>
      </c>
      <c r="C75" s="64">
        <v>43.99</v>
      </c>
      <c r="D75" s="64">
        <v>26.04</v>
      </c>
      <c r="E75" s="64">
        <v>6.61</v>
      </c>
      <c r="F75" s="64">
        <v>4.01</v>
      </c>
      <c r="G75" s="64">
        <v>64.95</v>
      </c>
      <c r="H75" s="64">
        <v>32.56</v>
      </c>
      <c r="I75" s="64">
        <v>3.58</v>
      </c>
      <c r="J75" s="64">
        <v>3.57</v>
      </c>
      <c r="K75" s="64">
        <v>338.87</v>
      </c>
      <c r="L75" s="64">
        <v>22.84</v>
      </c>
      <c r="M75" s="64">
        <v>67.25</v>
      </c>
      <c r="N75" s="64">
        <v>141.30000000000001</v>
      </c>
      <c r="O75" s="64">
        <v>0</v>
      </c>
      <c r="P75" s="64">
        <v>0.8</v>
      </c>
      <c r="Q75" s="64">
        <v>8.2100000000000009</v>
      </c>
      <c r="R75" s="198"/>
      <c r="S75" s="198"/>
      <c r="T75" s="198"/>
      <c r="U75" s="198"/>
    </row>
    <row r="76" spans="1:21" s="12" customFormat="1" x14ac:dyDescent="0.25">
      <c r="A76" s="215" t="s">
        <v>1083</v>
      </c>
      <c r="B76" s="64">
        <v>6.11</v>
      </c>
      <c r="C76" s="64">
        <v>41.58</v>
      </c>
      <c r="D76" s="64">
        <v>25.25</v>
      </c>
      <c r="E76" s="64">
        <v>6.05</v>
      </c>
      <c r="F76" s="64">
        <v>5.07</v>
      </c>
      <c r="G76" s="64">
        <v>66.36</v>
      </c>
      <c r="H76" s="64">
        <v>32.28</v>
      </c>
      <c r="I76" s="64">
        <v>3.67</v>
      </c>
      <c r="J76" s="64">
        <v>3.18</v>
      </c>
      <c r="K76" s="64">
        <v>347.21</v>
      </c>
      <c r="L76" s="64">
        <v>22.75</v>
      </c>
      <c r="M76" s="64">
        <v>67.58</v>
      </c>
      <c r="N76" s="64">
        <v>126.2</v>
      </c>
      <c r="O76" s="64">
        <v>0</v>
      </c>
      <c r="P76" s="64">
        <v>0.82</v>
      </c>
      <c r="Q76" s="64">
        <v>8.2100000000000009</v>
      </c>
      <c r="R76" s="198"/>
      <c r="S76" s="198"/>
      <c r="T76" s="198"/>
      <c r="U76" s="198"/>
    </row>
    <row r="77" spans="1:21" s="12" customFormat="1" x14ac:dyDescent="0.25">
      <c r="A77" s="215" t="s">
        <v>1084</v>
      </c>
      <c r="B77" s="64">
        <v>7.13</v>
      </c>
      <c r="C77" s="64">
        <v>50.17</v>
      </c>
      <c r="D77" s="64">
        <v>30.55</v>
      </c>
      <c r="E77" s="64">
        <v>6.3</v>
      </c>
      <c r="F77" s="64">
        <v>4.34</v>
      </c>
      <c r="G77" s="64">
        <v>67.430000000000007</v>
      </c>
      <c r="H77" s="64">
        <v>32.200000000000003</v>
      </c>
      <c r="I77" s="64">
        <v>3.64</v>
      </c>
      <c r="J77" s="64">
        <v>2.86</v>
      </c>
      <c r="K77" s="64">
        <v>344.66</v>
      </c>
      <c r="L77" s="64">
        <v>22.25</v>
      </c>
      <c r="M77" s="64">
        <v>69.599999999999994</v>
      </c>
      <c r="N77" s="64">
        <v>109</v>
      </c>
      <c r="O77" s="64">
        <v>0</v>
      </c>
      <c r="P77" s="64">
        <v>1.07</v>
      </c>
      <c r="Q77" s="64">
        <v>8.2100000000000009</v>
      </c>
      <c r="R77" s="198"/>
      <c r="S77" s="198"/>
      <c r="T77" s="198"/>
      <c r="U77" s="198"/>
    </row>
    <row r="78" spans="1:21" s="12" customFormat="1" x14ac:dyDescent="0.25">
      <c r="A78" s="215" t="s">
        <v>1085</v>
      </c>
      <c r="B78" s="64">
        <v>9.66</v>
      </c>
      <c r="C78" s="64">
        <v>43.27</v>
      </c>
      <c r="D78" s="64">
        <v>28.98</v>
      </c>
      <c r="E78" s="64">
        <v>6.35</v>
      </c>
      <c r="F78" s="64">
        <v>4.43</v>
      </c>
      <c r="G78" s="64">
        <v>67.430000000000007</v>
      </c>
      <c r="H78" s="64">
        <v>32.200000000000003</v>
      </c>
      <c r="I78" s="64">
        <v>4</v>
      </c>
      <c r="J78" s="64">
        <v>2.2400000000000002</v>
      </c>
      <c r="K78" s="64">
        <v>326.39</v>
      </c>
      <c r="L78" s="64">
        <v>21.58</v>
      </c>
      <c r="M78" s="64">
        <v>72.959999999999994</v>
      </c>
      <c r="N78" s="64">
        <v>103.1</v>
      </c>
      <c r="O78" s="64">
        <v>0</v>
      </c>
      <c r="P78" s="64">
        <v>1.25</v>
      </c>
      <c r="Q78" s="64">
        <v>8.2100000000000009</v>
      </c>
      <c r="R78" s="198"/>
      <c r="S78" s="198"/>
      <c r="T78" s="198"/>
      <c r="U78" s="198"/>
    </row>
    <row r="79" spans="1:21" s="12" customFormat="1" x14ac:dyDescent="0.25">
      <c r="A79" s="215" t="s">
        <v>1086</v>
      </c>
      <c r="B79" s="64">
        <v>12.37</v>
      </c>
      <c r="C79" s="64">
        <v>49.69</v>
      </c>
      <c r="D79" s="64">
        <v>34.51</v>
      </c>
      <c r="E79" s="64">
        <v>6.16</v>
      </c>
      <c r="F79" s="64">
        <v>4.0999999999999996</v>
      </c>
      <c r="G79" s="64">
        <v>67.430000000000007</v>
      </c>
      <c r="H79" s="64">
        <v>32.200000000000003</v>
      </c>
      <c r="I79" s="64">
        <v>4.34</v>
      </c>
      <c r="J79" s="64">
        <v>1.2</v>
      </c>
      <c r="K79" s="64">
        <v>254.94</v>
      </c>
      <c r="L79" s="64">
        <v>20.84</v>
      </c>
      <c r="M79" s="64">
        <v>76.44</v>
      </c>
      <c r="N79" s="64">
        <v>100.6</v>
      </c>
      <c r="O79" s="64">
        <v>0</v>
      </c>
      <c r="P79" s="64">
        <v>1.03</v>
      </c>
      <c r="Q79" s="64">
        <v>8.2100000000000009</v>
      </c>
      <c r="R79" s="198"/>
      <c r="S79" s="198"/>
      <c r="T79" s="198"/>
      <c r="U79" s="198"/>
    </row>
    <row r="80" spans="1:21" s="12" customFormat="1" x14ac:dyDescent="0.25">
      <c r="A80" s="215" t="s">
        <v>1087</v>
      </c>
      <c r="B80" s="64">
        <v>13.51</v>
      </c>
      <c r="C80" s="64">
        <v>49.56</v>
      </c>
      <c r="D80" s="64">
        <v>35.35</v>
      </c>
      <c r="E80" s="64">
        <v>5.96</v>
      </c>
      <c r="F80" s="64">
        <v>4.1399999999999997</v>
      </c>
      <c r="G80" s="64">
        <v>72.61</v>
      </c>
      <c r="H80" s="64">
        <v>38.159999999999997</v>
      </c>
      <c r="I80" s="64">
        <v>4.92</v>
      </c>
      <c r="J80" s="64">
        <v>2.2200000000000002</v>
      </c>
      <c r="K80" s="64">
        <v>278.44</v>
      </c>
      <c r="L80" s="64">
        <v>20.350000000000001</v>
      </c>
      <c r="M80" s="64">
        <v>79.790000000000006</v>
      </c>
      <c r="N80" s="64">
        <v>100</v>
      </c>
      <c r="O80" s="64">
        <v>0</v>
      </c>
      <c r="P80" s="64">
        <v>1.42</v>
      </c>
      <c r="Q80" s="64">
        <v>8.2100000000000009</v>
      </c>
      <c r="R80" s="198"/>
      <c r="S80" s="198"/>
      <c r="T80" s="198"/>
      <c r="U80" s="198"/>
    </row>
    <row r="81" spans="1:26" s="12" customFormat="1" x14ac:dyDescent="0.25">
      <c r="A81" s="215" t="s">
        <v>1088</v>
      </c>
      <c r="B81" s="64">
        <v>14.63</v>
      </c>
      <c r="C81" s="64">
        <v>45.05</v>
      </c>
      <c r="D81" s="64">
        <v>33.89</v>
      </c>
      <c r="E81" s="64">
        <v>6.4</v>
      </c>
      <c r="F81" s="64">
        <v>4.2699999999999996</v>
      </c>
      <c r="G81" s="64">
        <v>76.569999999999993</v>
      </c>
      <c r="H81" s="64">
        <v>42.06</v>
      </c>
      <c r="I81" s="64">
        <v>4.6399999999999997</v>
      </c>
      <c r="J81" s="64">
        <v>0.98</v>
      </c>
      <c r="K81" s="64">
        <v>155.6</v>
      </c>
      <c r="L81" s="64">
        <v>20</v>
      </c>
      <c r="M81" s="64">
        <v>82.03</v>
      </c>
      <c r="N81" s="64">
        <v>100.5</v>
      </c>
      <c r="O81" s="64">
        <v>0</v>
      </c>
      <c r="P81" s="64">
        <v>1.47</v>
      </c>
      <c r="Q81" s="64">
        <v>8.2100000000000009</v>
      </c>
      <c r="R81" s="198"/>
      <c r="S81" s="198"/>
      <c r="T81" s="198"/>
      <c r="U81" s="198"/>
    </row>
    <row r="82" spans="1:26" s="12" customFormat="1" x14ac:dyDescent="0.25">
      <c r="A82" s="215" t="s">
        <v>1089</v>
      </c>
      <c r="B82" s="64">
        <v>15.57</v>
      </c>
      <c r="C82" s="64">
        <v>43.06</v>
      </c>
      <c r="D82" s="64">
        <v>33.61</v>
      </c>
      <c r="E82" s="64">
        <v>6.33</v>
      </c>
      <c r="F82" s="64">
        <v>3.78</v>
      </c>
      <c r="G82" s="64">
        <v>76.569999999999993</v>
      </c>
      <c r="H82" s="64">
        <v>42.06</v>
      </c>
      <c r="I82" s="64">
        <v>6.03</v>
      </c>
      <c r="J82" s="64">
        <v>1.92</v>
      </c>
      <c r="K82" s="64">
        <v>269.89999999999998</v>
      </c>
      <c r="L82" s="64">
        <v>19.89</v>
      </c>
      <c r="M82" s="64">
        <v>79.59</v>
      </c>
      <c r="N82" s="64">
        <v>97.4</v>
      </c>
      <c r="O82" s="64">
        <v>0</v>
      </c>
      <c r="P82" s="64">
        <v>1.38</v>
      </c>
      <c r="Q82" s="64">
        <v>8.24</v>
      </c>
      <c r="R82" s="198"/>
      <c r="S82" s="198"/>
      <c r="T82" s="198"/>
      <c r="U82" s="198"/>
    </row>
    <row r="83" spans="1:26" s="12" customFormat="1" x14ac:dyDescent="0.25">
      <c r="A83" s="215" t="s">
        <v>1090</v>
      </c>
      <c r="B83" s="64">
        <v>16.77</v>
      </c>
      <c r="C83" s="64">
        <v>41.98</v>
      </c>
      <c r="D83" s="64">
        <v>34.01</v>
      </c>
      <c r="E83" s="64">
        <v>6.36</v>
      </c>
      <c r="F83" s="64">
        <v>4.18</v>
      </c>
      <c r="G83" s="64">
        <v>76.569999999999993</v>
      </c>
      <c r="H83" s="64">
        <v>42.06</v>
      </c>
      <c r="I83" s="64">
        <v>5.28</v>
      </c>
      <c r="J83" s="64">
        <v>2.39</v>
      </c>
      <c r="K83" s="64">
        <v>323.01</v>
      </c>
      <c r="L83" s="64">
        <v>19.73</v>
      </c>
      <c r="M83" s="64">
        <v>80.540000000000006</v>
      </c>
      <c r="N83" s="64">
        <v>98.2</v>
      </c>
      <c r="O83" s="64">
        <v>0</v>
      </c>
      <c r="P83" s="64">
        <v>1.47</v>
      </c>
      <c r="Q83" s="64">
        <v>8.34</v>
      </c>
      <c r="R83" s="198"/>
      <c r="S83" s="198"/>
      <c r="T83" s="198"/>
      <c r="U83" s="198"/>
    </row>
    <row r="84" spans="1:26" s="12" customFormat="1" x14ac:dyDescent="0.25">
      <c r="A84" s="215" t="s">
        <v>1091</v>
      </c>
      <c r="B84" s="64">
        <v>18.399999999999999</v>
      </c>
      <c r="C84" s="64">
        <v>41.26</v>
      </c>
      <c r="D84" s="64">
        <v>34.93</v>
      </c>
      <c r="E84" s="64">
        <v>6.44</v>
      </c>
      <c r="F84" s="64">
        <v>3.99</v>
      </c>
      <c r="G84" s="64">
        <v>79.78</v>
      </c>
      <c r="H84" s="64">
        <v>45.91</v>
      </c>
      <c r="I84" s="64">
        <v>5.68</v>
      </c>
      <c r="J84" s="64">
        <v>1.93</v>
      </c>
      <c r="K84" s="64">
        <v>304.39</v>
      </c>
      <c r="L84" s="64">
        <v>19.59</v>
      </c>
      <c r="M84" s="64">
        <v>79.09</v>
      </c>
      <c r="N84" s="64">
        <v>98</v>
      </c>
      <c r="O84" s="64">
        <v>0</v>
      </c>
      <c r="P84" s="64">
        <v>1.59</v>
      </c>
      <c r="Q84" s="64">
        <v>8.51</v>
      </c>
      <c r="R84" s="198"/>
      <c r="S84" s="198"/>
      <c r="T84" s="198"/>
      <c r="U84" s="198"/>
    </row>
    <row r="85" spans="1:26" s="12" customFormat="1" x14ac:dyDescent="0.25">
      <c r="A85" s="215" t="s">
        <v>1092</v>
      </c>
      <c r="B85" s="64">
        <v>19.84</v>
      </c>
      <c r="C85" s="64">
        <v>40.25</v>
      </c>
      <c r="D85" s="64">
        <v>35.56</v>
      </c>
      <c r="E85" s="64">
        <v>6.67</v>
      </c>
      <c r="F85" s="64">
        <v>4.3099999999999996</v>
      </c>
      <c r="G85" s="64">
        <v>82.24</v>
      </c>
      <c r="H85" s="64">
        <v>47.23</v>
      </c>
      <c r="I85" s="64">
        <v>5.8</v>
      </c>
      <c r="J85" s="64">
        <v>2.91</v>
      </c>
      <c r="K85" s="64">
        <v>312.8</v>
      </c>
      <c r="L85" s="64">
        <v>19.510000000000002</v>
      </c>
      <c r="M85" s="64">
        <v>76.38</v>
      </c>
      <c r="N85" s="64">
        <v>97.4</v>
      </c>
      <c r="O85" s="64">
        <v>0</v>
      </c>
      <c r="P85" s="64">
        <v>1.1499999999999999</v>
      </c>
      <c r="Q85" s="64">
        <v>8.67</v>
      </c>
      <c r="R85" s="198"/>
      <c r="S85" s="198"/>
      <c r="T85" s="198"/>
      <c r="U85" s="198"/>
    </row>
    <row r="86" spans="1:26" s="12" customFormat="1" x14ac:dyDescent="0.25">
      <c r="A86" s="215" t="s">
        <v>1093</v>
      </c>
      <c r="B86" s="64">
        <v>20.39</v>
      </c>
      <c r="C86" s="64">
        <v>40.119999999999997</v>
      </c>
      <c r="D86" s="64">
        <v>35.94</v>
      </c>
      <c r="E86" s="64">
        <v>6.18</v>
      </c>
      <c r="F86" s="64">
        <v>4.09</v>
      </c>
      <c r="G86" s="64">
        <v>82.24</v>
      </c>
      <c r="H86" s="64">
        <v>47.23</v>
      </c>
      <c r="I86" s="64">
        <v>6.4</v>
      </c>
      <c r="J86" s="64">
        <v>4.24</v>
      </c>
      <c r="K86" s="64">
        <v>333.33</v>
      </c>
      <c r="L86" s="64">
        <v>19.57</v>
      </c>
      <c r="M86" s="64">
        <v>68.540000000000006</v>
      </c>
      <c r="N86" s="64">
        <v>97.1</v>
      </c>
      <c r="O86" s="64">
        <v>0</v>
      </c>
      <c r="P86" s="64">
        <v>1.17</v>
      </c>
      <c r="Q86" s="64">
        <v>8.76</v>
      </c>
      <c r="R86" s="198"/>
      <c r="S86" s="198"/>
      <c r="T86" s="198"/>
      <c r="U86" s="198"/>
    </row>
    <row r="87" spans="1:26" s="12" customFormat="1" x14ac:dyDescent="0.25">
      <c r="A87" s="215" t="s">
        <v>1094</v>
      </c>
      <c r="B87" s="64">
        <v>19.98</v>
      </c>
      <c r="C87" s="64">
        <v>40.82</v>
      </c>
      <c r="D87" s="64">
        <v>35.97</v>
      </c>
      <c r="E87" s="64">
        <v>6.06</v>
      </c>
      <c r="F87" s="64">
        <v>4.59</v>
      </c>
      <c r="G87" s="64">
        <v>82.24</v>
      </c>
      <c r="H87" s="64">
        <v>47.23</v>
      </c>
      <c r="I87" s="64">
        <v>5.9</v>
      </c>
      <c r="J87" s="64">
        <v>4.5</v>
      </c>
      <c r="K87" s="64">
        <v>332.96</v>
      </c>
      <c r="L87" s="64">
        <v>19.5</v>
      </c>
      <c r="M87" s="64">
        <v>62.15</v>
      </c>
      <c r="N87" s="64">
        <v>98</v>
      </c>
      <c r="O87" s="64">
        <v>0</v>
      </c>
      <c r="P87" s="64">
        <v>1.1499999999999999</v>
      </c>
      <c r="Q87" s="64">
        <v>8.81</v>
      </c>
      <c r="R87" s="198"/>
      <c r="S87" s="198"/>
      <c r="T87" s="198"/>
      <c r="U87" s="198"/>
    </row>
    <row r="88" spans="1:26" s="12" customFormat="1" x14ac:dyDescent="0.25">
      <c r="A88" s="215" t="s">
        <v>1095</v>
      </c>
      <c r="B88" s="64">
        <v>19.14</v>
      </c>
      <c r="C88" s="64">
        <v>47.34</v>
      </c>
      <c r="D88" s="64">
        <v>38.71</v>
      </c>
      <c r="E88" s="64">
        <v>6.63</v>
      </c>
      <c r="F88" s="64">
        <v>4.7</v>
      </c>
      <c r="G88" s="64">
        <v>82.04</v>
      </c>
      <c r="H88" s="64">
        <v>37.36</v>
      </c>
      <c r="I88" s="64">
        <v>6.37</v>
      </c>
      <c r="J88" s="64">
        <v>4.07</v>
      </c>
      <c r="K88" s="64">
        <v>334.83</v>
      </c>
      <c r="L88" s="64">
        <v>19.2</v>
      </c>
      <c r="M88" s="64">
        <v>59.24</v>
      </c>
      <c r="N88" s="64">
        <v>98.3</v>
      </c>
      <c r="O88" s="64">
        <v>0</v>
      </c>
      <c r="P88" s="64">
        <v>1.1499999999999999</v>
      </c>
      <c r="Q88" s="64">
        <v>8.8000000000000007</v>
      </c>
      <c r="R88" s="198"/>
      <c r="S88" s="198"/>
      <c r="T88" s="198"/>
      <c r="U88" s="198"/>
    </row>
    <row r="89" spans="1:26" s="12" customFormat="1" x14ac:dyDescent="0.25">
      <c r="A89" s="215" t="s">
        <v>1096</v>
      </c>
      <c r="B89" s="64">
        <v>18.260000000000002</v>
      </c>
      <c r="C89" s="64">
        <v>45.32</v>
      </c>
      <c r="D89" s="64">
        <v>36.950000000000003</v>
      </c>
      <c r="E89" s="64">
        <v>6.48</v>
      </c>
      <c r="F89" s="64">
        <v>4.1500000000000004</v>
      </c>
      <c r="G89" s="64">
        <v>81.89</v>
      </c>
      <c r="H89" s="64">
        <v>34.01</v>
      </c>
      <c r="I89" s="64">
        <v>6.43</v>
      </c>
      <c r="J89" s="64">
        <v>3.97</v>
      </c>
      <c r="K89" s="64">
        <v>330.21</v>
      </c>
      <c r="L89" s="64">
        <v>18.93</v>
      </c>
      <c r="M89" s="64">
        <v>58.69</v>
      </c>
      <c r="N89" s="64">
        <v>99.4</v>
      </c>
      <c r="O89" s="64">
        <v>0</v>
      </c>
      <c r="P89" s="64">
        <v>1.1299999999999999</v>
      </c>
      <c r="Q89" s="64">
        <v>8.75</v>
      </c>
      <c r="R89" s="198"/>
      <c r="S89" s="198"/>
      <c r="T89" s="198"/>
      <c r="U89" s="198"/>
    </row>
    <row r="90" spans="1:26" s="12" customFormat="1" x14ac:dyDescent="0.25">
      <c r="A90" s="215" t="s">
        <v>1097</v>
      </c>
      <c r="B90" s="64">
        <v>17.12</v>
      </c>
      <c r="C90" s="64">
        <v>43.88</v>
      </c>
      <c r="D90" s="64">
        <v>35.28</v>
      </c>
      <c r="E90" s="64">
        <v>6.16</v>
      </c>
      <c r="F90" s="64">
        <v>5.12</v>
      </c>
      <c r="G90" s="64">
        <v>81.89</v>
      </c>
      <c r="H90" s="64">
        <v>34.01</v>
      </c>
      <c r="I90" s="64">
        <v>6.29</v>
      </c>
      <c r="J90" s="64">
        <v>4.08</v>
      </c>
      <c r="K90" s="64">
        <v>337.02</v>
      </c>
      <c r="L90" s="64">
        <v>18.63</v>
      </c>
      <c r="M90" s="64">
        <v>58.44</v>
      </c>
      <c r="N90" s="64">
        <v>99.8</v>
      </c>
      <c r="O90" s="64">
        <v>0</v>
      </c>
      <c r="P90" s="64">
        <v>1.1100000000000001</v>
      </c>
      <c r="Q90" s="64">
        <v>8.51</v>
      </c>
      <c r="R90" s="198"/>
      <c r="S90" s="198"/>
      <c r="T90" s="198"/>
      <c r="U90" s="198"/>
    </row>
    <row r="91" spans="1:26" s="12" customFormat="1" x14ac:dyDescent="0.25">
      <c r="A91" s="215" t="s">
        <v>1098</v>
      </c>
      <c r="B91" s="64">
        <v>16</v>
      </c>
      <c r="C91" s="64">
        <v>46.34</v>
      </c>
      <c r="D91" s="64">
        <v>35.67</v>
      </c>
      <c r="E91" s="64">
        <v>6.15</v>
      </c>
      <c r="F91" s="64">
        <v>4.28</v>
      </c>
      <c r="G91" s="64">
        <v>81.89</v>
      </c>
      <c r="H91" s="64">
        <v>34.01</v>
      </c>
      <c r="I91" s="64">
        <v>5.73</v>
      </c>
      <c r="J91" s="64">
        <v>3.85</v>
      </c>
      <c r="K91" s="64">
        <v>339.1</v>
      </c>
      <c r="L91" s="64">
        <v>18.37</v>
      </c>
      <c r="M91" s="64">
        <v>58.26</v>
      </c>
      <c r="N91" s="64">
        <v>100</v>
      </c>
      <c r="O91" s="64">
        <v>0</v>
      </c>
      <c r="P91" s="64">
        <v>1.0900000000000001</v>
      </c>
      <c r="Q91" s="64">
        <v>8.42</v>
      </c>
      <c r="R91" s="198"/>
      <c r="S91" s="198"/>
      <c r="T91" s="198"/>
      <c r="U91" s="198"/>
    </row>
    <row r="92" spans="1:26" s="12" customFormat="1" x14ac:dyDescent="0.25">
      <c r="A92" s="215" t="s">
        <v>1099</v>
      </c>
      <c r="B92" s="64">
        <v>15.2</v>
      </c>
      <c r="C92" s="64">
        <v>46.92</v>
      </c>
      <c r="D92" s="64">
        <v>35.33</v>
      </c>
      <c r="E92" s="64">
        <v>5.87</v>
      </c>
      <c r="F92" s="64">
        <v>4.5599999999999996</v>
      </c>
      <c r="G92" s="64">
        <v>78.489999999999995</v>
      </c>
      <c r="H92" s="64">
        <v>40.4</v>
      </c>
      <c r="I92" s="64">
        <v>5.47</v>
      </c>
      <c r="J92" s="64">
        <v>4.12</v>
      </c>
      <c r="K92" s="64">
        <v>339.33</v>
      </c>
      <c r="L92" s="64">
        <v>18.07</v>
      </c>
      <c r="M92" s="64">
        <v>58.99</v>
      </c>
      <c r="N92" s="64">
        <v>99.7</v>
      </c>
      <c r="O92" s="64">
        <v>0</v>
      </c>
      <c r="P92" s="64">
        <v>1.07</v>
      </c>
      <c r="Q92" s="64">
        <v>8.25</v>
      </c>
      <c r="R92" s="198"/>
      <c r="S92" s="198"/>
      <c r="T92" s="198"/>
      <c r="U92" s="198"/>
    </row>
    <row r="93" spans="1:26" s="12" customFormat="1" x14ac:dyDescent="0.25">
      <c r="A93" s="215" t="s">
        <v>1100</v>
      </c>
      <c r="B93" s="64">
        <v>14.59</v>
      </c>
      <c r="C93" s="64">
        <v>46.42</v>
      </c>
      <c r="D93" s="64">
        <v>34.58</v>
      </c>
      <c r="E93" s="64">
        <v>5.47</v>
      </c>
      <c r="F93" s="64">
        <v>3.96</v>
      </c>
      <c r="G93" s="64">
        <v>75.89</v>
      </c>
      <c r="H93" s="64">
        <v>42.57</v>
      </c>
      <c r="I93" s="64">
        <v>5.28</v>
      </c>
      <c r="J93" s="64">
        <v>3.85</v>
      </c>
      <c r="K93" s="64">
        <v>340.1</v>
      </c>
      <c r="L93" s="64">
        <v>17.920000000000002</v>
      </c>
      <c r="M93" s="64">
        <v>58.02</v>
      </c>
      <c r="N93" s="64">
        <v>99.5</v>
      </c>
      <c r="O93" s="64">
        <v>0</v>
      </c>
      <c r="P93" s="64">
        <v>1.04</v>
      </c>
      <c r="Q93" s="64">
        <v>8.23</v>
      </c>
      <c r="R93" s="198"/>
      <c r="S93" s="198"/>
      <c r="T93" s="198"/>
      <c r="U93" s="198"/>
    </row>
    <row r="94" spans="1:26" s="12" customFormat="1" x14ac:dyDescent="0.25">
      <c r="A94" s="215" t="s">
        <v>1101</v>
      </c>
      <c r="B94" s="64">
        <v>14.35</v>
      </c>
      <c r="C94" s="64">
        <v>48.34</v>
      </c>
      <c r="D94" s="64">
        <v>35.39</v>
      </c>
      <c r="E94" s="64">
        <v>6.08</v>
      </c>
      <c r="F94" s="64">
        <v>4.1100000000000003</v>
      </c>
      <c r="G94" s="64">
        <v>75.89</v>
      </c>
      <c r="H94" s="64">
        <v>42.57</v>
      </c>
      <c r="I94" s="64">
        <v>5.15</v>
      </c>
      <c r="J94" s="64">
        <v>3.89</v>
      </c>
      <c r="K94" s="64">
        <v>338.41</v>
      </c>
      <c r="L94" s="64">
        <v>17.7</v>
      </c>
      <c r="M94" s="64">
        <v>57.26</v>
      </c>
      <c r="N94" s="64">
        <v>99.7</v>
      </c>
      <c r="O94" s="64">
        <v>0</v>
      </c>
      <c r="P94" s="64">
        <v>1.03</v>
      </c>
      <c r="Q94" s="64">
        <v>8.2100000000000009</v>
      </c>
      <c r="R94" s="198"/>
      <c r="S94" s="198"/>
      <c r="T94" s="198"/>
      <c r="U94" s="198"/>
    </row>
    <row r="95" spans="1:26" s="12" customFormat="1" x14ac:dyDescent="0.25">
      <c r="A95" s="215" t="s">
        <v>1102</v>
      </c>
      <c r="B95" s="64">
        <v>14.49</v>
      </c>
      <c r="C95" s="64">
        <v>45.41</v>
      </c>
      <c r="D95" s="64">
        <v>33.97</v>
      </c>
      <c r="E95" s="64">
        <v>5.84</v>
      </c>
      <c r="F95" s="64">
        <v>3.84</v>
      </c>
      <c r="G95" s="64">
        <v>75.89</v>
      </c>
      <c r="H95" s="64">
        <v>42.57</v>
      </c>
      <c r="I95" s="64">
        <v>4.9800000000000004</v>
      </c>
      <c r="J95" s="64">
        <v>3.68</v>
      </c>
      <c r="K95" s="64">
        <v>337.6</v>
      </c>
      <c r="L95" s="64">
        <v>17.52</v>
      </c>
      <c r="M95" s="64">
        <v>55.88</v>
      </c>
      <c r="N95" s="64">
        <v>100</v>
      </c>
      <c r="O95" s="64">
        <v>0</v>
      </c>
      <c r="P95" s="64">
        <v>1.01</v>
      </c>
      <c r="Q95" s="64">
        <v>8.2100000000000009</v>
      </c>
      <c r="R95" s="198"/>
      <c r="S95" s="198"/>
      <c r="T95" s="198"/>
      <c r="U95" s="198"/>
    </row>
    <row r="96" spans="1:26" s="12" customFormat="1" x14ac:dyDescent="0.25">
      <c r="A96" s="215" t="s">
        <v>1103</v>
      </c>
      <c r="B96" s="64">
        <v>14.64</v>
      </c>
      <c r="C96" s="64">
        <v>50.12</v>
      </c>
      <c r="D96" s="64">
        <v>36.54</v>
      </c>
      <c r="E96" s="64">
        <v>6.05</v>
      </c>
      <c r="F96" s="64">
        <v>4.26</v>
      </c>
      <c r="G96" s="64">
        <v>78</v>
      </c>
      <c r="H96" s="64">
        <v>35.4</v>
      </c>
      <c r="I96" s="64">
        <v>4.87</v>
      </c>
      <c r="J96" s="64">
        <v>4.04</v>
      </c>
      <c r="K96" s="64">
        <v>338.9</v>
      </c>
      <c r="L96" s="64">
        <v>17.25</v>
      </c>
      <c r="M96" s="64">
        <v>55.2</v>
      </c>
      <c r="N96" s="64">
        <v>99.6</v>
      </c>
      <c r="O96" s="64">
        <v>0</v>
      </c>
      <c r="P96" s="64">
        <v>1</v>
      </c>
      <c r="Q96" s="64">
        <v>8.2100000000000009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1104</v>
      </c>
      <c r="B97" s="64">
        <v>14.72</v>
      </c>
      <c r="C97" s="64">
        <v>48.48</v>
      </c>
      <c r="D97" s="64">
        <v>35.76</v>
      </c>
      <c r="E97" s="64">
        <v>5.94</v>
      </c>
      <c r="F97" s="64">
        <v>4.26</v>
      </c>
      <c r="G97" s="64">
        <v>79.61</v>
      </c>
      <c r="H97" s="64">
        <v>30.88</v>
      </c>
      <c r="I97" s="64">
        <v>4.7300000000000004</v>
      </c>
      <c r="J97" s="64">
        <v>4</v>
      </c>
      <c r="K97" s="64">
        <v>341.09</v>
      </c>
      <c r="L97" s="64">
        <v>17.190000000000001</v>
      </c>
      <c r="M97" s="64">
        <v>54.07</v>
      </c>
      <c r="N97" s="64">
        <v>99.7</v>
      </c>
      <c r="O97" s="64">
        <v>0</v>
      </c>
      <c r="P97" s="64">
        <v>0.97</v>
      </c>
      <c r="Q97" s="64">
        <v>8.2100000000000009</v>
      </c>
      <c r="R97" s="198"/>
      <c r="S97" s="198"/>
      <c r="T97" s="198"/>
      <c r="U97" s="198"/>
    </row>
    <row r="98" spans="1:33" s="12" customFormat="1" x14ac:dyDescent="0.25">
      <c r="A98" s="215" t="s">
        <v>1105</v>
      </c>
      <c r="B98" s="64">
        <v>14.64</v>
      </c>
      <c r="C98" s="64">
        <v>46.68</v>
      </c>
      <c r="D98" s="64">
        <v>34.75</v>
      </c>
      <c r="E98" s="64">
        <v>5.74</v>
      </c>
      <c r="F98" s="64">
        <v>4.3</v>
      </c>
      <c r="G98" s="64">
        <v>79.61</v>
      </c>
      <c r="H98" s="64">
        <v>30.88</v>
      </c>
      <c r="I98" s="64">
        <v>4.6100000000000003</v>
      </c>
      <c r="J98" s="64">
        <v>3.99</v>
      </c>
      <c r="K98" s="64">
        <v>339.96</v>
      </c>
      <c r="L98" s="64">
        <v>17.14</v>
      </c>
      <c r="M98" s="64">
        <v>52.98</v>
      </c>
      <c r="N98" s="64">
        <v>99.2</v>
      </c>
      <c r="O98" s="64">
        <v>0</v>
      </c>
      <c r="P98" s="64">
        <v>0.95</v>
      </c>
      <c r="Q98" s="64">
        <v>8.2100000000000009</v>
      </c>
      <c r="R98" s="198"/>
      <c r="S98" s="198"/>
      <c r="T98" s="198"/>
      <c r="U98" s="198"/>
    </row>
    <row r="99" spans="1:33" s="12" customFormat="1" x14ac:dyDescent="0.25">
      <c r="A99" s="215" t="s">
        <v>1106</v>
      </c>
      <c r="B99" s="64">
        <v>14.29</v>
      </c>
      <c r="C99" s="64">
        <v>47.57</v>
      </c>
      <c r="D99" s="64">
        <v>34.94</v>
      </c>
      <c r="E99" s="64">
        <v>6.27</v>
      </c>
      <c r="F99" s="64">
        <v>4.4400000000000004</v>
      </c>
      <c r="G99" s="64">
        <v>79.61</v>
      </c>
      <c r="H99" s="64">
        <v>30.88</v>
      </c>
      <c r="I99" s="64">
        <v>4.54</v>
      </c>
      <c r="J99" s="64">
        <v>4</v>
      </c>
      <c r="K99" s="64">
        <v>340.96</v>
      </c>
      <c r="L99" s="64">
        <v>17.03</v>
      </c>
      <c r="M99" s="64">
        <v>50.24</v>
      </c>
      <c r="N99" s="64">
        <v>99.4</v>
      </c>
      <c r="O99" s="64">
        <v>0</v>
      </c>
      <c r="P99" s="64">
        <v>0.91</v>
      </c>
      <c r="Q99" s="64">
        <v>8.2100000000000009</v>
      </c>
      <c r="R99" s="198"/>
      <c r="S99" s="198"/>
      <c r="T99" s="198"/>
      <c r="U99" s="198"/>
    </row>
    <row r="100" spans="1:33" s="12" customFormat="1" x14ac:dyDescent="0.25">
      <c r="A100" s="215" t="s">
        <v>1107</v>
      </c>
      <c r="B100" s="64">
        <v>13.47</v>
      </c>
      <c r="C100" s="64">
        <v>48.62</v>
      </c>
      <c r="D100" s="64">
        <v>34.83</v>
      </c>
      <c r="E100" s="64">
        <v>6.1</v>
      </c>
      <c r="F100" s="64">
        <v>4.26</v>
      </c>
      <c r="G100" s="64">
        <v>80.62</v>
      </c>
      <c r="H100" s="64">
        <v>57.59</v>
      </c>
      <c r="I100" s="64">
        <v>4.4800000000000004</v>
      </c>
      <c r="J100" s="64">
        <v>3.88</v>
      </c>
      <c r="K100" s="64">
        <v>339.37</v>
      </c>
      <c r="L100" s="64">
        <v>16.82</v>
      </c>
      <c r="M100" s="64">
        <v>51.29</v>
      </c>
      <c r="N100" s="64">
        <v>99.1</v>
      </c>
      <c r="O100" s="64">
        <v>0</v>
      </c>
      <c r="P100" s="64">
        <v>0.88</v>
      </c>
      <c r="Q100" s="64">
        <v>8.2100000000000009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1108</v>
      </c>
      <c r="B101" s="64">
        <v>12.69</v>
      </c>
      <c r="C101" s="64">
        <v>49.97</v>
      </c>
      <c r="D101" s="64">
        <v>34.909999999999997</v>
      </c>
      <c r="E101" s="64">
        <v>5.85</v>
      </c>
      <c r="F101" s="64">
        <v>4.75</v>
      </c>
      <c r="G101" s="64">
        <v>81.39</v>
      </c>
      <c r="H101" s="64">
        <v>66.67</v>
      </c>
      <c r="I101" s="64">
        <v>4.25</v>
      </c>
      <c r="J101" s="64">
        <v>3.78</v>
      </c>
      <c r="K101" s="64">
        <v>341.33</v>
      </c>
      <c r="L101" s="64">
        <v>16.649999999999999</v>
      </c>
      <c r="M101" s="64">
        <v>49.91</v>
      </c>
      <c r="N101" s="64">
        <v>99.2</v>
      </c>
      <c r="O101" s="64">
        <v>0</v>
      </c>
      <c r="P101" s="64">
        <v>0.85</v>
      </c>
      <c r="Q101" s="64">
        <v>8.2100000000000009</v>
      </c>
      <c r="R101" s="198"/>
      <c r="S101" s="198"/>
      <c r="T101" s="198"/>
      <c r="U101" s="198"/>
    </row>
    <row r="102" spans="1:33" s="12" customFormat="1" x14ac:dyDescent="0.25">
      <c r="A102" s="215" t="s">
        <v>1109</v>
      </c>
      <c r="B102" s="64">
        <v>11.76</v>
      </c>
      <c r="C102" s="64">
        <v>50.27</v>
      </c>
      <c r="D102" s="64">
        <v>34.32</v>
      </c>
      <c r="E102" s="64">
        <v>5.93</v>
      </c>
      <c r="F102" s="64">
        <v>5.05</v>
      </c>
      <c r="G102" s="64">
        <v>81.39</v>
      </c>
      <c r="H102" s="64">
        <v>66.67</v>
      </c>
      <c r="I102" s="64">
        <v>4.22</v>
      </c>
      <c r="J102" s="64">
        <v>4.32</v>
      </c>
      <c r="K102" s="64">
        <v>343.23</v>
      </c>
      <c r="L102" s="64">
        <v>16.47</v>
      </c>
      <c r="M102" s="64">
        <v>48.86</v>
      </c>
      <c r="N102" s="64">
        <v>98.3</v>
      </c>
      <c r="O102" s="64">
        <v>0</v>
      </c>
      <c r="P102" s="64">
        <v>0.81</v>
      </c>
      <c r="Q102" s="64">
        <v>8.2100000000000009</v>
      </c>
      <c r="R102" s="198"/>
      <c r="S102" s="198"/>
      <c r="T102" s="198"/>
      <c r="U102" s="198"/>
    </row>
    <row r="103" spans="1:33" s="12" customFormat="1" x14ac:dyDescent="0.25">
      <c r="A103" s="215" t="s">
        <v>1110</v>
      </c>
      <c r="B103" s="64">
        <v>10.14</v>
      </c>
      <c r="C103" s="64">
        <v>50.99</v>
      </c>
      <c r="D103" s="64">
        <v>33.39</v>
      </c>
      <c r="E103" s="64">
        <v>5.91</v>
      </c>
      <c r="F103" s="64">
        <v>5.09</v>
      </c>
      <c r="G103" s="64">
        <v>81.39</v>
      </c>
      <c r="H103" s="64">
        <v>66.67</v>
      </c>
      <c r="I103" s="64">
        <v>4.13</v>
      </c>
      <c r="J103" s="64">
        <v>4.32</v>
      </c>
      <c r="K103" s="64">
        <v>343.37</v>
      </c>
      <c r="L103" s="64">
        <v>16.32</v>
      </c>
      <c r="M103" s="64">
        <v>48.02</v>
      </c>
      <c r="N103" s="64">
        <v>98.4</v>
      </c>
      <c r="O103" s="64">
        <v>0</v>
      </c>
      <c r="P103" s="64">
        <v>0.76</v>
      </c>
      <c r="Q103" s="64">
        <v>8.2100000000000009</v>
      </c>
      <c r="R103" s="198"/>
      <c r="S103" s="198"/>
      <c r="T103" s="198"/>
      <c r="U103" s="198"/>
    </row>
    <row r="104" spans="1:33" s="12" customFormat="1" x14ac:dyDescent="0.25">
      <c r="A104" s="215" t="s">
        <v>1111</v>
      </c>
      <c r="B104" s="64">
        <v>8.6199999999999992</v>
      </c>
      <c r="C104" s="64">
        <v>49.94</v>
      </c>
      <c r="D104" s="64">
        <v>31.63</v>
      </c>
      <c r="E104" s="64">
        <v>4.3099999999999996</v>
      </c>
      <c r="F104" s="64">
        <v>4.6399999999999997</v>
      </c>
      <c r="G104" s="64">
        <v>77.88</v>
      </c>
      <c r="H104" s="64">
        <v>39.299999999999997</v>
      </c>
      <c r="I104" s="64">
        <v>4.05</v>
      </c>
      <c r="J104" s="64">
        <v>3.93</v>
      </c>
      <c r="K104" s="64">
        <v>343.09</v>
      </c>
      <c r="L104" s="64">
        <v>16.059999999999999</v>
      </c>
      <c r="M104" s="64">
        <v>49.52</v>
      </c>
      <c r="N104" s="64">
        <v>98.5</v>
      </c>
      <c r="O104" s="64">
        <v>0</v>
      </c>
      <c r="P104" s="64">
        <v>0.71</v>
      </c>
      <c r="Q104" s="64">
        <v>8.2100000000000009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4.9400000000000004</v>
      </c>
      <c r="C106" s="67">
        <f>MIN(C9:C104)</f>
        <v>29.37</v>
      </c>
      <c r="D106" s="67">
        <f t="shared" ref="D106:Q106" si="0">MIN(D9:D104)</f>
        <v>22.19</v>
      </c>
      <c r="E106" s="67">
        <f t="shared" si="0"/>
        <v>4.3099999999999996</v>
      </c>
      <c r="F106" s="67">
        <f t="shared" si="0"/>
        <v>2.76</v>
      </c>
      <c r="G106" s="67">
        <f t="shared" si="0"/>
        <v>38.840000000000003</v>
      </c>
      <c r="H106" s="67">
        <f t="shared" si="0"/>
        <v>21.2</v>
      </c>
      <c r="I106" s="67">
        <f t="shared" si="0"/>
        <v>3.4</v>
      </c>
      <c r="J106" s="67">
        <f t="shared" si="0"/>
        <v>0.48</v>
      </c>
      <c r="K106" s="67">
        <f t="shared" si="0"/>
        <v>7.89</v>
      </c>
      <c r="L106" s="67">
        <f t="shared" si="0"/>
        <v>15.31</v>
      </c>
      <c r="M106" s="67">
        <f t="shared" si="0"/>
        <v>48.02</v>
      </c>
      <c r="N106" s="67">
        <f t="shared" si="0"/>
        <v>97.1</v>
      </c>
      <c r="O106" s="67">
        <f t="shared" si="0"/>
        <v>0</v>
      </c>
      <c r="P106" s="67">
        <f t="shared" si="0"/>
        <v>0.71</v>
      </c>
      <c r="Q106" s="67">
        <f t="shared" si="0"/>
        <v>8.2100000000000009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64.099999999999994</v>
      </c>
      <c r="C107" s="66">
        <f t="shared" ref="C107:Q107" si="1">MAX(C9:C104)</f>
        <v>50.99</v>
      </c>
      <c r="D107" s="66">
        <f t="shared" si="1"/>
        <v>72.459999999999994</v>
      </c>
      <c r="E107" s="66">
        <f t="shared" si="1"/>
        <v>7.7</v>
      </c>
      <c r="F107" s="66">
        <f t="shared" si="1"/>
        <v>5.51</v>
      </c>
      <c r="G107" s="66">
        <f t="shared" si="1"/>
        <v>101</v>
      </c>
      <c r="H107" s="66">
        <f t="shared" si="1"/>
        <v>66.67</v>
      </c>
      <c r="I107" s="66">
        <f t="shared" si="1"/>
        <v>12.08</v>
      </c>
      <c r="J107" s="66">
        <f t="shared" si="1"/>
        <v>4.5</v>
      </c>
      <c r="K107" s="66">
        <f t="shared" si="1"/>
        <v>350.45</v>
      </c>
      <c r="L107" s="66">
        <f t="shared" si="1"/>
        <v>26.6</v>
      </c>
      <c r="M107" s="66">
        <f t="shared" si="1"/>
        <v>103.56</v>
      </c>
      <c r="N107" s="66">
        <f t="shared" si="1"/>
        <v>614.70000000000005</v>
      </c>
      <c r="O107" s="66">
        <f t="shared" si="1"/>
        <v>0</v>
      </c>
      <c r="P107" s="66">
        <f t="shared" si="1"/>
        <v>1.98</v>
      </c>
      <c r="Q107" s="66">
        <f t="shared" si="1"/>
        <v>10.39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24.470937499999991</v>
      </c>
      <c r="C108" s="67">
        <f t="shared" ref="C108:Q108" si="2">AVERAGE(C9:C104)</f>
        <v>40.426458333333329</v>
      </c>
      <c r="D108" s="67">
        <f t="shared" si="2"/>
        <v>39.368854166666658</v>
      </c>
      <c r="E108" s="67">
        <f t="shared" si="2"/>
        <v>6.16</v>
      </c>
      <c r="F108" s="67">
        <f t="shared" si="2"/>
        <v>4.2210416666666637</v>
      </c>
      <c r="G108" s="67">
        <f t="shared" si="2"/>
        <v>65.175937499999989</v>
      </c>
      <c r="H108" s="67">
        <f t="shared" si="2"/>
        <v>37.325000000000024</v>
      </c>
      <c r="I108" s="67">
        <f t="shared" si="2"/>
        <v>5.7193749999999985</v>
      </c>
      <c r="J108" s="67">
        <f t="shared" si="2"/>
        <v>2.5580208333333334</v>
      </c>
      <c r="K108" s="67">
        <f t="shared" si="2"/>
        <v>278.51354166666658</v>
      </c>
      <c r="L108" s="67">
        <f t="shared" si="2"/>
        <v>19.683020833333334</v>
      </c>
      <c r="M108" s="67">
        <f t="shared" si="2"/>
        <v>80.321354166666666</v>
      </c>
      <c r="N108" s="67">
        <f t="shared" si="2"/>
        <v>187.56562500000004</v>
      </c>
      <c r="O108" s="67">
        <f t="shared" si="2"/>
        <v>0</v>
      </c>
      <c r="P108" s="67">
        <f t="shared" si="2"/>
        <v>0.99072916666666666</v>
      </c>
      <c r="Q108" s="67">
        <f t="shared" si="2"/>
        <v>9.0542708333333426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14.966670907693906</v>
      </c>
      <c r="C109" s="67">
        <f t="shared" ref="C109:Q109" si="3">STDEV(C9:C104)</f>
        <v>5.333204226781648</v>
      </c>
      <c r="D109" s="67">
        <f t="shared" si="3"/>
        <v>10.733395486668986</v>
      </c>
      <c r="E109" s="67">
        <f t="shared" si="3"/>
        <v>0.57406033059069217</v>
      </c>
      <c r="F109" s="67">
        <f t="shared" si="3"/>
        <v>0.51064351385838813</v>
      </c>
      <c r="G109" s="67">
        <f t="shared" si="3"/>
        <v>15.740205079793268</v>
      </c>
      <c r="H109" s="67">
        <f t="shared" si="3"/>
        <v>9.3608278986084379</v>
      </c>
      <c r="I109" s="67">
        <f t="shared" si="3"/>
        <v>1.9962964722864156</v>
      </c>
      <c r="J109" s="67">
        <f t="shared" si="3"/>
        <v>1.1439291658155717</v>
      </c>
      <c r="K109" s="67">
        <f t="shared" si="3"/>
        <v>87.541398915979457</v>
      </c>
      <c r="L109" s="67">
        <f t="shared" si="3"/>
        <v>3.6054175960166948</v>
      </c>
      <c r="M109" s="67">
        <f t="shared" si="3"/>
        <v>19.767739674306302</v>
      </c>
      <c r="N109" s="67">
        <f t="shared" si="3"/>
        <v>137.15985666223639</v>
      </c>
      <c r="O109" s="67">
        <f t="shared" si="3"/>
        <v>0</v>
      </c>
      <c r="P109" s="67">
        <f t="shared" si="3"/>
        <v>0.26993661942902875</v>
      </c>
      <c r="Q109" s="67">
        <f t="shared" si="3"/>
        <v>0.85662464271626682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8" sqref="G118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247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10/12/2024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231</v>
      </c>
      <c r="C7" s="198" t="s">
        <v>232</v>
      </c>
      <c r="D7" s="198" t="s">
        <v>233</v>
      </c>
      <c r="E7" s="198" t="s">
        <v>234</v>
      </c>
      <c r="F7" s="198" t="s">
        <v>235</v>
      </c>
      <c r="G7" s="198" t="s">
        <v>236</v>
      </c>
      <c r="H7" s="198" t="s">
        <v>237</v>
      </c>
      <c r="I7" s="198" t="s">
        <v>238</v>
      </c>
      <c r="J7" s="198" t="s">
        <v>239</v>
      </c>
      <c r="K7" s="198" t="s">
        <v>240</v>
      </c>
      <c r="L7" s="198" t="s">
        <v>241</v>
      </c>
      <c r="M7" s="198" t="s">
        <v>242</v>
      </c>
      <c r="N7" s="198" t="s">
        <v>243</v>
      </c>
      <c r="O7" s="198" t="s">
        <v>244</v>
      </c>
      <c r="P7" s="198" t="s">
        <v>245</v>
      </c>
      <c r="Q7" s="198" t="s">
        <v>246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1112</v>
      </c>
      <c r="B9" s="64">
        <v>7.69</v>
      </c>
      <c r="C9" s="64">
        <v>49.39</v>
      </c>
      <c r="D9" s="64">
        <v>30.6</v>
      </c>
      <c r="E9" s="64">
        <v>5.04</v>
      </c>
      <c r="F9" s="64">
        <v>4.88</v>
      </c>
      <c r="G9" s="64">
        <v>75.2</v>
      </c>
      <c r="H9" s="64">
        <v>30</v>
      </c>
      <c r="I9" s="64">
        <v>4.03</v>
      </c>
      <c r="J9" s="64">
        <v>3.92</v>
      </c>
      <c r="K9" s="64">
        <v>345.6</v>
      </c>
      <c r="L9" s="64">
        <v>15.8</v>
      </c>
      <c r="M9" s="64">
        <v>49.26</v>
      </c>
      <c r="N9" s="64">
        <v>98.9</v>
      </c>
      <c r="O9" s="64">
        <v>0</v>
      </c>
      <c r="P9" s="64">
        <v>0.69</v>
      </c>
      <c r="Q9" s="64">
        <v>8.2100000000000009</v>
      </c>
      <c r="R9" s="198"/>
      <c r="S9" s="198"/>
      <c r="T9" s="198"/>
      <c r="U9" s="198"/>
    </row>
    <row r="10" spans="1:21" s="12" customFormat="1" x14ac:dyDescent="0.25">
      <c r="A10" s="215" t="s">
        <v>1113</v>
      </c>
      <c r="B10" s="64">
        <v>6.96</v>
      </c>
      <c r="C10" s="64">
        <v>46.81</v>
      </c>
      <c r="D10" s="64">
        <v>28.66</v>
      </c>
      <c r="E10" s="64">
        <v>4.62</v>
      </c>
      <c r="F10" s="64">
        <v>5</v>
      </c>
      <c r="G10" s="64">
        <v>75.2</v>
      </c>
      <c r="H10" s="64">
        <v>30</v>
      </c>
      <c r="I10" s="64">
        <v>4.12</v>
      </c>
      <c r="J10" s="64">
        <v>3.96</v>
      </c>
      <c r="K10" s="64">
        <v>344.8</v>
      </c>
      <c r="L10" s="64">
        <v>15.65</v>
      </c>
      <c r="M10" s="64">
        <v>49.27</v>
      </c>
      <c r="N10" s="64">
        <v>98.7</v>
      </c>
      <c r="O10" s="64">
        <v>0</v>
      </c>
      <c r="P10" s="64">
        <v>0.64</v>
      </c>
      <c r="Q10" s="64">
        <v>8.2100000000000009</v>
      </c>
      <c r="R10" s="198"/>
      <c r="S10" s="198"/>
      <c r="T10" s="198"/>
      <c r="U10" s="198"/>
    </row>
    <row r="11" spans="1:21" s="12" customFormat="1" x14ac:dyDescent="0.25">
      <c r="A11" s="215" t="s">
        <v>1114</v>
      </c>
      <c r="B11" s="64">
        <v>5.99</v>
      </c>
      <c r="C11" s="64">
        <v>45.79</v>
      </c>
      <c r="D11" s="64">
        <v>27.35</v>
      </c>
      <c r="E11" s="64">
        <v>4.32</v>
      </c>
      <c r="F11" s="64">
        <v>5.09</v>
      </c>
      <c r="G11" s="64">
        <v>75.2</v>
      </c>
      <c r="H11" s="64">
        <v>30</v>
      </c>
      <c r="I11" s="64">
        <v>4</v>
      </c>
      <c r="J11" s="64">
        <v>3.78</v>
      </c>
      <c r="K11" s="64">
        <v>345.88</v>
      </c>
      <c r="L11" s="64">
        <v>15.37</v>
      </c>
      <c r="M11" s="64">
        <v>53.51</v>
      </c>
      <c r="N11" s="64">
        <v>99</v>
      </c>
      <c r="O11" s="64">
        <v>0</v>
      </c>
      <c r="P11" s="64">
        <v>0.61</v>
      </c>
      <c r="Q11" s="64">
        <v>8.2100000000000009</v>
      </c>
      <c r="R11" s="198"/>
      <c r="S11" s="198"/>
      <c r="T11" s="198"/>
      <c r="U11" s="198"/>
    </row>
    <row r="12" spans="1:21" s="12" customFormat="1" x14ac:dyDescent="0.25">
      <c r="A12" s="215" t="s">
        <v>1115</v>
      </c>
      <c r="B12" s="64">
        <v>5.0599999999999996</v>
      </c>
      <c r="C12" s="64">
        <v>45.5</v>
      </c>
      <c r="D12" s="64">
        <v>26.45</v>
      </c>
      <c r="E12" s="64">
        <v>4.25</v>
      </c>
      <c r="F12" s="64">
        <v>5.37</v>
      </c>
      <c r="G12" s="64">
        <v>71.959999999999994</v>
      </c>
      <c r="H12" s="64">
        <v>16.57</v>
      </c>
      <c r="I12" s="64">
        <v>3.93</v>
      </c>
      <c r="J12" s="64">
        <v>4.04</v>
      </c>
      <c r="K12" s="64">
        <v>345.08</v>
      </c>
      <c r="L12" s="64">
        <v>14.93</v>
      </c>
      <c r="M12" s="64">
        <v>54.88</v>
      </c>
      <c r="N12" s="64">
        <v>99.3</v>
      </c>
      <c r="O12" s="64">
        <v>0</v>
      </c>
      <c r="P12" s="64">
        <v>0.57999999999999996</v>
      </c>
      <c r="Q12" s="64">
        <v>8.2100000000000009</v>
      </c>
      <c r="R12" s="198"/>
      <c r="S12" s="198"/>
      <c r="T12" s="198"/>
      <c r="U12" s="198"/>
    </row>
    <row r="13" spans="1:21" s="12" customFormat="1" x14ac:dyDescent="0.25">
      <c r="A13" s="215" t="s">
        <v>1116</v>
      </c>
      <c r="B13" s="64">
        <v>4.22</v>
      </c>
      <c r="C13" s="64">
        <v>43.59</v>
      </c>
      <c r="D13" s="64">
        <v>24.78</v>
      </c>
      <c r="E13" s="64">
        <v>4.08</v>
      </c>
      <c r="F13" s="64">
        <v>5.27</v>
      </c>
      <c r="G13" s="64">
        <v>69.48</v>
      </c>
      <c r="H13" s="64">
        <v>12</v>
      </c>
      <c r="I13" s="64">
        <v>3.82</v>
      </c>
      <c r="J13" s="64">
        <v>4.29</v>
      </c>
      <c r="K13" s="64">
        <v>342.56</v>
      </c>
      <c r="L13" s="64">
        <v>15.02</v>
      </c>
      <c r="M13" s="64">
        <v>53.77</v>
      </c>
      <c r="N13" s="64">
        <v>99</v>
      </c>
      <c r="O13" s="64">
        <v>0</v>
      </c>
      <c r="P13" s="64">
        <v>0.57999999999999996</v>
      </c>
      <c r="Q13" s="64">
        <v>8.2100000000000009</v>
      </c>
      <c r="R13" s="198"/>
      <c r="S13" s="198"/>
      <c r="T13" s="198"/>
      <c r="U13" s="198"/>
    </row>
    <row r="14" spans="1:21" s="12" customFormat="1" x14ac:dyDescent="0.25">
      <c r="A14" s="215" t="s">
        <v>1117</v>
      </c>
      <c r="B14" s="64">
        <v>3.49</v>
      </c>
      <c r="C14" s="64">
        <v>42.88</v>
      </c>
      <c r="D14" s="64">
        <v>23.83</v>
      </c>
      <c r="E14" s="64">
        <v>3.6</v>
      </c>
      <c r="F14" s="64">
        <v>5.32</v>
      </c>
      <c r="G14" s="64">
        <v>69.48</v>
      </c>
      <c r="H14" s="64">
        <v>12</v>
      </c>
      <c r="I14" s="64">
        <v>3.76</v>
      </c>
      <c r="J14" s="64">
        <v>3.79</v>
      </c>
      <c r="K14" s="64">
        <v>343.47</v>
      </c>
      <c r="L14" s="64">
        <v>14.83</v>
      </c>
      <c r="M14" s="64">
        <v>54.92</v>
      </c>
      <c r="N14" s="64">
        <v>99.1</v>
      </c>
      <c r="O14" s="64">
        <v>0</v>
      </c>
      <c r="P14" s="64">
        <v>0.57999999999999996</v>
      </c>
      <c r="Q14" s="64">
        <v>8.2100000000000009</v>
      </c>
      <c r="R14" s="198"/>
      <c r="S14" s="198"/>
      <c r="T14" s="198"/>
      <c r="U14" s="198"/>
    </row>
    <row r="15" spans="1:21" s="12" customFormat="1" x14ac:dyDescent="0.25">
      <c r="A15" s="215" t="s">
        <v>1118</v>
      </c>
      <c r="B15" s="64">
        <v>3.08</v>
      </c>
      <c r="C15" s="64">
        <v>42.03</v>
      </c>
      <c r="D15" s="64">
        <v>23.05</v>
      </c>
      <c r="E15" s="64">
        <v>4.51</v>
      </c>
      <c r="F15" s="64">
        <v>5.36</v>
      </c>
      <c r="G15" s="64">
        <v>69.48</v>
      </c>
      <c r="H15" s="64">
        <v>12</v>
      </c>
      <c r="I15" s="64">
        <v>3.61</v>
      </c>
      <c r="J15" s="64">
        <v>3.48</v>
      </c>
      <c r="K15" s="64">
        <v>344.6</v>
      </c>
      <c r="L15" s="64">
        <v>14.51</v>
      </c>
      <c r="M15" s="64">
        <v>56.91</v>
      </c>
      <c r="N15" s="64">
        <v>96.7</v>
      </c>
      <c r="O15" s="64">
        <v>0</v>
      </c>
      <c r="P15" s="64">
        <v>0.56000000000000005</v>
      </c>
      <c r="Q15" s="64">
        <v>8.2100000000000009</v>
      </c>
      <c r="R15" s="198"/>
      <c r="S15" s="198"/>
      <c r="T15" s="198"/>
      <c r="U15" s="198"/>
    </row>
    <row r="16" spans="1:21" s="12" customFormat="1" x14ac:dyDescent="0.25">
      <c r="A16" s="215" t="s">
        <v>1119</v>
      </c>
      <c r="B16" s="64">
        <v>2.94</v>
      </c>
      <c r="C16" s="64">
        <v>41.15</v>
      </c>
      <c r="D16" s="64">
        <v>22.48</v>
      </c>
      <c r="E16" s="64">
        <v>3.73</v>
      </c>
      <c r="F16" s="64">
        <v>5.01</v>
      </c>
      <c r="G16" s="64">
        <v>66.290000000000006</v>
      </c>
      <c r="H16" s="64">
        <v>7.73</v>
      </c>
      <c r="I16" s="64">
        <v>3.26</v>
      </c>
      <c r="J16" s="64">
        <v>3.49</v>
      </c>
      <c r="K16" s="64">
        <v>344.51</v>
      </c>
      <c r="L16" s="64">
        <v>14.29</v>
      </c>
      <c r="M16" s="64">
        <v>58.04</v>
      </c>
      <c r="N16" s="64">
        <v>98.1</v>
      </c>
      <c r="O16" s="64">
        <v>0</v>
      </c>
      <c r="P16" s="64">
        <v>0.55000000000000004</v>
      </c>
      <c r="Q16" s="64">
        <v>8.2100000000000009</v>
      </c>
      <c r="R16" s="198"/>
      <c r="S16" s="198"/>
      <c r="T16" s="198"/>
      <c r="U16" s="198"/>
    </row>
    <row r="17" spans="1:21" s="12" customFormat="1" x14ac:dyDescent="0.25">
      <c r="A17" s="215" t="s">
        <v>1120</v>
      </c>
      <c r="B17" s="64">
        <v>2.89</v>
      </c>
      <c r="C17" s="64">
        <v>39.700000000000003</v>
      </c>
      <c r="D17" s="64">
        <v>21.68</v>
      </c>
      <c r="E17" s="64">
        <v>3.84</v>
      </c>
      <c r="F17" s="64">
        <v>4.54</v>
      </c>
      <c r="G17" s="64">
        <v>63.86</v>
      </c>
      <c r="H17" s="64">
        <v>5.04</v>
      </c>
      <c r="I17" s="64">
        <v>3.11</v>
      </c>
      <c r="J17" s="64">
        <v>2.99</v>
      </c>
      <c r="K17" s="64">
        <v>347.18</v>
      </c>
      <c r="L17" s="64">
        <v>14.07</v>
      </c>
      <c r="M17" s="64">
        <v>59.64</v>
      </c>
      <c r="N17" s="64">
        <v>98.8</v>
      </c>
      <c r="O17" s="64">
        <v>0</v>
      </c>
      <c r="P17" s="64">
        <v>0.53</v>
      </c>
      <c r="Q17" s="64">
        <v>8.2100000000000009</v>
      </c>
      <c r="R17" s="198"/>
      <c r="S17" s="198"/>
      <c r="T17" s="198"/>
      <c r="U17" s="198"/>
    </row>
    <row r="18" spans="1:21" s="12" customFormat="1" x14ac:dyDescent="0.25">
      <c r="A18" s="215" t="s">
        <v>1121</v>
      </c>
      <c r="B18" s="64">
        <v>3.02</v>
      </c>
      <c r="C18" s="64">
        <v>38.840000000000003</v>
      </c>
      <c r="D18" s="64">
        <v>21.34</v>
      </c>
      <c r="E18" s="64">
        <v>3.97</v>
      </c>
      <c r="F18" s="64">
        <v>4.45</v>
      </c>
      <c r="G18" s="64">
        <v>63.86</v>
      </c>
      <c r="H18" s="64">
        <v>5.04</v>
      </c>
      <c r="I18" s="64">
        <v>3.04</v>
      </c>
      <c r="J18" s="64">
        <v>3.29</v>
      </c>
      <c r="K18" s="64">
        <v>347.17</v>
      </c>
      <c r="L18" s="64">
        <v>13.9</v>
      </c>
      <c r="M18" s="64">
        <v>60.26</v>
      </c>
      <c r="N18" s="64">
        <v>98.6</v>
      </c>
      <c r="O18" s="64">
        <v>0</v>
      </c>
      <c r="P18" s="64">
        <v>0.53</v>
      </c>
      <c r="Q18" s="64">
        <v>8.2100000000000009</v>
      </c>
      <c r="R18" s="198"/>
      <c r="S18" s="198"/>
      <c r="T18" s="198"/>
      <c r="U18" s="198"/>
    </row>
    <row r="19" spans="1:21" s="12" customFormat="1" x14ac:dyDescent="0.25">
      <c r="A19" s="215" t="s">
        <v>1122</v>
      </c>
      <c r="B19" s="64">
        <v>3.44</v>
      </c>
      <c r="C19" s="64">
        <v>40.28</v>
      </c>
      <c r="D19" s="64">
        <v>22.43</v>
      </c>
      <c r="E19" s="64">
        <v>3.86</v>
      </c>
      <c r="F19" s="64">
        <v>4.04</v>
      </c>
      <c r="G19" s="64">
        <v>63.86</v>
      </c>
      <c r="H19" s="64">
        <v>5.04</v>
      </c>
      <c r="I19" s="64">
        <v>3</v>
      </c>
      <c r="J19" s="64">
        <v>1.94</v>
      </c>
      <c r="K19" s="64">
        <v>350.61</v>
      </c>
      <c r="L19" s="64">
        <v>13.81</v>
      </c>
      <c r="M19" s="64">
        <v>61.17</v>
      </c>
      <c r="N19" s="64">
        <v>99</v>
      </c>
      <c r="O19" s="64">
        <v>0</v>
      </c>
      <c r="P19" s="64">
        <v>0.52</v>
      </c>
      <c r="Q19" s="64">
        <v>8.2100000000000009</v>
      </c>
      <c r="R19" s="198"/>
      <c r="S19" s="198"/>
      <c r="T19" s="198"/>
      <c r="U19" s="198"/>
    </row>
    <row r="20" spans="1:21" s="12" customFormat="1" x14ac:dyDescent="0.25">
      <c r="A20" s="215" t="s">
        <v>1123</v>
      </c>
      <c r="B20" s="64">
        <v>3.92</v>
      </c>
      <c r="C20" s="64">
        <v>40.630000000000003</v>
      </c>
      <c r="D20" s="64">
        <v>22.99</v>
      </c>
      <c r="E20" s="64">
        <v>4.05</v>
      </c>
      <c r="F20" s="64">
        <v>4.74</v>
      </c>
      <c r="G20" s="64">
        <v>63.11</v>
      </c>
      <c r="H20" s="64">
        <v>25.68</v>
      </c>
      <c r="I20" s="64">
        <v>3.06</v>
      </c>
      <c r="J20" s="64">
        <v>1.22</v>
      </c>
      <c r="K20" s="64">
        <v>359.95</v>
      </c>
      <c r="L20" s="64">
        <v>13.37</v>
      </c>
      <c r="M20" s="64">
        <v>63.99</v>
      </c>
      <c r="N20" s="64">
        <v>99</v>
      </c>
      <c r="O20" s="64">
        <v>0</v>
      </c>
      <c r="P20" s="64">
        <v>0.52</v>
      </c>
      <c r="Q20" s="64">
        <v>8.2100000000000009</v>
      </c>
      <c r="R20" s="198"/>
      <c r="S20" s="198"/>
      <c r="T20" s="198"/>
      <c r="U20" s="198"/>
    </row>
    <row r="21" spans="1:21" s="12" customFormat="1" x14ac:dyDescent="0.25">
      <c r="A21" s="215" t="s">
        <v>1124</v>
      </c>
      <c r="B21" s="64">
        <v>4.33</v>
      </c>
      <c r="C21" s="64">
        <v>40.68</v>
      </c>
      <c r="D21" s="64">
        <v>23.35</v>
      </c>
      <c r="E21" s="64">
        <v>4.07</v>
      </c>
      <c r="F21" s="64">
        <v>4.51</v>
      </c>
      <c r="G21" s="64">
        <v>62.51</v>
      </c>
      <c r="H21" s="64">
        <v>32.69</v>
      </c>
      <c r="I21" s="64">
        <v>3.36</v>
      </c>
      <c r="J21" s="64">
        <v>3.05</v>
      </c>
      <c r="K21" s="64">
        <v>347.06</v>
      </c>
      <c r="L21" s="64">
        <v>13.29</v>
      </c>
      <c r="M21" s="64">
        <v>63.33</v>
      </c>
      <c r="N21" s="64">
        <v>97.8</v>
      </c>
      <c r="O21" s="64">
        <v>0</v>
      </c>
      <c r="P21" s="64">
        <v>0.53</v>
      </c>
      <c r="Q21" s="64">
        <v>8.2100000000000009</v>
      </c>
      <c r="R21" s="198"/>
      <c r="S21" s="198"/>
      <c r="T21" s="198"/>
      <c r="U21" s="198"/>
    </row>
    <row r="22" spans="1:21" s="12" customFormat="1" x14ac:dyDescent="0.25">
      <c r="A22" s="215" t="s">
        <v>1125</v>
      </c>
      <c r="B22" s="64">
        <v>4.6500000000000004</v>
      </c>
      <c r="C22" s="64">
        <v>40.36</v>
      </c>
      <c r="D22" s="64">
        <v>23.44</v>
      </c>
      <c r="E22" s="64">
        <v>4.43</v>
      </c>
      <c r="F22" s="64">
        <v>4.34</v>
      </c>
      <c r="G22" s="64">
        <v>62.51</v>
      </c>
      <c r="H22" s="64">
        <v>32.69</v>
      </c>
      <c r="I22" s="64">
        <v>3.48</v>
      </c>
      <c r="J22" s="64">
        <v>3.81</v>
      </c>
      <c r="K22" s="64">
        <v>344.75</v>
      </c>
      <c r="L22" s="64">
        <v>13.44</v>
      </c>
      <c r="M22" s="64">
        <v>61.12</v>
      </c>
      <c r="N22" s="64">
        <v>97.6</v>
      </c>
      <c r="O22" s="64">
        <v>0</v>
      </c>
      <c r="P22" s="64">
        <v>0.52</v>
      </c>
      <c r="Q22" s="64">
        <v>8.2100000000000009</v>
      </c>
      <c r="R22" s="198"/>
      <c r="S22" s="198"/>
      <c r="T22" s="198"/>
      <c r="U22" s="198"/>
    </row>
    <row r="23" spans="1:21" s="12" customFormat="1" x14ac:dyDescent="0.25">
      <c r="A23" s="215" t="s">
        <v>1126</v>
      </c>
      <c r="B23" s="64">
        <v>4.7300000000000004</v>
      </c>
      <c r="C23" s="64">
        <v>40.19</v>
      </c>
      <c r="D23" s="64">
        <v>23.41</v>
      </c>
      <c r="E23" s="64">
        <v>4.1399999999999997</v>
      </c>
      <c r="F23" s="64">
        <v>4.5599999999999996</v>
      </c>
      <c r="G23" s="64">
        <v>62.51</v>
      </c>
      <c r="H23" s="64">
        <v>32.69</v>
      </c>
      <c r="I23" s="64">
        <v>3.51</v>
      </c>
      <c r="J23" s="64">
        <v>3.83</v>
      </c>
      <c r="K23" s="64">
        <v>344.17</v>
      </c>
      <c r="L23" s="64">
        <v>13.5</v>
      </c>
      <c r="M23" s="64">
        <v>59.71</v>
      </c>
      <c r="N23" s="64">
        <v>97.5</v>
      </c>
      <c r="O23" s="64">
        <v>0</v>
      </c>
      <c r="P23" s="64">
        <v>0.51</v>
      </c>
      <c r="Q23" s="64">
        <v>8.2100000000000009</v>
      </c>
      <c r="R23" s="198"/>
      <c r="S23" s="198"/>
      <c r="T23" s="198"/>
      <c r="U23" s="198"/>
    </row>
    <row r="24" spans="1:21" s="12" customFormat="1" x14ac:dyDescent="0.25">
      <c r="A24" s="215" t="s">
        <v>1127</v>
      </c>
      <c r="B24" s="64">
        <v>4.59</v>
      </c>
      <c r="C24" s="64">
        <v>40.71</v>
      </c>
      <c r="D24" s="64">
        <v>23.57</v>
      </c>
      <c r="E24" s="64">
        <v>4.29</v>
      </c>
      <c r="F24" s="64">
        <v>4.5199999999999996</v>
      </c>
      <c r="G24" s="64">
        <v>66.760000000000005</v>
      </c>
      <c r="H24" s="64">
        <v>17.809999999999999</v>
      </c>
      <c r="I24" s="64">
        <v>3.49</v>
      </c>
      <c r="J24" s="64">
        <v>3.77</v>
      </c>
      <c r="K24" s="64">
        <v>344.64</v>
      </c>
      <c r="L24" s="64">
        <v>13.34</v>
      </c>
      <c r="M24" s="64">
        <v>61.44</v>
      </c>
      <c r="N24" s="64">
        <v>95.4</v>
      </c>
      <c r="O24" s="64">
        <v>0</v>
      </c>
      <c r="P24" s="64">
        <v>0.51</v>
      </c>
      <c r="Q24" s="64">
        <v>8.2100000000000009</v>
      </c>
      <c r="R24" s="198"/>
      <c r="S24" s="198"/>
      <c r="T24" s="198"/>
      <c r="U24" s="198"/>
    </row>
    <row r="25" spans="1:21" s="12" customFormat="1" x14ac:dyDescent="0.25">
      <c r="A25" s="215" t="s">
        <v>1128</v>
      </c>
      <c r="B25" s="64">
        <v>4.62</v>
      </c>
      <c r="C25" s="64">
        <v>42.3</v>
      </c>
      <c r="D25" s="64">
        <v>24.43</v>
      </c>
      <c r="E25" s="64">
        <v>4.7699999999999996</v>
      </c>
      <c r="F25" s="64">
        <v>4.47</v>
      </c>
      <c r="G25" s="64">
        <v>70.010000000000005</v>
      </c>
      <c r="H25" s="64">
        <v>12.75</v>
      </c>
      <c r="I25" s="64">
        <v>3.53</v>
      </c>
      <c r="J25" s="64">
        <v>3.45</v>
      </c>
      <c r="K25" s="64">
        <v>345.54</v>
      </c>
      <c r="L25" s="64">
        <v>13.14</v>
      </c>
      <c r="M25" s="64">
        <v>62.36</v>
      </c>
      <c r="N25" s="64">
        <v>92.8</v>
      </c>
      <c r="O25" s="64">
        <v>0</v>
      </c>
      <c r="P25" s="64">
        <v>0.51</v>
      </c>
      <c r="Q25" s="64">
        <v>8.2100000000000009</v>
      </c>
      <c r="R25" s="198"/>
      <c r="S25" s="198"/>
      <c r="T25" s="198"/>
      <c r="U25" s="198"/>
    </row>
    <row r="26" spans="1:21" s="12" customFormat="1" x14ac:dyDescent="0.25">
      <c r="A26" s="215" t="s">
        <v>1129</v>
      </c>
      <c r="B26" s="64">
        <v>5.47</v>
      </c>
      <c r="C26" s="64">
        <v>43.63</v>
      </c>
      <c r="D26" s="64">
        <v>25.8</v>
      </c>
      <c r="E26" s="64">
        <v>4.49</v>
      </c>
      <c r="F26" s="64">
        <v>4.3099999999999996</v>
      </c>
      <c r="G26" s="64">
        <v>70.010000000000005</v>
      </c>
      <c r="H26" s="64">
        <v>12.75</v>
      </c>
      <c r="I26" s="64">
        <v>3.61</v>
      </c>
      <c r="J26" s="64">
        <v>1.1299999999999999</v>
      </c>
      <c r="K26" s="64">
        <v>50.63</v>
      </c>
      <c r="L26" s="64">
        <v>12.76</v>
      </c>
      <c r="M26" s="64">
        <v>65.2</v>
      </c>
      <c r="N26" s="64">
        <v>97.9</v>
      </c>
      <c r="O26" s="64">
        <v>0</v>
      </c>
      <c r="P26" s="64">
        <v>0.52</v>
      </c>
      <c r="Q26" s="64">
        <v>8.2100000000000009</v>
      </c>
      <c r="R26" s="198"/>
      <c r="S26" s="198"/>
      <c r="T26" s="198"/>
      <c r="U26" s="198"/>
    </row>
    <row r="27" spans="1:21" s="12" customFormat="1" x14ac:dyDescent="0.25">
      <c r="A27" s="215" t="s">
        <v>1130</v>
      </c>
      <c r="B27" s="64">
        <v>6.45</v>
      </c>
      <c r="C27" s="64">
        <v>43.4</v>
      </c>
      <c r="D27" s="64">
        <v>26.47</v>
      </c>
      <c r="E27" s="64">
        <v>4.55</v>
      </c>
      <c r="F27" s="64">
        <v>4.63</v>
      </c>
      <c r="G27" s="64">
        <v>70.010000000000005</v>
      </c>
      <c r="H27" s="64">
        <v>12.75</v>
      </c>
      <c r="I27" s="64">
        <v>3.63</v>
      </c>
      <c r="J27" s="64">
        <v>1.38</v>
      </c>
      <c r="K27" s="64">
        <v>4.1100000000000003</v>
      </c>
      <c r="L27" s="64">
        <v>12.5</v>
      </c>
      <c r="M27" s="64">
        <v>67.2</v>
      </c>
      <c r="N27" s="64">
        <v>98.2</v>
      </c>
      <c r="O27" s="64">
        <v>0</v>
      </c>
      <c r="P27" s="64">
        <v>0.53</v>
      </c>
      <c r="Q27" s="64">
        <v>8.2100000000000009</v>
      </c>
      <c r="R27" s="198"/>
      <c r="S27" s="198"/>
      <c r="T27" s="198"/>
      <c r="U27" s="198"/>
    </row>
    <row r="28" spans="1:21" s="12" customFormat="1" x14ac:dyDescent="0.25">
      <c r="A28" s="215" t="s">
        <v>1131</v>
      </c>
      <c r="B28" s="64">
        <v>7.71</v>
      </c>
      <c r="C28" s="64">
        <v>44.36</v>
      </c>
      <c r="D28" s="64">
        <v>27.98</v>
      </c>
      <c r="E28" s="64">
        <v>4.45</v>
      </c>
      <c r="F28" s="64">
        <v>4.5199999999999996</v>
      </c>
      <c r="G28" s="64">
        <v>79.260000000000005</v>
      </c>
      <c r="H28" s="64">
        <v>7.14</v>
      </c>
      <c r="I28" s="64">
        <v>3.61</v>
      </c>
      <c r="J28" s="64">
        <v>1.91</v>
      </c>
      <c r="K28" s="64">
        <v>356.08</v>
      </c>
      <c r="L28" s="64">
        <v>12.31</v>
      </c>
      <c r="M28" s="64">
        <v>68.48</v>
      </c>
      <c r="N28" s="64">
        <v>98.1</v>
      </c>
      <c r="O28" s="64">
        <v>0</v>
      </c>
      <c r="P28" s="64">
        <v>0.54</v>
      </c>
      <c r="Q28" s="64">
        <v>8.2100000000000009</v>
      </c>
      <c r="R28" s="198"/>
      <c r="S28" s="198"/>
      <c r="T28" s="198"/>
      <c r="U28" s="198"/>
    </row>
    <row r="29" spans="1:21" s="12" customFormat="1" x14ac:dyDescent="0.25">
      <c r="A29" s="215" t="s">
        <v>1132</v>
      </c>
      <c r="B29" s="64">
        <v>8.69</v>
      </c>
      <c r="C29" s="64">
        <v>43.99</v>
      </c>
      <c r="D29" s="64">
        <v>28.57</v>
      </c>
      <c r="E29" s="64">
        <v>4.4000000000000004</v>
      </c>
      <c r="F29" s="64">
        <v>4.6500000000000004</v>
      </c>
      <c r="G29" s="64">
        <v>86.33</v>
      </c>
      <c r="H29" s="64">
        <v>5.23</v>
      </c>
      <c r="I29" s="64">
        <v>3.58</v>
      </c>
      <c r="J29" s="64">
        <v>1.5</v>
      </c>
      <c r="K29" s="64">
        <v>358.56</v>
      </c>
      <c r="L29" s="64">
        <v>12.23</v>
      </c>
      <c r="M29" s="64">
        <v>68.11</v>
      </c>
      <c r="N29" s="64">
        <v>98.2</v>
      </c>
      <c r="O29" s="64">
        <v>0</v>
      </c>
      <c r="P29" s="64">
        <v>0.56000000000000005</v>
      </c>
      <c r="Q29" s="64">
        <v>8.2100000000000009</v>
      </c>
      <c r="R29" s="198"/>
      <c r="S29" s="198"/>
      <c r="T29" s="198"/>
      <c r="U29" s="198"/>
    </row>
    <row r="30" spans="1:21" s="12" customFormat="1" x14ac:dyDescent="0.25">
      <c r="A30" s="215" t="s">
        <v>1133</v>
      </c>
      <c r="B30" s="64">
        <v>9.1999999999999993</v>
      </c>
      <c r="C30" s="64">
        <v>44.86</v>
      </c>
      <c r="D30" s="64">
        <v>29.44</v>
      </c>
      <c r="E30" s="64">
        <v>4.26</v>
      </c>
      <c r="F30" s="64">
        <v>4.43</v>
      </c>
      <c r="G30" s="64">
        <v>86.33</v>
      </c>
      <c r="H30" s="64">
        <v>5.23</v>
      </c>
      <c r="I30" s="64">
        <v>3.58</v>
      </c>
      <c r="J30" s="64">
        <v>1.54</v>
      </c>
      <c r="K30" s="64">
        <v>82.52</v>
      </c>
      <c r="L30" s="64">
        <v>12.04</v>
      </c>
      <c r="M30" s="64">
        <v>67.91</v>
      </c>
      <c r="N30" s="64">
        <v>98.5</v>
      </c>
      <c r="O30" s="64">
        <v>0</v>
      </c>
      <c r="P30" s="64">
        <v>0.57999999999999996</v>
      </c>
      <c r="Q30" s="64">
        <v>8.2100000000000009</v>
      </c>
      <c r="R30" s="198"/>
      <c r="S30" s="198"/>
      <c r="T30" s="198"/>
      <c r="U30" s="198"/>
    </row>
    <row r="31" spans="1:21" s="12" customFormat="1" x14ac:dyDescent="0.25">
      <c r="A31" s="215" t="s">
        <v>1134</v>
      </c>
      <c r="B31" s="64">
        <v>9.36</v>
      </c>
      <c r="C31" s="64">
        <v>44.26</v>
      </c>
      <c r="D31" s="64">
        <v>29.25</v>
      </c>
      <c r="E31" s="64">
        <v>4.1100000000000003</v>
      </c>
      <c r="F31" s="64">
        <v>4.29</v>
      </c>
      <c r="G31" s="64">
        <v>86.33</v>
      </c>
      <c r="H31" s="64">
        <v>5.23</v>
      </c>
      <c r="I31" s="64">
        <v>3.57</v>
      </c>
      <c r="J31" s="64">
        <v>1.83</v>
      </c>
      <c r="K31" s="64">
        <v>353.56</v>
      </c>
      <c r="L31" s="64">
        <v>11.77</v>
      </c>
      <c r="M31" s="64">
        <v>69.489999999999995</v>
      </c>
      <c r="N31" s="64">
        <v>98.3</v>
      </c>
      <c r="O31" s="64">
        <v>0</v>
      </c>
      <c r="P31" s="64">
        <v>0.61</v>
      </c>
      <c r="Q31" s="64">
        <v>8.2100000000000009</v>
      </c>
      <c r="R31" s="198"/>
      <c r="S31" s="198"/>
      <c r="T31" s="198"/>
      <c r="U31" s="198"/>
    </row>
    <row r="32" spans="1:21" s="12" customFormat="1" x14ac:dyDescent="0.25">
      <c r="A32" s="215" t="s">
        <v>1135</v>
      </c>
      <c r="B32" s="64">
        <v>10</v>
      </c>
      <c r="C32" s="64">
        <v>44.87</v>
      </c>
      <c r="D32" s="64">
        <v>30.08</v>
      </c>
      <c r="E32" s="64">
        <v>4.09</v>
      </c>
      <c r="F32" s="64">
        <v>3.72</v>
      </c>
      <c r="G32" s="64">
        <v>83.73</v>
      </c>
      <c r="H32" s="64">
        <v>3.4</v>
      </c>
      <c r="I32" s="64">
        <v>3.54</v>
      </c>
      <c r="J32" s="64">
        <v>1.4</v>
      </c>
      <c r="K32" s="64">
        <v>104.57</v>
      </c>
      <c r="L32" s="64">
        <v>11.66</v>
      </c>
      <c r="M32" s="64">
        <v>70.819999999999993</v>
      </c>
      <c r="N32" s="64">
        <v>98</v>
      </c>
      <c r="O32" s="64">
        <v>0</v>
      </c>
      <c r="P32" s="64">
        <v>0.63</v>
      </c>
      <c r="Q32" s="64">
        <v>8.2100000000000009</v>
      </c>
      <c r="R32" s="198"/>
      <c r="S32" s="198"/>
      <c r="T32" s="198"/>
      <c r="U32" s="198"/>
    </row>
    <row r="33" spans="1:21" s="12" customFormat="1" x14ac:dyDescent="0.25">
      <c r="A33" s="215" t="s">
        <v>1136</v>
      </c>
      <c r="B33" s="64">
        <v>10.64</v>
      </c>
      <c r="C33" s="64">
        <v>45</v>
      </c>
      <c r="D33" s="64">
        <v>30.67</v>
      </c>
      <c r="E33" s="64">
        <v>3.83</v>
      </c>
      <c r="F33" s="64">
        <v>3.81</v>
      </c>
      <c r="G33" s="64">
        <v>81.64</v>
      </c>
      <c r="H33" s="64">
        <v>2.25</v>
      </c>
      <c r="I33" s="64">
        <v>3.47</v>
      </c>
      <c r="J33" s="64">
        <v>1.45</v>
      </c>
      <c r="K33" s="64">
        <v>359.28</v>
      </c>
      <c r="L33" s="64">
        <v>11.5</v>
      </c>
      <c r="M33" s="64">
        <v>72.709999999999994</v>
      </c>
      <c r="N33" s="64">
        <v>98.9</v>
      </c>
      <c r="O33" s="64">
        <v>0</v>
      </c>
      <c r="P33" s="64">
        <v>0.65</v>
      </c>
      <c r="Q33" s="64">
        <v>8.2100000000000009</v>
      </c>
      <c r="R33" s="198"/>
      <c r="S33" s="198"/>
      <c r="T33" s="198"/>
      <c r="U33" s="198"/>
    </row>
    <row r="34" spans="1:21" s="12" customFormat="1" x14ac:dyDescent="0.25">
      <c r="A34" s="215" t="s">
        <v>1137</v>
      </c>
      <c r="B34" s="64">
        <v>12</v>
      </c>
      <c r="C34" s="64">
        <v>43.77</v>
      </c>
      <c r="D34" s="64">
        <v>31.12</v>
      </c>
      <c r="E34" s="64">
        <v>4.07</v>
      </c>
      <c r="F34" s="64">
        <v>3.86</v>
      </c>
      <c r="G34" s="64">
        <v>81.64</v>
      </c>
      <c r="H34" s="64">
        <v>2.25</v>
      </c>
      <c r="I34" s="64">
        <v>3.43</v>
      </c>
      <c r="J34" s="64">
        <v>3.07</v>
      </c>
      <c r="K34" s="64">
        <v>346.17</v>
      </c>
      <c r="L34" s="64">
        <v>11.3</v>
      </c>
      <c r="M34" s="64">
        <v>74.53</v>
      </c>
      <c r="N34" s="64">
        <v>101</v>
      </c>
      <c r="O34" s="64">
        <v>0</v>
      </c>
      <c r="P34" s="64">
        <v>0.65</v>
      </c>
      <c r="Q34" s="64">
        <v>8.2100000000000009</v>
      </c>
      <c r="R34" s="198"/>
      <c r="S34" s="198"/>
      <c r="T34" s="198"/>
      <c r="U34" s="198"/>
    </row>
    <row r="35" spans="1:21" s="12" customFormat="1" x14ac:dyDescent="0.25">
      <c r="A35" s="215" t="s">
        <v>1138</v>
      </c>
      <c r="B35" s="64">
        <v>13.49</v>
      </c>
      <c r="C35" s="64">
        <v>43.44</v>
      </c>
      <c r="D35" s="64">
        <v>32.14</v>
      </c>
      <c r="E35" s="64">
        <v>4.1100000000000003</v>
      </c>
      <c r="F35" s="64">
        <v>3.65</v>
      </c>
      <c r="G35" s="64">
        <v>81.64</v>
      </c>
      <c r="H35" s="64">
        <v>2.25</v>
      </c>
      <c r="I35" s="64">
        <v>3.41</v>
      </c>
      <c r="J35" s="64">
        <v>3.66</v>
      </c>
      <c r="K35" s="64">
        <v>350.89</v>
      </c>
      <c r="L35" s="64">
        <v>11.39</v>
      </c>
      <c r="M35" s="64">
        <v>72.680000000000007</v>
      </c>
      <c r="N35" s="64">
        <v>108.1</v>
      </c>
      <c r="O35" s="64">
        <v>0</v>
      </c>
      <c r="P35" s="64">
        <v>0.66</v>
      </c>
      <c r="Q35" s="64">
        <v>8.2100000000000009</v>
      </c>
      <c r="R35" s="198"/>
      <c r="S35" s="198"/>
      <c r="T35" s="198"/>
      <c r="U35" s="198"/>
    </row>
    <row r="36" spans="1:21" s="12" customFormat="1" x14ac:dyDescent="0.25">
      <c r="A36" s="215" t="s">
        <v>1139</v>
      </c>
      <c r="B36" s="64">
        <v>14.67</v>
      </c>
      <c r="C36" s="64">
        <v>44.73</v>
      </c>
      <c r="D36" s="64">
        <v>33.76</v>
      </c>
      <c r="E36" s="64">
        <v>4.67</v>
      </c>
      <c r="F36" s="64">
        <v>3.91</v>
      </c>
      <c r="G36" s="64">
        <v>81.28</v>
      </c>
      <c r="H36" s="64">
        <v>29.25</v>
      </c>
      <c r="I36" s="64">
        <v>3.38</v>
      </c>
      <c r="J36" s="64">
        <v>2.97</v>
      </c>
      <c r="K36" s="64">
        <v>347.2</v>
      </c>
      <c r="L36" s="64">
        <v>11.76</v>
      </c>
      <c r="M36" s="64">
        <v>71.12</v>
      </c>
      <c r="N36" s="64">
        <v>123.5</v>
      </c>
      <c r="O36" s="64">
        <v>0</v>
      </c>
      <c r="P36" s="64">
        <v>0.66</v>
      </c>
      <c r="Q36" s="64">
        <v>8.2100000000000009</v>
      </c>
      <c r="R36" s="198"/>
      <c r="S36" s="198"/>
      <c r="T36" s="198"/>
      <c r="U36" s="198"/>
    </row>
    <row r="37" spans="1:21" s="12" customFormat="1" x14ac:dyDescent="0.25">
      <c r="A37" s="215" t="s">
        <v>1140</v>
      </c>
      <c r="B37" s="64">
        <v>16.239999999999998</v>
      </c>
      <c r="C37" s="64">
        <v>45.33</v>
      </c>
      <c r="D37" s="64">
        <v>35.33</v>
      </c>
      <c r="E37" s="64">
        <v>4.7</v>
      </c>
      <c r="F37" s="64">
        <v>3.77</v>
      </c>
      <c r="G37" s="64">
        <v>81</v>
      </c>
      <c r="H37" s="64">
        <v>38.44</v>
      </c>
      <c r="I37" s="64">
        <v>3.38</v>
      </c>
      <c r="J37" s="64">
        <v>2.56</v>
      </c>
      <c r="K37" s="64">
        <v>344.67</v>
      </c>
      <c r="L37" s="64">
        <v>11.93</v>
      </c>
      <c r="M37" s="64">
        <v>72.650000000000006</v>
      </c>
      <c r="N37" s="64">
        <v>141.80000000000001</v>
      </c>
      <c r="O37" s="64">
        <v>0</v>
      </c>
      <c r="P37" s="64">
        <v>0.6</v>
      </c>
      <c r="Q37" s="64">
        <v>8.2100000000000009</v>
      </c>
      <c r="R37" s="198"/>
      <c r="S37" s="198"/>
      <c r="T37" s="198"/>
      <c r="U37" s="198"/>
    </row>
    <row r="38" spans="1:21" s="12" customFormat="1" x14ac:dyDescent="0.25">
      <c r="A38" s="215" t="s">
        <v>1141</v>
      </c>
      <c r="B38" s="64">
        <v>18.059999999999999</v>
      </c>
      <c r="C38" s="64">
        <v>46.12</v>
      </c>
      <c r="D38" s="64">
        <v>37.200000000000003</v>
      </c>
      <c r="E38" s="64">
        <v>4.9400000000000004</v>
      </c>
      <c r="F38" s="64">
        <v>3.71</v>
      </c>
      <c r="G38" s="64">
        <v>81</v>
      </c>
      <c r="H38" s="64">
        <v>38.44</v>
      </c>
      <c r="I38" s="64">
        <v>3.42</v>
      </c>
      <c r="J38" s="64">
        <v>1.55</v>
      </c>
      <c r="K38" s="64">
        <v>60.61</v>
      </c>
      <c r="L38" s="64">
        <v>12.39</v>
      </c>
      <c r="M38" s="64">
        <v>69.13</v>
      </c>
      <c r="N38" s="64">
        <v>164.8</v>
      </c>
      <c r="O38" s="64">
        <v>0</v>
      </c>
      <c r="P38" s="64">
        <v>0.65</v>
      </c>
      <c r="Q38" s="64">
        <v>8.2100000000000009</v>
      </c>
      <c r="R38" s="198"/>
      <c r="S38" s="198"/>
      <c r="T38" s="198"/>
      <c r="U38" s="198"/>
    </row>
    <row r="39" spans="1:21" s="12" customFormat="1" x14ac:dyDescent="0.25">
      <c r="A39" s="215" t="s">
        <v>1142</v>
      </c>
      <c r="B39" s="64">
        <v>19.149999999999999</v>
      </c>
      <c r="C39" s="64">
        <v>46.15</v>
      </c>
      <c r="D39" s="64">
        <v>38.090000000000003</v>
      </c>
      <c r="E39" s="64">
        <v>5.25</v>
      </c>
      <c r="F39" s="64">
        <v>4.1500000000000004</v>
      </c>
      <c r="G39" s="64">
        <v>81</v>
      </c>
      <c r="H39" s="64">
        <v>38.44</v>
      </c>
      <c r="I39" s="64">
        <v>3.47</v>
      </c>
      <c r="J39" s="64">
        <v>3.18</v>
      </c>
      <c r="K39" s="64">
        <v>348.02</v>
      </c>
      <c r="L39" s="64">
        <v>13.23</v>
      </c>
      <c r="M39" s="64">
        <v>64.510000000000005</v>
      </c>
      <c r="N39" s="64">
        <v>222.8</v>
      </c>
      <c r="O39" s="64">
        <v>0</v>
      </c>
      <c r="P39" s="64">
        <v>0.65</v>
      </c>
      <c r="Q39" s="64">
        <v>8.27</v>
      </c>
      <c r="R39" s="198"/>
      <c r="S39" s="198"/>
      <c r="T39" s="198"/>
      <c r="U39" s="198"/>
    </row>
    <row r="40" spans="1:21" s="12" customFormat="1" x14ac:dyDescent="0.25">
      <c r="A40" s="215" t="s">
        <v>1143</v>
      </c>
      <c r="B40" s="64">
        <v>20.43</v>
      </c>
      <c r="C40" s="64">
        <v>47.17</v>
      </c>
      <c r="D40" s="64">
        <v>39.65</v>
      </c>
      <c r="E40" s="64">
        <v>7.19</v>
      </c>
      <c r="F40" s="64">
        <v>3.96</v>
      </c>
      <c r="G40" s="64">
        <v>89.7</v>
      </c>
      <c r="H40" s="64">
        <v>59.39</v>
      </c>
      <c r="I40" s="64">
        <v>3.53</v>
      </c>
      <c r="J40" s="64">
        <v>3.15</v>
      </c>
      <c r="K40" s="64">
        <v>341.36</v>
      </c>
      <c r="L40" s="64">
        <v>15.12</v>
      </c>
      <c r="M40" s="64">
        <v>57.03</v>
      </c>
      <c r="N40" s="64">
        <v>292.7</v>
      </c>
      <c r="O40" s="64">
        <v>0</v>
      </c>
      <c r="P40" s="64">
        <v>0.67</v>
      </c>
      <c r="Q40" s="64">
        <v>8.43</v>
      </c>
      <c r="R40" s="198"/>
      <c r="S40" s="198"/>
      <c r="T40" s="198"/>
      <c r="U40" s="198"/>
    </row>
    <row r="41" spans="1:21" s="12" customFormat="1" x14ac:dyDescent="0.25">
      <c r="A41" s="215" t="s">
        <v>1144</v>
      </c>
      <c r="B41" s="64">
        <v>21.13</v>
      </c>
      <c r="C41" s="64">
        <v>48.2</v>
      </c>
      <c r="D41" s="64">
        <v>40.75</v>
      </c>
      <c r="E41" s="64">
        <v>7.58</v>
      </c>
      <c r="F41" s="64">
        <v>4.04</v>
      </c>
      <c r="G41" s="64">
        <v>96.35</v>
      </c>
      <c r="H41" s="64">
        <v>66.52</v>
      </c>
      <c r="I41" s="64">
        <v>3.57</v>
      </c>
      <c r="J41" s="64">
        <v>3.31</v>
      </c>
      <c r="K41" s="64">
        <v>341.33</v>
      </c>
      <c r="L41" s="64">
        <v>16.63</v>
      </c>
      <c r="M41" s="64">
        <v>50.91</v>
      </c>
      <c r="N41" s="64">
        <v>335.8</v>
      </c>
      <c r="O41" s="64">
        <v>0</v>
      </c>
      <c r="P41" s="64">
        <v>0.68</v>
      </c>
      <c r="Q41" s="64">
        <v>8.5</v>
      </c>
      <c r="R41" s="198"/>
      <c r="S41" s="198"/>
      <c r="T41" s="198"/>
      <c r="U41" s="198"/>
    </row>
    <row r="42" spans="1:21" s="12" customFormat="1" x14ac:dyDescent="0.25">
      <c r="A42" s="215" t="s">
        <v>1145</v>
      </c>
      <c r="B42" s="64">
        <v>20.309999999999999</v>
      </c>
      <c r="C42" s="64">
        <v>50.21</v>
      </c>
      <c r="D42" s="64">
        <v>41.14</v>
      </c>
      <c r="E42" s="64">
        <v>7.74</v>
      </c>
      <c r="F42" s="64">
        <v>4.46</v>
      </c>
      <c r="G42" s="64">
        <v>96.35</v>
      </c>
      <c r="H42" s="64">
        <v>66.52</v>
      </c>
      <c r="I42" s="64">
        <v>3.65</v>
      </c>
      <c r="J42" s="64">
        <v>2.25</v>
      </c>
      <c r="K42" s="64">
        <v>342.8</v>
      </c>
      <c r="L42" s="64">
        <v>17.32</v>
      </c>
      <c r="M42" s="64">
        <v>49.75</v>
      </c>
      <c r="N42" s="64">
        <v>375.2</v>
      </c>
      <c r="O42" s="64">
        <v>0</v>
      </c>
      <c r="P42" s="64">
        <v>0.69</v>
      </c>
      <c r="Q42" s="64">
        <v>8.2200000000000006</v>
      </c>
      <c r="R42" s="198"/>
      <c r="S42" s="198"/>
      <c r="T42" s="198"/>
      <c r="U42" s="198"/>
    </row>
    <row r="43" spans="1:21" s="12" customFormat="1" x14ac:dyDescent="0.25">
      <c r="A43" s="215" t="s">
        <v>1146</v>
      </c>
      <c r="B43" s="64">
        <v>18.78</v>
      </c>
      <c r="C43" s="64">
        <v>51.12</v>
      </c>
      <c r="D43" s="64">
        <v>40.4</v>
      </c>
      <c r="E43" s="64">
        <v>7.57</v>
      </c>
      <c r="F43" s="64">
        <v>4.55</v>
      </c>
      <c r="G43" s="64">
        <v>96.35</v>
      </c>
      <c r="H43" s="64">
        <v>66.52</v>
      </c>
      <c r="I43" s="64">
        <v>3.72</v>
      </c>
      <c r="J43" s="64">
        <v>2.73</v>
      </c>
      <c r="K43" s="64">
        <v>340.17</v>
      </c>
      <c r="L43" s="64">
        <v>17.829999999999998</v>
      </c>
      <c r="M43" s="64">
        <v>48.65</v>
      </c>
      <c r="N43" s="64">
        <v>410.1</v>
      </c>
      <c r="O43" s="64">
        <v>0</v>
      </c>
      <c r="P43" s="64">
        <v>0.69</v>
      </c>
      <c r="Q43" s="64">
        <v>8.2100000000000009</v>
      </c>
      <c r="R43" s="198"/>
      <c r="S43" s="198"/>
      <c r="T43" s="198"/>
      <c r="U43" s="198"/>
    </row>
    <row r="44" spans="1:21" s="12" customFormat="1" x14ac:dyDescent="0.25">
      <c r="A44" s="215" t="s">
        <v>1147</v>
      </c>
      <c r="B44" s="64">
        <v>16.88</v>
      </c>
      <c r="C44" s="64">
        <v>52.56</v>
      </c>
      <c r="D44" s="64">
        <v>39.619999999999997</v>
      </c>
      <c r="E44" s="64">
        <v>7.12</v>
      </c>
      <c r="F44" s="64">
        <v>4.5199999999999996</v>
      </c>
      <c r="G44" s="64">
        <v>95.35</v>
      </c>
      <c r="H44" s="64">
        <v>61.33</v>
      </c>
      <c r="I44" s="64">
        <v>3.79</v>
      </c>
      <c r="J44" s="64">
        <v>3.2</v>
      </c>
      <c r="K44" s="64">
        <v>343.97</v>
      </c>
      <c r="L44" s="64">
        <v>19.190000000000001</v>
      </c>
      <c r="M44" s="64">
        <v>45.74</v>
      </c>
      <c r="N44" s="64">
        <v>461.7</v>
      </c>
      <c r="O44" s="64">
        <v>0</v>
      </c>
      <c r="P44" s="64">
        <v>0.69</v>
      </c>
      <c r="Q44" s="64">
        <v>8.2100000000000009</v>
      </c>
      <c r="R44" s="198"/>
      <c r="S44" s="198"/>
      <c r="T44" s="198"/>
      <c r="U44" s="198"/>
    </row>
    <row r="45" spans="1:21" s="12" customFormat="1" x14ac:dyDescent="0.25">
      <c r="A45" s="215" t="s">
        <v>1148</v>
      </c>
      <c r="B45" s="64">
        <v>15.11</v>
      </c>
      <c r="C45" s="64">
        <v>53.86</v>
      </c>
      <c r="D45" s="64">
        <v>38.880000000000003</v>
      </c>
      <c r="E45" s="64">
        <v>7.48</v>
      </c>
      <c r="F45" s="64">
        <v>4.55</v>
      </c>
      <c r="G45" s="64">
        <v>94.59</v>
      </c>
      <c r="H45" s="64">
        <v>59.57</v>
      </c>
      <c r="I45" s="64">
        <v>3.86</v>
      </c>
      <c r="J45" s="64">
        <v>3.34</v>
      </c>
      <c r="K45" s="64">
        <v>341.21</v>
      </c>
      <c r="L45" s="64">
        <v>19.98</v>
      </c>
      <c r="M45" s="64">
        <v>44.46</v>
      </c>
      <c r="N45" s="64">
        <v>500.8</v>
      </c>
      <c r="O45" s="64">
        <v>0</v>
      </c>
      <c r="P45" s="64">
        <v>0.7</v>
      </c>
      <c r="Q45" s="64">
        <v>8.2100000000000009</v>
      </c>
      <c r="R45" s="198"/>
      <c r="S45" s="198"/>
      <c r="T45" s="198"/>
      <c r="U45" s="198"/>
    </row>
    <row r="46" spans="1:21" s="12" customFormat="1" x14ac:dyDescent="0.25">
      <c r="A46" s="215" t="s">
        <v>1149</v>
      </c>
      <c r="B46" s="64">
        <v>13.66</v>
      </c>
      <c r="C46" s="64">
        <v>55.32</v>
      </c>
      <c r="D46" s="64">
        <v>38.479999999999997</v>
      </c>
      <c r="E46" s="64">
        <v>7.32</v>
      </c>
      <c r="F46" s="64">
        <v>4.72</v>
      </c>
      <c r="G46" s="64">
        <v>94.59</v>
      </c>
      <c r="H46" s="64">
        <v>59.57</v>
      </c>
      <c r="I46" s="64">
        <v>3.91</v>
      </c>
      <c r="J46" s="64">
        <v>2.72</v>
      </c>
      <c r="K46" s="64">
        <v>342.37</v>
      </c>
      <c r="L46" s="64">
        <v>20.98</v>
      </c>
      <c r="M46" s="64">
        <v>42.75</v>
      </c>
      <c r="N46" s="64">
        <v>541.9</v>
      </c>
      <c r="O46" s="64">
        <v>0</v>
      </c>
      <c r="P46" s="64">
        <v>0.71</v>
      </c>
      <c r="Q46" s="64">
        <v>8.2100000000000009</v>
      </c>
      <c r="R46" s="198"/>
      <c r="S46" s="198"/>
      <c r="T46" s="198"/>
      <c r="U46" s="198"/>
    </row>
    <row r="47" spans="1:21" s="12" customFormat="1" x14ac:dyDescent="0.25">
      <c r="A47" s="215" t="s">
        <v>1150</v>
      </c>
      <c r="B47" s="64">
        <v>12.72</v>
      </c>
      <c r="C47" s="64">
        <v>56.79</v>
      </c>
      <c r="D47" s="64">
        <v>38.5</v>
      </c>
      <c r="E47" s="64">
        <v>7.34</v>
      </c>
      <c r="F47" s="64">
        <v>4.66</v>
      </c>
      <c r="G47" s="64">
        <v>94.59</v>
      </c>
      <c r="H47" s="64">
        <v>59.57</v>
      </c>
      <c r="I47" s="64">
        <v>3.94</v>
      </c>
      <c r="J47" s="64">
        <v>3.43</v>
      </c>
      <c r="K47" s="64">
        <v>344.38</v>
      </c>
      <c r="L47" s="64">
        <v>22.08</v>
      </c>
      <c r="M47" s="64">
        <v>40.22</v>
      </c>
      <c r="N47" s="64">
        <v>584.5</v>
      </c>
      <c r="O47" s="64">
        <v>0</v>
      </c>
      <c r="P47" s="64">
        <v>0.73</v>
      </c>
      <c r="Q47" s="64">
        <v>8.2100000000000009</v>
      </c>
      <c r="R47" s="198"/>
      <c r="S47" s="198"/>
      <c r="T47" s="198"/>
      <c r="U47" s="198"/>
    </row>
    <row r="48" spans="1:21" s="12" customFormat="1" x14ac:dyDescent="0.25">
      <c r="A48" s="215" t="s">
        <v>1151</v>
      </c>
      <c r="B48" s="64">
        <v>11.53</v>
      </c>
      <c r="C48" s="64">
        <v>57.76</v>
      </c>
      <c r="D48" s="64">
        <v>38.049999999999997</v>
      </c>
      <c r="E48" s="64">
        <v>7.2</v>
      </c>
      <c r="F48" s="64">
        <v>5.07</v>
      </c>
      <c r="G48" s="64">
        <v>98.8</v>
      </c>
      <c r="H48" s="64">
        <v>57.12</v>
      </c>
      <c r="I48" s="64">
        <v>3.98</v>
      </c>
      <c r="J48" s="64">
        <v>1.81</v>
      </c>
      <c r="K48" s="64">
        <v>354.13</v>
      </c>
      <c r="L48" s="64">
        <v>22.24</v>
      </c>
      <c r="M48" s="64">
        <v>39.67</v>
      </c>
      <c r="N48" s="64">
        <v>578.70000000000005</v>
      </c>
      <c r="O48" s="64">
        <v>0</v>
      </c>
      <c r="P48" s="64">
        <v>0.74</v>
      </c>
      <c r="Q48" s="64">
        <v>8.2100000000000009</v>
      </c>
      <c r="R48" s="198"/>
      <c r="S48" s="198"/>
      <c r="T48" s="198"/>
      <c r="U48" s="198"/>
    </row>
    <row r="49" spans="1:21" s="12" customFormat="1" x14ac:dyDescent="0.25">
      <c r="A49" s="215" t="s">
        <v>1152</v>
      </c>
      <c r="B49" s="64">
        <v>10.44</v>
      </c>
      <c r="C49" s="64">
        <v>58.6</v>
      </c>
      <c r="D49" s="64">
        <v>37.61</v>
      </c>
      <c r="E49" s="64">
        <v>7.7</v>
      </c>
      <c r="F49" s="64">
        <v>4.79</v>
      </c>
      <c r="G49" s="64">
        <v>102.02</v>
      </c>
      <c r="H49" s="64">
        <v>55.59</v>
      </c>
      <c r="I49" s="64">
        <v>4.07</v>
      </c>
      <c r="J49" s="64">
        <v>0.79</v>
      </c>
      <c r="K49" s="64">
        <v>25.91</v>
      </c>
      <c r="L49" s="64">
        <v>21.17</v>
      </c>
      <c r="M49" s="64">
        <v>43.39</v>
      </c>
      <c r="N49" s="64">
        <v>628</v>
      </c>
      <c r="O49" s="64">
        <v>0</v>
      </c>
      <c r="P49" s="64">
        <v>0.75</v>
      </c>
      <c r="Q49" s="64">
        <v>8.2100000000000009</v>
      </c>
      <c r="R49" s="198"/>
      <c r="S49" s="198"/>
      <c r="T49" s="198"/>
      <c r="U49" s="198"/>
    </row>
    <row r="50" spans="1:21" s="12" customFormat="1" x14ac:dyDescent="0.25">
      <c r="A50" s="215" t="s">
        <v>1153</v>
      </c>
      <c r="B50" s="64">
        <v>9.27</v>
      </c>
      <c r="C50" s="64">
        <v>58.68</v>
      </c>
      <c r="D50" s="64">
        <v>36.72</v>
      </c>
      <c r="E50" s="64">
        <v>7.6</v>
      </c>
      <c r="F50" s="64">
        <v>4.88</v>
      </c>
      <c r="G50" s="64">
        <v>102.02</v>
      </c>
      <c r="H50" s="64">
        <v>55.59</v>
      </c>
      <c r="I50" s="64">
        <v>4.24</v>
      </c>
      <c r="J50" s="64">
        <v>1.59</v>
      </c>
      <c r="K50" s="64">
        <v>97.88</v>
      </c>
      <c r="L50" s="64">
        <v>19.34</v>
      </c>
      <c r="M50" s="64">
        <v>47.24</v>
      </c>
      <c r="N50" s="64">
        <v>681.7</v>
      </c>
      <c r="O50" s="64">
        <v>0</v>
      </c>
      <c r="P50" s="64">
        <v>0.75</v>
      </c>
      <c r="Q50" s="64">
        <v>8.2100000000000009</v>
      </c>
      <c r="R50" s="198"/>
      <c r="S50" s="198"/>
      <c r="T50" s="198"/>
      <c r="U50" s="198"/>
    </row>
    <row r="51" spans="1:21" s="12" customFormat="1" x14ac:dyDescent="0.25">
      <c r="A51" s="215" t="s">
        <v>1154</v>
      </c>
      <c r="B51" s="64">
        <v>8.06</v>
      </c>
      <c r="C51" s="64">
        <v>56.06</v>
      </c>
      <c r="D51" s="64">
        <v>34.369999999999997</v>
      </c>
      <c r="E51" s="64">
        <v>7.4</v>
      </c>
      <c r="F51" s="64">
        <v>5.23</v>
      </c>
      <c r="G51" s="64">
        <v>102.02</v>
      </c>
      <c r="H51" s="64">
        <v>55.59</v>
      </c>
      <c r="I51" s="64">
        <v>4.5</v>
      </c>
      <c r="J51" s="64">
        <v>1.98</v>
      </c>
      <c r="K51" s="64">
        <v>350.01</v>
      </c>
      <c r="L51" s="64">
        <v>21.39</v>
      </c>
      <c r="M51" s="64">
        <v>42.5</v>
      </c>
      <c r="N51" s="64">
        <v>717.5</v>
      </c>
      <c r="O51" s="64">
        <v>0</v>
      </c>
      <c r="P51" s="64">
        <v>0.76</v>
      </c>
      <c r="Q51" s="64">
        <v>8.2100000000000009</v>
      </c>
      <c r="R51" s="198"/>
      <c r="S51" s="198"/>
      <c r="T51" s="198"/>
      <c r="U51" s="198"/>
    </row>
    <row r="52" spans="1:21" s="12" customFormat="1" x14ac:dyDescent="0.25">
      <c r="A52" s="215" t="s">
        <v>1155</v>
      </c>
      <c r="B52" s="64">
        <v>7.44</v>
      </c>
      <c r="C52" s="64">
        <v>55.69</v>
      </c>
      <c r="D52" s="64">
        <v>33.69</v>
      </c>
      <c r="E52" s="64">
        <v>7.44</v>
      </c>
      <c r="F52" s="64">
        <v>5.1100000000000003</v>
      </c>
      <c r="G52" s="64">
        <v>102.88</v>
      </c>
      <c r="H52" s="64">
        <v>36.090000000000003</v>
      </c>
      <c r="I52" s="64">
        <v>5.05</v>
      </c>
      <c r="J52" s="64">
        <v>2.64</v>
      </c>
      <c r="K52" s="64">
        <v>345</v>
      </c>
      <c r="L52" s="64">
        <v>22.75</v>
      </c>
      <c r="M52" s="64">
        <v>39.049999999999997</v>
      </c>
      <c r="N52" s="64">
        <v>715.4</v>
      </c>
      <c r="O52" s="64">
        <v>0</v>
      </c>
      <c r="P52" s="64">
        <v>0.77</v>
      </c>
      <c r="Q52" s="64">
        <v>8.2100000000000009</v>
      </c>
      <c r="R52" s="198"/>
      <c r="S52" s="198"/>
      <c r="T52" s="198"/>
      <c r="U52" s="198"/>
    </row>
    <row r="53" spans="1:21" s="12" customFormat="1" x14ac:dyDescent="0.25">
      <c r="A53" s="215" t="s">
        <v>1156</v>
      </c>
      <c r="B53" s="64">
        <v>7</v>
      </c>
      <c r="C53" s="64">
        <v>56.2</v>
      </c>
      <c r="D53" s="64">
        <v>33.590000000000003</v>
      </c>
      <c r="E53" s="64">
        <v>7.34</v>
      </c>
      <c r="F53" s="64">
        <v>4.8600000000000003</v>
      </c>
      <c r="G53" s="64">
        <v>103.55</v>
      </c>
      <c r="H53" s="64">
        <v>29.46</v>
      </c>
      <c r="I53" s="64">
        <v>5.36</v>
      </c>
      <c r="J53" s="64">
        <v>2.62</v>
      </c>
      <c r="K53" s="64">
        <v>346.94</v>
      </c>
      <c r="L53" s="64">
        <v>23.82</v>
      </c>
      <c r="M53" s="64">
        <v>36.869999999999997</v>
      </c>
      <c r="N53" s="64">
        <v>746.8</v>
      </c>
      <c r="O53" s="64">
        <v>0</v>
      </c>
      <c r="P53" s="64">
        <v>0.77</v>
      </c>
      <c r="Q53" s="64">
        <v>8.2100000000000009</v>
      </c>
      <c r="R53" s="198"/>
      <c r="S53" s="198"/>
      <c r="T53" s="198"/>
      <c r="U53" s="198"/>
    </row>
    <row r="54" spans="1:21" s="12" customFormat="1" x14ac:dyDescent="0.25">
      <c r="A54" s="215" t="s">
        <v>1157</v>
      </c>
      <c r="B54" s="64">
        <v>6.66</v>
      </c>
      <c r="C54" s="64">
        <v>56.51</v>
      </c>
      <c r="D54" s="64">
        <v>33.49</v>
      </c>
      <c r="E54" s="64">
        <v>6.84</v>
      </c>
      <c r="F54" s="64">
        <v>4.8</v>
      </c>
      <c r="G54" s="64">
        <v>103.55</v>
      </c>
      <c r="H54" s="64">
        <v>29.46</v>
      </c>
      <c r="I54" s="64">
        <v>5.61</v>
      </c>
      <c r="J54" s="64">
        <v>2.93</v>
      </c>
      <c r="K54" s="64">
        <v>338.87</v>
      </c>
      <c r="L54" s="64">
        <v>23.6</v>
      </c>
      <c r="M54" s="64">
        <v>37.44</v>
      </c>
      <c r="N54" s="64">
        <v>718.3</v>
      </c>
      <c r="O54" s="64">
        <v>0</v>
      </c>
      <c r="P54" s="64">
        <v>0.78</v>
      </c>
      <c r="Q54" s="64">
        <v>8.2100000000000009</v>
      </c>
      <c r="R54" s="198"/>
      <c r="S54" s="198"/>
      <c r="T54" s="198"/>
      <c r="U54" s="198"/>
    </row>
    <row r="55" spans="1:21" s="12" customFormat="1" x14ac:dyDescent="0.25">
      <c r="A55" s="215" t="s">
        <v>1158</v>
      </c>
      <c r="B55" s="64">
        <v>6.37</v>
      </c>
      <c r="C55" s="64">
        <v>56.8</v>
      </c>
      <c r="D55" s="64">
        <v>33.409999999999997</v>
      </c>
      <c r="E55" s="64">
        <v>7.26</v>
      </c>
      <c r="F55" s="64">
        <v>4.87</v>
      </c>
      <c r="G55" s="64">
        <v>103.55</v>
      </c>
      <c r="H55" s="64">
        <v>29.46</v>
      </c>
      <c r="I55" s="64">
        <v>5.75</v>
      </c>
      <c r="J55" s="64">
        <v>3.5</v>
      </c>
      <c r="K55" s="64">
        <v>338.19</v>
      </c>
      <c r="L55" s="64">
        <v>25.08</v>
      </c>
      <c r="M55" s="64">
        <v>33.03</v>
      </c>
      <c r="N55" s="64">
        <v>703.1</v>
      </c>
      <c r="O55" s="64">
        <v>0</v>
      </c>
      <c r="P55" s="64">
        <v>0.79</v>
      </c>
      <c r="Q55" s="64">
        <v>8.2100000000000009</v>
      </c>
      <c r="R55" s="198"/>
      <c r="S55" s="198"/>
      <c r="T55" s="198"/>
      <c r="U55" s="198"/>
    </row>
    <row r="56" spans="1:21" s="12" customFormat="1" x14ac:dyDescent="0.25">
      <c r="A56" s="215" t="s">
        <v>1159</v>
      </c>
      <c r="B56" s="64">
        <v>5.76</v>
      </c>
      <c r="C56" s="64">
        <v>56.97</v>
      </c>
      <c r="D56" s="64">
        <v>33.01</v>
      </c>
      <c r="E56" s="64">
        <v>7.4</v>
      </c>
      <c r="F56" s="64">
        <v>4.9800000000000004</v>
      </c>
      <c r="G56" s="64">
        <v>105.62</v>
      </c>
      <c r="H56" s="64">
        <v>19.57</v>
      </c>
      <c r="I56" s="64">
        <v>5.92</v>
      </c>
      <c r="J56" s="64">
        <v>3.02</v>
      </c>
      <c r="K56" s="64">
        <v>333.65</v>
      </c>
      <c r="L56" s="64">
        <v>25.62</v>
      </c>
      <c r="M56" s="64">
        <v>30.75</v>
      </c>
      <c r="N56" s="64">
        <v>654.79999999999995</v>
      </c>
      <c r="O56" s="64">
        <v>0</v>
      </c>
      <c r="P56" s="64">
        <v>0.79</v>
      </c>
      <c r="Q56" s="64">
        <v>8.2100000000000009</v>
      </c>
      <c r="R56" s="198"/>
      <c r="S56" s="198"/>
      <c r="T56" s="198"/>
      <c r="U56" s="198"/>
    </row>
    <row r="57" spans="1:21" s="12" customFormat="1" x14ac:dyDescent="0.25">
      <c r="A57" s="215" t="s">
        <v>1160</v>
      </c>
      <c r="B57" s="64">
        <v>5.2</v>
      </c>
      <c r="C57" s="64">
        <v>56.75</v>
      </c>
      <c r="D57" s="64">
        <v>32.44</v>
      </c>
      <c r="E57" s="64">
        <v>7.19</v>
      </c>
      <c r="F57" s="64">
        <v>4.9400000000000004</v>
      </c>
      <c r="G57" s="64">
        <v>107.21</v>
      </c>
      <c r="H57" s="64">
        <v>16.2</v>
      </c>
      <c r="I57" s="64">
        <v>6.05</v>
      </c>
      <c r="J57" s="64">
        <v>0.63</v>
      </c>
      <c r="K57" s="64">
        <v>354.36</v>
      </c>
      <c r="L57" s="64">
        <v>24.01</v>
      </c>
      <c r="M57" s="64">
        <v>29.81</v>
      </c>
      <c r="N57" s="64">
        <v>755.1</v>
      </c>
      <c r="O57" s="64">
        <v>0</v>
      </c>
      <c r="P57" s="64">
        <v>0.77</v>
      </c>
      <c r="Q57" s="64">
        <v>8.2100000000000009</v>
      </c>
      <c r="R57" s="198"/>
      <c r="S57" s="198"/>
      <c r="T57" s="198"/>
      <c r="U57" s="198"/>
    </row>
    <row r="58" spans="1:21" s="12" customFormat="1" x14ac:dyDescent="0.25">
      <c r="A58" s="215" t="s">
        <v>1161</v>
      </c>
      <c r="B58" s="64">
        <v>4.72</v>
      </c>
      <c r="C58" s="64">
        <v>56.12</v>
      </c>
      <c r="D58" s="64">
        <v>31.73</v>
      </c>
      <c r="E58" s="64">
        <v>7.53</v>
      </c>
      <c r="F58" s="64">
        <v>4.91</v>
      </c>
      <c r="G58" s="64">
        <v>107.21</v>
      </c>
      <c r="H58" s="64">
        <v>16.2</v>
      </c>
      <c r="I58" s="64">
        <v>5.67</v>
      </c>
      <c r="J58" s="64">
        <v>0.6</v>
      </c>
      <c r="K58" s="64">
        <v>60.96</v>
      </c>
      <c r="L58" s="64">
        <v>22.69</v>
      </c>
      <c r="M58" s="64">
        <v>33.57</v>
      </c>
      <c r="N58" s="64">
        <v>763</v>
      </c>
      <c r="O58" s="64">
        <v>0</v>
      </c>
      <c r="P58" s="64">
        <v>0.78</v>
      </c>
      <c r="Q58" s="64">
        <v>8.2100000000000009</v>
      </c>
      <c r="R58" s="198"/>
      <c r="S58" s="198"/>
      <c r="T58" s="198"/>
      <c r="U58" s="198"/>
    </row>
    <row r="59" spans="1:21" s="12" customFormat="1" x14ac:dyDescent="0.25">
      <c r="A59" s="215" t="s">
        <v>1162</v>
      </c>
      <c r="B59" s="64">
        <v>4.12</v>
      </c>
      <c r="C59" s="64">
        <v>56.4</v>
      </c>
      <c r="D59" s="64">
        <v>31.39</v>
      </c>
      <c r="E59" s="64">
        <v>7.19</v>
      </c>
      <c r="F59" s="64">
        <v>5.47</v>
      </c>
      <c r="G59" s="64">
        <v>107.21</v>
      </c>
      <c r="H59" s="64">
        <v>16.2</v>
      </c>
      <c r="I59" s="64">
        <v>5.8</v>
      </c>
      <c r="J59" s="64">
        <v>2.13</v>
      </c>
      <c r="K59" s="64">
        <v>333.11</v>
      </c>
      <c r="L59" s="64">
        <v>24.48</v>
      </c>
      <c r="M59" s="64">
        <v>31.16</v>
      </c>
      <c r="N59" s="64">
        <v>702.6</v>
      </c>
      <c r="O59" s="64">
        <v>0</v>
      </c>
      <c r="P59" s="64">
        <v>0.78</v>
      </c>
      <c r="Q59" s="64">
        <v>8.2100000000000009</v>
      </c>
      <c r="R59" s="198"/>
      <c r="S59" s="198"/>
      <c r="T59" s="198"/>
      <c r="U59" s="198"/>
    </row>
    <row r="60" spans="1:21" s="12" customFormat="1" x14ac:dyDescent="0.25">
      <c r="A60" s="215" t="s">
        <v>1163</v>
      </c>
      <c r="B60" s="64">
        <v>3.57</v>
      </c>
      <c r="C60" s="64">
        <v>56.15</v>
      </c>
      <c r="D60" s="64">
        <v>30.82</v>
      </c>
      <c r="E60" s="64">
        <v>6.76</v>
      </c>
      <c r="F60" s="64">
        <v>5.91</v>
      </c>
      <c r="G60" s="64">
        <v>98.29</v>
      </c>
      <c r="H60" s="64">
        <v>38.479999999999997</v>
      </c>
      <c r="I60" s="64">
        <v>6.11</v>
      </c>
      <c r="J60" s="64">
        <v>1.43</v>
      </c>
      <c r="K60" s="64">
        <v>339.79</v>
      </c>
      <c r="L60" s="64">
        <v>24.42</v>
      </c>
      <c r="M60" s="64">
        <v>31.28</v>
      </c>
      <c r="N60" s="64">
        <v>684.9</v>
      </c>
      <c r="O60" s="64">
        <v>0</v>
      </c>
      <c r="P60" s="64">
        <v>0.78</v>
      </c>
      <c r="Q60" s="64">
        <v>8.2100000000000009</v>
      </c>
      <c r="R60" s="198"/>
      <c r="S60" s="198"/>
      <c r="T60" s="198"/>
      <c r="U60" s="198"/>
    </row>
    <row r="61" spans="1:21" s="12" customFormat="1" x14ac:dyDescent="0.25">
      <c r="A61" s="215" t="s">
        <v>1164</v>
      </c>
      <c r="B61" s="64">
        <v>3.2</v>
      </c>
      <c r="C61" s="64">
        <v>56.42</v>
      </c>
      <c r="D61" s="64">
        <v>30.67</v>
      </c>
      <c r="E61" s="64">
        <v>6.48</v>
      </c>
      <c r="F61" s="64">
        <v>6.11</v>
      </c>
      <c r="G61" s="64">
        <v>91.47</v>
      </c>
      <c r="H61" s="64">
        <v>46.05</v>
      </c>
      <c r="I61" s="64">
        <v>6.12</v>
      </c>
      <c r="J61" s="64">
        <v>2.38</v>
      </c>
      <c r="K61" s="64">
        <v>328.69</v>
      </c>
      <c r="L61" s="64">
        <v>24.36</v>
      </c>
      <c r="M61" s="64">
        <v>31.31</v>
      </c>
      <c r="N61" s="64">
        <v>639.79999999999995</v>
      </c>
      <c r="O61" s="64">
        <v>0</v>
      </c>
      <c r="P61" s="64">
        <v>0.76</v>
      </c>
      <c r="Q61" s="64">
        <v>8.2100000000000009</v>
      </c>
      <c r="R61" s="198"/>
      <c r="S61" s="198"/>
      <c r="T61" s="198"/>
      <c r="U61" s="198"/>
    </row>
    <row r="62" spans="1:21" s="12" customFormat="1" x14ac:dyDescent="0.25">
      <c r="A62" s="215" t="s">
        <v>1165</v>
      </c>
      <c r="B62" s="64">
        <v>2.81</v>
      </c>
      <c r="C62" s="64">
        <v>56.88</v>
      </c>
      <c r="D62" s="64">
        <v>30.6</v>
      </c>
      <c r="E62" s="64">
        <v>5.77</v>
      </c>
      <c r="F62" s="64">
        <v>6.53</v>
      </c>
      <c r="G62" s="64">
        <v>91.47</v>
      </c>
      <c r="H62" s="64">
        <v>46.05</v>
      </c>
      <c r="I62" s="64">
        <v>6.06</v>
      </c>
      <c r="J62" s="64">
        <v>1.43</v>
      </c>
      <c r="K62" s="64">
        <v>114.74</v>
      </c>
      <c r="L62" s="64">
        <v>23.05</v>
      </c>
      <c r="M62" s="64">
        <v>33.67</v>
      </c>
      <c r="N62" s="64">
        <v>629.6</v>
      </c>
      <c r="O62" s="64">
        <v>0</v>
      </c>
      <c r="P62" s="64">
        <v>0.77</v>
      </c>
      <c r="Q62" s="64">
        <v>8.2100000000000009</v>
      </c>
      <c r="R62" s="198"/>
      <c r="S62" s="198"/>
      <c r="T62" s="198"/>
      <c r="U62" s="198"/>
    </row>
    <row r="63" spans="1:21" s="12" customFormat="1" x14ac:dyDescent="0.25">
      <c r="A63" s="215" t="s">
        <v>1166</v>
      </c>
      <c r="B63" s="64">
        <v>2.4900000000000002</v>
      </c>
      <c r="C63" s="64">
        <v>56.25</v>
      </c>
      <c r="D63" s="64">
        <v>30.01</v>
      </c>
      <c r="E63" s="64">
        <v>6.97</v>
      </c>
      <c r="F63" s="64">
        <v>6.52</v>
      </c>
      <c r="G63" s="64">
        <v>91.47</v>
      </c>
      <c r="H63" s="64">
        <v>46.05</v>
      </c>
      <c r="I63" s="64">
        <v>6.01</v>
      </c>
      <c r="J63" s="64">
        <v>1.67</v>
      </c>
      <c r="K63" s="64">
        <v>340</v>
      </c>
      <c r="L63" s="64">
        <v>22.9</v>
      </c>
      <c r="M63" s="64">
        <v>34.24</v>
      </c>
      <c r="N63" s="64">
        <v>546.70000000000005</v>
      </c>
      <c r="O63" s="64">
        <v>0</v>
      </c>
      <c r="P63" s="64">
        <v>0.77</v>
      </c>
      <c r="Q63" s="64">
        <v>8.2100000000000009</v>
      </c>
      <c r="R63" s="198"/>
      <c r="S63" s="198"/>
      <c r="T63" s="198"/>
      <c r="U63" s="198"/>
    </row>
    <row r="64" spans="1:21" s="12" customFormat="1" x14ac:dyDescent="0.25">
      <c r="A64" s="215" t="s">
        <v>1167</v>
      </c>
      <c r="B64" s="64">
        <v>2.4900000000000002</v>
      </c>
      <c r="C64" s="64">
        <v>56.54</v>
      </c>
      <c r="D64" s="64">
        <v>30.16</v>
      </c>
      <c r="E64" s="64">
        <v>6.49</v>
      </c>
      <c r="F64" s="64">
        <v>6.29</v>
      </c>
      <c r="G64" s="64">
        <v>93.29</v>
      </c>
      <c r="H64" s="64">
        <v>50.37</v>
      </c>
      <c r="I64" s="64">
        <v>5.95</v>
      </c>
      <c r="J64" s="64">
        <v>0.22</v>
      </c>
      <c r="K64" s="64">
        <v>144.69999999999999</v>
      </c>
      <c r="L64" s="64">
        <v>22.69</v>
      </c>
      <c r="M64" s="64">
        <v>33.93</v>
      </c>
      <c r="N64" s="64">
        <v>426.7</v>
      </c>
      <c r="O64" s="64">
        <v>0</v>
      </c>
      <c r="P64" s="64">
        <v>0.77</v>
      </c>
      <c r="Q64" s="64">
        <v>8.2100000000000009</v>
      </c>
      <c r="R64" s="198"/>
      <c r="S64" s="198"/>
      <c r="T64" s="198"/>
      <c r="U64" s="198"/>
    </row>
    <row r="65" spans="1:21" s="12" customFormat="1" x14ac:dyDescent="0.25">
      <c r="A65" s="215" t="s">
        <v>1168</v>
      </c>
      <c r="B65" s="64">
        <v>2.44</v>
      </c>
      <c r="C65" s="64">
        <v>56.63</v>
      </c>
      <c r="D65" s="64">
        <v>30.17</v>
      </c>
      <c r="E65" s="64">
        <v>6.87</v>
      </c>
      <c r="F65" s="64">
        <v>6.3</v>
      </c>
      <c r="G65" s="64">
        <v>94.68</v>
      </c>
      <c r="H65" s="64">
        <v>53.1</v>
      </c>
      <c r="I65" s="64">
        <v>5.94</v>
      </c>
      <c r="J65" s="64">
        <v>3.04</v>
      </c>
      <c r="K65" s="64">
        <v>339.18</v>
      </c>
      <c r="L65" s="64">
        <v>23.63</v>
      </c>
      <c r="M65" s="64">
        <v>32.68</v>
      </c>
      <c r="N65" s="64">
        <v>268.60000000000002</v>
      </c>
      <c r="O65" s="64">
        <v>0</v>
      </c>
      <c r="P65" s="64">
        <v>0.78</v>
      </c>
      <c r="Q65" s="64">
        <v>8.2100000000000009</v>
      </c>
      <c r="R65" s="198"/>
      <c r="S65" s="198"/>
      <c r="T65" s="198"/>
      <c r="U65" s="198"/>
    </row>
    <row r="66" spans="1:21" s="12" customFormat="1" x14ac:dyDescent="0.25">
      <c r="A66" s="215" t="s">
        <v>1169</v>
      </c>
      <c r="B66" s="64">
        <v>2.52</v>
      </c>
      <c r="C66" s="64">
        <v>57.22</v>
      </c>
      <c r="D66" s="64">
        <v>30.54</v>
      </c>
      <c r="E66" s="64">
        <v>7.19</v>
      </c>
      <c r="F66" s="64">
        <v>6.39</v>
      </c>
      <c r="G66" s="64">
        <v>94.68</v>
      </c>
      <c r="H66" s="64">
        <v>53.1</v>
      </c>
      <c r="I66" s="64">
        <v>5.85</v>
      </c>
      <c r="J66" s="64">
        <v>3.5</v>
      </c>
      <c r="K66" s="64">
        <v>333.57</v>
      </c>
      <c r="L66" s="64">
        <v>23.75</v>
      </c>
      <c r="M66" s="64">
        <v>32.18</v>
      </c>
      <c r="N66" s="64">
        <v>251.4</v>
      </c>
      <c r="O66" s="64">
        <v>0</v>
      </c>
      <c r="P66" s="64">
        <v>0.79</v>
      </c>
      <c r="Q66" s="64">
        <v>8.2100000000000009</v>
      </c>
      <c r="R66" s="198"/>
      <c r="S66" s="198"/>
      <c r="T66" s="198"/>
      <c r="U66" s="198"/>
    </row>
    <row r="67" spans="1:21" s="12" customFormat="1" x14ac:dyDescent="0.25">
      <c r="A67" s="215" t="s">
        <v>1170</v>
      </c>
      <c r="B67" s="64">
        <v>2.52</v>
      </c>
      <c r="C67" s="64">
        <v>57.3</v>
      </c>
      <c r="D67" s="64">
        <v>30.58</v>
      </c>
      <c r="E67" s="64">
        <v>6.75</v>
      </c>
      <c r="F67" s="64">
        <v>6.77</v>
      </c>
      <c r="G67" s="64">
        <v>94.68</v>
      </c>
      <c r="H67" s="64">
        <v>53.1</v>
      </c>
      <c r="I67" s="64">
        <v>5.54</v>
      </c>
      <c r="J67" s="64">
        <v>3.24</v>
      </c>
      <c r="K67" s="64">
        <v>307.19</v>
      </c>
      <c r="L67" s="64">
        <v>23.76</v>
      </c>
      <c r="M67" s="64">
        <v>30.69</v>
      </c>
      <c r="N67" s="64">
        <v>234.6</v>
      </c>
      <c r="O67" s="64">
        <v>0</v>
      </c>
      <c r="P67" s="64">
        <v>0.78</v>
      </c>
      <c r="Q67" s="64">
        <v>8.2100000000000009</v>
      </c>
      <c r="R67" s="198"/>
      <c r="S67" s="198"/>
      <c r="T67" s="198"/>
      <c r="U67" s="198"/>
    </row>
    <row r="68" spans="1:21" s="12" customFormat="1" x14ac:dyDescent="0.25">
      <c r="A68" s="215" t="s">
        <v>1171</v>
      </c>
      <c r="B68" s="64">
        <v>2.4500000000000002</v>
      </c>
      <c r="C68" s="64">
        <v>55.4</v>
      </c>
      <c r="D68" s="64">
        <v>29.53</v>
      </c>
      <c r="E68" s="64">
        <v>6.42</v>
      </c>
      <c r="F68" s="64">
        <v>6.3</v>
      </c>
      <c r="G68" s="64">
        <v>92.77</v>
      </c>
      <c r="H68" s="64">
        <v>36.85</v>
      </c>
      <c r="I68" s="64">
        <v>5.61</v>
      </c>
      <c r="J68" s="64">
        <v>2.84</v>
      </c>
      <c r="K68" s="64">
        <v>317.77</v>
      </c>
      <c r="L68" s="64">
        <v>23.47</v>
      </c>
      <c r="M68" s="64">
        <v>31.01</v>
      </c>
      <c r="N68" s="64">
        <v>204.7</v>
      </c>
      <c r="O68" s="64">
        <v>0</v>
      </c>
      <c r="P68" s="64">
        <v>0.76</v>
      </c>
      <c r="Q68" s="64">
        <v>8.2100000000000009</v>
      </c>
      <c r="R68" s="198"/>
      <c r="S68" s="198"/>
      <c r="T68" s="198"/>
      <c r="U68" s="198"/>
    </row>
    <row r="69" spans="1:21" s="12" customFormat="1" x14ac:dyDescent="0.25">
      <c r="A69" s="215" t="s">
        <v>1172</v>
      </c>
      <c r="B69" s="64">
        <v>2.56</v>
      </c>
      <c r="C69" s="64">
        <v>54.61</v>
      </c>
      <c r="D69" s="64">
        <v>29.21</v>
      </c>
      <c r="E69" s="64">
        <v>6.3</v>
      </c>
      <c r="F69" s="64">
        <v>6.09</v>
      </c>
      <c r="G69" s="64">
        <v>91.31</v>
      </c>
      <c r="H69" s="64">
        <v>31.33</v>
      </c>
      <c r="I69" s="64">
        <v>5.2</v>
      </c>
      <c r="J69" s="64">
        <v>3.25</v>
      </c>
      <c r="K69" s="64">
        <v>312.56</v>
      </c>
      <c r="L69" s="64">
        <v>22.53</v>
      </c>
      <c r="M69" s="64">
        <v>33.049999999999997</v>
      </c>
      <c r="N69" s="64">
        <v>192.6</v>
      </c>
      <c r="O69" s="64">
        <v>0</v>
      </c>
      <c r="P69" s="64">
        <v>0.76</v>
      </c>
      <c r="Q69" s="64">
        <v>8.2100000000000009</v>
      </c>
      <c r="R69" s="198"/>
      <c r="S69" s="198"/>
      <c r="T69" s="198"/>
      <c r="U69" s="198"/>
    </row>
    <row r="70" spans="1:21" s="12" customFormat="1" x14ac:dyDescent="0.25">
      <c r="A70" s="215" t="s">
        <v>1173</v>
      </c>
      <c r="B70" s="64">
        <v>2.5</v>
      </c>
      <c r="C70" s="64">
        <v>53.77</v>
      </c>
      <c r="D70" s="64">
        <v>28.72</v>
      </c>
      <c r="E70" s="64">
        <v>6.63</v>
      </c>
      <c r="F70" s="64">
        <v>6.59</v>
      </c>
      <c r="G70" s="64">
        <v>91.31</v>
      </c>
      <c r="H70" s="64">
        <v>31.33</v>
      </c>
      <c r="I70" s="64">
        <v>4.9000000000000004</v>
      </c>
      <c r="J70" s="64">
        <v>3.56</v>
      </c>
      <c r="K70" s="64">
        <v>323.32</v>
      </c>
      <c r="L70" s="64">
        <v>21.88</v>
      </c>
      <c r="M70" s="64">
        <v>34.14</v>
      </c>
      <c r="N70" s="64">
        <v>180.7</v>
      </c>
      <c r="O70" s="64">
        <v>0</v>
      </c>
      <c r="P70" s="64">
        <v>0.74</v>
      </c>
      <c r="Q70" s="64">
        <v>8.2100000000000009</v>
      </c>
      <c r="R70" s="198"/>
      <c r="S70" s="198"/>
      <c r="T70" s="198"/>
      <c r="U70" s="198"/>
    </row>
    <row r="71" spans="1:21" s="12" customFormat="1" x14ac:dyDescent="0.25">
      <c r="A71" s="215" t="s">
        <v>1174</v>
      </c>
      <c r="B71" s="64">
        <v>2.38</v>
      </c>
      <c r="C71" s="64">
        <v>52.99</v>
      </c>
      <c r="D71" s="64">
        <v>28.22</v>
      </c>
      <c r="E71" s="64">
        <v>7.07</v>
      </c>
      <c r="F71" s="64">
        <v>7.02</v>
      </c>
      <c r="G71" s="64">
        <v>91.31</v>
      </c>
      <c r="H71" s="64">
        <v>31.33</v>
      </c>
      <c r="I71" s="64">
        <v>4.8499999999999996</v>
      </c>
      <c r="J71" s="64">
        <v>3.6</v>
      </c>
      <c r="K71" s="64">
        <v>336.85</v>
      </c>
      <c r="L71" s="64">
        <v>21.43</v>
      </c>
      <c r="M71" s="64">
        <v>34.770000000000003</v>
      </c>
      <c r="N71" s="64">
        <v>170.2</v>
      </c>
      <c r="O71" s="64">
        <v>0</v>
      </c>
      <c r="P71" s="64">
        <v>0.72</v>
      </c>
      <c r="Q71" s="64">
        <v>8.2100000000000009</v>
      </c>
      <c r="R71" s="198"/>
      <c r="S71" s="198"/>
      <c r="T71" s="198"/>
      <c r="U71" s="198"/>
    </row>
    <row r="72" spans="1:21" s="12" customFormat="1" x14ac:dyDescent="0.25">
      <c r="A72" s="215" t="s">
        <v>1175</v>
      </c>
      <c r="B72" s="64">
        <v>2.4500000000000002</v>
      </c>
      <c r="C72" s="64">
        <v>52.85</v>
      </c>
      <c r="D72" s="64">
        <v>28.2</v>
      </c>
      <c r="E72" s="64">
        <v>7.01</v>
      </c>
      <c r="F72" s="64">
        <v>7.11</v>
      </c>
      <c r="G72" s="64">
        <v>93.56</v>
      </c>
      <c r="H72" s="64">
        <v>20.63</v>
      </c>
      <c r="I72" s="64">
        <v>4.55</v>
      </c>
      <c r="J72" s="64">
        <v>3.32</v>
      </c>
      <c r="K72" s="64">
        <v>328.57</v>
      </c>
      <c r="L72" s="64">
        <v>21.15</v>
      </c>
      <c r="M72" s="64">
        <v>35.270000000000003</v>
      </c>
      <c r="N72" s="64">
        <v>160.5</v>
      </c>
      <c r="O72" s="64">
        <v>0</v>
      </c>
      <c r="P72" s="64">
        <v>0.72</v>
      </c>
      <c r="Q72" s="64">
        <v>8.2100000000000009</v>
      </c>
      <c r="R72" s="198"/>
      <c r="S72" s="198"/>
      <c r="T72" s="198"/>
      <c r="U72" s="198"/>
    </row>
    <row r="73" spans="1:21" s="12" customFormat="1" x14ac:dyDescent="0.25">
      <c r="A73" s="215" t="s">
        <v>1176</v>
      </c>
      <c r="B73" s="64">
        <v>2.42</v>
      </c>
      <c r="C73" s="64">
        <v>51.88</v>
      </c>
      <c r="D73" s="64">
        <v>27.67</v>
      </c>
      <c r="E73" s="64">
        <v>6.82</v>
      </c>
      <c r="F73" s="64">
        <v>6.93</v>
      </c>
      <c r="G73" s="64">
        <v>95.27</v>
      </c>
      <c r="H73" s="64">
        <v>16.920000000000002</v>
      </c>
      <c r="I73" s="64">
        <v>4.18</v>
      </c>
      <c r="J73" s="64">
        <v>3.47</v>
      </c>
      <c r="K73" s="64">
        <v>332.62</v>
      </c>
      <c r="L73" s="64">
        <v>20.85</v>
      </c>
      <c r="M73" s="64">
        <v>36.36</v>
      </c>
      <c r="N73" s="64">
        <v>151.5</v>
      </c>
      <c r="O73" s="64">
        <v>0</v>
      </c>
      <c r="P73" s="64">
        <v>0.72</v>
      </c>
      <c r="Q73" s="64">
        <v>8.2100000000000009</v>
      </c>
      <c r="R73" s="198"/>
      <c r="S73" s="198"/>
      <c r="T73" s="198"/>
      <c r="U73" s="198"/>
    </row>
    <row r="74" spans="1:21" s="12" customFormat="1" x14ac:dyDescent="0.25">
      <c r="A74" s="215" t="s">
        <v>1177</v>
      </c>
      <c r="B74" s="64">
        <v>2.4500000000000002</v>
      </c>
      <c r="C74" s="64">
        <v>51.34</v>
      </c>
      <c r="D74" s="64">
        <v>27.41</v>
      </c>
      <c r="E74" s="64">
        <v>6.89</v>
      </c>
      <c r="F74" s="64">
        <v>6.57</v>
      </c>
      <c r="G74" s="64">
        <v>95.27</v>
      </c>
      <c r="H74" s="64">
        <v>16.920000000000002</v>
      </c>
      <c r="I74" s="64">
        <v>4.18</v>
      </c>
      <c r="J74" s="64">
        <v>3.3</v>
      </c>
      <c r="K74" s="64">
        <v>337.77</v>
      </c>
      <c r="L74" s="64">
        <v>20.61</v>
      </c>
      <c r="M74" s="64">
        <v>37.090000000000003</v>
      </c>
      <c r="N74" s="64">
        <v>138.80000000000001</v>
      </c>
      <c r="O74" s="64">
        <v>0</v>
      </c>
      <c r="P74" s="64">
        <v>0.72</v>
      </c>
      <c r="Q74" s="64">
        <v>8.2100000000000009</v>
      </c>
      <c r="R74" s="198"/>
      <c r="S74" s="198"/>
      <c r="T74" s="198"/>
      <c r="U74" s="198"/>
    </row>
    <row r="75" spans="1:21" s="12" customFormat="1" x14ac:dyDescent="0.25">
      <c r="A75" s="215" t="s">
        <v>1178</v>
      </c>
      <c r="B75" s="64">
        <v>2.81</v>
      </c>
      <c r="C75" s="64">
        <v>52.01</v>
      </c>
      <c r="D75" s="64">
        <v>28.05</v>
      </c>
      <c r="E75" s="64">
        <v>6.93</v>
      </c>
      <c r="F75" s="64">
        <v>6.08</v>
      </c>
      <c r="G75" s="64">
        <v>95.27</v>
      </c>
      <c r="H75" s="64">
        <v>16.920000000000002</v>
      </c>
      <c r="I75" s="64">
        <v>3.87</v>
      </c>
      <c r="J75" s="64">
        <v>2.96</v>
      </c>
      <c r="K75" s="64">
        <v>339.97</v>
      </c>
      <c r="L75" s="64">
        <v>20.239999999999998</v>
      </c>
      <c r="M75" s="64">
        <v>37.74</v>
      </c>
      <c r="N75" s="64">
        <v>126</v>
      </c>
      <c r="O75" s="64">
        <v>0</v>
      </c>
      <c r="P75" s="64">
        <v>0.74</v>
      </c>
      <c r="Q75" s="64">
        <v>8.2100000000000009</v>
      </c>
      <c r="R75" s="198"/>
      <c r="S75" s="198"/>
      <c r="T75" s="198"/>
      <c r="U75" s="198"/>
    </row>
    <row r="76" spans="1:21" s="12" customFormat="1" x14ac:dyDescent="0.25">
      <c r="A76" s="215" t="s">
        <v>1179</v>
      </c>
      <c r="B76" s="64">
        <v>3.81</v>
      </c>
      <c r="C76" s="64">
        <v>54.31</v>
      </c>
      <c r="D76" s="64">
        <v>30.05</v>
      </c>
      <c r="E76" s="64">
        <v>7.04</v>
      </c>
      <c r="F76" s="64">
        <v>5.45</v>
      </c>
      <c r="G76" s="64">
        <v>93.32</v>
      </c>
      <c r="H76" s="64">
        <v>11.36</v>
      </c>
      <c r="I76" s="64">
        <v>4.08</v>
      </c>
      <c r="J76" s="64">
        <v>2.94</v>
      </c>
      <c r="K76" s="64">
        <v>344.36</v>
      </c>
      <c r="L76" s="64">
        <v>19.739999999999998</v>
      </c>
      <c r="M76" s="64">
        <v>38.96</v>
      </c>
      <c r="N76" s="64">
        <v>115.4</v>
      </c>
      <c r="O76" s="64">
        <v>0</v>
      </c>
      <c r="P76" s="64">
        <v>0.76</v>
      </c>
      <c r="Q76" s="64">
        <v>8.2100000000000009</v>
      </c>
      <c r="R76" s="198"/>
      <c r="S76" s="198"/>
      <c r="T76" s="198"/>
      <c r="U76" s="198"/>
    </row>
    <row r="77" spans="1:21" s="12" customFormat="1" x14ac:dyDescent="0.25">
      <c r="A77" s="215" t="s">
        <v>1180</v>
      </c>
      <c r="B77" s="64">
        <v>4.3499999999999996</v>
      </c>
      <c r="C77" s="64">
        <v>56.09</v>
      </c>
      <c r="D77" s="64">
        <v>31.41</v>
      </c>
      <c r="E77" s="64">
        <v>7.2</v>
      </c>
      <c r="F77" s="64">
        <v>5.58</v>
      </c>
      <c r="G77" s="64">
        <v>91.83</v>
      </c>
      <c r="H77" s="64">
        <v>9.4700000000000006</v>
      </c>
      <c r="I77" s="64">
        <v>4.1900000000000004</v>
      </c>
      <c r="J77" s="64">
        <v>2.69</v>
      </c>
      <c r="K77" s="64">
        <v>340.85</v>
      </c>
      <c r="L77" s="64">
        <v>19.2</v>
      </c>
      <c r="M77" s="64">
        <v>40.65</v>
      </c>
      <c r="N77" s="64">
        <v>105.9</v>
      </c>
      <c r="O77" s="64">
        <v>0</v>
      </c>
      <c r="P77" s="64">
        <v>0.79</v>
      </c>
      <c r="Q77" s="64">
        <v>8.2100000000000009</v>
      </c>
      <c r="R77" s="198"/>
      <c r="S77" s="198"/>
      <c r="T77" s="198"/>
      <c r="U77" s="198"/>
    </row>
    <row r="78" spans="1:21" s="12" customFormat="1" x14ac:dyDescent="0.25">
      <c r="A78" s="215" t="s">
        <v>1181</v>
      </c>
      <c r="B78" s="64">
        <v>5.45</v>
      </c>
      <c r="C78" s="64">
        <v>58.15</v>
      </c>
      <c r="D78" s="64">
        <v>33.369999999999997</v>
      </c>
      <c r="E78" s="64">
        <v>6.63</v>
      </c>
      <c r="F78" s="64">
        <v>5.2</v>
      </c>
      <c r="G78" s="64">
        <v>91.83</v>
      </c>
      <c r="H78" s="64">
        <v>9.4700000000000006</v>
      </c>
      <c r="I78" s="64">
        <v>4.22</v>
      </c>
      <c r="J78" s="64">
        <v>1.75</v>
      </c>
      <c r="K78" s="64">
        <v>30.01</v>
      </c>
      <c r="L78" s="64">
        <v>18.41</v>
      </c>
      <c r="M78" s="64">
        <v>42.81</v>
      </c>
      <c r="N78" s="64">
        <v>100.6</v>
      </c>
      <c r="O78" s="64">
        <v>0</v>
      </c>
      <c r="P78" s="64">
        <v>0.86</v>
      </c>
      <c r="Q78" s="64">
        <v>8.2100000000000009</v>
      </c>
      <c r="R78" s="198"/>
      <c r="S78" s="198"/>
      <c r="T78" s="198"/>
      <c r="U78" s="198"/>
    </row>
    <row r="79" spans="1:21" s="12" customFormat="1" x14ac:dyDescent="0.25">
      <c r="A79" s="215" t="s">
        <v>1182</v>
      </c>
      <c r="B79" s="64">
        <v>7.08</v>
      </c>
      <c r="C79" s="64">
        <v>60.5</v>
      </c>
      <c r="D79" s="64">
        <v>35.909999999999997</v>
      </c>
      <c r="E79" s="64">
        <v>6.67</v>
      </c>
      <c r="F79" s="64">
        <v>4.91</v>
      </c>
      <c r="G79" s="64">
        <v>91.83</v>
      </c>
      <c r="H79" s="64">
        <v>9.4700000000000006</v>
      </c>
      <c r="I79" s="64">
        <v>4.3499999999999996</v>
      </c>
      <c r="J79" s="64">
        <v>0.69</v>
      </c>
      <c r="K79" s="64">
        <v>20.27</v>
      </c>
      <c r="L79" s="64">
        <v>17.59</v>
      </c>
      <c r="M79" s="64">
        <v>45.78</v>
      </c>
      <c r="N79" s="64">
        <v>99.4</v>
      </c>
      <c r="O79" s="64">
        <v>0</v>
      </c>
      <c r="P79" s="64">
        <v>0.88</v>
      </c>
      <c r="Q79" s="64">
        <v>8.2100000000000009</v>
      </c>
      <c r="R79" s="198"/>
      <c r="S79" s="198"/>
      <c r="T79" s="198"/>
      <c r="U79" s="198"/>
    </row>
    <row r="80" spans="1:21" s="12" customFormat="1" x14ac:dyDescent="0.25">
      <c r="A80" s="215" t="s">
        <v>1183</v>
      </c>
      <c r="B80" s="64">
        <v>9.59</v>
      </c>
      <c r="C80" s="64">
        <v>62.69</v>
      </c>
      <c r="D80" s="64">
        <v>39.07</v>
      </c>
      <c r="E80" s="64">
        <v>7.54</v>
      </c>
      <c r="F80" s="64">
        <v>4.84</v>
      </c>
      <c r="G80" s="64">
        <v>95.99</v>
      </c>
      <c r="H80" s="64">
        <v>64.69</v>
      </c>
      <c r="I80" s="64">
        <v>4.8499999999999996</v>
      </c>
      <c r="J80" s="64">
        <v>1.85</v>
      </c>
      <c r="K80" s="64">
        <v>330</v>
      </c>
      <c r="L80" s="64">
        <v>16.809999999999999</v>
      </c>
      <c r="M80" s="64">
        <v>50.07</v>
      </c>
      <c r="N80" s="64">
        <v>99.5</v>
      </c>
      <c r="O80" s="64">
        <v>0</v>
      </c>
      <c r="P80" s="64">
        <v>0.92</v>
      </c>
      <c r="Q80" s="64">
        <v>8.2100000000000009</v>
      </c>
      <c r="R80" s="198"/>
      <c r="S80" s="198"/>
      <c r="T80" s="198"/>
      <c r="U80" s="198"/>
    </row>
    <row r="81" spans="1:26" s="12" customFormat="1" x14ac:dyDescent="0.25">
      <c r="A81" s="215" t="s">
        <v>1184</v>
      </c>
      <c r="B81" s="64">
        <v>12.1</v>
      </c>
      <c r="C81" s="64">
        <v>64.47</v>
      </c>
      <c r="D81" s="64">
        <v>42.01</v>
      </c>
      <c r="E81" s="64">
        <v>8.15</v>
      </c>
      <c r="F81" s="64">
        <v>4.5599999999999996</v>
      </c>
      <c r="G81" s="64">
        <v>99.18</v>
      </c>
      <c r="H81" s="64">
        <v>66.459999999999994</v>
      </c>
      <c r="I81" s="64">
        <v>5.16</v>
      </c>
      <c r="J81" s="64">
        <v>1.89</v>
      </c>
      <c r="K81" s="64">
        <v>261.3</v>
      </c>
      <c r="L81" s="64">
        <v>16.22</v>
      </c>
      <c r="M81" s="64">
        <v>53.78</v>
      </c>
      <c r="N81" s="64">
        <v>99.6</v>
      </c>
      <c r="O81" s="64">
        <v>0</v>
      </c>
      <c r="P81" s="64">
        <v>0.96</v>
      </c>
      <c r="Q81" s="64">
        <v>8.2200000000000006</v>
      </c>
      <c r="R81" s="198"/>
      <c r="S81" s="198"/>
      <c r="T81" s="198"/>
      <c r="U81" s="198"/>
    </row>
    <row r="82" spans="1:26" s="12" customFormat="1" x14ac:dyDescent="0.25">
      <c r="A82" s="215" t="s">
        <v>1185</v>
      </c>
      <c r="B82" s="64">
        <v>15.42</v>
      </c>
      <c r="C82" s="64">
        <v>66.03</v>
      </c>
      <c r="D82" s="64">
        <v>45.49</v>
      </c>
      <c r="E82" s="64">
        <v>8.92</v>
      </c>
      <c r="F82" s="64">
        <v>4.1500000000000004</v>
      </c>
      <c r="G82" s="64">
        <v>99.18</v>
      </c>
      <c r="H82" s="64">
        <v>66.459999999999994</v>
      </c>
      <c r="I82" s="64">
        <v>5.49</v>
      </c>
      <c r="J82" s="64">
        <v>1</v>
      </c>
      <c r="K82" s="64">
        <v>1.62</v>
      </c>
      <c r="L82" s="64">
        <v>15.96</v>
      </c>
      <c r="M82" s="64">
        <v>55.82</v>
      </c>
      <c r="N82" s="64">
        <v>99.6</v>
      </c>
      <c r="O82" s="64">
        <v>0</v>
      </c>
      <c r="P82" s="64">
        <v>1.04</v>
      </c>
      <c r="Q82" s="64">
        <v>8.5</v>
      </c>
      <c r="R82" s="198"/>
      <c r="S82" s="198"/>
      <c r="T82" s="198"/>
      <c r="U82" s="198"/>
    </row>
    <row r="83" spans="1:26" s="12" customFormat="1" x14ac:dyDescent="0.25">
      <c r="A83" s="215" t="s">
        <v>1186</v>
      </c>
      <c r="B83" s="64">
        <v>18.239999999999998</v>
      </c>
      <c r="C83" s="64">
        <v>66.66</v>
      </c>
      <c r="D83" s="64">
        <v>48.08</v>
      </c>
      <c r="E83" s="64">
        <v>9.14</v>
      </c>
      <c r="F83" s="64">
        <v>4.21</v>
      </c>
      <c r="G83" s="64">
        <v>99.18</v>
      </c>
      <c r="H83" s="64">
        <v>66.459999999999994</v>
      </c>
      <c r="I83" s="64">
        <v>5.6</v>
      </c>
      <c r="J83" s="64">
        <v>1.78</v>
      </c>
      <c r="K83" s="64">
        <v>293.39</v>
      </c>
      <c r="L83" s="64">
        <v>15.89</v>
      </c>
      <c r="M83" s="64">
        <v>55.55</v>
      </c>
      <c r="N83" s="64">
        <v>99.7</v>
      </c>
      <c r="O83" s="64">
        <v>0</v>
      </c>
      <c r="P83" s="64">
        <v>1.1100000000000001</v>
      </c>
      <c r="Q83" s="64">
        <v>8.85</v>
      </c>
      <c r="R83" s="198"/>
      <c r="S83" s="198"/>
      <c r="T83" s="198"/>
      <c r="U83" s="198"/>
    </row>
    <row r="84" spans="1:26" s="12" customFormat="1" x14ac:dyDescent="0.25">
      <c r="A84" s="215" t="s">
        <v>1187</v>
      </c>
      <c r="B84" s="64">
        <v>21.79</v>
      </c>
      <c r="C84" s="64">
        <v>66.03</v>
      </c>
      <c r="D84" s="64">
        <v>50.59</v>
      </c>
      <c r="E84" s="64">
        <v>9.51</v>
      </c>
      <c r="F84" s="64">
        <v>4.5999999999999996</v>
      </c>
      <c r="G84" s="64">
        <v>175.55</v>
      </c>
      <c r="H84" s="64">
        <v>129.74</v>
      </c>
      <c r="I84" s="64">
        <v>6.13</v>
      </c>
      <c r="J84" s="64">
        <v>1.08</v>
      </c>
      <c r="K84" s="64">
        <v>293.56</v>
      </c>
      <c r="L84" s="64">
        <v>15.59</v>
      </c>
      <c r="M84" s="64">
        <v>64.52</v>
      </c>
      <c r="N84" s="64">
        <v>99.8</v>
      </c>
      <c r="O84" s="64">
        <v>0</v>
      </c>
      <c r="P84" s="64">
        <v>1.64</v>
      </c>
      <c r="Q84" s="64">
        <v>9.11</v>
      </c>
      <c r="R84" s="198"/>
      <c r="S84" s="198"/>
      <c r="T84" s="198"/>
      <c r="U84" s="198"/>
    </row>
    <row r="85" spans="1:26" s="12" customFormat="1" x14ac:dyDescent="0.25">
      <c r="A85" s="215" t="s">
        <v>1188</v>
      </c>
      <c r="B85" s="64">
        <v>29.7</v>
      </c>
      <c r="C85" s="64">
        <v>64.209999999999994</v>
      </c>
      <c r="D85" s="64">
        <v>55.98</v>
      </c>
      <c r="E85" s="64">
        <v>9.74</v>
      </c>
      <c r="F85" s="64">
        <v>4.7</v>
      </c>
      <c r="G85" s="64">
        <v>233.95</v>
      </c>
      <c r="H85" s="64">
        <v>170.84</v>
      </c>
      <c r="I85" s="64">
        <v>6.49</v>
      </c>
      <c r="J85" s="64">
        <v>2.2200000000000002</v>
      </c>
      <c r="K85" s="64">
        <v>315.77999999999997</v>
      </c>
      <c r="L85" s="64">
        <v>15.17</v>
      </c>
      <c r="M85" s="64">
        <v>72</v>
      </c>
      <c r="N85" s="64">
        <v>100.3</v>
      </c>
      <c r="O85" s="64">
        <v>0</v>
      </c>
      <c r="P85" s="64">
        <v>1.93</v>
      </c>
      <c r="Q85" s="64">
        <v>9.6199999999999992</v>
      </c>
      <c r="R85" s="198"/>
      <c r="S85" s="198"/>
      <c r="T85" s="198"/>
      <c r="U85" s="198"/>
    </row>
    <row r="86" spans="1:26" s="12" customFormat="1" x14ac:dyDescent="0.25">
      <c r="A86" s="215" t="s">
        <v>1189</v>
      </c>
      <c r="B86" s="64">
        <v>38.72</v>
      </c>
      <c r="C86" s="64">
        <v>63.64</v>
      </c>
      <c r="D86" s="64">
        <v>62.92</v>
      </c>
      <c r="E86" s="64">
        <v>9.3800000000000008</v>
      </c>
      <c r="F86" s="64">
        <v>4.7699999999999996</v>
      </c>
      <c r="G86" s="64">
        <v>233.95</v>
      </c>
      <c r="H86" s="64">
        <v>170.84</v>
      </c>
      <c r="I86" s="64">
        <v>8.6199999999999992</v>
      </c>
      <c r="J86" s="64">
        <v>2.31</v>
      </c>
      <c r="K86" s="64">
        <v>305.39</v>
      </c>
      <c r="L86" s="64">
        <v>14.75</v>
      </c>
      <c r="M86" s="64">
        <v>70.34</v>
      </c>
      <c r="N86" s="64">
        <v>100.7</v>
      </c>
      <c r="O86" s="64">
        <v>0</v>
      </c>
      <c r="P86" s="64">
        <v>1.68</v>
      </c>
      <c r="Q86" s="64">
        <v>9.9</v>
      </c>
      <c r="R86" s="198"/>
      <c r="S86" s="198"/>
      <c r="T86" s="198"/>
      <c r="U86" s="198"/>
    </row>
    <row r="87" spans="1:26" s="12" customFormat="1" x14ac:dyDescent="0.25">
      <c r="A87" s="215" t="s">
        <v>1190</v>
      </c>
      <c r="B87" s="64">
        <v>47.47</v>
      </c>
      <c r="C87" s="64">
        <v>63.09</v>
      </c>
      <c r="D87" s="64">
        <v>69.66</v>
      </c>
      <c r="E87" s="64">
        <v>9.89</v>
      </c>
      <c r="F87" s="64">
        <v>4.3899999999999997</v>
      </c>
      <c r="G87" s="64">
        <v>233.95</v>
      </c>
      <c r="H87" s="64">
        <v>170.84</v>
      </c>
      <c r="I87" s="64">
        <v>10.45</v>
      </c>
      <c r="J87" s="64">
        <v>1.74</v>
      </c>
      <c r="K87" s="64">
        <v>290.39</v>
      </c>
      <c r="L87" s="64">
        <v>14.62</v>
      </c>
      <c r="M87" s="64">
        <v>70.19</v>
      </c>
      <c r="N87" s="64">
        <v>100.5</v>
      </c>
      <c r="O87" s="64">
        <v>0</v>
      </c>
      <c r="P87" s="64">
        <v>1.87</v>
      </c>
      <c r="Q87" s="64">
        <v>10.02</v>
      </c>
      <c r="R87" s="198"/>
      <c r="S87" s="198"/>
      <c r="T87" s="198"/>
      <c r="U87" s="198"/>
    </row>
    <row r="88" spans="1:26" s="12" customFormat="1" x14ac:dyDescent="0.25">
      <c r="A88" s="215" t="s">
        <v>1191</v>
      </c>
      <c r="B88" s="64">
        <v>57.84</v>
      </c>
      <c r="C88" s="64">
        <v>62.74</v>
      </c>
      <c r="D88" s="64">
        <v>77.790000000000006</v>
      </c>
      <c r="E88" s="64">
        <v>10.42</v>
      </c>
      <c r="F88" s="64">
        <v>4.43</v>
      </c>
      <c r="G88" s="64">
        <v>237.98</v>
      </c>
      <c r="H88" s="64">
        <v>141.66999999999999</v>
      </c>
      <c r="I88" s="64">
        <v>10.23</v>
      </c>
      <c r="J88" s="64">
        <v>1.95</v>
      </c>
      <c r="K88" s="64">
        <v>298.61</v>
      </c>
      <c r="L88" s="64">
        <v>14.84</v>
      </c>
      <c r="M88" s="64">
        <v>68.45</v>
      </c>
      <c r="N88" s="64">
        <v>100.3</v>
      </c>
      <c r="O88" s="64">
        <v>0</v>
      </c>
      <c r="P88" s="64">
        <v>1.92</v>
      </c>
      <c r="Q88" s="64">
        <v>10.119999999999999</v>
      </c>
      <c r="R88" s="198"/>
      <c r="S88" s="198"/>
      <c r="T88" s="198"/>
      <c r="U88" s="198"/>
    </row>
    <row r="89" spans="1:26" s="12" customFormat="1" x14ac:dyDescent="0.25">
      <c r="A89" s="215" t="s">
        <v>1192</v>
      </c>
      <c r="B89" s="64">
        <v>65.06</v>
      </c>
      <c r="C89" s="64">
        <v>61.82</v>
      </c>
      <c r="D89" s="64">
        <v>83.09</v>
      </c>
      <c r="E89" s="64">
        <v>10.85</v>
      </c>
      <c r="F89" s="64">
        <v>4.3099999999999996</v>
      </c>
      <c r="G89" s="64">
        <v>241.05</v>
      </c>
      <c r="H89" s="64">
        <v>74.150000000000006</v>
      </c>
      <c r="I89" s="64">
        <v>10.39</v>
      </c>
      <c r="J89" s="64">
        <v>2.0499999999999998</v>
      </c>
      <c r="K89" s="64">
        <v>349.71</v>
      </c>
      <c r="L89" s="64">
        <v>14.46</v>
      </c>
      <c r="M89" s="64">
        <v>75.78</v>
      </c>
      <c r="N89" s="64">
        <v>100.5</v>
      </c>
      <c r="O89" s="64">
        <v>0</v>
      </c>
      <c r="P89" s="64">
        <v>2.02</v>
      </c>
      <c r="Q89" s="64">
        <v>10.210000000000001</v>
      </c>
      <c r="R89" s="198"/>
      <c r="S89" s="198"/>
      <c r="T89" s="198"/>
      <c r="U89" s="198"/>
    </row>
    <row r="90" spans="1:26" s="12" customFormat="1" x14ac:dyDescent="0.25">
      <c r="A90" s="215" t="s">
        <v>1193</v>
      </c>
      <c r="B90" s="64">
        <v>68.58</v>
      </c>
      <c r="C90" s="64">
        <v>60.76</v>
      </c>
      <c r="D90" s="64">
        <v>85.37</v>
      </c>
      <c r="E90" s="64">
        <v>10.78</v>
      </c>
      <c r="F90" s="64">
        <v>4.34</v>
      </c>
      <c r="G90" s="64">
        <v>241.05</v>
      </c>
      <c r="H90" s="64">
        <v>74.150000000000006</v>
      </c>
      <c r="I90" s="64">
        <v>10</v>
      </c>
      <c r="J90" s="64">
        <v>2.72</v>
      </c>
      <c r="K90" s="64">
        <v>310.76</v>
      </c>
      <c r="L90" s="64">
        <v>14.48</v>
      </c>
      <c r="M90" s="64">
        <v>65.58</v>
      </c>
      <c r="N90" s="64">
        <v>100.5</v>
      </c>
      <c r="O90" s="64">
        <v>0</v>
      </c>
      <c r="P90" s="64">
        <v>1.9</v>
      </c>
      <c r="Q90" s="64">
        <v>10.220000000000001</v>
      </c>
      <c r="R90" s="198"/>
      <c r="S90" s="198"/>
      <c r="T90" s="198"/>
      <c r="U90" s="198"/>
    </row>
    <row r="91" spans="1:26" s="12" customFormat="1" x14ac:dyDescent="0.25">
      <c r="A91" s="215" t="s">
        <v>1194</v>
      </c>
      <c r="B91" s="64">
        <v>70.7</v>
      </c>
      <c r="C91" s="64">
        <v>60.63</v>
      </c>
      <c r="D91" s="64">
        <v>87</v>
      </c>
      <c r="E91" s="64">
        <v>11.01</v>
      </c>
      <c r="F91" s="64">
        <v>4.58</v>
      </c>
      <c r="G91" s="64">
        <v>241.05</v>
      </c>
      <c r="H91" s="64">
        <v>74.150000000000006</v>
      </c>
      <c r="I91" s="64">
        <v>10.35</v>
      </c>
      <c r="J91" s="64">
        <v>2.4</v>
      </c>
      <c r="K91" s="64">
        <v>338.16</v>
      </c>
      <c r="L91" s="64">
        <v>14.53</v>
      </c>
      <c r="M91" s="64">
        <v>69.92</v>
      </c>
      <c r="N91" s="64">
        <v>100.4</v>
      </c>
      <c r="O91" s="64">
        <v>0</v>
      </c>
      <c r="P91" s="64">
        <v>2</v>
      </c>
      <c r="Q91" s="64">
        <v>10.23</v>
      </c>
      <c r="R91" s="198"/>
      <c r="S91" s="198"/>
      <c r="T91" s="198"/>
      <c r="U91" s="198"/>
    </row>
    <row r="92" spans="1:26" s="12" customFormat="1" x14ac:dyDescent="0.25">
      <c r="A92" s="215" t="s">
        <v>1195</v>
      </c>
      <c r="B92" s="64">
        <v>74.2</v>
      </c>
      <c r="C92" s="64">
        <v>61.5</v>
      </c>
      <c r="D92" s="64">
        <v>90.26</v>
      </c>
      <c r="E92" s="64">
        <v>10.78</v>
      </c>
      <c r="F92" s="64">
        <v>4.58</v>
      </c>
      <c r="G92" s="64">
        <v>203.45</v>
      </c>
      <c r="H92" s="64">
        <v>19.920000000000002</v>
      </c>
      <c r="I92" s="64">
        <v>10.14</v>
      </c>
      <c r="J92" s="64">
        <v>2.1</v>
      </c>
      <c r="K92" s="64">
        <v>274.48</v>
      </c>
      <c r="L92" s="64">
        <v>14.46</v>
      </c>
      <c r="M92" s="64">
        <v>65.55</v>
      </c>
      <c r="N92" s="64">
        <v>101</v>
      </c>
      <c r="O92" s="64">
        <v>0</v>
      </c>
      <c r="P92" s="64">
        <v>1.9</v>
      </c>
      <c r="Q92" s="64">
        <v>10.32</v>
      </c>
      <c r="R92" s="198"/>
      <c r="S92" s="198"/>
      <c r="T92" s="198"/>
      <c r="U92" s="198"/>
    </row>
    <row r="93" spans="1:26" s="12" customFormat="1" x14ac:dyDescent="0.25">
      <c r="A93" s="215" t="s">
        <v>1196</v>
      </c>
      <c r="B93" s="64">
        <v>76.16</v>
      </c>
      <c r="C93" s="64">
        <v>62.15</v>
      </c>
      <c r="D93" s="64">
        <v>92.17</v>
      </c>
      <c r="E93" s="64">
        <v>10.53</v>
      </c>
      <c r="F93" s="64">
        <v>5.16</v>
      </c>
      <c r="G93" s="64">
        <v>174.7</v>
      </c>
      <c r="H93" s="64">
        <v>1.48</v>
      </c>
      <c r="I93" s="64">
        <v>9.6999999999999993</v>
      </c>
      <c r="J93" s="64">
        <v>1.83</v>
      </c>
      <c r="K93" s="64">
        <v>325.36</v>
      </c>
      <c r="L93" s="64">
        <v>14.52</v>
      </c>
      <c r="M93" s="64">
        <v>68.39</v>
      </c>
      <c r="N93" s="64">
        <v>101.2</v>
      </c>
      <c r="O93" s="64">
        <v>0</v>
      </c>
      <c r="P93" s="64">
        <v>1.98</v>
      </c>
      <c r="Q93" s="64">
        <v>10.39</v>
      </c>
      <c r="R93" s="198"/>
      <c r="S93" s="198"/>
      <c r="T93" s="198"/>
      <c r="U93" s="198"/>
    </row>
    <row r="94" spans="1:26" s="12" customFormat="1" x14ac:dyDescent="0.25">
      <c r="A94" s="215" t="s">
        <v>1197</v>
      </c>
      <c r="B94" s="64">
        <v>86.38</v>
      </c>
      <c r="C94" s="64">
        <v>62.83</v>
      </c>
      <c r="D94" s="64">
        <v>100.72</v>
      </c>
      <c r="E94" s="64">
        <v>10.82</v>
      </c>
      <c r="F94" s="64">
        <v>4.9400000000000004</v>
      </c>
      <c r="G94" s="64">
        <v>174.7</v>
      </c>
      <c r="H94" s="64">
        <v>1.48</v>
      </c>
      <c r="I94" s="64">
        <v>9.57</v>
      </c>
      <c r="J94" s="64">
        <v>2.09</v>
      </c>
      <c r="K94" s="64">
        <v>359.03</v>
      </c>
      <c r="L94" s="64">
        <v>13.98</v>
      </c>
      <c r="M94" s="64">
        <v>73.11</v>
      </c>
      <c r="N94" s="64">
        <v>101.6</v>
      </c>
      <c r="O94" s="64">
        <v>0</v>
      </c>
      <c r="P94" s="64">
        <v>2.11</v>
      </c>
      <c r="Q94" s="64">
        <v>10.58</v>
      </c>
      <c r="R94" s="198"/>
      <c r="S94" s="198"/>
      <c r="T94" s="198"/>
      <c r="U94" s="198"/>
    </row>
    <row r="95" spans="1:26" s="12" customFormat="1" x14ac:dyDescent="0.25">
      <c r="A95" s="215" t="s">
        <v>1198</v>
      </c>
      <c r="B95" s="64">
        <v>101.3</v>
      </c>
      <c r="C95" s="64">
        <v>63.95</v>
      </c>
      <c r="D95" s="64">
        <v>113.27</v>
      </c>
      <c r="E95" s="64">
        <v>10.95</v>
      </c>
      <c r="F95" s="64">
        <v>5.26</v>
      </c>
      <c r="G95" s="64">
        <v>174.7</v>
      </c>
      <c r="H95" s="64">
        <v>1.48</v>
      </c>
      <c r="I95" s="64">
        <v>9.73</v>
      </c>
      <c r="J95" s="64">
        <v>1.47</v>
      </c>
      <c r="K95" s="64">
        <v>333.38</v>
      </c>
      <c r="L95" s="64">
        <v>13.76</v>
      </c>
      <c r="M95" s="64">
        <v>73.290000000000006</v>
      </c>
      <c r="N95" s="64">
        <v>101.9</v>
      </c>
      <c r="O95" s="64">
        <v>0</v>
      </c>
      <c r="P95" s="64">
        <v>2.25</v>
      </c>
      <c r="Q95" s="64">
        <v>10.75</v>
      </c>
      <c r="R95" s="198"/>
      <c r="S95" s="198"/>
      <c r="T95" s="198"/>
      <c r="U95" s="198"/>
    </row>
    <row r="96" spans="1:26" s="12" customFormat="1" x14ac:dyDescent="0.25">
      <c r="A96" s="215" t="s">
        <v>1199</v>
      </c>
      <c r="B96" s="64">
        <v>109.76</v>
      </c>
      <c r="C96" s="64">
        <v>64.400000000000006</v>
      </c>
      <c r="D96" s="64">
        <v>120.29</v>
      </c>
      <c r="E96" s="64">
        <v>11.7</v>
      </c>
      <c r="F96" s="64">
        <v>5.17</v>
      </c>
      <c r="G96" s="64">
        <v>190.87</v>
      </c>
      <c r="H96" s="64">
        <v>54.09</v>
      </c>
      <c r="I96" s="64">
        <v>9.92</v>
      </c>
      <c r="J96" s="64">
        <v>1.42</v>
      </c>
      <c r="K96" s="64">
        <v>321.91000000000003</v>
      </c>
      <c r="L96" s="64">
        <v>13.64</v>
      </c>
      <c r="M96" s="64">
        <v>75.28</v>
      </c>
      <c r="N96" s="64">
        <v>102.1</v>
      </c>
      <c r="O96" s="64">
        <v>0</v>
      </c>
      <c r="P96" s="64">
        <v>2.35</v>
      </c>
      <c r="Q96" s="64">
        <v>10.8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1200</v>
      </c>
      <c r="B97" s="64">
        <v>114.38</v>
      </c>
      <c r="C97" s="64">
        <v>64.53</v>
      </c>
      <c r="D97" s="64">
        <v>124.06</v>
      </c>
      <c r="E97" s="64">
        <v>12.16</v>
      </c>
      <c r="F97" s="64">
        <v>5.3</v>
      </c>
      <c r="G97" s="64">
        <v>203.23</v>
      </c>
      <c r="H97" s="64">
        <v>87.21</v>
      </c>
      <c r="I97" s="64">
        <v>10.17</v>
      </c>
      <c r="J97" s="64">
        <v>2.1800000000000002</v>
      </c>
      <c r="K97" s="64">
        <v>345.1</v>
      </c>
      <c r="L97" s="64">
        <v>13.49</v>
      </c>
      <c r="M97" s="64">
        <v>76.23</v>
      </c>
      <c r="N97" s="64">
        <v>101.8</v>
      </c>
      <c r="O97" s="64">
        <v>0</v>
      </c>
      <c r="P97" s="64">
        <v>2.42</v>
      </c>
      <c r="Q97" s="64">
        <v>10.89</v>
      </c>
      <c r="R97" s="198"/>
      <c r="S97" s="198"/>
      <c r="T97" s="198"/>
      <c r="U97" s="198"/>
    </row>
    <row r="98" spans="1:33" s="12" customFormat="1" x14ac:dyDescent="0.25">
      <c r="A98" s="215" t="s">
        <v>1201</v>
      </c>
      <c r="B98" s="64">
        <v>116.54</v>
      </c>
      <c r="C98" s="64">
        <v>64.709999999999994</v>
      </c>
      <c r="D98" s="64">
        <v>125.89</v>
      </c>
      <c r="E98" s="64">
        <v>11.63</v>
      </c>
      <c r="F98" s="64">
        <v>5.07</v>
      </c>
      <c r="G98" s="64">
        <v>203.23</v>
      </c>
      <c r="H98" s="64">
        <v>87.21</v>
      </c>
      <c r="I98" s="64">
        <v>10.35</v>
      </c>
      <c r="J98" s="64">
        <v>0.92</v>
      </c>
      <c r="K98" s="64">
        <v>349.2</v>
      </c>
      <c r="L98" s="64">
        <v>14.16</v>
      </c>
      <c r="M98" s="64">
        <v>60.92</v>
      </c>
      <c r="N98" s="64">
        <v>101.1</v>
      </c>
      <c r="O98" s="64">
        <v>0</v>
      </c>
      <c r="P98" s="64">
        <v>2.4500000000000002</v>
      </c>
      <c r="Q98" s="64">
        <v>10.88</v>
      </c>
      <c r="R98" s="198"/>
      <c r="S98" s="198"/>
      <c r="T98" s="198"/>
      <c r="U98" s="198"/>
    </row>
    <row r="99" spans="1:33" s="12" customFormat="1" x14ac:dyDescent="0.25">
      <c r="A99" s="215" t="s">
        <v>1202</v>
      </c>
      <c r="B99" s="64">
        <v>111.88</v>
      </c>
      <c r="C99" s="64">
        <v>64.61</v>
      </c>
      <c r="D99" s="64">
        <v>122.1</v>
      </c>
      <c r="E99" s="64">
        <v>10.82</v>
      </c>
      <c r="F99" s="64">
        <v>4.9000000000000004</v>
      </c>
      <c r="G99" s="64">
        <v>203.23</v>
      </c>
      <c r="H99" s="64">
        <v>87.21</v>
      </c>
      <c r="I99" s="64">
        <v>10.45</v>
      </c>
      <c r="J99" s="64">
        <v>0.15</v>
      </c>
      <c r="K99" s="64">
        <v>269.26</v>
      </c>
      <c r="L99" s="64">
        <v>14.34</v>
      </c>
      <c r="M99" s="64">
        <v>57.94</v>
      </c>
      <c r="N99" s="64">
        <v>101.7</v>
      </c>
      <c r="O99" s="64">
        <v>0</v>
      </c>
      <c r="P99" s="64">
        <v>2.4</v>
      </c>
      <c r="Q99" s="64">
        <v>10.82</v>
      </c>
      <c r="R99" s="198"/>
      <c r="S99" s="198"/>
      <c r="T99" s="198"/>
      <c r="U99" s="198"/>
    </row>
    <row r="100" spans="1:33" s="12" customFormat="1" x14ac:dyDescent="0.25">
      <c r="A100" s="215" t="s">
        <v>1203</v>
      </c>
      <c r="B100" s="64">
        <v>105.43</v>
      </c>
      <c r="C100" s="64">
        <v>64.22</v>
      </c>
      <c r="D100" s="64">
        <v>116.72</v>
      </c>
      <c r="E100" s="64">
        <v>9.7200000000000006</v>
      </c>
      <c r="F100" s="64">
        <v>4.26</v>
      </c>
      <c r="G100" s="64">
        <v>164.7</v>
      </c>
      <c r="H100" s="64">
        <v>26.03</v>
      </c>
      <c r="I100" s="64">
        <v>10.32</v>
      </c>
      <c r="J100" s="64">
        <v>0.57999999999999996</v>
      </c>
      <c r="K100" s="64">
        <v>291.16000000000003</v>
      </c>
      <c r="L100" s="64">
        <v>14.34</v>
      </c>
      <c r="M100" s="64">
        <v>56.63</v>
      </c>
      <c r="N100" s="64">
        <v>101.6</v>
      </c>
      <c r="O100" s="64">
        <v>0</v>
      </c>
      <c r="P100" s="64">
        <v>2.31</v>
      </c>
      <c r="Q100" s="64">
        <v>10.78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1204</v>
      </c>
      <c r="B101" s="64">
        <v>98.72</v>
      </c>
      <c r="C101" s="64">
        <v>61.23</v>
      </c>
      <c r="D101" s="64">
        <v>109.78</v>
      </c>
      <c r="E101" s="64">
        <v>9.09</v>
      </c>
      <c r="F101" s="64">
        <v>4.3099999999999996</v>
      </c>
      <c r="G101" s="64">
        <v>135.22</v>
      </c>
      <c r="H101" s="64">
        <v>5.23</v>
      </c>
      <c r="I101" s="64">
        <v>10.15</v>
      </c>
      <c r="J101" s="64">
        <v>0.77</v>
      </c>
      <c r="K101" s="64">
        <v>346.83</v>
      </c>
      <c r="L101" s="64">
        <v>14.29</v>
      </c>
      <c r="M101" s="64">
        <v>56.64</v>
      </c>
      <c r="N101" s="64">
        <v>101.9</v>
      </c>
      <c r="O101" s="64">
        <v>0</v>
      </c>
      <c r="P101" s="64">
        <v>2.23</v>
      </c>
      <c r="Q101" s="64">
        <v>10.74</v>
      </c>
      <c r="R101" s="198"/>
      <c r="S101" s="198"/>
      <c r="T101" s="198"/>
      <c r="U101" s="198"/>
    </row>
    <row r="102" spans="1:33" s="12" customFormat="1" x14ac:dyDescent="0.25">
      <c r="A102" s="215" t="s">
        <v>1205</v>
      </c>
      <c r="B102" s="64">
        <v>93.02</v>
      </c>
      <c r="C102" s="64">
        <v>60.2</v>
      </c>
      <c r="D102" s="64">
        <v>104.67</v>
      </c>
      <c r="E102" s="64">
        <v>8.68</v>
      </c>
      <c r="F102" s="64">
        <v>4.59</v>
      </c>
      <c r="G102" s="64">
        <v>135.22</v>
      </c>
      <c r="H102" s="64">
        <v>5.23</v>
      </c>
      <c r="I102" s="64">
        <v>9.7200000000000006</v>
      </c>
      <c r="J102" s="64">
        <v>1.57</v>
      </c>
      <c r="K102" s="64">
        <v>345.44</v>
      </c>
      <c r="L102" s="64">
        <v>14.22</v>
      </c>
      <c r="M102" s="64">
        <v>57.39</v>
      </c>
      <c r="N102" s="64">
        <v>101.9</v>
      </c>
      <c r="O102" s="64">
        <v>0</v>
      </c>
      <c r="P102" s="64">
        <v>2.15</v>
      </c>
      <c r="Q102" s="64">
        <v>10.76</v>
      </c>
      <c r="R102" s="198"/>
      <c r="S102" s="198"/>
      <c r="T102" s="198"/>
      <c r="U102" s="198"/>
    </row>
    <row r="103" spans="1:33" s="12" customFormat="1" x14ac:dyDescent="0.25">
      <c r="A103" s="215" t="s">
        <v>1206</v>
      </c>
      <c r="B103" s="64">
        <v>87.63</v>
      </c>
      <c r="C103" s="64">
        <v>59.49</v>
      </c>
      <c r="D103" s="64">
        <v>99.98</v>
      </c>
      <c r="E103" s="64">
        <v>8.51</v>
      </c>
      <c r="F103" s="64">
        <v>4.6500000000000004</v>
      </c>
      <c r="G103" s="64">
        <v>135.22</v>
      </c>
      <c r="H103" s="64">
        <v>5.23</v>
      </c>
      <c r="I103" s="64">
        <v>9.5399999999999991</v>
      </c>
      <c r="J103" s="64">
        <v>1.56</v>
      </c>
      <c r="K103" s="64">
        <v>326.66000000000003</v>
      </c>
      <c r="L103" s="64">
        <v>13.95</v>
      </c>
      <c r="M103" s="64">
        <v>58.22</v>
      </c>
      <c r="N103" s="64">
        <v>102.2</v>
      </c>
      <c r="O103" s="64">
        <v>0</v>
      </c>
      <c r="P103" s="64">
        <v>2.0499999999999998</v>
      </c>
      <c r="Q103" s="64">
        <v>10.71</v>
      </c>
      <c r="R103" s="198"/>
      <c r="S103" s="198"/>
      <c r="T103" s="198"/>
      <c r="U103" s="198"/>
    </row>
    <row r="104" spans="1:33" s="12" customFormat="1" x14ac:dyDescent="0.25">
      <c r="A104" s="215" t="s">
        <v>1207</v>
      </c>
      <c r="B104" s="64">
        <v>82.11</v>
      </c>
      <c r="C104" s="64">
        <v>58.54</v>
      </c>
      <c r="D104" s="64">
        <v>95.06</v>
      </c>
      <c r="E104" s="64">
        <v>6.66</v>
      </c>
      <c r="F104" s="64">
        <v>4.5999999999999996</v>
      </c>
      <c r="G104" s="64">
        <v>119.82</v>
      </c>
      <c r="H104" s="64">
        <v>1.64</v>
      </c>
      <c r="I104" s="64">
        <v>9.27</v>
      </c>
      <c r="J104" s="64">
        <v>1.61</v>
      </c>
      <c r="K104" s="64">
        <v>338.84</v>
      </c>
      <c r="L104" s="64">
        <v>13.72</v>
      </c>
      <c r="M104" s="64">
        <v>58.69</v>
      </c>
      <c r="N104" s="64">
        <v>102.3</v>
      </c>
      <c r="O104" s="64">
        <v>0</v>
      </c>
      <c r="P104" s="64">
        <v>1.98</v>
      </c>
      <c r="Q104" s="64">
        <v>10.66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2.38</v>
      </c>
      <c r="C106" s="67">
        <f>MIN(C9:C104)</f>
        <v>38.840000000000003</v>
      </c>
      <c r="D106" s="67">
        <f t="shared" ref="D106:Q106" si="0">MIN(D9:D104)</f>
        <v>21.34</v>
      </c>
      <c r="E106" s="67">
        <f t="shared" si="0"/>
        <v>3.6</v>
      </c>
      <c r="F106" s="67">
        <f t="shared" si="0"/>
        <v>3.65</v>
      </c>
      <c r="G106" s="67">
        <f t="shared" si="0"/>
        <v>62.51</v>
      </c>
      <c r="H106" s="67">
        <f t="shared" si="0"/>
        <v>1.48</v>
      </c>
      <c r="I106" s="67">
        <f t="shared" si="0"/>
        <v>3</v>
      </c>
      <c r="J106" s="67">
        <f t="shared" si="0"/>
        <v>0.15</v>
      </c>
      <c r="K106" s="67">
        <f t="shared" si="0"/>
        <v>1.62</v>
      </c>
      <c r="L106" s="67">
        <f t="shared" si="0"/>
        <v>11.3</v>
      </c>
      <c r="M106" s="67">
        <f t="shared" si="0"/>
        <v>29.81</v>
      </c>
      <c r="N106" s="67">
        <f t="shared" si="0"/>
        <v>92.8</v>
      </c>
      <c r="O106" s="67">
        <f t="shared" si="0"/>
        <v>0</v>
      </c>
      <c r="P106" s="67">
        <f t="shared" si="0"/>
        <v>0.51</v>
      </c>
      <c r="Q106" s="67">
        <f t="shared" si="0"/>
        <v>8.2100000000000009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116.54</v>
      </c>
      <c r="C107" s="66">
        <f t="shared" ref="C107:Q107" si="1">MAX(C9:C104)</f>
        <v>66.66</v>
      </c>
      <c r="D107" s="66">
        <f t="shared" si="1"/>
        <v>125.89</v>
      </c>
      <c r="E107" s="66">
        <f t="shared" si="1"/>
        <v>12.16</v>
      </c>
      <c r="F107" s="66">
        <f t="shared" si="1"/>
        <v>7.11</v>
      </c>
      <c r="G107" s="66">
        <f t="shared" si="1"/>
        <v>241.05</v>
      </c>
      <c r="H107" s="66">
        <f t="shared" si="1"/>
        <v>170.84</v>
      </c>
      <c r="I107" s="66">
        <f t="shared" si="1"/>
        <v>10.45</v>
      </c>
      <c r="J107" s="66">
        <f t="shared" si="1"/>
        <v>4.29</v>
      </c>
      <c r="K107" s="66">
        <f t="shared" si="1"/>
        <v>359.95</v>
      </c>
      <c r="L107" s="66">
        <f t="shared" si="1"/>
        <v>25.62</v>
      </c>
      <c r="M107" s="66">
        <f t="shared" si="1"/>
        <v>76.23</v>
      </c>
      <c r="N107" s="66">
        <f t="shared" si="1"/>
        <v>763</v>
      </c>
      <c r="O107" s="66">
        <f t="shared" si="1"/>
        <v>0</v>
      </c>
      <c r="P107" s="66">
        <f t="shared" si="1"/>
        <v>2.4500000000000002</v>
      </c>
      <c r="Q107" s="66">
        <f t="shared" si="1"/>
        <v>10.89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23.310520833333342</v>
      </c>
      <c r="C108" s="67">
        <f t="shared" ref="C108:Q108" si="2">AVERAGE(C9:C104)</f>
        <v>53.384687499999984</v>
      </c>
      <c r="D108" s="67">
        <f t="shared" si="2"/>
        <v>45.208124999999995</v>
      </c>
      <c r="E108" s="67">
        <f t="shared" si="2"/>
        <v>6.9082291666666675</v>
      </c>
      <c r="F108" s="67">
        <f t="shared" si="2"/>
        <v>4.9538541666666651</v>
      </c>
      <c r="G108" s="67">
        <f t="shared" si="2"/>
        <v>110.42968750000006</v>
      </c>
      <c r="H108" s="67">
        <f t="shared" si="2"/>
        <v>38.755104166666669</v>
      </c>
      <c r="I108" s="67">
        <f t="shared" si="2"/>
        <v>5.4761458333333346</v>
      </c>
      <c r="J108" s="67">
        <f t="shared" si="2"/>
        <v>2.3762500000000011</v>
      </c>
      <c r="K108" s="67">
        <f t="shared" si="2"/>
        <v>297.90770833333323</v>
      </c>
      <c r="L108" s="67">
        <f t="shared" si="2"/>
        <v>17.064583333333339</v>
      </c>
      <c r="M108" s="67">
        <f t="shared" si="2"/>
        <v>53.125</v>
      </c>
      <c r="N108" s="67">
        <f t="shared" si="2"/>
        <v>240.97291666666663</v>
      </c>
      <c r="O108" s="67">
        <f t="shared" si="2"/>
        <v>0</v>
      </c>
      <c r="P108" s="67">
        <f t="shared" si="2"/>
        <v>0.99677083333333372</v>
      </c>
      <c r="Q108" s="67">
        <f t="shared" si="2"/>
        <v>8.7060416666666676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32.619199266360113</v>
      </c>
      <c r="C109" s="67">
        <f t="shared" ref="C109:Q109" si="3">STDEV(C9:C104)</f>
        <v>8.0415612457867258</v>
      </c>
      <c r="D109" s="67">
        <f t="shared" si="3"/>
        <v>28.727349826016265</v>
      </c>
      <c r="E109" s="67">
        <f t="shared" si="3"/>
        <v>2.2692493517932397</v>
      </c>
      <c r="F109" s="67">
        <f t="shared" si="3"/>
        <v>0.80989066161547774</v>
      </c>
      <c r="G109" s="67">
        <f t="shared" si="3"/>
        <v>49.081154223401377</v>
      </c>
      <c r="H109" s="67">
        <f t="shared" si="3"/>
        <v>36.766094678164698</v>
      </c>
      <c r="I109" s="67">
        <f t="shared" si="3"/>
        <v>2.4169604094014465</v>
      </c>
      <c r="J109" s="67">
        <f t="shared" si="3"/>
        <v>1.0121818538499647</v>
      </c>
      <c r="K109" s="67">
        <f t="shared" si="3"/>
        <v>97.317977313429793</v>
      </c>
      <c r="L109" s="67">
        <f t="shared" si="3"/>
        <v>4.2383072382277609</v>
      </c>
      <c r="M109" s="67">
        <f t="shared" si="3"/>
        <v>14.449891203378401</v>
      </c>
      <c r="N109" s="67">
        <f t="shared" si="3"/>
        <v>223.36935306874773</v>
      </c>
      <c r="O109" s="67">
        <f t="shared" si="3"/>
        <v>0</v>
      </c>
      <c r="P109" s="67">
        <f t="shared" si="3"/>
        <v>0.59264526496692627</v>
      </c>
      <c r="Q109" s="67">
        <f t="shared" si="3"/>
        <v>0.93230159923161959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22" sqref="H12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247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11/12/2024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231</v>
      </c>
      <c r="C7" s="198" t="s">
        <v>232</v>
      </c>
      <c r="D7" s="198" t="s">
        <v>233</v>
      </c>
      <c r="E7" s="198" t="s">
        <v>234</v>
      </c>
      <c r="F7" s="198" t="s">
        <v>235</v>
      </c>
      <c r="G7" s="198" t="s">
        <v>236</v>
      </c>
      <c r="H7" s="198" t="s">
        <v>237</v>
      </c>
      <c r="I7" s="198" t="s">
        <v>238</v>
      </c>
      <c r="J7" s="198" t="s">
        <v>239</v>
      </c>
      <c r="K7" s="198" t="s">
        <v>240</v>
      </c>
      <c r="L7" s="198" t="s">
        <v>241</v>
      </c>
      <c r="M7" s="198" t="s">
        <v>242</v>
      </c>
      <c r="N7" s="198" t="s">
        <v>243</v>
      </c>
      <c r="O7" s="198" t="s">
        <v>244</v>
      </c>
      <c r="P7" s="198" t="s">
        <v>245</v>
      </c>
      <c r="Q7" s="198" t="s">
        <v>246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1208</v>
      </c>
      <c r="B9" s="64">
        <v>76.739999999999995</v>
      </c>
      <c r="C9" s="64">
        <v>57.68</v>
      </c>
      <c r="D9" s="64">
        <v>90.3</v>
      </c>
      <c r="E9" s="64">
        <v>6.99</v>
      </c>
      <c r="F9" s="64">
        <v>4.16</v>
      </c>
      <c r="G9" s="64">
        <v>108.04</v>
      </c>
      <c r="H9" s="213" t="s">
        <v>42</v>
      </c>
      <c r="I9" s="64">
        <v>8.94</v>
      </c>
      <c r="J9" s="64">
        <v>1.62</v>
      </c>
      <c r="K9" s="64">
        <v>332.94</v>
      </c>
      <c r="L9" s="64">
        <v>13.62</v>
      </c>
      <c r="M9" s="64">
        <v>58.42</v>
      </c>
      <c r="N9" s="64">
        <v>102.3</v>
      </c>
      <c r="O9" s="64">
        <v>0</v>
      </c>
      <c r="P9" s="64">
        <v>1.9</v>
      </c>
      <c r="Q9" s="64">
        <v>10.64</v>
      </c>
      <c r="R9" s="198"/>
      <c r="S9" s="198"/>
      <c r="T9" s="198"/>
      <c r="U9" s="198"/>
    </row>
    <row r="10" spans="1:21" s="12" customFormat="1" x14ac:dyDescent="0.25">
      <c r="A10" s="215" t="s">
        <v>1209</v>
      </c>
      <c r="B10" s="64">
        <v>70.930000000000007</v>
      </c>
      <c r="C10" s="64">
        <v>56.46</v>
      </c>
      <c r="D10" s="64">
        <v>85</v>
      </c>
      <c r="E10" s="64">
        <v>6.89</v>
      </c>
      <c r="F10" s="64">
        <v>4.03</v>
      </c>
      <c r="G10" s="64">
        <v>108.04</v>
      </c>
      <c r="H10" s="213" t="s">
        <v>42</v>
      </c>
      <c r="I10" s="64">
        <v>8.5299999999999994</v>
      </c>
      <c r="J10" s="64">
        <v>0.79</v>
      </c>
      <c r="K10" s="64">
        <v>335.37</v>
      </c>
      <c r="L10" s="64">
        <v>13.48</v>
      </c>
      <c r="M10" s="64">
        <v>58.79</v>
      </c>
      <c r="N10" s="64">
        <v>102.3</v>
      </c>
      <c r="O10" s="64">
        <v>0</v>
      </c>
      <c r="P10" s="64">
        <v>1.84</v>
      </c>
      <c r="Q10" s="64">
        <v>10.54</v>
      </c>
      <c r="R10" s="198"/>
      <c r="S10" s="198"/>
      <c r="T10" s="198"/>
      <c r="U10" s="198"/>
    </row>
    <row r="11" spans="1:21" s="12" customFormat="1" x14ac:dyDescent="0.25">
      <c r="A11" s="215" t="s">
        <v>1210</v>
      </c>
      <c r="B11" s="64">
        <v>65.319999999999993</v>
      </c>
      <c r="C11" s="64">
        <v>55.67</v>
      </c>
      <c r="D11" s="64">
        <v>80.09</v>
      </c>
      <c r="E11" s="64">
        <v>6.76</v>
      </c>
      <c r="F11" s="64">
        <v>3.71</v>
      </c>
      <c r="G11" s="64">
        <v>108.04</v>
      </c>
      <c r="H11" s="213" t="s">
        <v>42</v>
      </c>
      <c r="I11" s="64">
        <v>8.56</v>
      </c>
      <c r="J11" s="64">
        <v>0.28000000000000003</v>
      </c>
      <c r="K11" s="64">
        <v>2.81</v>
      </c>
      <c r="L11" s="64">
        <v>13.34</v>
      </c>
      <c r="M11" s="64">
        <v>57.93</v>
      </c>
      <c r="N11" s="64">
        <v>102.7</v>
      </c>
      <c r="O11" s="64">
        <v>0</v>
      </c>
      <c r="P11" s="64">
        <v>1.72</v>
      </c>
      <c r="Q11" s="64">
        <v>10.42</v>
      </c>
      <c r="R11" s="198"/>
      <c r="S11" s="198"/>
      <c r="T11" s="198"/>
      <c r="U11" s="198"/>
    </row>
    <row r="12" spans="1:21" s="12" customFormat="1" x14ac:dyDescent="0.25">
      <c r="A12" s="215" t="s">
        <v>1211</v>
      </c>
      <c r="B12" s="64">
        <v>60.02</v>
      </c>
      <c r="C12" s="64">
        <v>55.22</v>
      </c>
      <c r="D12" s="64">
        <v>75.599999999999994</v>
      </c>
      <c r="E12" s="64">
        <v>6.56</v>
      </c>
      <c r="F12" s="64">
        <v>3.92</v>
      </c>
      <c r="G12" s="64">
        <v>91.98</v>
      </c>
      <c r="H12" s="213" t="s">
        <v>42</v>
      </c>
      <c r="I12" s="64">
        <v>8.25</v>
      </c>
      <c r="J12" s="64">
        <v>1.06</v>
      </c>
      <c r="K12" s="64">
        <v>330.89</v>
      </c>
      <c r="L12" s="64">
        <v>13.55</v>
      </c>
      <c r="M12" s="64">
        <v>51.59</v>
      </c>
      <c r="N12" s="64">
        <v>102</v>
      </c>
      <c r="O12" s="64">
        <v>0</v>
      </c>
      <c r="P12" s="64">
        <v>1.68</v>
      </c>
      <c r="Q12" s="64">
        <v>10.3</v>
      </c>
      <c r="R12" s="198"/>
      <c r="S12" s="198"/>
      <c r="T12" s="198"/>
      <c r="U12" s="198"/>
    </row>
    <row r="13" spans="1:21" s="12" customFormat="1" x14ac:dyDescent="0.25">
      <c r="A13" s="215" t="s">
        <v>1212</v>
      </c>
      <c r="B13" s="64">
        <v>54.83</v>
      </c>
      <c r="C13" s="64">
        <v>55.46</v>
      </c>
      <c r="D13" s="64">
        <v>71.569999999999993</v>
      </c>
      <c r="E13" s="64">
        <v>6.01</v>
      </c>
      <c r="F13" s="64">
        <v>4.4400000000000004</v>
      </c>
      <c r="G13" s="64">
        <v>79.69</v>
      </c>
      <c r="H13" s="213" t="s">
        <v>42</v>
      </c>
      <c r="I13" s="64">
        <v>8.08</v>
      </c>
      <c r="J13" s="64">
        <v>0.84</v>
      </c>
      <c r="K13" s="64">
        <v>335.38</v>
      </c>
      <c r="L13" s="64">
        <v>13.58</v>
      </c>
      <c r="M13" s="64">
        <v>50</v>
      </c>
      <c r="N13" s="64">
        <v>102.4</v>
      </c>
      <c r="O13" s="64">
        <v>0</v>
      </c>
      <c r="P13" s="64">
        <v>1.48</v>
      </c>
      <c r="Q13" s="64">
        <v>10.26</v>
      </c>
      <c r="R13" s="198"/>
      <c r="S13" s="198"/>
      <c r="T13" s="198"/>
      <c r="U13" s="198"/>
    </row>
    <row r="14" spans="1:21" s="12" customFormat="1" x14ac:dyDescent="0.25">
      <c r="A14" s="215" t="s">
        <v>1213</v>
      </c>
      <c r="B14" s="64">
        <v>49.07</v>
      </c>
      <c r="C14" s="64">
        <v>55.11</v>
      </c>
      <c r="D14" s="64">
        <v>66.77</v>
      </c>
      <c r="E14" s="64">
        <v>5.48</v>
      </c>
      <c r="F14" s="64">
        <v>5</v>
      </c>
      <c r="G14" s="64">
        <v>79.69</v>
      </c>
      <c r="H14" s="213" t="s">
        <v>42</v>
      </c>
      <c r="I14" s="64">
        <v>8</v>
      </c>
      <c r="J14" s="64">
        <v>0.98</v>
      </c>
      <c r="K14" s="64">
        <v>333.36</v>
      </c>
      <c r="L14" s="64">
        <v>13.42</v>
      </c>
      <c r="M14" s="64">
        <v>50.86</v>
      </c>
      <c r="N14" s="64">
        <v>102.7</v>
      </c>
      <c r="O14" s="64">
        <v>0</v>
      </c>
      <c r="P14" s="64">
        <v>1.46</v>
      </c>
      <c r="Q14" s="64">
        <v>10.199999999999999</v>
      </c>
      <c r="R14" s="198"/>
      <c r="S14" s="198"/>
      <c r="T14" s="198"/>
      <c r="U14" s="198"/>
    </row>
    <row r="15" spans="1:21" s="12" customFormat="1" x14ac:dyDescent="0.25">
      <c r="A15" s="215" t="s">
        <v>1214</v>
      </c>
      <c r="B15" s="64">
        <v>43.47</v>
      </c>
      <c r="C15" s="64">
        <v>54.61</v>
      </c>
      <c r="D15" s="64">
        <v>62.01</v>
      </c>
      <c r="E15" s="64">
        <v>5.18</v>
      </c>
      <c r="F15" s="64">
        <v>3.57</v>
      </c>
      <c r="G15" s="64">
        <v>79.69</v>
      </c>
      <c r="H15" s="213" t="s">
        <v>42</v>
      </c>
      <c r="I15" s="64">
        <v>7.73</v>
      </c>
      <c r="J15" s="64">
        <v>1.96</v>
      </c>
      <c r="K15" s="64">
        <v>348.82</v>
      </c>
      <c r="L15" s="64">
        <v>13.27</v>
      </c>
      <c r="M15" s="64">
        <v>51.47</v>
      </c>
      <c r="N15" s="64">
        <v>102.6</v>
      </c>
      <c r="O15" s="64">
        <v>0</v>
      </c>
      <c r="P15" s="64">
        <v>1.38</v>
      </c>
      <c r="Q15" s="64">
        <v>10.14</v>
      </c>
      <c r="R15" s="198"/>
      <c r="S15" s="198"/>
      <c r="T15" s="198"/>
      <c r="U15" s="198"/>
    </row>
    <row r="16" spans="1:21" s="12" customFormat="1" x14ac:dyDescent="0.25">
      <c r="A16" s="215" t="s">
        <v>1215</v>
      </c>
      <c r="B16" s="64">
        <v>38.35</v>
      </c>
      <c r="C16" s="64">
        <v>54.01</v>
      </c>
      <c r="D16" s="64">
        <v>57.6</v>
      </c>
      <c r="E16" s="64">
        <v>4.9000000000000004</v>
      </c>
      <c r="F16" s="64">
        <v>5.05</v>
      </c>
      <c r="G16" s="64">
        <v>68.239999999999995</v>
      </c>
      <c r="H16" s="213" t="s">
        <v>42</v>
      </c>
      <c r="I16" s="64">
        <v>7.41</v>
      </c>
      <c r="J16" s="64">
        <v>1.93</v>
      </c>
      <c r="K16" s="64">
        <v>333.46</v>
      </c>
      <c r="L16" s="64">
        <v>13.03</v>
      </c>
      <c r="M16" s="64">
        <v>53.67</v>
      </c>
      <c r="N16" s="64">
        <v>102.8</v>
      </c>
      <c r="O16" s="64">
        <v>0</v>
      </c>
      <c r="P16" s="64">
        <v>1.3</v>
      </c>
      <c r="Q16" s="64">
        <v>10.09</v>
      </c>
      <c r="R16" s="198"/>
      <c r="S16" s="198"/>
      <c r="T16" s="198"/>
      <c r="U16" s="198"/>
    </row>
    <row r="17" spans="1:21" s="12" customFormat="1" x14ac:dyDescent="0.25">
      <c r="A17" s="215" t="s">
        <v>1216</v>
      </c>
      <c r="B17" s="64">
        <v>33.770000000000003</v>
      </c>
      <c r="C17" s="64">
        <v>53.5</v>
      </c>
      <c r="D17" s="64">
        <v>53.65</v>
      </c>
      <c r="E17" s="64">
        <v>4.87</v>
      </c>
      <c r="F17" s="64">
        <v>4.2699999999999996</v>
      </c>
      <c r="G17" s="64">
        <v>59.08</v>
      </c>
      <c r="H17" s="213" t="s">
        <v>42</v>
      </c>
      <c r="I17" s="64">
        <v>7.14</v>
      </c>
      <c r="J17" s="64">
        <v>2.5</v>
      </c>
      <c r="K17" s="64">
        <v>342.18</v>
      </c>
      <c r="L17" s="64">
        <v>12.69</v>
      </c>
      <c r="M17" s="64">
        <v>56.76</v>
      </c>
      <c r="N17" s="64">
        <v>102.6</v>
      </c>
      <c r="O17" s="64">
        <v>0</v>
      </c>
      <c r="P17" s="64">
        <v>1.22</v>
      </c>
      <c r="Q17" s="64">
        <v>10.029999999999999</v>
      </c>
      <c r="R17" s="198"/>
      <c r="S17" s="198"/>
      <c r="T17" s="198"/>
      <c r="U17" s="198"/>
    </row>
    <row r="18" spans="1:21" s="12" customFormat="1" x14ac:dyDescent="0.25">
      <c r="A18" s="215" t="s">
        <v>1217</v>
      </c>
      <c r="B18" s="64">
        <v>29.52</v>
      </c>
      <c r="C18" s="64">
        <v>53.32</v>
      </c>
      <c r="D18" s="64">
        <v>50.16</v>
      </c>
      <c r="E18" s="64">
        <v>4.7300000000000004</v>
      </c>
      <c r="F18" s="64">
        <v>4.04</v>
      </c>
      <c r="G18" s="64">
        <v>59.08</v>
      </c>
      <c r="H18" s="213" t="s">
        <v>42</v>
      </c>
      <c r="I18" s="64">
        <v>6.88</v>
      </c>
      <c r="J18" s="64">
        <v>1.78</v>
      </c>
      <c r="K18" s="64">
        <v>336.65</v>
      </c>
      <c r="L18" s="64">
        <v>12.44</v>
      </c>
      <c r="M18" s="64">
        <v>58.18</v>
      </c>
      <c r="N18" s="64">
        <v>102.3</v>
      </c>
      <c r="O18" s="64">
        <v>0</v>
      </c>
      <c r="P18" s="64">
        <v>1.1499999999999999</v>
      </c>
      <c r="Q18" s="64">
        <v>9.98</v>
      </c>
      <c r="R18" s="198"/>
      <c r="S18" s="198"/>
      <c r="T18" s="198"/>
      <c r="U18" s="198"/>
    </row>
    <row r="19" spans="1:21" s="12" customFormat="1" x14ac:dyDescent="0.25">
      <c r="A19" s="215" t="s">
        <v>1218</v>
      </c>
      <c r="B19" s="64">
        <v>25.84</v>
      </c>
      <c r="C19" s="64">
        <v>53.11</v>
      </c>
      <c r="D19" s="64">
        <v>47.1</v>
      </c>
      <c r="E19" s="64">
        <v>4.8600000000000003</v>
      </c>
      <c r="F19" s="64">
        <v>3.82</v>
      </c>
      <c r="G19" s="64">
        <v>59.08</v>
      </c>
      <c r="H19" s="213" t="s">
        <v>42</v>
      </c>
      <c r="I19" s="64">
        <v>6.6</v>
      </c>
      <c r="J19" s="64">
        <v>1.89</v>
      </c>
      <c r="K19" s="64">
        <v>339.6</v>
      </c>
      <c r="L19" s="64">
        <v>12.37</v>
      </c>
      <c r="M19" s="64">
        <v>56.51</v>
      </c>
      <c r="N19" s="64">
        <v>102</v>
      </c>
      <c r="O19" s="64">
        <v>0</v>
      </c>
      <c r="P19" s="64">
        <v>1.0900000000000001</v>
      </c>
      <c r="Q19" s="64">
        <v>9.65</v>
      </c>
      <c r="R19" s="198"/>
      <c r="S19" s="198"/>
      <c r="T19" s="198"/>
      <c r="U19" s="198"/>
    </row>
    <row r="20" spans="1:21" s="12" customFormat="1" x14ac:dyDescent="0.25">
      <c r="A20" s="215" t="s">
        <v>1219</v>
      </c>
      <c r="B20" s="64">
        <v>22.62</v>
      </c>
      <c r="C20" s="64">
        <v>52.63</v>
      </c>
      <c r="D20" s="64">
        <v>44.26</v>
      </c>
      <c r="E20" s="64">
        <v>5.29</v>
      </c>
      <c r="F20" s="64">
        <v>4.2</v>
      </c>
      <c r="G20" s="64">
        <v>55.4</v>
      </c>
      <c r="H20" s="213" t="s">
        <v>42</v>
      </c>
      <c r="I20" s="64">
        <v>6.33</v>
      </c>
      <c r="J20" s="64">
        <v>2.4</v>
      </c>
      <c r="K20" s="64">
        <v>344.73</v>
      </c>
      <c r="L20" s="64">
        <v>12.27</v>
      </c>
      <c r="M20" s="64">
        <v>56.77</v>
      </c>
      <c r="N20" s="64">
        <v>102.1</v>
      </c>
      <c r="O20" s="64">
        <v>0</v>
      </c>
      <c r="P20" s="64">
        <v>1.03</v>
      </c>
      <c r="Q20" s="64">
        <v>9.2100000000000009</v>
      </c>
      <c r="R20" s="198"/>
      <c r="S20" s="198"/>
      <c r="T20" s="198"/>
      <c r="U20" s="198"/>
    </row>
    <row r="21" spans="1:21" s="12" customFormat="1" x14ac:dyDescent="0.25">
      <c r="A21" s="215" t="s">
        <v>1220</v>
      </c>
      <c r="B21" s="64">
        <v>19.91</v>
      </c>
      <c r="C21" s="64">
        <v>51.94</v>
      </c>
      <c r="D21" s="64">
        <v>41.73</v>
      </c>
      <c r="E21" s="64">
        <v>4.96</v>
      </c>
      <c r="F21" s="64">
        <v>3.99</v>
      </c>
      <c r="G21" s="64">
        <v>52.58</v>
      </c>
      <c r="H21" s="213" t="s">
        <v>42</v>
      </c>
      <c r="I21" s="64">
        <v>6.1</v>
      </c>
      <c r="J21" s="64">
        <v>2.4500000000000002</v>
      </c>
      <c r="K21" s="64">
        <v>338.31</v>
      </c>
      <c r="L21" s="64">
        <v>12.13</v>
      </c>
      <c r="M21" s="64">
        <v>56.67</v>
      </c>
      <c r="N21" s="64">
        <v>102.4</v>
      </c>
      <c r="O21" s="64">
        <v>0</v>
      </c>
      <c r="P21" s="64">
        <v>0.97</v>
      </c>
      <c r="Q21" s="64">
        <v>8.86</v>
      </c>
      <c r="R21" s="198"/>
      <c r="S21" s="198"/>
      <c r="T21" s="198"/>
      <c r="U21" s="198"/>
    </row>
    <row r="22" spans="1:21" s="12" customFormat="1" x14ac:dyDescent="0.25">
      <c r="A22" s="215" t="s">
        <v>1221</v>
      </c>
      <c r="B22" s="64">
        <v>17.600000000000001</v>
      </c>
      <c r="C22" s="64">
        <v>50.09</v>
      </c>
      <c r="D22" s="64">
        <v>38.909999999999997</v>
      </c>
      <c r="E22" s="64">
        <v>4.75</v>
      </c>
      <c r="F22" s="64">
        <v>3.77</v>
      </c>
      <c r="G22" s="64">
        <v>52.58</v>
      </c>
      <c r="H22" s="213" t="s">
        <v>42</v>
      </c>
      <c r="I22" s="64">
        <v>5.87</v>
      </c>
      <c r="J22" s="64">
        <v>2.0299999999999998</v>
      </c>
      <c r="K22" s="64">
        <v>334.54</v>
      </c>
      <c r="L22" s="64">
        <v>11.93</v>
      </c>
      <c r="M22" s="64">
        <v>57.38</v>
      </c>
      <c r="N22" s="64">
        <v>102.5</v>
      </c>
      <c r="O22" s="64">
        <v>0</v>
      </c>
      <c r="P22" s="64">
        <v>0.93</v>
      </c>
      <c r="Q22" s="64">
        <v>8.5399999999999991</v>
      </c>
      <c r="R22" s="198"/>
      <c r="S22" s="198"/>
      <c r="T22" s="198"/>
      <c r="U22" s="198"/>
    </row>
    <row r="23" spans="1:21" s="12" customFormat="1" x14ac:dyDescent="0.25">
      <c r="A23" s="215" t="s">
        <v>1222</v>
      </c>
      <c r="B23" s="64">
        <v>15.96</v>
      </c>
      <c r="C23" s="64">
        <v>49.81</v>
      </c>
      <c r="D23" s="64">
        <v>37.44</v>
      </c>
      <c r="E23" s="64">
        <v>4.67</v>
      </c>
      <c r="F23" s="64">
        <v>4.2300000000000004</v>
      </c>
      <c r="G23" s="64">
        <v>52.58</v>
      </c>
      <c r="H23" s="213" t="s">
        <v>42</v>
      </c>
      <c r="I23" s="64">
        <v>5.59</v>
      </c>
      <c r="J23" s="64">
        <v>2.21</v>
      </c>
      <c r="K23" s="64">
        <v>344.98</v>
      </c>
      <c r="L23" s="64">
        <v>11.73</v>
      </c>
      <c r="M23" s="64">
        <v>58.6</v>
      </c>
      <c r="N23" s="64">
        <v>102.5</v>
      </c>
      <c r="O23" s="64">
        <v>0</v>
      </c>
      <c r="P23" s="64">
        <v>0.89</v>
      </c>
      <c r="Q23" s="64">
        <v>8.3000000000000007</v>
      </c>
      <c r="R23" s="198"/>
      <c r="S23" s="198"/>
      <c r="T23" s="198"/>
      <c r="U23" s="198"/>
    </row>
    <row r="24" spans="1:21" s="12" customFormat="1" x14ac:dyDescent="0.25">
      <c r="A24" s="215" t="s">
        <v>1223</v>
      </c>
      <c r="B24" s="64">
        <v>14.59</v>
      </c>
      <c r="C24" s="64">
        <v>49.56</v>
      </c>
      <c r="D24" s="64">
        <v>36.22</v>
      </c>
      <c r="E24" s="64">
        <v>4.82</v>
      </c>
      <c r="F24" s="64">
        <v>4.07</v>
      </c>
      <c r="G24" s="64">
        <v>63.35</v>
      </c>
      <c r="H24" s="213" t="s">
        <v>42</v>
      </c>
      <c r="I24" s="64">
        <v>5.46</v>
      </c>
      <c r="J24" s="64">
        <v>1.97</v>
      </c>
      <c r="K24" s="64">
        <v>327.83</v>
      </c>
      <c r="L24" s="64">
        <v>11.5</v>
      </c>
      <c r="M24" s="64">
        <v>59.24</v>
      </c>
      <c r="N24" s="64">
        <v>102.5</v>
      </c>
      <c r="O24" s="64">
        <v>0</v>
      </c>
      <c r="P24" s="64">
        <v>0.85</v>
      </c>
      <c r="Q24" s="64">
        <v>8.2100000000000009</v>
      </c>
      <c r="R24" s="198"/>
      <c r="S24" s="198"/>
      <c r="T24" s="198"/>
      <c r="U24" s="198"/>
    </row>
    <row r="25" spans="1:21" s="12" customFormat="1" x14ac:dyDescent="0.25">
      <c r="A25" s="215" t="s">
        <v>1224</v>
      </c>
      <c r="B25" s="64">
        <v>13.38</v>
      </c>
      <c r="C25" s="64">
        <v>48.41</v>
      </c>
      <c r="D25" s="64">
        <v>34.65</v>
      </c>
      <c r="E25" s="64">
        <v>4.75</v>
      </c>
      <c r="F25" s="64">
        <v>4.0999999999999996</v>
      </c>
      <c r="G25" s="64">
        <v>71.58</v>
      </c>
      <c r="H25" s="213" t="s">
        <v>42</v>
      </c>
      <c r="I25" s="64">
        <v>5.34</v>
      </c>
      <c r="J25" s="64">
        <v>0.71</v>
      </c>
      <c r="K25" s="64">
        <v>15.3</v>
      </c>
      <c r="L25" s="64">
        <v>11.25</v>
      </c>
      <c r="M25" s="64">
        <v>60.64</v>
      </c>
      <c r="N25" s="64">
        <v>103</v>
      </c>
      <c r="O25" s="64">
        <v>0</v>
      </c>
      <c r="P25" s="64">
        <v>0.81</v>
      </c>
      <c r="Q25" s="64">
        <v>8.2100000000000009</v>
      </c>
      <c r="R25" s="198"/>
      <c r="S25" s="198"/>
      <c r="T25" s="198"/>
      <c r="U25" s="198"/>
    </row>
    <row r="26" spans="1:21" s="12" customFormat="1" x14ac:dyDescent="0.25">
      <c r="A26" s="215" t="s">
        <v>1225</v>
      </c>
      <c r="B26" s="64">
        <v>12.38</v>
      </c>
      <c r="C26" s="64">
        <v>47.69</v>
      </c>
      <c r="D26" s="64">
        <v>33.46</v>
      </c>
      <c r="E26" s="64">
        <v>4.8899999999999997</v>
      </c>
      <c r="F26" s="64">
        <v>3.53</v>
      </c>
      <c r="G26" s="64">
        <v>71.58</v>
      </c>
      <c r="H26" s="213" t="s">
        <v>42</v>
      </c>
      <c r="I26" s="64">
        <v>5.22</v>
      </c>
      <c r="J26" s="64">
        <v>0.89</v>
      </c>
      <c r="K26" s="64">
        <v>0.26</v>
      </c>
      <c r="L26" s="64">
        <v>10.99</v>
      </c>
      <c r="M26" s="64">
        <v>60.83</v>
      </c>
      <c r="N26" s="64">
        <v>103</v>
      </c>
      <c r="O26" s="64">
        <v>0</v>
      </c>
      <c r="P26" s="64">
        <v>0.79</v>
      </c>
      <c r="Q26" s="64">
        <v>8.2100000000000009</v>
      </c>
      <c r="R26" s="198"/>
      <c r="S26" s="198"/>
      <c r="T26" s="198"/>
      <c r="U26" s="198"/>
    </row>
    <row r="27" spans="1:21" s="12" customFormat="1" x14ac:dyDescent="0.25">
      <c r="A27" s="215" t="s">
        <v>1226</v>
      </c>
      <c r="B27" s="64">
        <v>11.32</v>
      </c>
      <c r="C27" s="64">
        <v>46.71</v>
      </c>
      <c r="D27" s="64">
        <v>32.11</v>
      </c>
      <c r="E27" s="64">
        <v>4.79</v>
      </c>
      <c r="F27" s="64">
        <v>3.44</v>
      </c>
      <c r="G27" s="64">
        <v>71.58</v>
      </c>
      <c r="H27" s="213" t="s">
        <v>42</v>
      </c>
      <c r="I27" s="64">
        <v>5.1100000000000003</v>
      </c>
      <c r="J27" s="64">
        <v>0.93</v>
      </c>
      <c r="K27" s="64">
        <v>51.72</v>
      </c>
      <c r="L27" s="64">
        <v>10.91</v>
      </c>
      <c r="M27" s="64">
        <v>60.63</v>
      </c>
      <c r="N27" s="64">
        <v>103.3</v>
      </c>
      <c r="O27" s="64">
        <v>0</v>
      </c>
      <c r="P27" s="64">
        <v>0.76</v>
      </c>
      <c r="Q27" s="64">
        <v>8.2100000000000009</v>
      </c>
      <c r="R27" s="198"/>
      <c r="S27" s="198"/>
      <c r="T27" s="198"/>
      <c r="U27" s="198"/>
    </row>
    <row r="28" spans="1:21" s="12" customFormat="1" x14ac:dyDescent="0.25">
      <c r="A28" s="215" t="s">
        <v>1227</v>
      </c>
      <c r="B28" s="64">
        <v>10.52</v>
      </c>
      <c r="C28" s="64">
        <v>45.83</v>
      </c>
      <c r="D28" s="64">
        <v>31.01</v>
      </c>
      <c r="E28" s="64">
        <v>4.67</v>
      </c>
      <c r="F28" s="64">
        <v>3.53</v>
      </c>
      <c r="G28" s="64">
        <v>67.680000000000007</v>
      </c>
      <c r="H28" s="213" t="s">
        <v>42</v>
      </c>
      <c r="I28" s="64">
        <v>5.0199999999999996</v>
      </c>
      <c r="J28" s="64">
        <v>0.65</v>
      </c>
      <c r="K28" s="64">
        <v>24.83</v>
      </c>
      <c r="L28" s="64">
        <v>10.71</v>
      </c>
      <c r="M28" s="64">
        <v>63.11</v>
      </c>
      <c r="N28" s="64">
        <v>103.5</v>
      </c>
      <c r="O28" s="64">
        <v>0</v>
      </c>
      <c r="P28" s="64">
        <v>0.73</v>
      </c>
      <c r="Q28" s="64">
        <v>8.2100000000000009</v>
      </c>
      <c r="R28" s="198"/>
      <c r="S28" s="198"/>
      <c r="T28" s="198"/>
      <c r="U28" s="198"/>
    </row>
    <row r="29" spans="1:21" s="12" customFormat="1" x14ac:dyDescent="0.25">
      <c r="A29" s="215" t="s">
        <v>1228</v>
      </c>
      <c r="B29" s="64">
        <v>10.1</v>
      </c>
      <c r="C29" s="64">
        <v>45.71</v>
      </c>
      <c r="D29" s="64">
        <v>30.6</v>
      </c>
      <c r="E29" s="64">
        <v>5.12</v>
      </c>
      <c r="F29" s="64">
        <v>4.08</v>
      </c>
      <c r="G29" s="64">
        <v>64.56</v>
      </c>
      <c r="H29" s="213" t="s">
        <v>42</v>
      </c>
      <c r="I29" s="64">
        <v>4.91</v>
      </c>
      <c r="J29" s="64">
        <v>1.4</v>
      </c>
      <c r="K29" s="64">
        <v>65.81</v>
      </c>
      <c r="L29" s="64">
        <v>10.46</v>
      </c>
      <c r="M29" s="64">
        <v>62.64</v>
      </c>
      <c r="N29" s="64">
        <v>103.4</v>
      </c>
      <c r="O29" s="64">
        <v>0</v>
      </c>
      <c r="P29" s="64">
        <v>0.71</v>
      </c>
      <c r="Q29" s="64">
        <v>8.2100000000000009</v>
      </c>
      <c r="R29" s="198"/>
      <c r="S29" s="198"/>
      <c r="T29" s="198"/>
      <c r="U29" s="198"/>
    </row>
    <row r="30" spans="1:21" s="12" customFormat="1" x14ac:dyDescent="0.25">
      <c r="A30" s="215" t="s">
        <v>1229</v>
      </c>
      <c r="B30" s="64">
        <v>9.61</v>
      </c>
      <c r="C30" s="64">
        <v>45.7</v>
      </c>
      <c r="D30" s="64">
        <v>30.2</v>
      </c>
      <c r="E30" s="64">
        <v>4.8499999999999996</v>
      </c>
      <c r="F30" s="64">
        <v>4.0199999999999996</v>
      </c>
      <c r="G30" s="64">
        <v>64.56</v>
      </c>
      <c r="H30" s="213" t="s">
        <v>42</v>
      </c>
      <c r="I30" s="64">
        <v>4.82</v>
      </c>
      <c r="J30" s="64">
        <v>1.78</v>
      </c>
      <c r="K30" s="64">
        <v>92.92</v>
      </c>
      <c r="L30" s="64">
        <v>10.31</v>
      </c>
      <c r="M30" s="64">
        <v>64.239999999999995</v>
      </c>
      <c r="N30" s="64">
        <v>103.4</v>
      </c>
      <c r="O30" s="64">
        <v>0</v>
      </c>
      <c r="P30" s="64">
        <v>0.69</v>
      </c>
      <c r="Q30" s="64">
        <v>8.2100000000000009</v>
      </c>
      <c r="R30" s="198"/>
      <c r="S30" s="198"/>
      <c r="T30" s="198"/>
      <c r="U30" s="198"/>
    </row>
    <row r="31" spans="1:21" s="12" customFormat="1" x14ac:dyDescent="0.25">
      <c r="A31" s="215" t="s">
        <v>1230</v>
      </c>
      <c r="B31" s="64">
        <v>9.08</v>
      </c>
      <c r="C31" s="64">
        <v>45.19</v>
      </c>
      <c r="D31" s="64">
        <v>29.51</v>
      </c>
      <c r="E31" s="64">
        <v>4.72</v>
      </c>
      <c r="F31" s="64">
        <v>4.42</v>
      </c>
      <c r="G31" s="64">
        <v>64.56</v>
      </c>
      <c r="H31" s="213" t="s">
        <v>42</v>
      </c>
      <c r="I31" s="64">
        <v>4.74</v>
      </c>
      <c r="J31" s="64">
        <v>0.83</v>
      </c>
      <c r="K31" s="64">
        <v>15.69</v>
      </c>
      <c r="L31" s="64">
        <v>10.1</v>
      </c>
      <c r="M31" s="64">
        <v>66.45</v>
      </c>
      <c r="N31" s="64">
        <v>104.2</v>
      </c>
      <c r="O31" s="64">
        <v>0</v>
      </c>
      <c r="P31" s="64">
        <v>0.67</v>
      </c>
      <c r="Q31" s="64">
        <v>8.2100000000000009</v>
      </c>
      <c r="R31" s="198"/>
      <c r="S31" s="198"/>
      <c r="T31" s="198"/>
      <c r="U31" s="198"/>
    </row>
    <row r="32" spans="1:21" s="12" customFormat="1" x14ac:dyDescent="0.25">
      <c r="A32" s="215" t="s">
        <v>1231</v>
      </c>
      <c r="B32" s="64">
        <v>8.89</v>
      </c>
      <c r="C32" s="64">
        <v>45.23</v>
      </c>
      <c r="D32" s="64">
        <v>29.38</v>
      </c>
      <c r="E32" s="64">
        <v>4.51</v>
      </c>
      <c r="F32" s="64">
        <v>4.25</v>
      </c>
      <c r="G32" s="64">
        <v>61.44</v>
      </c>
      <c r="H32" s="213" t="s">
        <v>42</v>
      </c>
      <c r="I32" s="64">
        <v>4.63</v>
      </c>
      <c r="J32" s="64">
        <v>1.18</v>
      </c>
      <c r="K32" s="64">
        <v>26.88</v>
      </c>
      <c r="L32" s="64">
        <v>9.8800000000000008</v>
      </c>
      <c r="M32" s="64">
        <v>68.8</v>
      </c>
      <c r="N32" s="64">
        <v>104.3</v>
      </c>
      <c r="O32" s="64">
        <v>0</v>
      </c>
      <c r="P32" s="64">
        <v>0.65</v>
      </c>
      <c r="Q32" s="64">
        <v>8.2100000000000009</v>
      </c>
      <c r="R32" s="198"/>
      <c r="S32" s="198"/>
      <c r="T32" s="198"/>
      <c r="U32" s="198"/>
    </row>
    <row r="33" spans="1:21" s="12" customFormat="1" x14ac:dyDescent="0.25">
      <c r="A33" s="215" t="s">
        <v>1232</v>
      </c>
      <c r="B33" s="64">
        <v>9.06</v>
      </c>
      <c r="C33" s="64">
        <v>45.8</v>
      </c>
      <c r="D33" s="64">
        <v>29.82</v>
      </c>
      <c r="E33" s="64">
        <v>4.54</v>
      </c>
      <c r="F33" s="64">
        <v>4.59</v>
      </c>
      <c r="G33" s="64">
        <v>58.94</v>
      </c>
      <c r="H33" s="213" t="s">
        <v>42</v>
      </c>
      <c r="I33" s="64">
        <v>4.55</v>
      </c>
      <c r="J33" s="64">
        <v>1.39</v>
      </c>
      <c r="K33" s="64">
        <v>59.81</v>
      </c>
      <c r="L33" s="64">
        <v>9.7799999999999994</v>
      </c>
      <c r="M33" s="64">
        <v>68.819999999999993</v>
      </c>
      <c r="N33" s="64">
        <v>104.3</v>
      </c>
      <c r="O33" s="64">
        <v>0</v>
      </c>
      <c r="P33" s="64">
        <v>0.64</v>
      </c>
      <c r="Q33" s="64">
        <v>8.2100000000000009</v>
      </c>
      <c r="R33" s="198"/>
      <c r="S33" s="198"/>
      <c r="T33" s="198"/>
      <c r="U33" s="198"/>
    </row>
    <row r="34" spans="1:21" s="12" customFormat="1" x14ac:dyDescent="0.25">
      <c r="A34" s="215" t="s">
        <v>1233</v>
      </c>
      <c r="B34" s="64">
        <v>9</v>
      </c>
      <c r="C34" s="64">
        <v>45.82</v>
      </c>
      <c r="D34" s="64">
        <v>29.78</v>
      </c>
      <c r="E34" s="64">
        <v>4.72</v>
      </c>
      <c r="F34" s="64">
        <v>3.92</v>
      </c>
      <c r="G34" s="64">
        <v>58.94</v>
      </c>
      <c r="H34" s="213" t="s">
        <v>42</v>
      </c>
      <c r="I34" s="64">
        <v>4.45</v>
      </c>
      <c r="J34" s="64">
        <v>0.86</v>
      </c>
      <c r="K34" s="64">
        <v>70.61</v>
      </c>
      <c r="L34" s="64">
        <v>9.8000000000000007</v>
      </c>
      <c r="M34" s="64">
        <v>69.290000000000006</v>
      </c>
      <c r="N34" s="64">
        <v>105.7</v>
      </c>
      <c r="O34" s="64">
        <v>0</v>
      </c>
      <c r="P34" s="64">
        <v>0.63</v>
      </c>
      <c r="Q34" s="64">
        <v>8.2100000000000009</v>
      </c>
      <c r="R34" s="198"/>
      <c r="S34" s="198"/>
      <c r="T34" s="198"/>
      <c r="U34" s="198"/>
    </row>
    <row r="35" spans="1:21" s="12" customFormat="1" x14ac:dyDescent="0.25">
      <c r="A35" s="215" t="s">
        <v>1234</v>
      </c>
      <c r="B35" s="64">
        <v>9.26</v>
      </c>
      <c r="C35" s="64">
        <v>46.23</v>
      </c>
      <c r="D35" s="64">
        <v>30.21</v>
      </c>
      <c r="E35" s="64">
        <v>4.47</v>
      </c>
      <c r="F35" s="64">
        <v>3.88</v>
      </c>
      <c r="G35" s="64">
        <v>58.94</v>
      </c>
      <c r="H35" s="213" t="s">
        <v>42</v>
      </c>
      <c r="I35" s="64">
        <v>4.38</v>
      </c>
      <c r="J35" s="64">
        <v>0.99</v>
      </c>
      <c r="K35" s="64">
        <v>343.15</v>
      </c>
      <c r="L35" s="64">
        <v>9.68</v>
      </c>
      <c r="M35" s="64">
        <v>70.849999999999994</v>
      </c>
      <c r="N35" s="64">
        <v>112</v>
      </c>
      <c r="O35" s="64">
        <v>0</v>
      </c>
      <c r="P35" s="64">
        <v>0.62</v>
      </c>
      <c r="Q35" s="64">
        <v>8.2100000000000009</v>
      </c>
      <c r="R35" s="198"/>
      <c r="S35" s="198"/>
      <c r="T35" s="198"/>
      <c r="U35" s="198"/>
    </row>
    <row r="36" spans="1:21" s="12" customFormat="1" x14ac:dyDescent="0.25">
      <c r="A36" s="215" t="s">
        <v>1235</v>
      </c>
      <c r="B36" s="64">
        <v>10.54</v>
      </c>
      <c r="C36" s="64">
        <v>46.96</v>
      </c>
      <c r="D36" s="64">
        <v>31.61</v>
      </c>
      <c r="E36" s="64">
        <v>4.5599999999999996</v>
      </c>
      <c r="F36" s="64">
        <v>3.83</v>
      </c>
      <c r="G36" s="64">
        <v>61.97</v>
      </c>
      <c r="H36" s="64">
        <v>13.04</v>
      </c>
      <c r="I36" s="64">
        <v>4.3099999999999996</v>
      </c>
      <c r="J36" s="64">
        <v>1.5</v>
      </c>
      <c r="K36" s="64">
        <v>3.69</v>
      </c>
      <c r="L36" s="64">
        <v>9.7899999999999991</v>
      </c>
      <c r="M36" s="64">
        <v>71.81</v>
      </c>
      <c r="N36" s="64">
        <v>126</v>
      </c>
      <c r="O36" s="64">
        <v>0</v>
      </c>
      <c r="P36" s="64">
        <v>0.62</v>
      </c>
      <c r="Q36" s="64">
        <v>8.2100000000000009</v>
      </c>
      <c r="R36" s="198"/>
      <c r="S36" s="198"/>
      <c r="T36" s="198"/>
      <c r="U36" s="198"/>
    </row>
    <row r="37" spans="1:21" s="12" customFormat="1" x14ac:dyDescent="0.25">
      <c r="A37" s="215" t="s">
        <v>1236</v>
      </c>
      <c r="B37" s="64">
        <v>12.86</v>
      </c>
      <c r="C37" s="64">
        <v>47.71</v>
      </c>
      <c r="D37" s="64">
        <v>33.86</v>
      </c>
      <c r="E37" s="64">
        <v>4.45</v>
      </c>
      <c r="F37" s="64">
        <v>4</v>
      </c>
      <c r="G37" s="64">
        <v>64.28</v>
      </c>
      <c r="H37" s="64">
        <v>17.47</v>
      </c>
      <c r="I37" s="64">
        <v>4.25</v>
      </c>
      <c r="J37" s="64">
        <v>1.61</v>
      </c>
      <c r="K37" s="64">
        <v>333.79</v>
      </c>
      <c r="L37" s="64">
        <v>10.119999999999999</v>
      </c>
      <c r="M37" s="64">
        <v>70.650000000000006</v>
      </c>
      <c r="N37" s="64">
        <v>137.19999999999999</v>
      </c>
      <c r="O37" s="64">
        <v>0</v>
      </c>
      <c r="P37" s="64">
        <v>0.69</v>
      </c>
      <c r="Q37" s="64">
        <v>8.2100000000000009</v>
      </c>
      <c r="R37" s="198"/>
      <c r="S37" s="198"/>
      <c r="T37" s="198"/>
      <c r="U37" s="198"/>
    </row>
    <row r="38" spans="1:21" s="12" customFormat="1" x14ac:dyDescent="0.25">
      <c r="A38" s="215" t="s">
        <v>1237</v>
      </c>
      <c r="B38" s="64">
        <v>15.03</v>
      </c>
      <c r="C38" s="64">
        <v>47.53</v>
      </c>
      <c r="D38" s="64">
        <v>35.51</v>
      </c>
      <c r="E38" s="64">
        <v>4.5199999999999996</v>
      </c>
      <c r="F38" s="64">
        <v>3.93</v>
      </c>
      <c r="G38" s="64">
        <v>64.28</v>
      </c>
      <c r="H38" s="64">
        <v>17.47</v>
      </c>
      <c r="I38" s="64">
        <v>4.22</v>
      </c>
      <c r="J38" s="64">
        <v>2.08</v>
      </c>
      <c r="K38" s="64">
        <v>332.09</v>
      </c>
      <c r="L38" s="64">
        <v>10.57</v>
      </c>
      <c r="M38" s="64">
        <v>68.36</v>
      </c>
      <c r="N38" s="64">
        <v>162.1</v>
      </c>
      <c r="O38" s="64">
        <v>0</v>
      </c>
      <c r="P38" s="64">
        <v>0.73</v>
      </c>
      <c r="Q38" s="64">
        <v>8.2100000000000009</v>
      </c>
      <c r="R38" s="198"/>
      <c r="S38" s="198"/>
      <c r="T38" s="198"/>
      <c r="U38" s="198"/>
    </row>
    <row r="39" spans="1:21" s="12" customFormat="1" x14ac:dyDescent="0.25">
      <c r="A39" s="215" t="s">
        <v>1238</v>
      </c>
      <c r="B39" s="64">
        <v>16.7</v>
      </c>
      <c r="C39" s="64">
        <v>47.54</v>
      </c>
      <c r="D39" s="64">
        <v>36.85</v>
      </c>
      <c r="E39" s="64">
        <v>4.4400000000000004</v>
      </c>
      <c r="F39" s="64">
        <v>3.82</v>
      </c>
      <c r="G39" s="64">
        <v>64.28</v>
      </c>
      <c r="H39" s="64">
        <v>17.47</v>
      </c>
      <c r="I39" s="64">
        <v>4.21</v>
      </c>
      <c r="J39" s="64">
        <v>1.4</v>
      </c>
      <c r="K39" s="64">
        <v>348.49</v>
      </c>
      <c r="L39" s="64">
        <v>11.3</v>
      </c>
      <c r="M39" s="64">
        <v>65.430000000000007</v>
      </c>
      <c r="N39" s="64">
        <v>214.8</v>
      </c>
      <c r="O39" s="64">
        <v>0</v>
      </c>
      <c r="P39" s="64">
        <v>0.74</v>
      </c>
      <c r="Q39" s="64">
        <v>8.2100000000000009</v>
      </c>
      <c r="R39" s="198"/>
      <c r="S39" s="198"/>
      <c r="T39" s="198"/>
      <c r="U39" s="198"/>
    </row>
    <row r="40" spans="1:21" s="12" customFormat="1" x14ac:dyDescent="0.25">
      <c r="A40" s="215" t="s">
        <v>1239</v>
      </c>
      <c r="B40" s="64">
        <v>17.62</v>
      </c>
      <c r="C40" s="64">
        <v>48.28</v>
      </c>
      <c r="D40" s="64">
        <v>37.979999999999997</v>
      </c>
      <c r="E40" s="64">
        <v>6.63</v>
      </c>
      <c r="F40" s="64">
        <v>3.71</v>
      </c>
      <c r="G40" s="64">
        <v>68.73</v>
      </c>
      <c r="H40" s="64">
        <v>22.71</v>
      </c>
      <c r="I40" s="64">
        <v>4.18</v>
      </c>
      <c r="J40" s="64">
        <v>0.75</v>
      </c>
      <c r="K40" s="64">
        <v>55.04</v>
      </c>
      <c r="L40" s="64">
        <v>12.47</v>
      </c>
      <c r="M40" s="64">
        <v>60.29</v>
      </c>
      <c r="N40" s="64">
        <v>305.8</v>
      </c>
      <c r="O40" s="64">
        <v>0</v>
      </c>
      <c r="P40" s="64">
        <v>0.72</v>
      </c>
      <c r="Q40" s="64">
        <v>8.2100000000000009</v>
      </c>
      <c r="R40" s="198"/>
      <c r="S40" s="198"/>
      <c r="T40" s="198"/>
      <c r="U40" s="198"/>
    </row>
    <row r="41" spans="1:21" s="12" customFormat="1" x14ac:dyDescent="0.25">
      <c r="A41" s="215" t="s">
        <v>1240</v>
      </c>
      <c r="B41" s="64">
        <v>18.18</v>
      </c>
      <c r="C41" s="64">
        <v>48.52</v>
      </c>
      <c r="D41" s="64">
        <v>38.549999999999997</v>
      </c>
      <c r="E41" s="64">
        <v>6.65</v>
      </c>
      <c r="F41" s="64">
        <v>4.3099999999999996</v>
      </c>
      <c r="G41" s="64">
        <v>72.13</v>
      </c>
      <c r="H41" s="64">
        <v>24.5</v>
      </c>
      <c r="I41" s="64">
        <v>4.16</v>
      </c>
      <c r="J41" s="64">
        <v>1.48</v>
      </c>
      <c r="K41" s="64">
        <v>356.34</v>
      </c>
      <c r="L41" s="64">
        <v>14.51</v>
      </c>
      <c r="M41" s="64">
        <v>53.01</v>
      </c>
      <c r="N41" s="64">
        <v>372.3</v>
      </c>
      <c r="O41" s="64">
        <v>0</v>
      </c>
      <c r="P41" s="64">
        <v>0.73</v>
      </c>
      <c r="Q41" s="64">
        <v>8.23</v>
      </c>
      <c r="R41" s="198"/>
      <c r="S41" s="198"/>
      <c r="T41" s="198"/>
      <c r="U41" s="198"/>
    </row>
    <row r="42" spans="1:21" s="12" customFormat="1" x14ac:dyDescent="0.25">
      <c r="A42" s="215" t="s">
        <v>1241</v>
      </c>
      <c r="B42" s="64">
        <v>19.21</v>
      </c>
      <c r="C42" s="64">
        <v>49.09</v>
      </c>
      <c r="D42" s="64">
        <v>39.67</v>
      </c>
      <c r="E42" s="64">
        <v>7.1</v>
      </c>
      <c r="F42" s="64">
        <v>3.9</v>
      </c>
      <c r="G42" s="64">
        <v>72.13</v>
      </c>
      <c r="H42" s="64">
        <v>24.5</v>
      </c>
      <c r="I42" s="64">
        <v>4.2</v>
      </c>
      <c r="J42" s="64">
        <v>3.08</v>
      </c>
      <c r="K42" s="64">
        <v>347.27</v>
      </c>
      <c r="L42" s="64">
        <v>17.190000000000001</v>
      </c>
      <c r="M42" s="64">
        <v>45.87</v>
      </c>
      <c r="N42" s="64">
        <v>420.2</v>
      </c>
      <c r="O42" s="64">
        <v>0</v>
      </c>
      <c r="P42" s="64">
        <v>0.73</v>
      </c>
      <c r="Q42" s="64">
        <v>8.35</v>
      </c>
      <c r="R42" s="198"/>
      <c r="S42" s="198"/>
      <c r="T42" s="198"/>
      <c r="U42" s="198"/>
    </row>
    <row r="43" spans="1:21" s="12" customFormat="1" x14ac:dyDescent="0.25">
      <c r="A43" s="215" t="s">
        <v>1242</v>
      </c>
      <c r="B43" s="64">
        <v>19.739999999999998</v>
      </c>
      <c r="C43" s="64">
        <v>49.57</v>
      </c>
      <c r="D43" s="64">
        <v>40.35</v>
      </c>
      <c r="E43" s="64">
        <v>7.23</v>
      </c>
      <c r="F43" s="64">
        <v>4.03</v>
      </c>
      <c r="G43" s="64">
        <v>72.13</v>
      </c>
      <c r="H43" s="64">
        <v>24.5</v>
      </c>
      <c r="I43" s="64">
        <v>4.2300000000000004</v>
      </c>
      <c r="J43" s="64">
        <v>3.01</v>
      </c>
      <c r="K43" s="64">
        <v>345.14</v>
      </c>
      <c r="L43" s="64">
        <v>18.71</v>
      </c>
      <c r="M43" s="64">
        <v>40.85</v>
      </c>
      <c r="N43" s="64">
        <v>467.6</v>
      </c>
      <c r="O43" s="64">
        <v>0</v>
      </c>
      <c r="P43" s="64">
        <v>0.73</v>
      </c>
      <c r="Q43" s="64">
        <v>8.51</v>
      </c>
      <c r="R43" s="198"/>
      <c r="S43" s="198"/>
      <c r="T43" s="198"/>
      <c r="U43" s="198"/>
    </row>
    <row r="44" spans="1:21" s="12" customFormat="1" x14ac:dyDescent="0.25">
      <c r="A44" s="215" t="s">
        <v>1243</v>
      </c>
      <c r="B44" s="64">
        <v>19.61</v>
      </c>
      <c r="C44" s="64">
        <v>50.46</v>
      </c>
      <c r="D44" s="64">
        <v>40.71</v>
      </c>
      <c r="E44" s="64">
        <v>7.3</v>
      </c>
      <c r="F44" s="64">
        <v>4.96</v>
      </c>
      <c r="G44" s="64">
        <v>74.88</v>
      </c>
      <c r="H44" s="64">
        <v>7.31</v>
      </c>
      <c r="I44" s="64">
        <v>4.3</v>
      </c>
      <c r="J44" s="64">
        <v>2.14</v>
      </c>
      <c r="K44" s="64">
        <v>341.89</v>
      </c>
      <c r="L44" s="64">
        <v>18.72</v>
      </c>
      <c r="M44" s="64">
        <v>41.3</v>
      </c>
      <c r="N44" s="64">
        <v>508.3</v>
      </c>
      <c r="O44" s="64">
        <v>0</v>
      </c>
      <c r="P44" s="64">
        <v>0.73</v>
      </c>
      <c r="Q44" s="64">
        <v>8.58</v>
      </c>
      <c r="R44" s="198"/>
      <c r="S44" s="198"/>
      <c r="T44" s="198"/>
      <c r="U44" s="198"/>
    </row>
    <row r="45" spans="1:21" s="12" customFormat="1" x14ac:dyDescent="0.25">
      <c r="A45" s="215" t="s">
        <v>1244</v>
      </c>
      <c r="B45" s="64">
        <v>19.989999999999998</v>
      </c>
      <c r="C45" s="64">
        <v>51.08</v>
      </c>
      <c r="D45" s="64">
        <v>41.34</v>
      </c>
      <c r="E45" s="64">
        <v>7.63</v>
      </c>
      <c r="F45" s="64">
        <v>4.38</v>
      </c>
      <c r="G45" s="64">
        <v>76.97</v>
      </c>
      <c r="H45" s="64">
        <v>1.47</v>
      </c>
      <c r="I45" s="64">
        <v>4.33</v>
      </c>
      <c r="J45" s="64">
        <v>1.31</v>
      </c>
      <c r="K45" s="64">
        <v>1.34</v>
      </c>
      <c r="L45" s="64">
        <v>19.05</v>
      </c>
      <c r="M45" s="64">
        <v>40.380000000000003</v>
      </c>
      <c r="N45" s="64">
        <v>551.29999999999995</v>
      </c>
      <c r="O45" s="64">
        <v>0</v>
      </c>
      <c r="P45" s="64">
        <v>0.73</v>
      </c>
      <c r="Q45" s="64">
        <v>8.67</v>
      </c>
      <c r="R45" s="198"/>
      <c r="S45" s="198"/>
      <c r="T45" s="198"/>
      <c r="U45" s="198"/>
    </row>
    <row r="46" spans="1:21" s="12" customFormat="1" x14ac:dyDescent="0.25">
      <c r="A46" s="215" t="s">
        <v>1245</v>
      </c>
      <c r="B46" s="64">
        <v>19.98</v>
      </c>
      <c r="C46" s="64">
        <v>51.22</v>
      </c>
      <c r="D46" s="64">
        <v>41.41</v>
      </c>
      <c r="E46" s="64">
        <v>7.48</v>
      </c>
      <c r="F46" s="64">
        <v>3.89</v>
      </c>
      <c r="G46" s="64">
        <v>76.97</v>
      </c>
      <c r="H46" s="64">
        <v>1.47</v>
      </c>
      <c r="I46" s="64">
        <v>4.4000000000000004</v>
      </c>
      <c r="J46" s="64">
        <v>1.4</v>
      </c>
      <c r="K46" s="64">
        <v>345.97</v>
      </c>
      <c r="L46" s="64">
        <v>17.989999999999998</v>
      </c>
      <c r="M46" s="64">
        <v>43.72</v>
      </c>
      <c r="N46" s="64">
        <v>576.4</v>
      </c>
      <c r="O46" s="64">
        <v>0</v>
      </c>
      <c r="P46" s="64">
        <v>0.73</v>
      </c>
      <c r="Q46" s="64">
        <v>8.7100000000000009</v>
      </c>
      <c r="R46" s="198"/>
      <c r="S46" s="198"/>
      <c r="T46" s="198"/>
      <c r="U46" s="198"/>
    </row>
    <row r="47" spans="1:21" s="12" customFormat="1" x14ac:dyDescent="0.25">
      <c r="A47" s="215" t="s">
        <v>1246</v>
      </c>
      <c r="B47" s="64">
        <v>19.64</v>
      </c>
      <c r="C47" s="64">
        <v>52.32</v>
      </c>
      <c r="D47" s="64">
        <v>41.71</v>
      </c>
      <c r="E47" s="64">
        <v>7.4</v>
      </c>
      <c r="F47" s="64">
        <v>3.94</v>
      </c>
      <c r="G47" s="64">
        <v>76.97</v>
      </c>
      <c r="H47" s="64">
        <v>1.47</v>
      </c>
      <c r="I47" s="64">
        <v>4.53</v>
      </c>
      <c r="J47" s="64">
        <v>1.54</v>
      </c>
      <c r="K47" s="64">
        <v>6.3</v>
      </c>
      <c r="L47" s="64">
        <v>18.48</v>
      </c>
      <c r="M47" s="64">
        <v>43.36</v>
      </c>
      <c r="N47" s="64">
        <v>644.29999999999995</v>
      </c>
      <c r="O47" s="64">
        <v>0</v>
      </c>
      <c r="P47" s="64">
        <v>0.74</v>
      </c>
      <c r="Q47" s="64">
        <v>8.6999999999999993</v>
      </c>
      <c r="R47" s="198"/>
      <c r="S47" s="198"/>
      <c r="T47" s="198"/>
      <c r="U47" s="198"/>
    </row>
    <row r="48" spans="1:21" s="12" customFormat="1" x14ac:dyDescent="0.25">
      <c r="A48" s="215" t="s">
        <v>1247</v>
      </c>
      <c r="B48" s="64">
        <v>19.350000000000001</v>
      </c>
      <c r="C48" s="64">
        <v>54.18</v>
      </c>
      <c r="D48" s="64">
        <v>42.45</v>
      </c>
      <c r="E48" s="64">
        <v>7.57</v>
      </c>
      <c r="F48" s="64">
        <v>4</v>
      </c>
      <c r="G48" s="64">
        <v>86.64</v>
      </c>
      <c r="H48" s="64">
        <v>0.64</v>
      </c>
      <c r="I48" s="64">
        <v>4.6500000000000004</v>
      </c>
      <c r="J48" s="64">
        <v>2.35</v>
      </c>
      <c r="K48" s="64">
        <v>339.84</v>
      </c>
      <c r="L48" s="64">
        <v>21.21</v>
      </c>
      <c r="M48" s="64">
        <v>37.36</v>
      </c>
      <c r="N48" s="64">
        <v>715.6</v>
      </c>
      <c r="O48" s="64">
        <v>0</v>
      </c>
      <c r="P48" s="64">
        <v>0.74</v>
      </c>
      <c r="Q48" s="64">
        <v>8.68</v>
      </c>
      <c r="R48" s="198"/>
      <c r="S48" s="198"/>
      <c r="T48" s="198"/>
      <c r="U48" s="198"/>
    </row>
    <row r="49" spans="1:21" s="12" customFormat="1" x14ac:dyDescent="0.25">
      <c r="A49" s="215" t="s">
        <v>1248</v>
      </c>
      <c r="B49" s="64">
        <v>19.28</v>
      </c>
      <c r="C49" s="64">
        <v>55.98</v>
      </c>
      <c r="D49" s="64">
        <v>43.33</v>
      </c>
      <c r="E49" s="64">
        <v>7.14</v>
      </c>
      <c r="F49" s="64">
        <v>4.18</v>
      </c>
      <c r="G49" s="64">
        <v>94.04</v>
      </c>
      <c r="H49" s="64">
        <v>0.12</v>
      </c>
      <c r="I49" s="64">
        <v>4.82</v>
      </c>
      <c r="J49" s="64">
        <v>1.69</v>
      </c>
      <c r="K49" s="64">
        <v>347.09</v>
      </c>
      <c r="L49" s="64">
        <v>21.48</v>
      </c>
      <c r="M49" s="64">
        <v>37.700000000000003</v>
      </c>
      <c r="N49" s="64">
        <v>710.6</v>
      </c>
      <c r="O49" s="64">
        <v>0</v>
      </c>
      <c r="P49" s="64">
        <v>0.75</v>
      </c>
      <c r="Q49" s="64">
        <v>8.74</v>
      </c>
      <c r="R49" s="198"/>
      <c r="S49" s="198"/>
      <c r="T49" s="198"/>
      <c r="U49" s="198"/>
    </row>
    <row r="50" spans="1:21" s="12" customFormat="1" x14ac:dyDescent="0.25">
      <c r="A50" s="215" t="s">
        <v>1249</v>
      </c>
      <c r="B50" s="64">
        <v>19.07</v>
      </c>
      <c r="C50" s="64">
        <v>57.77</v>
      </c>
      <c r="D50" s="64">
        <v>44.1</v>
      </c>
      <c r="E50" s="64">
        <v>7.38</v>
      </c>
      <c r="F50" s="64">
        <v>4.63</v>
      </c>
      <c r="G50" s="64">
        <v>94.04</v>
      </c>
      <c r="H50" s="64">
        <v>0.12</v>
      </c>
      <c r="I50" s="64">
        <v>4.8499999999999996</v>
      </c>
      <c r="J50" s="64">
        <v>2.4</v>
      </c>
      <c r="K50" s="64">
        <v>343.97</v>
      </c>
      <c r="L50" s="64">
        <v>21.76</v>
      </c>
      <c r="M50" s="64">
        <v>38.020000000000003</v>
      </c>
      <c r="N50" s="64">
        <v>721.5</v>
      </c>
      <c r="O50" s="64">
        <v>0</v>
      </c>
      <c r="P50" s="64">
        <v>0.76</v>
      </c>
      <c r="Q50" s="64">
        <v>8.77</v>
      </c>
      <c r="R50" s="198"/>
      <c r="S50" s="198"/>
      <c r="T50" s="198"/>
      <c r="U50" s="198"/>
    </row>
    <row r="51" spans="1:21" s="12" customFormat="1" x14ac:dyDescent="0.25">
      <c r="A51" s="215" t="s">
        <v>1250</v>
      </c>
      <c r="B51" s="64">
        <v>18.600000000000001</v>
      </c>
      <c r="C51" s="64">
        <v>59.33</v>
      </c>
      <c r="D51" s="64">
        <v>44.54</v>
      </c>
      <c r="E51" s="64">
        <v>7.23</v>
      </c>
      <c r="F51" s="64">
        <v>4.5199999999999996</v>
      </c>
      <c r="G51" s="64">
        <v>94.04</v>
      </c>
      <c r="H51" s="64">
        <v>0.12</v>
      </c>
      <c r="I51" s="64">
        <v>4.8899999999999997</v>
      </c>
      <c r="J51" s="64">
        <v>2.33</v>
      </c>
      <c r="K51" s="64">
        <v>341.68</v>
      </c>
      <c r="L51" s="64">
        <v>23.14</v>
      </c>
      <c r="M51" s="64">
        <v>35.21</v>
      </c>
      <c r="N51" s="64">
        <v>704.8</v>
      </c>
      <c r="O51" s="64">
        <v>0</v>
      </c>
      <c r="P51" s="64">
        <v>0.77</v>
      </c>
      <c r="Q51" s="64">
        <v>8.81</v>
      </c>
      <c r="R51" s="198"/>
      <c r="S51" s="198"/>
      <c r="T51" s="198"/>
      <c r="U51" s="198"/>
    </row>
    <row r="52" spans="1:21" s="12" customFormat="1" x14ac:dyDescent="0.25">
      <c r="A52" s="215" t="s">
        <v>1251</v>
      </c>
      <c r="B52" s="64">
        <v>17.760000000000002</v>
      </c>
      <c r="C52" s="64">
        <v>60.76</v>
      </c>
      <c r="D52" s="64">
        <v>44.61</v>
      </c>
      <c r="E52" s="64">
        <v>7.44</v>
      </c>
      <c r="F52" s="64">
        <v>3.22</v>
      </c>
      <c r="G52" s="64">
        <v>95.46</v>
      </c>
      <c r="H52" s="64">
        <v>71.209999999999994</v>
      </c>
      <c r="I52" s="64">
        <v>4.9400000000000004</v>
      </c>
      <c r="J52" s="64">
        <v>2.5499999999999998</v>
      </c>
      <c r="K52" s="64">
        <v>349.18</v>
      </c>
      <c r="L52" s="64">
        <v>23.79</v>
      </c>
      <c r="M52" s="64">
        <v>34.229999999999997</v>
      </c>
      <c r="N52" s="64">
        <v>729.6</v>
      </c>
      <c r="O52" s="64">
        <v>0</v>
      </c>
      <c r="P52" s="64">
        <v>0.78</v>
      </c>
      <c r="Q52" s="64">
        <v>8.81</v>
      </c>
      <c r="R52" s="198"/>
      <c r="S52" s="198"/>
      <c r="T52" s="198"/>
      <c r="U52" s="198"/>
    </row>
    <row r="53" spans="1:21" s="12" customFormat="1" x14ac:dyDescent="0.25">
      <c r="A53" s="215" t="s">
        <v>1252</v>
      </c>
      <c r="B53" s="64">
        <v>16.91</v>
      </c>
      <c r="C53" s="64">
        <v>62.28</v>
      </c>
      <c r="D53" s="64">
        <v>44.72</v>
      </c>
      <c r="E53" s="64">
        <v>7.67</v>
      </c>
      <c r="F53" s="64">
        <v>4.6500000000000004</v>
      </c>
      <c r="G53" s="64">
        <v>96.55</v>
      </c>
      <c r="H53" s="64">
        <v>95.38</v>
      </c>
      <c r="I53" s="64">
        <v>4.99</v>
      </c>
      <c r="J53" s="64">
        <v>1.42</v>
      </c>
      <c r="K53" s="64">
        <v>93.81</v>
      </c>
      <c r="L53" s="64">
        <v>21.81</v>
      </c>
      <c r="M53" s="64">
        <v>38.47</v>
      </c>
      <c r="N53" s="64">
        <v>732.6</v>
      </c>
      <c r="O53" s="64">
        <v>0</v>
      </c>
      <c r="P53" s="64">
        <v>0.79</v>
      </c>
      <c r="Q53" s="64">
        <v>8.7799999999999994</v>
      </c>
      <c r="R53" s="198"/>
      <c r="S53" s="198"/>
      <c r="T53" s="198"/>
      <c r="U53" s="198"/>
    </row>
    <row r="54" spans="1:21" s="12" customFormat="1" x14ac:dyDescent="0.25">
      <c r="A54" s="215" t="s">
        <v>1253</v>
      </c>
      <c r="B54" s="64">
        <v>15.71</v>
      </c>
      <c r="C54" s="64">
        <v>63.13</v>
      </c>
      <c r="D54" s="64">
        <v>44.21</v>
      </c>
      <c r="E54" s="64">
        <v>7.41</v>
      </c>
      <c r="F54" s="64">
        <v>4.4400000000000004</v>
      </c>
      <c r="G54" s="64">
        <v>96.55</v>
      </c>
      <c r="H54" s="64">
        <v>95.38</v>
      </c>
      <c r="I54" s="64">
        <v>5.01</v>
      </c>
      <c r="J54" s="64">
        <v>1.27</v>
      </c>
      <c r="K54" s="64">
        <v>68.02</v>
      </c>
      <c r="L54" s="64">
        <v>21.1</v>
      </c>
      <c r="M54" s="64">
        <v>38.979999999999997</v>
      </c>
      <c r="N54" s="64">
        <v>768.9</v>
      </c>
      <c r="O54" s="64">
        <v>0</v>
      </c>
      <c r="P54" s="64">
        <v>0.79</v>
      </c>
      <c r="Q54" s="64">
        <v>8.73</v>
      </c>
      <c r="R54" s="198"/>
      <c r="S54" s="198"/>
      <c r="T54" s="198"/>
      <c r="U54" s="198"/>
    </row>
    <row r="55" spans="1:21" s="12" customFormat="1" x14ac:dyDescent="0.25">
      <c r="A55" s="215" t="s">
        <v>1254</v>
      </c>
      <c r="B55" s="64">
        <v>13.96</v>
      </c>
      <c r="C55" s="64">
        <v>61.81</v>
      </c>
      <c r="D55" s="64">
        <v>42.11</v>
      </c>
      <c r="E55" s="64">
        <v>7.25</v>
      </c>
      <c r="F55" s="64">
        <v>4.09</v>
      </c>
      <c r="G55" s="64">
        <v>96.55</v>
      </c>
      <c r="H55" s="64">
        <v>95.38</v>
      </c>
      <c r="I55" s="64">
        <v>5.28</v>
      </c>
      <c r="J55" s="64">
        <v>1.36</v>
      </c>
      <c r="K55" s="64">
        <v>101.43</v>
      </c>
      <c r="L55" s="64">
        <v>20.5</v>
      </c>
      <c r="M55" s="64">
        <v>40.630000000000003</v>
      </c>
      <c r="N55" s="64">
        <v>748</v>
      </c>
      <c r="O55" s="64">
        <v>0</v>
      </c>
      <c r="P55" s="64">
        <v>0.79</v>
      </c>
      <c r="Q55" s="64">
        <v>8.5399999999999991</v>
      </c>
      <c r="R55" s="198"/>
      <c r="S55" s="198"/>
      <c r="T55" s="198"/>
      <c r="U55" s="198"/>
    </row>
    <row r="56" spans="1:21" s="12" customFormat="1" x14ac:dyDescent="0.25">
      <c r="A56" s="215" t="s">
        <v>1255</v>
      </c>
      <c r="B56" s="64">
        <v>12.49</v>
      </c>
      <c r="C56" s="64">
        <v>60.83</v>
      </c>
      <c r="D56" s="64">
        <v>40.42</v>
      </c>
      <c r="E56" s="64">
        <v>7</v>
      </c>
      <c r="F56" s="64">
        <v>4.05</v>
      </c>
      <c r="G56" s="64">
        <v>89.27</v>
      </c>
      <c r="H56" s="64">
        <v>24.2</v>
      </c>
      <c r="I56" s="64">
        <v>5.75</v>
      </c>
      <c r="J56" s="64">
        <v>3.61</v>
      </c>
      <c r="K56" s="64">
        <v>115.04</v>
      </c>
      <c r="L56" s="64">
        <v>20.190000000000001</v>
      </c>
      <c r="M56" s="64">
        <v>38.619999999999997</v>
      </c>
      <c r="N56" s="64">
        <v>770.3</v>
      </c>
      <c r="O56" s="64">
        <v>0</v>
      </c>
      <c r="P56" s="64">
        <v>0.77</v>
      </c>
      <c r="Q56" s="64">
        <v>8.33</v>
      </c>
      <c r="R56" s="198"/>
      <c r="S56" s="198"/>
      <c r="T56" s="198"/>
      <c r="U56" s="198"/>
    </row>
    <row r="57" spans="1:21" s="12" customFormat="1" x14ac:dyDescent="0.25">
      <c r="A57" s="215" t="s">
        <v>1256</v>
      </c>
      <c r="B57" s="64">
        <v>10.99</v>
      </c>
      <c r="C57" s="64">
        <v>60.07</v>
      </c>
      <c r="D57" s="64">
        <v>38.82</v>
      </c>
      <c r="E57" s="64">
        <v>6.79</v>
      </c>
      <c r="F57" s="64">
        <v>3.86</v>
      </c>
      <c r="G57" s="64">
        <v>83.7</v>
      </c>
      <c r="H57" s="213" t="s">
        <v>42</v>
      </c>
      <c r="I57" s="64">
        <v>6.39</v>
      </c>
      <c r="J57" s="64">
        <v>1.22</v>
      </c>
      <c r="K57" s="64">
        <v>357.73</v>
      </c>
      <c r="L57" s="64">
        <v>21.56</v>
      </c>
      <c r="M57" s="64">
        <v>35.83</v>
      </c>
      <c r="N57" s="64">
        <v>730.6</v>
      </c>
      <c r="O57" s="64">
        <v>0</v>
      </c>
      <c r="P57" s="64">
        <v>0.76</v>
      </c>
      <c r="Q57" s="64">
        <v>8.2100000000000009</v>
      </c>
      <c r="R57" s="198"/>
      <c r="S57" s="198"/>
      <c r="T57" s="198"/>
      <c r="U57" s="198"/>
    </row>
    <row r="58" spans="1:21" s="12" customFormat="1" x14ac:dyDescent="0.25">
      <c r="A58" s="215" t="s">
        <v>1257</v>
      </c>
      <c r="B58" s="64">
        <v>10.15</v>
      </c>
      <c r="C58" s="64">
        <v>60.05</v>
      </c>
      <c r="D58" s="64">
        <v>38.14</v>
      </c>
      <c r="E58" s="64">
        <v>6.66</v>
      </c>
      <c r="F58" s="64">
        <v>3.39</v>
      </c>
      <c r="G58" s="64">
        <v>83.7</v>
      </c>
      <c r="H58" s="213" t="s">
        <v>42</v>
      </c>
      <c r="I58" s="64">
        <v>7.17</v>
      </c>
      <c r="J58" s="64">
        <v>1.6</v>
      </c>
      <c r="K58" s="64">
        <v>348.34</v>
      </c>
      <c r="L58" s="64">
        <v>22.75</v>
      </c>
      <c r="M58" s="64">
        <v>39.32</v>
      </c>
      <c r="N58" s="64">
        <v>753.5</v>
      </c>
      <c r="O58" s="64">
        <v>0</v>
      </c>
      <c r="P58" s="64">
        <v>0.76</v>
      </c>
      <c r="Q58" s="64">
        <v>8.2100000000000009</v>
      </c>
      <c r="R58" s="198"/>
      <c r="S58" s="198"/>
      <c r="T58" s="198"/>
      <c r="U58" s="198"/>
    </row>
    <row r="59" spans="1:21" s="12" customFormat="1" x14ac:dyDescent="0.25">
      <c r="A59" s="215" t="s">
        <v>1258</v>
      </c>
      <c r="B59" s="64">
        <v>9.32</v>
      </c>
      <c r="C59" s="64">
        <v>59.68</v>
      </c>
      <c r="D59" s="64">
        <v>37.28</v>
      </c>
      <c r="E59" s="64">
        <v>6.58</v>
      </c>
      <c r="F59" s="64">
        <v>3.38</v>
      </c>
      <c r="G59" s="64">
        <v>83.7</v>
      </c>
      <c r="H59" s="213" t="s">
        <v>42</v>
      </c>
      <c r="I59" s="64">
        <v>7.31</v>
      </c>
      <c r="J59" s="64">
        <v>2.09</v>
      </c>
      <c r="K59" s="64">
        <v>115.47</v>
      </c>
      <c r="L59" s="64">
        <v>20.96</v>
      </c>
      <c r="M59" s="64">
        <v>37.9</v>
      </c>
      <c r="N59" s="64">
        <v>722.4</v>
      </c>
      <c r="O59" s="64">
        <v>0</v>
      </c>
      <c r="P59" s="64">
        <v>0.73</v>
      </c>
      <c r="Q59" s="64">
        <v>8.2100000000000009</v>
      </c>
      <c r="R59" s="198"/>
      <c r="S59" s="198"/>
      <c r="T59" s="198"/>
      <c r="U59" s="198"/>
    </row>
    <row r="60" spans="1:21" s="12" customFormat="1" x14ac:dyDescent="0.25">
      <c r="A60" s="215" t="s">
        <v>1259</v>
      </c>
      <c r="B60" s="64">
        <v>8.02</v>
      </c>
      <c r="C60" s="64">
        <v>58.36</v>
      </c>
      <c r="D60" s="64">
        <v>35.54</v>
      </c>
      <c r="E60" s="64">
        <v>6.71</v>
      </c>
      <c r="F60" s="64">
        <v>4.5</v>
      </c>
      <c r="G60" s="64">
        <v>82.32</v>
      </c>
      <c r="H60" s="213" t="s">
        <v>42</v>
      </c>
      <c r="I60" s="64">
        <v>7.2</v>
      </c>
      <c r="J60" s="64">
        <v>1.61</v>
      </c>
      <c r="K60" s="64">
        <v>109.57</v>
      </c>
      <c r="L60" s="64">
        <v>21.28</v>
      </c>
      <c r="M60" s="64">
        <v>37.119999999999997</v>
      </c>
      <c r="N60" s="64">
        <v>701.4</v>
      </c>
      <c r="O60" s="64">
        <v>0</v>
      </c>
      <c r="P60" s="64">
        <v>0.71</v>
      </c>
      <c r="Q60" s="64">
        <v>8.2100000000000009</v>
      </c>
      <c r="R60" s="198"/>
      <c r="S60" s="198"/>
      <c r="T60" s="198"/>
      <c r="U60" s="198"/>
    </row>
    <row r="61" spans="1:21" s="12" customFormat="1" x14ac:dyDescent="0.25">
      <c r="A61" s="215" t="s">
        <v>1260</v>
      </c>
      <c r="B61" s="64">
        <v>6.79</v>
      </c>
      <c r="C61" s="64">
        <v>56.9</v>
      </c>
      <c r="D61" s="64">
        <v>33.79</v>
      </c>
      <c r="E61" s="64">
        <v>6.6</v>
      </c>
      <c r="F61" s="64">
        <v>4.59</v>
      </c>
      <c r="G61" s="64">
        <v>81.260000000000005</v>
      </c>
      <c r="H61" s="213" t="s">
        <v>42</v>
      </c>
      <c r="I61" s="64">
        <v>7.75</v>
      </c>
      <c r="J61" s="64">
        <v>2.33</v>
      </c>
      <c r="K61" s="64">
        <v>335.62</v>
      </c>
      <c r="L61" s="64">
        <v>21.85</v>
      </c>
      <c r="M61" s="64">
        <v>40.770000000000003</v>
      </c>
      <c r="N61" s="64">
        <v>675.8</v>
      </c>
      <c r="O61" s="64">
        <v>0</v>
      </c>
      <c r="P61" s="64">
        <v>0.68</v>
      </c>
      <c r="Q61" s="64">
        <v>8.2100000000000009</v>
      </c>
      <c r="R61" s="198"/>
      <c r="S61" s="198"/>
      <c r="T61" s="198"/>
      <c r="U61" s="198"/>
    </row>
    <row r="62" spans="1:21" s="12" customFormat="1" x14ac:dyDescent="0.25">
      <c r="A62" s="215" t="s">
        <v>1261</v>
      </c>
      <c r="B62" s="64">
        <v>5.79</v>
      </c>
      <c r="C62" s="64">
        <v>56.17</v>
      </c>
      <c r="D62" s="64">
        <v>32.619999999999997</v>
      </c>
      <c r="E62" s="64">
        <v>6.66</v>
      </c>
      <c r="F62" s="64">
        <v>4.7699999999999996</v>
      </c>
      <c r="G62" s="64">
        <v>81.260000000000005</v>
      </c>
      <c r="H62" s="213" t="s">
        <v>42</v>
      </c>
      <c r="I62" s="64">
        <v>7.88</v>
      </c>
      <c r="J62" s="64">
        <v>2.42</v>
      </c>
      <c r="K62" s="64">
        <v>329.24</v>
      </c>
      <c r="L62" s="64">
        <v>22.36</v>
      </c>
      <c r="M62" s="64">
        <v>39.86</v>
      </c>
      <c r="N62" s="64">
        <v>639.20000000000005</v>
      </c>
      <c r="O62" s="64">
        <v>0</v>
      </c>
      <c r="P62" s="64">
        <v>0.71</v>
      </c>
      <c r="Q62" s="64">
        <v>8.2100000000000009</v>
      </c>
      <c r="R62" s="198"/>
      <c r="S62" s="198"/>
      <c r="T62" s="198"/>
      <c r="U62" s="198"/>
    </row>
    <row r="63" spans="1:21" s="12" customFormat="1" x14ac:dyDescent="0.25">
      <c r="A63" s="215" t="s">
        <v>1262</v>
      </c>
      <c r="B63" s="64">
        <v>4.87</v>
      </c>
      <c r="C63" s="64">
        <v>56.32</v>
      </c>
      <c r="D63" s="64">
        <v>31.95</v>
      </c>
      <c r="E63" s="64">
        <v>6.52</v>
      </c>
      <c r="F63" s="64">
        <v>4.95</v>
      </c>
      <c r="G63" s="64">
        <v>81.260000000000005</v>
      </c>
      <c r="H63" s="213" t="s">
        <v>42</v>
      </c>
      <c r="I63" s="64">
        <v>7.57</v>
      </c>
      <c r="J63" s="64">
        <v>1.42</v>
      </c>
      <c r="K63" s="64">
        <v>17.71</v>
      </c>
      <c r="L63" s="64">
        <v>21.96</v>
      </c>
      <c r="M63" s="64">
        <v>39.19</v>
      </c>
      <c r="N63" s="64">
        <v>616.5</v>
      </c>
      <c r="O63" s="64">
        <v>0</v>
      </c>
      <c r="P63" s="64">
        <v>0.72</v>
      </c>
      <c r="Q63" s="64">
        <v>8.2100000000000009</v>
      </c>
      <c r="R63" s="198"/>
      <c r="S63" s="198"/>
      <c r="T63" s="198"/>
      <c r="U63" s="198"/>
    </row>
    <row r="64" spans="1:21" s="12" customFormat="1" x14ac:dyDescent="0.25">
      <c r="A64" s="215" t="s">
        <v>1263</v>
      </c>
      <c r="B64" s="64">
        <v>3.75</v>
      </c>
      <c r="C64" s="64">
        <v>56.4</v>
      </c>
      <c r="D64" s="64">
        <v>31.1</v>
      </c>
      <c r="E64" s="64">
        <v>6.85</v>
      </c>
      <c r="F64" s="64">
        <v>5.75</v>
      </c>
      <c r="G64" s="64">
        <v>75.58</v>
      </c>
      <c r="H64" s="213" t="s">
        <v>42</v>
      </c>
      <c r="I64" s="64">
        <v>7.14</v>
      </c>
      <c r="J64" s="64">
        <v>0.42</v>
      </c>
      <c r="K64" s="64">
        <v>209.21</v>
      </c>
      <c r="L64" s="64">
        <v>21.65</v>
      </c>
      <c r="M64" s="64">
        <v>37.840000000000003</v>
      </c>
      <c r="N64" s="64">
        <v>462.3</v>
      </c>
      <c r="O64" s="64">
        <v>0</v>
      </c>
      <c r="P64" s="64">
        <v>0.7</v>
      </c>
      <c r="Q64" s="64">
        <v>8.2100000000000009</v>
      </c>
      <c r="R64" s="198"/>
      <c r="S64" s="198"/>
      <c r="T64" s="198"/>
      <c r="U64" s="198"/>
    </row>
    <row r="65" spans="1:21" s="12" customFormat="1" x14ac:dyDescent="0.25">
      <c r="A65" s="215" t="s">
        <v>1264</v>
      </c>
      <c r="B65" s="64">
        <v>2.83</v>
      </c>
      <c r="C65" s="64">
        <v>55.99</v>
      </c>
      <c r="D65" s="64">
        <v>30.14</v>
      </c>
      <c r="E65" s="64">
        <v>6.94</v>
      </c>
      <c r="F65" s="64">
        <v>6.53</v>
      </c>
      <c r="G65" s="64">
        <v>71.239999999999995</v>
      </c>
      <c r="H65" s="213" t="s">
        <v>42</v>
      </c>
      <c r="I65" s="64">
        <v>7.61</v>
      </c>
      <c r="J65" s="64">
        <v>1.88</v>
      </c>
      <c r="K65" s="64">
        <v>333.43</v>
      </c>
      <c r="L65" s="64">
        <v>21.81</v>
      </c>
      <c r="M65" s="64">
        <v>39</v>
      </c>
      <c r="N65" s="64">
        <v>236.3</v>
      </c>
      <c r="O65" s="64">
        <v>0</v>
      </c>
      <c r="P65" s="64">
        <v>0.7</v>
      </c>
      <c r="Q65" s="64">
        <v>8.2100000000000009</v>
      </c>
      <c r="R65" s="198"/>
      <c r="S65" s="198"/>
      <c r="T65" s="198"/>
      <c r="U65" s="198"/>
    </row>
    <row r="66" spans="1:21" s="12" customFormat="1" x14ac:dyDescent="0.25">
      <c r="A66" s="215" t="s">
        <v>1265</v>
      </c>
      <c r="B66" s="64">
        <v>2.4300000000000002</v>
      </c>
      <c r="C66" s="64">
        <v>55.74</v>
      </c>
      <c r="D66" s="64">
        <v>29.69</v>
      </c>
      <c r="E66" s="64">
        <v>6.81</v>
      </c>
      <c r="F66" s="64">
        <v>7.08</v>
      </c>
      <c r="G66" s="64">
        <v>71.239999999999995</v>
      </c>
      <c r="H66" s="213" t="s">
        <v>42</v>
      </c>
      <c r="I66" s="64">
        <v>7.72</v>
      </c>
      <c r="J66" s="64">
        <v>2.17</v>
      </c>
      <c r="K66" s="64">
        <v>318.75</v>
      </c>
      <c r="L66" s="64">
        <v>21.74</v>
      </c>
      <c r="M66" s="64">
        <v>41.55</v>
      </c>
      <c r="N66" s="64">
        <v>231.1</v>
      </c>
      <c r="O66" s="64">
        <v>0</v>
      </c>
      <c r="P66" s="64">
        <v>0.7</v>
      </c>
      <c r="Q66" s="64">
        <v>8.2100000000000009</v>
      </c>
      <c r="R66" s="198"/>
      <c r="S66" s="198"/>
      <c r="T66" s="198"/>
      <c r="U66" s="198"/>
    </row>
    <row r="67" spans="1:21" s="12" customFormat="1" x14ac:dyDescent="0.25">
      <c r="A67" s="215" t="s">
        <v>1266</v>
      </c>
      <c r="B67" s="64">
        <v>2.19</v>
      </c>
      <c r="C67" s="64">
        <v>55.39</v>
      </c>
      <c r="D67" s="64">
        <v>29.32</v>
      </c>
      <c r="E67" s="64">
        <v>6.97</v>
      </c>
      <c r="F67" s="64">
        <v>6.98</v>
      </c>
      <c r="G67" s="64">
        <v>71.239999999999995</v>
      </c>
      <c r="H67" s="213" t="s">
        <v>42</v>
      </c>
      <c r="I67" s="64">
        <v>7.23</v>
      </c>
      <c r="J67" s="64">
        <v>1.47</v>
      </c>
      <c r="K67" s="64">
        <v>93.69</v>
      </c>
      <c r="L67" s="64">
        <v>21.4</v>
      </c>
      <c r="M67" s="64">
        <v>39.130000000000003</v>
      </c>
      <c r="N67" s="64">
        <v>218.1</v>
      </c>
      <c r="O67" s="64">
        <v>0</v>
      </c>
      <c r="P67" s="64">
        <v>0.69</v>
      </c>
      <c r="Q67" s="64">
        <v>8.2100000000000009</v>
      </c>
      <c r="R67" s="198"/>
      <c r="S67" s="198"/>
      <c r="T67" s="198"/>
      <c r="U67" s="198"/>
    </row>
    <row r="68" spans="1:21" s="12" customFormat="1" x14ac:dyDescent="0.25">
      <c r="A68" s="215" t="s">
        <v>1267</v>
      </c>
      <c r="B68" s="64">
        <v>2.09</v>
      </c>
      <c r="C68" s="64">
        <v>54.77</v>
      </c>
      <c r="D68" s="64">
        <v>28.91</v>
      </c>
      <c r="E68" s="64">
        <v>6.7</v>
      </c>
      <c r="F68" s="64">
        <v>6.57</v>
      </c>
      <c r="G68" s="64">
        <v>71.55</v>
      </c>
      <c r="H68" s="213" t="s">
        <v>42</v>
      </c>
      <c r="I68" s="64">
        <v>7.15</v>
      </c>
      <c r="J68" s="64">
        <v>0.69</v>
      </c>
      <c r="K68" s="64">
        <v>14.53</v>
      </c>
      <c r="L68" s="64">
        <v>20.96</v>
      </c>
      <c r="M68" s="64">
        <v>42.37</v>
      </c>
      <c r="N68" s="64">
        <v>187.3</v>
      </c>
      <c r="O68" s="64">
        <v>0</v>
      </c>
      <c r="P68" s="64">
        <v>0.69</v>
      </c>
      <c r="Q68" s="64">
        <v>8.2100000000000009</v>
      </c>
      <c r="R68" s="198"/>
      <c r="S68" s="198"/>
      <c r="T68" s="198"/>
      <c r="U68" s="198"/>
    </row>
    <row r="69" spans="1:21" s="12" customFormat="1" x14ac:dyDescent="0.25">
      <c r="A69" s="215" t="s">
        <v>1268</v>
      </c>
      <c r="B69" s="64">
        <v>2.25</v>
      </c>
      <c r="C69" s="64">
        <v>55.27</v>
      </c>
      <c r="D69" s="64">
        <v>29.3</v>
      </c>
      <c r="E69" s="64">
        <v>6.72</v>
      </c>
      <c r="F69" s="64">
        <v>6.04</v>
      </c>
      <c r="G69" s="64">
        <v>71.78</v>
      </c>
      <c r="H69" s="213" t="s">
        <v>42</v>
      </c>
      <c r="I69" s="64">
        <v>6.79</v>
      </c>
      <c r="J69" s="64">
        <v>1.72</v>
      </c>
      <c r="K69" s="64">
        <v>330.89</v>
      </c>
      <c r="L69" s="64">
        <v>20.84</v>
      </c>
      <c r="M69" s="64">
        <v>43.25</v>
      </c>
      <c r="N69" s="64">
        <v>176.5</v>
      </c>
      <c r="O69" s="64">
        <v>0</v>
      </c>
      <c r="P69" s="64">
        <v>0.7</v>
      </c>
      <c r="Q69" s="64">
        <v>8.2100000000000009</v>
      </c>
      <c r="R69" s="198"/>
      <c r="S69" s="198"/>
      <c r="T69" s="198"/>
      <c r="U69" s="198"/>
    </row>
    <row r="70" spans="1:21" s="12" customFormat="1" x14ac:dyDescent="0.25">
      <c r="A70" s="215" t="s">
        <v>1269</v>
      </c>
      <c r="B70" s="64">
        <v>3.07</v>
      </c>
      <c r="C70" s="64">
        <v>57.82</v>
      </c>
      <c r="D70" s="64">
        <v>31.29</v>
      </c>
      <c r="E70" s="64">
        <v>7.12</v>
      </c>
      <c r="F70" s="64">
        <v>5.73</v>
      </c>
      <c r="G70" s="64">
        <v>71.78</v>
      </c>
      <c r="H70" s="213" t="s">
        <v>42</v>
      </c>
      <c r="I70" s="64">
        <v>6.7</v>
      </c>
      <c r="J70" s="64">
        <v>3.1</v>
      </c>
      <c r="K70" s="64">
        <v>338.78</v>
      </c>
      <c r="L70" s="64">
        <v>20.81</v>
      </c>
      <c r="M70" s="64">
        <v>43.54</v>
      </c>
      <c r="N70" s="64">
        <v>168.1</v>
      </c>
      <c r="O70" s="64">
        <v>0</v>
      </c>
      <c r="P70" s="64">
        <v>0.72</v>
      </c>
      <c r="Q70" s="64">
        <v>8.2100000000000009</v>
      </c>
      <c r="R70" s="198"/>
      <c r="S70" s="198"/>
      <c r="T70" s="198"/>
      <c r="U70" s="198"/>
    </row>
    <row r="71" spans="1:21" s="12" customFormat="1" x14ac:dyDescent="0.25">
      <c r="A71" s="215" t="s">
        <v>1270</v>
      </c>
      <c r="B71" s="64">
        <v>3.65</v>
      </c>
      <c r="C71" s="64">
        <v>61.25</v>
      </c>
      <c r="D71" s="64">
        <v>33.549999999999997</v>
      </c>
      <c r="E71" s="64">
        <v>7.16</v>
      </c>
      <c r="F71" s="64">
        <v>5.47</v>
      </c>
      <c r="G71" s="64">
        <v>71.78</v>
      </c>
      <c r="H71" s="213" t="s">
        <v>42</v>
      </c>
      <c r="I71" s="64">
        <v>6.46</v>
      </c>
      <c r="J71" s="64">
        <v>3.17</v>
      </c>
      <c r="K71" s="64">
        <v>341.97</v>
      </c>
      <c r="L71" s="64">
        <v>20.68</v>
      </c>
      <c r="M71" s="64">
        <v>44.07</v>
      </c>
      <c r="N71" s="64">
        <v>158.19999999999999</v>
      </c>
      <c r="O71" s="64">
        <v>0</v>
      </c>
      <c r="P71" s="64">
        <v>0.74</v>
      </c>
      <c r="Q71" s="64">
        <v>8.2100000000000009</v>
      </c>
      <c r="R71" s="198"/>
      <c r="S71" s="198"/>
      <c r="T71" s="198"/>
      <c r="U71" s="198"/>
    </row>
    <row r="72" spans="1:21" s="12" customFormat="1" x14ac:dyDescent="0.25">
      <c r="A72" s="215" t="s">
        <v>1271</v>
      </c>
      <c r="B72" s="64">
        <v>3.8</v>
      </c>
      <c r="C72" s="64">
        <v>62.32</v>
      </c>
      <c r="D72" s="64">
        <v>34.229999999999997</v>
      </c>
      <c r="E72" s="64">
        <v>7.42</v>
      </c>
      <c r="F72" s="64">
        <v>5.53</v>
      </c>
      <c r="G72" s="64">
        <v>80.09</v>
      </c>
      <c r="H72" s="213" t="s">
        <v>42</v>
      </c>
      <c r="I72" s="64">
        <v>6.54</v>
      </c>
      <c r="J72" s="64">
        <v>2.88</v>
      </c>
      <c r="K72" s="64">
        <v>343.56</v>
      </c>
      <c r="L72" s="64">
        <v>20.59</v>
      </c>
      <c r="M72" s="64">
        <v>40.49</v>
      </c>
      <c r="N72" s="64">
        <v>147.5</v>
      </c>
      <c r="O72" s="64">
        <v>0</v>
      </c>
      <c r="P72" s="64">
        <v>0.84</v>
      </c>
      <c r="Q72" s="64">
        <v>8.2100000000000009</v>
      </c>
      <c r="R72" s="198"/>
      <c r="S72" s="198"/>
      <c r="T72" s="198"/>
      <c r="U72" s="198"/>
    </row>
    <row r="73" spans="1:21" s="12" customFormat="1" x14ac:dyDescent="0.25">
      <c r="A73" s="215" t="s">
        <v>1272</v>
      </c>
      <c r="B73" s="64">
        <v>3.78</v>
      </c>
      <c r="C73" s="64">
        <v>63.46</v>
      </c>
      <c r="D73" s="64">
        <v>34.81</v>
      </c>
      <c r="E73" s="64">
        <v>8.07</v>
      </c>
      <c r="F73" s="64">
        <v>5.88</v>
      </c>
      <c r="G73" s="64">
        <v>86.44</v>
      </c>
      <c r="H73" s="213" t="s">
        <v>42</v>
      </c>
      <c r="I73" s="64">
        <v>6.42</v>
      </c>
      <c r="J73" s="64">
        <v>3.34</v>
      </c>
      <c r="K73" s="64">
        <v>344.77</v>
      </c>
      <c r="L73" s="64">
        <v>20.55</v>
      </c>
      <c r="M73" s="64">
        <v>38.25</v>
      </c>
      <c r="N73" s="64">
        <v>137.5</v>
      </c>
      <c r="O73" s="64">
        <v>0</v>
      </c>
      <c r="P73" s="64">
        <v>0.86</v>
      </c>
      <c r="Q73" s="64">
        <v>8.2100000000000009</v>
      </c>
      <c r="R73" s="198"/>
      <c r="S73" s="198"/>
      <c r="T73" s="198"/>
      <c r="U73" s="198"/>
    </row>
    <row r="74" spans="1:21" s="12" customFormat="1" x14ac:dyDescent="0.25">
      <c r="A74" s="215" t="s">
        <v>1273</v>
      </c>
      <c r="B74" s="64">
        <v>3.92</v>
      </c>
      <c r="C74" s="64">
        <v>64.489999999999995</v>
      </c>
      <c r="D74" s="64">
        <v>35.46</v>
      </c>
      <c r="E74" s="64">
        <v>8.1199999999999992</v>
      </c>
      <c r="F74" s="64">
        <v>5.62</v>
      </c>
      <c r="G74" s="64">
        <v>86.44</v>
      </c>
      <c r="H74" s="213" t="s">
        <v>42</v>
      </c>
      <c r="I74" s="64">
        <v>5.45</v>
      </c>
      <c r="J74" s="64">
        <v>3.19</v>
      </c>
      <c r="K74" s="64">
        <v>348.4</v>
      </c>
      <c r="L74" s="64">
        <v>20.260000000000002</v>
      </c>
      <c r="M74" s="64">
        <v>39.19</v>
      </c>
      <c r="N74" s="64">
        <v>127.6</v>
      </c>
      <c r="O74" s="64">
        <v>0</v>
      </c>
      <c r="P74" s="64">
        <v>0.9</v>
      </c>
      <c r="Q74" s="64">
        <v>8.2100000000000009</v>
      </c>
      <c r="R74" s="198"/>
      <c r="S74" s="198"/>
      <c r="T74" s="198"/>
      <c r="U74" s="198"/>
    </row>
    <row r="75" spans="1:21" s="12" customFormat="1" x14ac:dyDescent="0.25">
      <c r="A75" s="215" t="s">
        <v>1274</v>
      </c>
      <c r="B75" s="64">
        <v>4.3099999999999996</v>
      </c>
      <c r="C75" s="64">
        <v>65.48</v>
      </c>
      <c r="D75" s="64">
        <v>36.29</v>
      </c>
      <c r="E75" s="64">
        <v>7.94</v>
      </c>
      <c r="F75" s="64">
        <v>5.56</v>
      </c>
      <c r="G75" s="64">
        <v>86.44</v>
      </c>
      <c r="H75" s="213" t="s">
        <v>42</v>
      </c>
      <c r="I75" s="64">
        <v>5.14</v>
      </c>
      <c r="J75" s="64">
        <v>3.77</v>
      </c>
      <c r="K75" s="64">
        <v>346.84</v>
      </c>
      <c r="L75" s="64">
        <v>19.86</v>
      </c>
      <c r="M75" s="64">
        <v>39.880000000000003</v>
      </c>
      <c r="N75" s="64">
        <v>116.1</v>
      </c>
      <c r="O75" s="64">
        <v>0</v>
      </c>
      <c r="P75" s="64">
        <v>0.88</v>
      </c>
      <c r="Q75" s="64">
        <v>8.2100000000000009</v>
      </c>
      <c r="R75" s="198"/>
      <c r="S75" s="198"/>
      <c r="T75" s="198"/>
      <c r="U75" s="198"/>
    </row>
    <row r="76" spans="1:21" s="12" customFormat="1" x14ac:dyDescent="0.25">
      <c r="A76" s="215" t="s">
        <v>1275</v>
      </c>
      <c r="B76" s="64">
        <v>4.51</v>
      </c>
      <c r="C76" s="64">
        <v>66.13</v>
      </c>
      <c r="D76" s="64">
        <v>36.79</v>
      </c>
      <c r="E76" s="64">
        <v>8.15</v>
      </c>
      <c r="F76" s="64">
        <v>5.05</v>
      </c>
      <c r="G76" s="64">
        <v>106.73</v>
      </c>
      <c r="H76" s="213" t="s">
        <v>42</v>
      </c>
      <c r="I76" s="64">
        <v>5.6</v>
      </c>
      <c r="J76" s="64">
        <v>3.89</v>
      </c>
      <c r="K76" s="64">
        <v>342.76</v>
      </c>
      <c r="L76" s="64">
        <v>19.39</v>
      </c>
      <c r="M76" s="64">
        <v>41.89</v>
      </c>
      <c r="N76" s="64">
        <v>105.3</v>
      </c>
      <c r="O76" s="64">
        <v>0</v>
      </c>
      <c r="P76" s="64">
        <v>0.92</v>
      </c>
      <c r="Q76" s="64">
        <v>8.2100000000000009</v>
      </c>
      <c r="R76" s="198"/>
      <c r="S76" s="198"/>
      <c r="T76" s="198"/>
      <c r="U76" s="198"/>
    </row>
    <row r="77" spans="1:21" s="12" customFormat="1" x14ac:dyDescent="0.25">
      <c r="A77" s="215" t="s">
        <v>1276</v>
      </c>
      <c r="B77" s="64">
        <v>4.59</v>
      </c>
      <c r="C77" s="64">
        <v>66.22</v>
      </c>
      <c r="D77" s="64">
        <v>36.9</v>
      </c>
      <c r="E77" s="64">
        <v>8.01</v>
      </c>
      <c r="F77" s="64">
        <v>5.22</v>
      </c>
      <c r="G77" s="64">
        <v>122.24</v>
      </c>
      <c r="H77" s="213" t="s">
        <v>42</v>
      </c>
      <c r="I77" s="64">
        <v>5.62</v>
      </c>
      <c r="J77" s="64">
        <v>3.72</v>
      </c>
      <c r="K77" s="64">
        <v>348.43</v>
      </c>
      <c r="L77" s="64">
        <v>18.77</v>
      </c>
      <c r="M77" s="64">
        <v>45.06</v>
      </c>
      <c r="N77" s="64">
        <v>97.2</v>
      </c>
      <c r="O77" s="64">
        <v>0</v>
      </c>
      <c r="P77" s="64">
        <v>1.01</v>
      </c>
      <c r="Q77" s="64">
        <v>8.2100000000000009</v>
      </c>
      <c r="R77" s="198"/>
      <c r="S77" s="198"/>
      <c r="T77" s="198"/>
      <c r="U77" s="198"/>
    </row>
    <row r="78" spans="1:21" s="12" customFormat="1" x14ac:dyDescent="0.25">
      <c r="A78" s="215" t="s">
        <v>1277</v>
      </c>
      <c r="B78" s="64">
        <v>5.27</v>
      </c>
      <c r="C78" s="64">
        <v>66.45</v>
      </c>
      <c r="D78" s="64">
        <v>37.56</v>
      </c>
      <c r="E78" s="64">
        <v>7.84</v>
      </c>
      <c r="F78" s="64">
        <v>4.4400000000000004</v>
      </c>
      <c r="G78" s="64">
        <v>122.24</v>
      </c>
      <c r="H78" s="213" t="s">
        <v>42</v>
      </c>
      <c r="I78" s="64">
        <v>5.65</v>
      </c>
      <c r="J78" s="64">
        <v>3.69</v>
      </c>
      <c r="K78" s="64">
        <v>349.45</v>
      </c>
      <c r="L78" s="64">
        <v>18.09</v>
      </c>
      <c r="M78" s="64">
        <v>47.38</v>
      </c>
      <c r="N78" s="64">
        <v>92.9</v>
      </c>
      <c r="O78" s="64">
        <v>0</v>
      </c>
      <c r="P78" s="64">
        <v>1.1000000000000001</v>
      </c>
      <c r="Q78" s="64">
        <v>8.2100000000000009</v>
      </c>
      <c r="R78" s="198"/>
      <c r="S78" s="198"/>
      <c r="T78" s="198"/>
      <c r="U78" s="198"/>
    </row>
    <row r="79" spans="1:21" s="12" customFormat="1" x14ac:dyDescent="0.25">
      <c r="A79" s="215" t="s">
        <v>1278</v>
      </c>
      <c r="B79" s="64">
        <v>6.31</v>
      </c>
      <c r="C79" s="64">
        <v>66.02</v>
      </c>
      <c r="D79" s="64">
        <v>38.18</v>
      </c>
      <c r="E79" s="64">
        <v>7.79</v>
      </c>
      <c r="F79" s="64">
        <v>4.17</v>
      </c>
      <c r="G79" s="64">
        <v>122.24</v>
      </c>
      <c r="H79" s="213" t="s">
        <v>42</v>
      </c>
      <c r="I79" s="64">
        <v>5.88</v>
      </c>
      <c r="J79" s="64">
        <v>3.26</v>
      </c>
      <c r="K79" s="64">
        <v>351.22</v>
      </c>
      <c r="L79" s="64">
        <v>17.68</v>
      </c>
      <c r="M79" s="64">
        <v>46.69</v>
      </c>
      <c r="N79" s="64">
        <v>90.8</v>
      </c>
      <c r="O79" s="64">
        <v>0</v>
      </c>
      <c r="P79" s="64">
        <v>1.04</v>
      </c>
      <c r="Q79" s="64">
        <v>8.2100000000000009</v>
      </c>
      <c r="R79" s="198"/>
      <c r="S79" s="198"/>
      <c r="T79" s="198"/>
      <c r="U79" s="198"/>
    </row>
    <row r="80" spans="1:21" s="12" customFormat="1" x14ac:dyDescent="0.25">
      <c r="A80" s="215" t="s">
        <v>1279</v>
      </c>
      <c r="B80" s="64">
        <v>7.42</v>
      </c>
      <c r="C80" s="64">
        <v>66.75</v>
      </c>
      <c r="D80" s="64">
        <v>39.44</v>
      </c>
      <c r="E80" s="64">
        <v>7.89</v>
      </c>
      <c r="F80" s="64">
        <v>4.6900000000000004</v>
      </c>
      <c r="G80" s="64">
        <v>125.58</v>
      </c>
      <c r="H80" s="213" t="s">
        <v>42</v>
      </c>
      <c r="I80" s="64">
        <v>6.02</v>
      </c>
      <c r="J80" s="64">
        <v>3.53</v>
      </c>
      <c r="K80" s="64">
        <v>352.29</v>
      </c>
      <c r="L80" s="64">
        <v>17.32</v>
      </c>
      <c r="M80" s="64">
        <v>46.69</v>
      </c>
      <c r="N80" s="64">
        <v>90.8</v>
      </c>
      <c r="O80" s="64">
        <v>0</v>
      </c>
      <c r="P80" s="64">
        <v>1.03</v>
      </c>
      <c r="Q80" s="64">
        <v>8.2100000000000009</v>
      </c>
      <c r="R80" s="198"/>
      <c r="S80" s="198"/>
      <c r="T80" s="198"/>
      <c r="U80" s="198"/>
    </row>
    <row r="81" spans="1:26" s="12" customFormat="1" x14ac:dyDescent="0.25">
      <c r="A81" s="215" t="s">
        <v>1280</v>
      </c>
      <c r="B81" s="64">
        <v>8.74</v>
      </c>
      <c r="C81" s="64">
        <v>69.12</v>
      </c>
      <c r="D81" s="64">
        <v>41.75</v>
      </c>
      <c r="E81" s="64">
        <v>8.2899999999999991</v>
      </c>
      <c r="F81" s="64">
        <v>4.8</v>
      </c>
      <c r="G81" s="64">
        <v>128.13</v>
      </c>
      <c r="H81" s="213" t="s">
        <v>42</v>
      </c>
      <c r="I81" s="64">
        <v>7.1</v>
      </c>
      <c r="J81" s="64">
        <v>3.04</v>
      </c>
      <c r="K81" s="64">
        <v>357.83</v>
      </c>
      <c r="L81" s="64">
        <v>17</v>
      </c>
      <c r="M81" s="64">
        <v>47.99</v>
      </c>
      <c r="N81" s="64">
        <v>91.3</v>
      </c>
      <c r="O81" s="64">
        <v>0</v>
      </c>
      <c r="P81" s="64">
        <v>1.1200000000000001</v>
      </c>
      <c r="Q81" s="64">
        <v>8.2100000000000009</v>
      </c>
      <c r="R81" s="198"/>
      <c r="S81" s="198"/>
      <c r="T81" s="198"/>
      <c r="U81" s="198"/>
    </row>
    <row r="82" spans="1:26" s="12" customFormat="1" x14ac:dyDescent="0.25">
      <c r="A82" s="215" t="s">
        <v>1281</v>
      </c>
      <c r="B82" s="64">
        <v>11.09</v>
      </c>
      <c r="C82" s="64">
        <v>72.38</v>
      </c>
      <c r="D82" s="64">
        <v>45.34</v>
      </c>
      <c r="E82" s="64">
        <v>8.25</v>
      </c>
      <c r="F82" s="64">
        <v>4.58</v>
      </c>
      <c r="G82" s="64">
        <v>128.13</v>
      </c>
      <c r="H82" s="213" t="s">
        <v>42</v>
      </c>
      <c r="I82" s="64">
        <v>7.42</v>
      </c>
      <c r="J82" s="64">
        <v>3.36</v>
      </c>
      <c r="K82" s="64">
        <v>351.7</v>
      </c>
      <c r="L82" s="64">
        <v>16.77</v>
      </c>
      <c r="M82" s="64">
        <v>47.76</v>
      </c>
      <c r="N82" s="64">
        <v>90.8</v>
      </c>
      <c r="O82" s="64">
        <v>0</v>
      </c>
      <c r="P82" s="64">
        <v>1.19</v>
      </c>
      <c r="Q82" s="64">
        <v>8.3000000000000007</v>
      </c>
      <c r="R82" s="198"/>
      <c r="S82" s="198"/>
      <c r="T82" s="198"/>
      <c r="U82" s="198"/>
    </row>
    <row r="83" spans="1:26" s="12" customFormat="1" x14ac:dyDescent="0.25">
      <c r="A83" s="215" t="s">
        <v>1282</v>
      </c>
      <c r="B83" s="64">
        <v>12.31</v>
      </c>
      <c r="C83" s="64">
        <v>74.28</v>
      </c>
      <c r="D83" s="64">
        <v>47.3</v>
      </c>
      <c r="E83" s="64">
        <v>8.61</v>
      </c>
      <c r="F83" s="64">
        <v>4.8</v>
      </c>
      <c r="G83" s="64">
        <v>128.13</v>
      </c>
      <c r="H83" s="213" t="s">
        <v>42</v>
      </c>
      <c r="I83" s="64">
        <v>7.54</v>
      </c>
      <c r="J83" s="64">
        <v>3.41</v>
      </c>
      <c r="K83" s="64">
        <v>351.28</v>
      </c>
      <c r="L83" s="64">
        <v>16.55</v>
      </c>
      <c r="M83" s="64">
        <v>48.81</v>
      </c>
      <c r="N83" s="64">
        <v>90.6</v>
      </c>
      <c r="O83" s="64">
        <v>0</v>
      </c>
      <c r="P83" s="64">
        <v>1.27</v>
      </c>
      <c r="Q83" s="64">
        <v>8.6199999999999992</v>
      </c>
      <c r="R83" s="198"/>
      <c r="S83" s="198"/>
      <c r="T83" s="198"/>
      <c r="U83" s="198"/>
    </row>
    <row r="84" spans="1:26" s="12" customFormat="1" x14ac:dyDescent="0.25">
      <c r="A84" s="215" t="s">
        <v>1283</v>
      </c>
      <c r="B84" s="64">
        <v>13.6</v>
      </c>
      <c r="C84" s="64">
        <v>75.38</v>
      </c>
      <c r="D84" s="64">
        <v>48.92</v>
      </c>
      <c r="E84" s="64">
        <v>8.91</v>
      </c>
      <c r="F84" s="64">
        <v>4.6399999999999997</v>
      </c>
      <c r="G84" s="64">
        <v>141.03</v>
      </c>
      <c r="H84" s="213" t="s">
        <v>42</v>
      </c>
      <c r="I84" s="64">
        <v>7.7</v>
      </c>
      <c r="J84" s="64">
        <v>2.66</v>
      </c>
      <c r="K84" s="64">
        <v>19.309999999999999</v>
      </c>
      <c r="L84" s="64">
        <v>16.22</v>
      </c>
      <c r="M84" s="64">
        <v>49.83</v>
      </c>
      <c r="N84" s="64">
        <v>91.7</v>
      </c>
      <c r="O84" s="64">
        <v>0</v>
      </c>
      <c r="P84" s="64">
        <v>1.31</v>
      </c>
      <c r="Q84" s="64">
        <v>8.89</v>
      </c>
      <c r="R84" s="198"/>
      <c r="S84" s="198"/>
      <c r="T84" s="198"/>
      <c r="U84" s="198"/>
    </row>
    <row r="85" spans="1:26" s="12" customFormat="1" x14ac:dyDescent="0.25">
      <c r="A85" s="215" t="s">
        <v>1284</v>
      </c>
      <c r="B85" s="64">
        <v>14.58</v>
      </c>
      <c r="C85" s="64">
        <v>76.06</v>
      </c>
      <c r="D85" s="64">
        <v>50.06</v>
      </c>
      <c r="E85" s="64">
        <v>9.09</v>
      </c>
      <c r="F85" s="64">
        <v>4.55</v>
      </c>
      <c r="G85" s="64">
        <v>150.88999999999999</v>
      </c>
      <c r="H85" s="213" t="s">
        <v>42</v>
      </c>
      <c r="I85" s="64">
        <v>7.9</v>
      </c>
      <c r="J85" s="64">
        <v>1.93</v>
      </c>
      <c r="K85" s="64">
        <v>27.68</v>
      </c>
      <c r="L85" s="64">
        <v>15.86</v>
      </c>
      <c r="M85" s="64">
        <v>49.8</v>
      </c>
      <c r="N85" s="64">
        <v>91.8</v>
      </c>
      <c r="O85" s="64">
        <v>0</v>
      </c>
      <c r="P85" s="64">
        <v>1.2</v>
      </c>
      <c r="Q85" s="64">
        <v>9.1199999999999992</v>
      </c>
      <c r="R85" s="198"/>
      <c r="S85" s="198"/>
      <c r="T85" s="198"/>
      <c r="U85" s="198"/>
    </row>
    <row r="86" spans="1:26" s="12" customFormat="1" x14ac:dyDescent="0.25">
      <c r="A86" s="215" t="s">
        <v>1285</v>
      </c>
      <c r="B86" s="64">
        <v>15.05</v>
      </c>
      <c r="C86" s="64">
        <v>76.239999999999995</v>
      </c>
      <c r="D86" s="64">
        <v>50.52</v>
      </c>
      <c r="E86" s="64">
        <v>9.09</v>
      </c>
      <c r="F86" s="64">
        <v>4.2300000000000004</v>
      </c>
      <c r="G86" s="64">
        <v>150.88999999999999</v>
      </c>
      <c r="H86" s="213" t="s">
        <v>42</v>
      </c>
      <c r="I86" s="64">
        <v>8.07</v>
      </c>
      <c r="J86" s="64">
        <v>2.1</v>
      </c>
      <c r="K86" s="64">
        <v>327.31</v>
      </c>
      <c r="L86" s="64">
        <v>15.43</v>
      </c>
      <c r="M86" s="64">
        <v>52.44</v>
      </c>
      <c r="N86" s="64">
        <v>92</v>
      </c>
      <c r="O86" s="64">
        <v>0</v>
      </c>
      <c r="P86" s="64">
        <v>1.31</v>
      </c>
      <c r="Q86" s="64">
        <v>9.39</v>
      </c>
      <c r="R86" s="198"/>
      <c r="S86" s="198"/>
      <c r="T86" s="198"/>
      <c r="U86" s="198"/>
    </row>
    <row r="87" spans="1:26" s="12" customFormat="1" x14ac:dyDescent="0.25">
      <c r="A87" s="215" t="s">
        <v>1286</v>
      </c>
      <c r="B87" s="64">
        <v>16.48</v>
      </c>
      <c r="C87" s="64">
        <v>76.13</v>
      </c>
      <c r="D87" s="64">
        <v>51.61</v>
      </c>
      <c r="E87" s="64">
        <v>9</v>
      </c>
      <c r="F87" s="64">
        <v>4.92</v>
      </c>
      <c r="G87" s="64">
        <v>150.88999999999999</v>
      </c>
      <c r="H87" s="213" t="s">
        <v>42</v>
      </c>
      <c r="I87" s="64">
        <v>8.1999999999999993</v>
      </c>
      <c r="J87" s="64">
        <v>2.7</v>
      </c>
      <c r="K87" s="64">
        <v>228.84</v>
      </c>
      <c r="L87" s="64">
        <v>15.17</v>
      </c>
      <c r="M87" s="64">
        <v>54.94</v>
      </c>
      <c r="N87" s="64">
        <v>92.4</v>
      </c>
      <c r="O87" s="64">
        <v>0</v>
      </c>
      <c r="P87" s="64">
        <v>1.39</v>
      </c>
      <c r="Q87" s="64">
        <v>9.52</v>
      </c>
      <c r="R87" s="198"/>
      <c r="S87" s="198"/>
      <c r="T87" s="198"/>
      <c r="U87" s="198"/>
    </row>
    <row r="88" spans="1:26" s="12" customFormat="1" x14ac:dyDescent="0.25">
      <c r="A88" s="215" t="s">
        <v>1287</v>
      </c>
      <c r="B88" s="64">
        <v>19.79</v>
      </c>
      <c r="C88" s="64">
        <v>75.53</v>
      </c>
      <c r="D88" s="64">
        <v>53.95</v>
      </c>
      <c r="E88" s="64">
        <v>9.3699999999999992</v>
      </c>
      <c r="F88" s="64">
        <v>4.28</v>
      </c>
      <c r="G88" s="64">
        <v>155.19</v>
      </c>
      <c r="H88" s="213" t="s">
        <v>42</v>
      </c>
      <c r="I88" s="64">
        <v>8.31</v>
      </c>
      <c r="J88" s="64">
        <v>2.77</v>
      </c>
      <c r="K88" s="64">
        <v>285.42</v>
      </c>
      <c r="L88" s="64">
        <v>14.83</v>
      </c>
      <c r="M88" s="64">
        <v>57.95</v>
      </c>
      <c r="N88" s="64">
        <v>92.4</v>
      </c>
      <c r="O88" s="64">
        <v>0</v>
      </c>
      <c r="P88" s="64">
        <v>1.55</v>
      </c>
      <c r="Q88" s="64">
        <v>9.74</v>
      </c>
      <c r="R88" s="198"/>
      <c r="S88" s="198"/>
      <c r="T88" s="198"/>
      <c r="U88" s="198"/>
    </row>
    <row r="89" spans="1:26" s="12" customFormat="1" x14ac:dyDescent="0.25">
      <c r="A89" s="215" t="s">
        <v>1288</v>
      </c>
      <c r="B89" s="64">
        <v>23.6</v>
      </c>
      <c r="C89" s="64">
        <v>74.180000000000007</v>
      </c>
      <c r="D89" s="64">
        <v>56.3</v>
      </c>
      <c r="E89" s="64">
        <v>9.43</v>
      </c>
      <c r="F89" s="64">
        <v>4.6900000000000004</v>
      </c>
      <c r="G89" s="64">
        <v>158.47</v>
      </c>
      <c r="H89" s="213" t="s">
        <v>42</v>
      </c>
      <c r="I89" s="64">
        <v>8.43</v>
      </c>
      <c r="J89" s="64">
        <v>1.76</v>
      </c>
      <c r="K89" s="64">
        <v>327.52999999999997</v>
      </c>
      <c r="L89" s="64">
        <v>14.65</v>
      </c>
      <c r="M89" s="64">
        <v>57.96</v>
      </c>
      <c r="N89" s="64">
        <v>92.5</v>
      </c>
      <c r="O89" s="64">
        <v>0</v>
      </c>
      <c r="P89" s="64">
        <v>1.68</v>
      </c>
      <c r="Q89" s="64">
        <v>9.9499999999999993</v>
      </c>
      <c r="R89" s="198"/>
      <c r="S89" s="198"/>
      <c r="T89" s="198"/>
      <c r="U89" s="198"/>
    </row>
    <row r="90" spans="1:26" s="12" customFormat="1" x14ac:dyDescent="0.25">
      <c r="A90" s="215" t="s">
        <v>1289</v>
      </c>
      <c r="B90" s="64">
        <v>27.84</v>
      </c>
      <c r="C90" s="64">
        <v>73.69</v>
      </c>
      <c r="D90" s="64">
        <v>59.45</v>
      </c>
      <c r="E90" s="64">
        <v>9.8000000000000007</v>
      </c>
      <c r="F90" s="64">
        <v>4.96</v>
      </c>
      <c r="G90" s="64">
        <v>158.47</v>
      </c>
      <c r="H90" s="213" t="s">
        <v>42</v>
      </c>
      <c r="I90" s="64">
        <v>8.39</v>
      </c>
      <c r="J90" s="64">
        <v>2.66</v>
      </c>
      <c r="K90" s="64">
        <v>294.61</v>
      </c>
      <c r="L90" s="64">
        <v>14.32</v>
      </c>
      <c r="M90" s="64">
        <v>61.04</v>
      </c>
      <c r="N90" s="64">
        <v>92.6</v>
      </c>
      <c r="O90" s="64">
        <v>0</v>
      </c>
      <c r="P90" s="64">
        <v>1.99</v>
      </c>
      <c r="Q90" s="64">
        <v>10.029999999999999</v>
      </c>
      <c r="R90" s="198"/>
      <c r="S90" s="198"/>
      <c r="T90" s="198"/>
      <c r="U90" s="198"/>
    </row>
    <row r="91" spans="1:26" s="12" customFormat="1" x14ac:dyDescent="0.25">
      <c r="A91" s="215" t="s">
        <v>1290</v>
      </c>
      <c r="B91" s="64">
        <v>32.94</v>
      </c>
      <c r="C91" s="64">
        <v>73.05</v>
      </c>
      <c r="D91" s="64">
        <v>63.2</v>
      </c>
      <c r="E91" s="64">
        <v>9.69</v>
      </c>
      <c r="F91" s="64">
        <v>5.0199999999999996</v>
      </c>
      <c r="G91" s="64">
        <v>158.47</v>
      </c>
      <c r="H91" s="213" t="s">
        <v>42</v>
      </c>
      <c r="I91" s="64">
        <v>9.26</v>
      </c>
      <c r="J91" s="64">
        <v>0.95</v>
      </c>
      <c r="K91" s="64">
        <v>313.64999999999998</v>
      </c>
      <c r="L91" s="64">
        <v>14.03</v>
      </c>
      <c r="M91" s="64">
        <v>65.290000000000006</v>
      </c>
      <c r="N91" s="64">
        <v>93</v>
      </c>
      <c r="O91" s="64">
        <v>0</v>
      </c>
      <c r="P91" s="64">
        <v>2.02</v>
      </c>
      <c r="Q91" s="64">
        <v>10.06</v>
      </c>
      <c r="R91" s="198"/>
      <c r="S91" s="198"/>
      <c r="T91" s="198"/>
      <c r="U91" s="198"/>
    </row>
    <row r="92" spans="1:26" s="12" customFormat="1" x14ac:dyDescent="0.25">
      <c r="A92" s="215" t="s">
        <v>1291</v>
      </c>
      <c r="B92" s="64">
        <v>38.14</v>
      </c>
      <c r="C92" s="64">
        <v>71.930000000000007</v>
      </c>
      <c r="D92" s="64">
        <v>66.790000000000006</v>
      </c>
      <c r="E92" s="64">
        <v>10.37</v>
      </c>
      <c r="F92" s="64">
        <v>4.92</v>
      </c>
      <c r="G92" s="64">
        <v>173.29</v>
      </c>
      <c r="H92" s="64">
        <v>123.35</v>
      </c>
      <c r="I92" s="64">
        <v>9.6199999999999992</v>
      </c>
      <c r="J92" s="64">
        <v>1.64</v>
      </c>
      <c r="K92" s="64">
        <v>102.74</v>
      </c>
      <c r="L92" s="64">
        <v>13.84</v>
      </c>
      <c r="M92" s="64">
        <v>65.849999999999994</v>
      </c>
      <c r="N92" s="64">
        <v>92.7</v>
      </c>
      <c r="O92" s="64">
        <v>0</v>
      </c>
      <c r="P92" s="64">
        <v>2.08</v>
      </c>
      <c r="Q92" s="64">
        <v>10.08</v>
      </c>
      <c r="R92" s="198"/>
      <c r="S92" s="198"/>
      <c r="T92" s="198"/>
      <c r="U92" s="198"/>
    </row>
    <row r="93" spans="1:26" s="12" customFormat="1" x14ac:dyDescent="0.25">
      <c r="A93" s="215" t="s">
        <v>1292</v>
      </c>
      <c r="B93" s="64">
        <v>42.38</v>
      </c>
      <c r="C93" s="64">
        <v>70.77</v>
      </c>
      <c r="D93" s="64">
        <v>69.59</v>
      </c>
      <c r="E93" s="64">
        <v>10.59</v>
      </c>
      <c r="F93" s="64">
        <v>5.0999999999999996</v>
      </c>
      <c r="G93" s="64">
        <v>184.61</v>
      </c>
      <c r="H93" s="64">
        <v>109.35</v>
      </c>
      <c r="I93" s="64">
        <v>9.3000000000000007</v>
      </c>
      <c r="J93" s="64">
        <v>0.34</v>
      </c>
      <c r="K93" s="64">
        <v>44.01</v>
      </c>
      <c r="L93" s="64">
        <v>13.72</v>
      </c>
      <c r="M93" s="64">
        <v>63.5</v>
      </c>
      <c r="N93" s="64">
        <v>92.8</v>
      </c>
      <c r="O93" s="64">
        <v>0</v>
      </c>
      <c r="P93" s="64">
        <v>2.0099999999999998</v>
      </c>
      <c r="Q93" s="64">
        <v>10.11</v>
      </c>
      <c r="R93" s="198"/>
      <c r="S93" s="198"/>
      <c r="T93" s="198"/>
      <c r="U93" s="198"/>
    </row>
    <row r="94" spans="1:26" s="12" customFormat="1" x14ac:dyDescent="0.25">
      <c r="A94" s="215" t="s">
        <v>1293</v>
      </c>
      <c r="B94" s="64">
        <v>47.39</v>
      </c>
      <c r="C94" s="64">
        <v>70.069999999999993</v>
      </c>
      <c r="D94" s="64">
        <v>73.239999999999995</v>
      </c>
      <c r="E94" s="64">
        <v>10.88</v>
      </c>
      <c r="F94" s="64">
        <v>4.6100000000000003</v>
      </c>
      <c r="G94" s="64">
        <v>184.61</v>
      </c>
      <c r="H94" s="64">
        <v>109.35</v>
      </c>
      <c r="I94" s="64">
        <v>9.9499999999999993</v>
      </c>
      <c r="J94" s="64">
        <v>1.97</v>
      </c>
      <c r="K94" s="64">
        <v>12.69</v>
      </c>
      <c r="L94" s="64">
        <v>13.62</v>
      </c>
      <c r="M94" s="64">
        <v>67.91</v>
      </c>
      <c r="N94" s="64">
        <v>93.1</v>
      </c>
      <c r="O94" s="64">
        <v>0</v>
      </c>
      <c r="P94" s="64">
        <v>2.4</v>
      </c>
      <c r="Q94" s="64">
        <v>10.15</v>
      </c>
      <c r="R94" s="198"/>
      <c r="S94" s="198"/>
      <c r="T94" s="198"/>
      <c r="U94" s="198"/>
    </row>
    <row r="95" spans="1:26" s="12" customFormat="1" x14ac:dyDescent="0.25">
      <c r="A95" s="215" t="s">
        <v>1294</v>
      </c>
      <c r="B95" s="64">
        <v>55.03</v>
      </c>
      <c r="C95" s="64">
        <v>68.87</v>
      </c>
      <c r="D95" s="64">
        <v>78.739999999999995</v>
      </c>
      <c r="E95" s="64">
        <v>11.1</v>
      </c>
      <c r="F95" s="64">
        <v>4.7300000000000004</v>
      </c>
      <c r="G95" s="64">
        <v>184.61</v>
      </c>
      <c r="H95" s="64">
        <v>109.35</v>
      </c>
      <c r="I95" s="64">
        <v>9.32</v>
      </c>
      <c r="J95" s="64">
        <v>1.35</v>
      </c>
      <c r="K95" s="64">
        <v>72.25</v>
      </c>
      <c r="L95" s="64">
        <v>13.3</v>
      </c>
      <c r="M95" s="64">
        <v>63.41</v>
      </c>
      <c r="N95" s="64">
        <v>93.1</v>
      </c>
      <c r="O95" s="64">
        <v>0</v>
      </c>
      <c r="P95" s="64">
        <v>2.16</v>
      </c>
      <c r="Q95" s="64">
        <v>10.18</v>
      </c>
      <c r="R95" s="198"/>
      <c r="S95" s="198"/>
      <c r="T95" s="198"/>
      <c r="U95" s="198"/>
    </row>
    <row r="96" spans="1:26" s="12" customFormat="1" x14ac:dyDescent="0.25">
      <c r="A96" s="215" t="s">
        <v>1295</v>
      </c>
      <c r="B96" s="64">
        <v>58.68</v>
      </c>
      <c r="C96" s="64">
        <v>68.97</v>
      </c>
      <c r="D96" s="64">
        <v>81.72</v>
      </c>
      <c r="E96" s="64">
        <v>11.11</v>
      </c>
      <c r="F96" s="64">
        <v>4.96</v>
      </c>
      <c r="G96" s="64">
        <v>189.4</v>
      </c>
      <c r="H96" s="64">
        <v>44.26</v>
      </c>
      <c r="I96" s="64">
        <v>10.14</v>
      </c>
      <c r="J96" s="64">
        <v>3.11</v>
      </c>
      <c r="K96" s="64">
        <v>356.61</v>
      </c>
      <c r="L96" s="64">
        <v>13.14</v>
      </c>
      <c r="M96" s="64">
        <v>62.17</v>
      </c>
      <c r="N96" s="64">
        <v>93.3</v>
      </c>
      <c r="O96" s="64">
        <v>0</v>
      </c>
      <c r="P96" s="64">
        <v>2.14</v>
      </c>
      <c r="Q96" s="64">
        <v>10.34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1296</v>
      </c>
      <c r="B97" s="64">
        <v>61.89</v>
      </c>
      <c r="C97" s="64">
        <v>69.8</v>
      </c>
      <c r="D97" s="64">
        <v>84.72</v>
      </c>
      <c r="E97" s="64">
        <v>11.41</v>
      </c>
      <c r="F97" s="64">
        <v>5.07</v>
      </c>
      <c r="G97" s="64">
        <v>193.06</v>
      </c>
      <c r="H97" s="213" t="s">
        <v>42</v>
      </c>
      <c r="I97" s="64">
        <v>9.83</v>
      </c>
      <c r="J97" s="64">
        <v>1.31</v>
      </c>
      <c r="K97" s="64">
        <v>66.650000000000006</v>
      </c>
      <c r="L97" s="64">
        <v>13.35</v>
      </c>
      <c r="M97" s="64">
        <v>60.67</v>
      </c>
      <c r="N97" s="64">
        <v>93</v>
      </c>
      <c r="O97" s="64">
        <v>0</v>
      </c>
      <c r="P97" s="64">
        <v>2.19</v>
      </c>
      <c r="Q97" s="64">
        <v>10.44</v>
      </c>
      <c r="R97" s="198"/>
      <c r="S97" s="198"/>
      <c r="T97" s="198"/>
      <c r="U97" s="198"/>
    </row>
    <row r="98" spans="1:33" s="12" customFormat="1" x14ac:dyDescent="0.25">
      <c r="A98" s="215" t="s">
        <v>1297</v>
      </c>
      <c r="B98" s="64">
        <v>63.65</v>
      </c>
      <c r="C98" s="64">
        <v>70.91</v>
      </c>
      <c r="D98" s="64">
        <v>86.71</v>
      </c>
      <c r="E98" s="64">
        <v>11.17</v>
      </c>
      <c r="F98" s="64">
        <v>5.04</v>
      </c>
      <c r="G98" s="64">
        <v>193.06</v>
      </c>
      <c r="H98" s="213" t="s">
        <v>42</v>
      </c>
      <c r="I98" s="64">
        <v>9.7100000000000009</v>
      </c>
      <c r="J98" s="64">
        <v>1.45</v>
      </c>
      <c r="K98" s="64">
        <v>64.209999999999994</v>
      </c>
      <c r="L98" s="64">
        <v>13.53</v>
      </c>
      <c r="M98" s="64">
        <v>57.1</v>
      </c>
      <c r="N98" s="64">
        <v>93.4</v>
      </c>
      <c r="O98" s="64">
        <v>0</v>
      </c>
      <c r="P98" s="64">
        <v>2.2200000000000002</v>
      </c>
      <c r="Q98" s="64">
        <v>10.48</v>
      </c>
      <c r="R98" s="198"/>
      <c r="S98" s="198"/>
      <c r="T98" s="198"/>
      <c r="U98" s="198"/>
    </row>
    <row r="99" spans="1:33" s="12" customFormat="1" x14ac:dyDescent="0.25">
      <c r="A99" s="215" t="s">
        <v>1298</v>
      </c>
      <c r="B99" s="64">
        <v>62.19</v>
      </c>
      <c r="C99" s="64">
        <v>71.98</v>
      </c>
      <c r="D99" s="64">
        <v>86.1</v>
      </c>
      <c r="E99" s="64">
        <v>10.34</v>
      </c>
      <c r="F99" s="64">
        <v>5.24</v>
      </c>
      <c r="G99" s="64">
        <v>193.06</v>
      </c>
      <c r="H99" s="213" t="s">
        <v>42</v>
      </c>
      <c r="I99" s="64">
        <v>9.75</v>
      </c>
      <c r="J99" s="64">
        <v>1.43</v>
      </c>
      <c r="K99" s="64">
        <v>75.05</v>
      </c>
      <c r="L99" s="64">
        <v>13.66</v>
      </c>
      <c r="M99" s="64">
        <v>55</v>
      </c>
      <c r="N99" s="64">
        <v>92.8</v>
      </c>
      <c r="O99" s="64">
        <v>0</v>
      </c>
      <c r="P99" s="64">
        <v>2.2000000000000002</v>
      </c>
      <c r="Q99" s="64">
        <v>10.47</v>
      </c>
      <c r="R99" s="198"/>
      <c r="S99" s="198"/>
      <c r="T99" s="198"/>
      <c r="U99" s="198"/>
    </row>
    <row r="100" spans="1:33" s="12" customFormat="1" x14ac:dyDescent="0.25">
      <c r="A100" s="215" t="s">
        <v>1299</v>
      </c>
      <c r="B100" s="64">
        <v>59.18</v>
      </c>
      <c r="C100" s="64">
        <v>72.66</v>
      </c>
      <c r="D100" s="64">
        <v>84.04</v>
      </c>
      <c r="E100" s="64">
        <v>10.119999999999999</v>
      </c>
      <c r="F100" s="64">
        <v>4.71</v>
      </c>
      <c r="G100" s="64">
        <v>184.58</v>
      </c>
      <c r="H100" s="213" t="s">
        <v>42</v>
      </c>
      <c r="I100" s="64">
        <v>9.74</v>
      </c>
      <c r="J100" s="64">
        <v>1.43</v>
      </c>
      <c r="K100" s="64">
        <v>0.28000000000000003</v>
      </c>
      <c r="L100" s="64">
        <v>13.67</v>
      </c>
      <c r="M100" s="64">
        <v>54.59</v>
      </c>
      <c r="N100" s="64">
        <v>92.9</v>
      </c>
      <c r="O100" s="64">
        <v>0</v>
      </c>
      <c r="P100" s="64">
        <v>2.15</v>
      </c>
      <c r="Q100" s="64">
        <v>10.49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1300</v>
      </c>
      <c r="B101" s="64">
        <v>55.83</v>
      </c>
      <c r="C101" s="64">
        <v>73.06</v>
      </c>
      <c r="D101" s="64">
        <v>81.56</v>
      </c>
      <c r="E101" s="64">
        <v>9.5299999999999994</v>
      </c>
      <c r="F101" s="64">
        <v>5.0199999999999996</v>
      </c>
      <c r="G101" s="64">
        <v>178.09</v>
      </c>
      <c r="H101" s="213" t="s">
        <v>42</v>
      </c>
      <c r="I101" s="64">
        <v>9.6</v>
      </c>
      <c r="J101" s="64">
        <v>0.66</v>
      </c>
      <c r="K101" s="64">
        <v>22.91</v>
      </c>
      <c r="L101" s="64">
        <v>13.78</v>
      </c>
      <c r="M101" s="64">
        <v>52.95</v>
      </c>
      <c r="N101" s="64">
        <v>92.6</v>
      </c>
      <c r="O101" s="64">
        <v>0</v>
      </c>
      <c r="P101" s="64">
        <v>2.09</v>
      </c>
      <c r="Q101" s="64">
        <v>10.48</v>
      </c>
      <c r="R101" s="198"/>
      <c r="S101" s="198"/>
      <c r="T101" s="198"/>
      <c r="U101" s="198"/>
    </row>
    <row r="102" spans="1:33" s="12" customFormat="1" x14ac:dyDescent="0.25">
      <c r="A102" s="215" t="s">
        <v>1301</v>
      </c>
      <c r="B102" s="64">
        <v>52.18</v>
      </c>
      <c r="C102" s="64">
        <v>72.790000000000006</v>
      </c>
      <c r="D102" s="64">
        <v>78.489999999999995</v>
      </c>
      <c r="E102" s="64">
        <v>9.2200000000000006</v>
      </c>
      <c r="F102" s="64">
        <v>4.8600000000000003</v>
      </c>
      <c r="G102" s="64">
        <v>178.09</v>
      </c>
      <c r="H102" s="213" t="s">
        <v>42</v>
      </c>
      <c r="I102" s="64">
        <v>9.39</v>
      </c>
      <c r="J102" s="64">
        <v>0.82</v>
      </c>
      <c r="K102" s="64">
        <v>47.72</v>
      </c>
      <c r="L102" s="64">
        <v>13.93</v>
      </c>
      <c r="M102" s="64">
        <v>51.55</v>
      </c>
      <c r="N102" s="64">
        <v>91.8</v>
      </c>
      <c r="O102" s="64">
        <v>0</v>
      </c>
      <c r="P102" s="64">
        <v>2.02</v>
      </c>
      <c r="Q102" s="64">
        <v>10.43</v>
      </c>
      <c r="R102" s="198"/>
      <c r="S102" s="198"/>
      <c r="T102" s="198"/>
      <c r="U102" s="198"/>
    </row>
    <row r="103" spans="1:33" s="12" customFormat="1" x14ac:dyDescent="0.25">
      <c r="A103" s="215" t="s">
        <v>1302</v>
      </c>
      <c r="B103" s="64">
        <v>47.69</v>
      </c>
      <c r="C103" s="64">
        <v>72.010000000000005</v>
      </c>
      <c r="D103" s="64">
        <v>74.489999999999995</v>
      </c>
      <c r="E103" s="64">
        <v>8.98</v>
      </c>
      <c r="F103" s="64">
        <v>4.9000000000000004</v>
      </c>
      <c r="G103" s="64">
        <v>178.09</v>
      </c>
      <c r="H103" s="213" t="s">
        <v>42</v>
      </c>
      <c r="I103" s="64">
        <v>9.1300000000000008</v>
      </c>
      <c r="J103" s="64">
        <v>0.6</v>
      </c>
      <c r="K103" s="64">
        <v>28.35</v>
      </c>
      <c r="L103" s="64">
        <v>13.85</v>
      </c>
      <c r="M103" s="64">
        <v>51.43</v>
      </c>
      <c r="N103" s="64">
        <v>92.7</v>
      </c>
      <c r="O103" s="64">
        <v>0</v>
      </c>
      <c r="P103" s="64">
        <v>1.94</v>
      </c>
      <c r="Q103" s="64">
        <v>10.35</v>
      </c>
      <c r="R103" s="198"/>
      <c r="S103" s="198"/>
      <c r="T103" s="198"/>
      <c r="U103" s="198"/>
    </row>
    <row r="104" spans="1:33" s="12" customFormat="1" x14ac:dyDescent="0.25">
      <c r="A104" s="215" t="s">
        <v>1303</v>
      </c>
      <c r="B104" s="64">
        <v>43.26</v>
      </c>
      <c r="C104" s="64">
        <v>71.25</v>
      </c>
      <c r="D104" s="64">
        <v>70.540000000000006</v>
      </c>
      <c r="E104" s="64">
        <v>6.87</v>
      </c>
      <c r="F104" s="64">
        <v>4.62</v>
      </c>
      <c r="G104" s="64">
        <v>160.19999999999999</v>
      </c>
      <c r="H104" s="64">
        <v>107.99</v>
      </c>
      <c r="I104" s="64">
        <v>8.86</v>
      </c>
      <c r="J104" s="64">
        <v>0.47</v>
      </c>
      <c r="K104" s="64">
        <v>343.66</v>
      </c>
      <c r="L104" s="64">
        <v>13.72</v>
      </c>
      <c r="M104" s="64">
        <v>52.63</v>
      </c>
      <c r="N104" s="64">
        <v>92.5</v>
      </c>
      <c r="O104" s="64">
        <v>0</v>
      </c>
      <c r="P104" s="64">
        <v>1.86</v>
      </c>
      <c r="Q104" s="64">
        <v>10.3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2.09</v>
      </c>
      <c r="C106" s="67">
        <f>MIN(C9:C104)</f>
        <v>45.19</v>
      </c>
      <c r="D106" s="67">
        <f t="shared" ref="D106:Q106" si="0">MIN(D9:D104)</f>
        <v>28.91</v>
      </c>
      <c r="E106" s="67">
        <f t="shared" si="0"/>
        <v>4.4400000000000004</v>
      </c>
      <c r="F106" s="67">
        <f t="shared" si="0"/>
        <v>3.22</v>
      </c>
      <c r="G106" s="67">
        <f t="shared" si="0"/>
        <v>52.58</v>
      </c>
      <c r="H106" s="67">
        <f t="shared" si="0"/>
        <v>0.12</v>
      </c>
      <c r="I106" s="67">
        <f t="shared" si="0"/>
        <v>4.16</v>
      </c>
      <c r="J106" s="67">
        <f t="shared" si="0"/>
        <v>0.28000000000000003</v>
      </c>
      <c r="K106" s="67">
        <f t="shared" si="0"/>
        <v>0.26</v>
      </c>
      <c r="L106" s="67">
        <f t="shared" si="0"/>
        <v>9.68</v>
      </c>
      <c r="M106" s="67">
        <f t="shared" si="0"/>
        <v>34.229999999999997</v>
      </c>
      <c r="N106" s="67">
        <f t="shared" si="0"/>
        <v>90.6</v>
      </c>
      <c r="O106" s="67">
        <f t="shared" si="0"/>
        <v>0</v>
      </c>
      <c r="P106" s="67">
        <f t="shared" si="0"/>
        <v>0.62</v>
      </c>
      <c r="Q106" s="67">
        <f t="shared" si="0"/>
        <v>8.2100000000000009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76.739999999999995</v>
      </c>
      <c r="C107" s="66">
        <f t="shared" ref="C107:Q107" si="1">MAX(C9:C104)</f>
        <v>76.239999999999995</v>
      </c>
      <c r="D107" s="66">
        <f t="shared" si="1"/>
        <v>90.3</v>
      </c>
      <c r="E107" s="66">
        <f t="shared" si="1"/>
        <v>11.41</v>
      </c>
      <c r="F107" s="66">
        <f t="shared" si="1"/>
        <v>7.08</v>
      </c>
      <c r="G107" s="66">
        <f t="shared" si="1"/>
        <v>193.06</v>
      </c>
      <c r="H107" s="66">
        <f t="shared" si="1"/>
        <v>123.35</v>
      </c>
      <c r="I107" s="66">
        <f t="shared" si="1"/>
        <v>10.14</v>
      </c>
      <c r="J107" s="66">
        <f t="shared" si="1"/>
        <v>3.89</v>
      </c>
      <c r="K107" s="66">
        <f t="shared" si="1"/>
        <v>357.83</v>
      </c>
      <c r="L107" s="66">
        <f t="shared" si="1"/>
        <v>23.79</v>
      </c>
      <c r="M107" s="66">
        <f t="shared" si="1"/>
        <v>71.81</v>
      </c>
      <c r="N107" s="66">
        <f t="shared" si="1"/>
        <v>770.3</v>
      </c>
      <c r="O107" s="66">
        <f t="shared" si="1"/>
        <v>0</v>
      </c>
      <c r="P107" s="66">
        <f t="shared" si="1"/>
        <v>2.4</v>
      </c>
      <c r="Q107" s="66">
        <f t="shared" si="1"/>
        <v>10.64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22.072708333333338</v>
      </c>
      <c r="C108" s="67">
        <f t="shared" ref="C108:Q108" si="2">AVERAGE(C9:C104)</f>
        <v>59.181875000000012</v>
      </c>
      <c r="D108" s="67">
        <f t="shared" si="2"/>
        <v>47.243854166666658</v>
      </c>
      <c r="E108" s="67">
        <f t="shared" si="2"/>
        <v>7.1403125000000003</v>
      </c>
      <c r="F108" s="67">
        <f t="shared" si="2"/>
        <v>4.5573958333333344</v>
      </c>
      <c r="G108" s="67">
        <f t="shared" si="2"/>
        <v>100.57947916666664</v>
      </c>
      <c r="H108" s="67">
        <f t="shared" si="2"/>
        <v>42.947407407407411</v>
      </c>
      <c r="I108" s="67">
        <f t="shared" si="2"/>
        <v>6.6478125000000015</v>
      </c>
      <c r="J108" s="67">
        <f t="shared" si="2"/>
        <v>1.8862499999999993</v>
      </c>
      <c r="K108" s="67">
        <f t="shared" si="2"/>
        <v>224.90812500000004</v>
      </c>
      <c r="L108" s="67">
        <f t="shared" si="2"/>
        <v>15.991249999999996</v>
      </c>
      <c r="M108" s="67">
        <f t="shared" si="2"/>
        <v>51.377291666666686</v>
      </c>
      <c r="N108" s="67">
        <f t="shared" si="2"/>
        <v>247.68541666666655</v>
      </c>
      <c r="O108" s="67">
        <f t="shared" si="2"/>
        <v>0</v>
      </c>
      <c r="P108" s="67">
        <f t="shared" si="2"/>
        <v>1.1138541666666668</v>
      </c>
      <c r="Q108" s="67">
        <f t="shared" si="2"/>
        <v>8.9358333333333366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19.130633163052863</v>
      </c>
      <c r="C109" s="67">
        <f t="shared" ref="C109:Q109" si="3">STDEV(C9:C104)</f>
        <v>9.5229939246789446</v>
      </c>
      <c r="D109" s="67">
        <f t="shared" si="3"/>
        <v>17.457106372012884</v>
      </c>
      <c r="E109" s="67">
        <f t="shared" si="3"/>
        <v>1.877038795059355</v>
      </c>
      <c r="F109" s="67">
        <f t="shared" si="3"/>
        <v>0.76362052409855619</v>
      </c>
      <c r="G109" s="67">
        <f t="shared" si="3"/>
        <v>42.203462975143431</v>
      </c>
      <c r="H109" s="67">
        <f t="shared" si="3"/>
        <v>44.427282989050468</v>
      </c>
      <c r="I109" s="67">
        <f t="shared" si="3"/>
        <v>1.7950019516922282</v>
      </c>
      <c r="J109" s="67">
        <f t="shared" si="3"/>
        <v>0.91493945730103809</v>
      </c>
      <c r="K109" s="67">
        <f t="shared" si="3"/>
        <v>143.42845708474488</v>
      </c>
      <c r="L109" s="67">
        <f t="shared" si="3"/>
        <v>4.1713022704641149</v>
      </c>
      <c r="M109" s="67">
        <f t="shared" si="3"/>
        <v>10.50410340663074</v>
      </c>
      <c r="N109" s="67">
        <f t="shared" si="3"/>
        <v>239.78250933937559</v>
      </c>
      <c r="O109" s="67">
        <f t="shared" si="3"/>
        <v>0</v>
      </c>
      <c r="P109" s="67">
        <f t="shared" si="3"/>
        <v>0.51756386799711962</v>
      </c>
      <c r="Q109" s="67">
        <f t="shared" si="3"/>
        <v>0.88329844353472997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COUNT(H9:H104)+69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0" sqref="G12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247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12/12/2024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231</v>
      </c>
      <c r="C7" s="198" t="s">
        <v>232</v>
      </c>
      <c r="D7" s="198" t="s">
        <v>233</v>
      </c>
      <c r="E7" s="198" t="s">
        <v>234</v>
      </c>
      <c r="F7" s="198" t="s">
        <v>235</v>
      </c>
      <c r="G7" s="198" t="s">
        <v>236</v>
      </c>
      <c r="H7" s="198" t="s">
        <v>237</v>
      </c>
      <c r="I7" s="198" t="s">
        <v>238</v>
      </c>
      <c r="J7" s="198" t="s">
        <v>239</v>
      </c>
      <c r="K7" s="198" t="s">
        <v>240</v>
      </c>
      <c r="L7" s="198" t="s">
        <v>241</v>
      </c>
      <c r="M7" s="198" t="s">
        <v>242</v>
      </c>
      <c r="N7" s="198" t="s">
        <v>243</v>
      </c>
      <c r="O7" s="198" t="s">
        <v>244</v>
      </c>
      <c r="P7" s="198" t="s">
        <v>245</v>
      </c>
      <c r="Q7" s="198" t="s">
        <v>246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1304</v>
      </c>
      <c r="B9" s="64">
        <v>39.229999999999997</v>
      </c>
      <c r="C9" s="64">
        <v>68.599999999999994</v>
      </c>
      <c r="D9" s="64">
        <v>65.92</v>
      </c>
      <c r="E9" s="64">
        <v>7.42</v>
      </c>
      <c r="F9" s="64">
        <v>3.97</v>
      </c>
      <c r="G9" s="64">
        <v>146.53</v>
      </c>
      <c r="H9" s="213" t="s">
        <v>42</v>
      </c>
      <c r="I9" s="64">
        <v>8.5500000000000007</v>
      </c>
      <c r="J9" s="64">
        <v>0.71</v>
      </c>
      <c r="K9" s="64">
        <v>301.58</v>
      </c>
      <c r="L9" s="64">
        <v>13.41</v>
      </c>
      <c r="M9" s="64">
        <v>54.02</v>
      </c>
      <c r="N9" s="64">
        <v>92.7</v>
      </c>
      <c r="O9" s="64">
        <v>0</v>
      </c>
      <c r="P9" s="64">
        <v>1.78</v>
      </c>
      <c r="Q9" s="64">
        <v>10.220000000000001</v>
      </c>
      <c r="R9" s="198"/>
      <c r="S9" s="198"/>
      <c r="T9" s="198"/>
      <c r="U9" s="198"/>
    </row>
    <row r="10" spans="1:21" s="12" customFormat="1" x14ac:dyDescent="0.25">
      <c r="A10" s="215" t="s">
        <v>1305</v>
      </c>
      <c r="B10" s="64">
        <v>35.72</v>
      </c>
      <c r="C10" s="64">
        <v>66.62</v>
      </c>
      <c r="D10" s="64">
        <v>62.07</v>
      </c>
      <c r="E10" s="64">
        <v>7.14</v>
      </c>
      <c r="F10" s="64">
        <v>3.55</v>
      </c>
      <c r="G10" s="64">
        <v>146.53</v>
      </c>
      <c r="H10" s="213" t="s">
        <v>42</v>
      </c>
      <c r="I10" s="64">
        <v>8.27</v>
      </c>
      <c r="J10" s="64">
        <v>0.55000000000000004</v>
      </c>
      <c r="K10" s="64">
        <v>49.87</v>
      </c>
      <c r="L10" s="64">
        <v>13.13</v>
      </c>
      <c r="M10" s="64">
        <v>55</v>
      </c>
      <c r="N10" s="64">
        <v>92.8</v>
      </c>
      <c r="O10" s="64">
        <v>0</v>
      </c>
      <c r="P10" s="64">
        <v>1.71</v>
      </c>
      <c r="Q10" s="64">
        <v>10.18</v>
      </c>
      <c r="R10" s="198"/>
      <c r="S10" s="198"/>
      <c r="T10" s="198"/>
      <c r="U10" s="198"/>
    </row>
    <row r="11" spans="1:21" s="12" customFormat="1" x14ac:dyDescent="0.25">
      <c r="A11" s="215" t="s">
        <v>1306</v>
      </c>
      <c r="B11" s="64">
        <v>32.53</v>
      </c>
      <c r="C11" s="64">
        <v>64.989999999999995</v>
      </c>
      <c r="D11" s="64">
        <v>58.66</v>
      </c>
      <c r="E11" s="64">
        <v>7.02</v>
      </c>
      <c r="F11" s="64">
        <v>3.87</v>
      </c>
      <c r="G11" s="64">
        <v>146.53</v>
      </c>
      <c r="H11" s="213" t="s">
        <v>42</v>
      </c>
      <c r="I11" s="64">
        <v>8.0399999999999991</v>
      </c>
      <c r="J11" s="64">
        <v>1.36</v>
      </c>
      <c r="K11" s="64">
        <v>14.37</v>
      </c>
      <c r="L11" s="64">
        <v>12.95</v>
      </c>
      <c r="M11" s="64">
        <v>55.49</v>
      </c>
      <c r="N11" s="64">
        <v>93.4</v>
      </c>
      <c r="O11" s="64">
        <v>0</v>
      </c>
      <c r="P11" s="64">
        <v>1.64</v>
      </c>
      <c r="Q11" s="64">
        <v>10.15</v>
      </c>
      <c r="R11" s="198"/>
      <c r="S11" s="198"/>
      <c r="T11" s="198"/>
      <c r="U11" s="198"/>
    </row>
    <row r="12" spans="1:21" s="12" customFormat="1" x14ac:dyDescent="0.25">
      <c r="A12" s="215" t="s">
        <v>1307</v>
      </c>
      <c r="B12" s="64">
        <v>29.73</v>
      </c>
      <c r="C12" s="64">
        <v>63.05</v>
      </c>
      <c r="D12" s="64">
        <v>55.4</v>
      </c>
      <c r="E12" s="64">
        <v>6.95</v>
      </c>
      <c r="F12" s="64">
        <v>3.86</v>
      </c>
      <c r="G12" s="64">
        <v>136.46</v>
      </c>
      <c r="H12" s="64">
        <v>8.3000000000000007</v>
      </c>
      <c r="I12" s="64">
        <v>7.82</v>
      </c>
      <c r="J12" s="64">
        <v>0.99</v>
      </c>
      <c r="K12" s="64">
        <v>328.55</v>
      </c>
      <c r="L12" s="64">
        <v>12.69</v>
      </c>
      <c r="M12" s="64">
        <v>56.39</v>
      </c>
      <c r="N12" s="64">
        <v>93.1</v>
      </c>
      <c r="O12" s="64">
        <v>0</v>
      </c>
      <c r="P12" s="64">
        <v>1.57</v>
      </c>
      <c r="Q12" s="64">
        <v>10.11</v>
      </c>
      <c r="R12" s="198"/>
      <c r="S12" s="198"/>
      <c r="T12" s="198"/>
      <c r="U12" s="198"/>
    </row>
    <row r="13" spans="1:21" s="12" customFormat="1" x14ac:dyDescent="0.25">
      <c r="A13" s="215" t="s">
        <v>1308</v>
      </c>
      <c r="B13" s="64">
        <v>27.12</v>
      </c>
      <c r="C13" s="64">
        <v>61.41</v>
      </c>
      <c r="D13" s="64">
        <v>52.45</v>
      </c>
      <c r="E13" s="64">
        <v>6.72</v>
      </c>
      <c r="F13" s="64">
        <v>3.82</v>
      </c>
      <c r="G13" s="64">
        <v>128.76</v>
      </c>
      <c r="H13" s="64">
        <v>11.12</v>
      </c>
      <c r="I13" s="64">
        <v>7.58</v>
      </c>
      <c r="J13" s="64">
        <v>1.32</v>
      </c>
      <c r="K13" s="64">
        <v>340.31</v>
      </c>
      <c r="L13" s="64">
        <v>12.51</v>
      </c>
      <c r="M13" s="64">
        <v>57.58</v>
      </c>
      <c r="N13" s="64">
        <v>93.5</v>
      </c>
      <c r="O13" s="64">
        <v>0</v>
      </c>
      <c r="P13" s="64">
        <v>1.47</v>
      </c>
      <c r="Q13" s="64">
        <v>10.07</v>
      </c>
      <c r="R13" s="198"/>
      <c r="S13" s="198"/>
      <c r="T13" s="198"/>
      <c r="U13" s="198"/>
    </row>
    <row r="14" spans="1:21" s="12" customFormat="1" x14ac:dyDescent="0.25">
      <c r="A14" s="215" t="s">
        <v>1309</v>
      </c>
      <c r="B14" s="64">
        <v>24.72</v>
      </c>
      <c r="C14" s="64">
        <v>59.85</v>
      </c>
      <c r="D14" s="64">
        <v>49.72</v>
      </c>
      <c r="E14" s="64">
        <v>7.04</v>
      </c>
      <c r="F14" s="64">
        <v>3.95</v>
      </c>
      <c r="G14" s="64">
        <v>128.76</v>
      </c>
      <c r="H14" s="64">
        <v>11.12</v>
      </c>
      <c r="I14" s="64">
        <v>7.41</v>
      </c>
      <c r="J14" s="64">
        <v>1.1599999999999999</v>
      </c>
      <c r="K14" s="64">
        <v>339.07</v>
      </c>
      <c r="L14" s="64">
        <v>12.28</v>
      </c>
      <c r="M14" s="64">
        <v>59.24</v>
      </c>
      <c r="N14" s="64">
        <v>93.6</v>
      </c>
      <c r="O14" s="64">
        <v>0</v>
      </c>
      <c r="P14" s="64">
        <v>1.44</v>
      </c>
      <c r="Q14" s="64">
        <v>9.86</v>
      </c>
      <c r="R14" s="198"/>
      <c r="S14" s="198"/>
      <c r="T14" s="198"/>
      <c r="U14" s="198"/>
    </row>
    <row r="15" spans="1:21" s="12" customFormat="1" x14ac:dyDescent="0.25">
      <c r="A15" s="215" t="s">
        <v>1310</v>
      </c>
      <c r="B15" s="64">
        <v>22.6</v>
      </c>
      <c r="C15" s="64">
        <v>58.5</v>
      </c>
      <c r="D15" s="64">
        <v>47.31</v>
      </c>
      <c r="E15" s="64">
        <v>6.82</v>
      </c>
      <c r="F15" s="64">
        <v>4.3600000000000003</v>
      </c>
      <c r="G15" s="64">
        <v>128.76</v>
      </c>
      <c r="H15" s="64">
        <v>11.12</v>
      </c>
      <c r="I15" s="64">
        <v>7.17</v>
      </c>
      <c r="J15" s="64">
        <v>1.67</v>
      </c>
      <c r="K15" s="64">
        <v>273.33999999999997</v>
      </c>
      <c r="L15" s="64">
        <v>12.04</v>
      </c>
      <c r="M15" s="64">
        <v>61.82</v>
      </c>
      <c r="N15" s="64">
        <v>93.9</v>
      </c>
      <c r="O15" s="64">
        <v>0</v>
      </c>
      <c r="P15" s="64">
        <v>1.38</v>
      </c>
      <c r="Q15" s="64">
        <v>9.36</v>
      </c>
      <c r="R15" s="198"/>
      <c r="S15" s="198"/>
      <c r="T15" s="198"/>
      <c r="U15" s="198"/>
    </row>
    <row r="16" spans="1:21" s="12" customFormat="1" x14ac:dyDescent="0.25">
      <c r="A16" s="215" t="s">
        <v>1311</v>
      </c>
      <c r="B16" s="64">
        <v>20.5</v>
      </c>
      <c r="C16" s="64">
        <v>57.28</v>
      </c>
      <c r="D16" s="64">
        <v>44.99</v>
      </c>
      <c r="E16" s="64">
        <v>6.82</v>
      </c>
      <c r="F16" s="64">
        <v>4.18</v>
      </c>
      <c r="G16" s="64">
        <v>115.2</v>
      </c>
      <c r="H16" s="64">
        <v>4.57</v>
      </c>
      <c r="I16" s="64">
        <v>6.95</v>
      </c>
      <c r="J16" s="64">
        <v>1.61</v>
      </c>
      <c r="K16" s="64">
        <v>244.12</v>
      </c>
      <c r="L16" s="64">
        <v>11.61</v>
      </c>
      <c r="M16" s="64">
        <v>63.83</v>
      </c>
      <c r="N16" s="64">
        <v>93.8</v>
      </c>
      <c r="O16" s="64">
        <v>0</v>
      </c>
      <c r="P16" s="64">
        <v>1.32</v>
      </c>
      <c r="Q16" s="64">
        <v>8.9700000000000006</v>
      </c>
      <c r="R16" s="198"/>
      <c r="S16" s="198"/>
      <c r="T16" s="198"/>
      <c r="U16" s="198"/>
    </row>
    <row r="17" spans="1:21" s="12" customFormat="1" x14ac:dyDescent="0.25">
      <c r="A17" s="215" t="s">
        <v>1312</v>
      </c>
      <c r="B17" s="64">
        <v>18.8</v>
      </c>
      <c r="C17" s="64">
        <v>56.59</v>
      </c>
      <c r="D17" s="64">
        <v>43.26</v>
      </c>
      <c r="E17" s="64">
        <v>7</v>
      </c>
      <c r="F17" s="64">
        <v>3.9</v>
      </c>
      <c r="G17" s="64">
        <v>104.35</v>
      </c>
      <c r="H17" s="64">
        <v>40.44</v>
      </c>
      <c r="I17" s="64">
        <v>6.72</v>
      </c>
      <c r="J17" s="64">
        <v>0.33</v>
      </c>
      <c r="K17" s="64">
        <v>212.5</v>
      </c>
      <c r="L17" s="64">
        <v>11.48</v>
      </c>
      <c r="M17" s="64">
        <v>65.03</v>
      </c>
      <c r="N17" s="64">
        <v>93</v>
      </c>
      <c r="O17" s="64">
        <v>0</v>
      </c>
      <c r="P17" s="64">
        <v>1.29</v>
      </c>
      <c r="Q17" s="64">
        <v>8.65</v>
      </c>
      <c r="R17" s="198"/>
      <c r="S17" s="198"/>
      <c r="T17" s="198"/>
      <c r="U17" s="198"/>
    </row>
    <row r="18" spans="1:21" s="12" customFormat="1" x14ac:dyDescent="0.25">
      <c r="A18" s="215" t="s">
        <v>1313</v>
      </c>
      <c r="B18" s="64">
        <v>17.16</v>
      </c>
      <c r="C18" s="64">
        <v>55.73</v>
      </c>
      <c r="D18" s="64">
        <v>41.5</v>
      </c>
      <c r="E18" s="64">
        <v>6.69</v>
      </c>
      <c r="F18" s="64">
        <v>3.97</v>
      </c>
      <c r="G18" s="64">
        <v>104.35</v>
      </c>
      <c r="H18" s="64">
        <v>40.44</v>
      </c>
      <c r="I18" s="64">
        <v>6.53</v>
      </c>
      <c r="J18" s="64">
        <v>1.07</v>
      </c>
      <c r="K18" s="64">
        <v>282.3</v>
      </c>
      <c r="L18" s="64">
        <v>11.27</v>
      </c>
      <c r="M18" s="64">
        <v>69.89</v>
      </c>
      <c r="N18" s="64">
        <v>93.9</v>
      </c>
      <c r="O18" s="64">
        <v>0</v>
      </c>
      <c r="P18" s="64">
        <v>1.24</v>
      </c>
      <c r="Q18" s="64">
        <v>8.41</v>
      </c>
      <c r="R18" s="198"/>
      <c r="S18" s="198"/>
      <c r="T18" s="198"/>
      <c r="U18" s="198"/>
    </row>
    <row r="19" spans="1:21" s="12" customFormat="1" x14ac:dyDescent="0.25">
      <c r="A19" s="215" t="s">
        <v>1314</v>
      </c>
      <c r="B19" s="64">
        <v>15.62</v>
      </c>
      <c r="C19" s="64">
        <v>55.29</v>
      </c>
      <c r="D19" s="64">
        <v>40.03</v>
      </c>
      <c r="E19" s="64">
        <v>6.81</v>
      </c>
      <c r="F19" s="64">
        <v>4.22</v>
      </c>
      <c r="G19" s="64">
        <v>104.35</v>
      </c>
      <c r="H19" s="64">
        <v>40.44</v>
      </c>
      <c r="I19" s="64">
        <v>6.38</v>
      </c>
      <c r="J19" s="64">
        <v>1.7</v>
      </c>
      <c r="K19" s="64">
        <v>335.22</v>
      </c>
      <c r="L19" s="64">
        <v>11.27</v>
      </c>
      <c r="M19" s="64">
        <v>66.89</v>
      </c>
      <c r="N19" s="64">
        <v>93.9</v>
      </c>
      <c r="O19" s="64">
        <v>0</v>
      </c>
      <c r="P19" s="64">
        <v>1.19</v>
      </c>
      <c r="Q19" s="64">
        <v>8.26</v>
      </c>
      <c r="R19" s="198"/>
      <c r="S19" s="198"/>
      <c r="T19" s="198"/>
      <c r="U19" s="198"/>
    </row>
    <row r="20" spans="1:21" s="12" customFormat="1" x14ac:dyDescent="0.25">
      <c r="A20" s="215" t="s">
        <v>1315</v>
      </c>
      <c r="B20" s="64">
        <v>14.26</v>
      </c>
      <c r="C20" s="64">
        <v>55.07</v>
      </c>
      <c r="D20" s="64">
        <v>38.83</v>
      </c>
      <c r="E20" s="64">
        <v>6.1</v>
      </c>
      <c r="F20" s="64">
        <v>4.38</v>
      </c>
      <c r="G20" s="64">
        <v>102.67</v>
      </c>
      <c r="H20" s="64">
        <v>30.13</v>
      </c>
      <c r="I20" s="64">
        <v>6.21</v>
      </c>
      <c r="J20" s="64">
        <v>1.37</v>
      </c>
      <c r="K20" s="64">
        <v>341.63</v>
      </c>
      <c r="L20" s="64">
        <v>11.13</v>
      </c>
      <c r="M20" s="64">
        <v>69.59</v>
      </c>
      <c r="N20" s="64">
        <v>93.9</v>
      </c>
      <c r="O20" s="64">
        <v>0</v>
      </c>
      <c r="P20" s="64">
        <v>1.1499999999999999</v>
      </c>
      <c r="Q20" s="64">
        <v>8.2100000000000009</v>
      </c>
      <c r="R20" s="198"/>
      <c r="S20" s="198"/>
      <c r="T20" s="198"/>
      <c r="U20" s="198"/>
    </row>
    <row r="21" spans="1:21" s="12" customFormat="1" x14ac:dyDescent="0.25">
      <c r="A21" s="215" t="s">
        <v>1316</v>
      </c>
      <c r="B21" s="64">
        <v>13.65</v>
      </c>
      <c r="C21" s="64">
        <v>54.73</v>
      </c>
      <c r="D21" s="64">
        <v>38.17</v>
      </c>
      <c r="E21" s="64">
        <v>6.04</v>
      </c>
      <c r="F21" s="64">
        <v>4.13</v>
      </c>
      <c r="G21" s="64">
        <v>101.32</v>
      </c>
      <c r="H21" s="64">
        <v>30.13</v>
      </c>
      <c r="I21" s="64">
        <v>6</v>
      </c>
      <c r="J21" s="64">
        <v>2.2400000000000002</v>
      </c>
      <c r="K21" s="64">
        <v>252.36</v>
      </c>
      <c r="L21" s="64">
        <v>10.91</v>
      </c>
      <c r="M21" s="64">
        <v>70.930000000000007</v>
      </c>
      <c r="N21" s="64">
        <v>94</v>
      </c>
      <c r="O21" s="64">
        <v>0</v>
      </c>
      <c r="P21" s="64">
        <v>1.1100000000000001</v>
      </c>
      <c r="Q21" s="64">
        <v>8.2100000000000009</v>
      </c>
      <c r="R21" s="198"/>
      <c r="S21" s="198"/>
      <c r="T21" s="198"/>
      <c r="U21" s="198"/>
    </row>
    <row r="22" spans="1:21" s="12" customFormat="1" x14ac:dyDescent="0.25">
      <c r="A22" s="215" t="s">
        <v>1317</v>
      </c>
      <c r="B22" s="64">
        <v>12.76</v>
      </c>
      <c r="C22" s="64">
        <v>54.27</v>
      </c>
      <c r="D22" s="64">
        <v>37.21</v>
      </c>
      <c r="E22" s="64">
        <v>6.1</v>
      </c>
      <c r="F22" s="64">
        <v>4.4400000000000004</v>
      </c>
      <c r="G22" s="64">
        <v>101.32</v>
      </c>
      <c r="H22" s="64">
        <v>30.13</v>
      </c>
      <c r="I22" s="64">
        <v>5.83</v>
      </c>
      <c r="J22" s="64">
        <v>1.4</v>
      </c>
      <c r="K22" s="64">
        <v>287.64</v>
      </c>
      <c r="L22" s="64">
        <v>10.44</v>
      </c>
      <c r="M22" s="64">
        <v>72.66</v>
      </c>
      <c r="N22" s="64">
        <v>94.4</v>
      </c>
      <c r="O22" s="64">
        <v>0</v>
      </c>
      <c r="P22" s="64">
        <v>1.07</v>
      </c>
      <c r="Q22" s="64">
        <v>8.2100000000000009</v>
      </c>
      <c r="R22" s="198"/>
      <c r="S22" s="198"/>
      <c r="T22" s="198"/>
      <c r="U22" s="198"/>
    </row>
    <row r="23" spans="1:21" s="12" customFormat="1" x14ac:dyDescent="0.25">
      <c r="A23" s="215" t="s">
        <v>1318</v>
      </c>
      <c r="B23" s="64">
        <v>12</v>
      </c>
      <c r="C23" s="64">
        <v>53.82</v>
      </c>
      <c r="D23" s="64">
        <v>36.369999999999997</v>
      </c>
      <c r="E23" s="64">
        <v>5.83</v>
      </c>
      <c r="F23" s="64">
        <v>4.5</v>
      </c>
      <c r="G23" s="64">
        <v>101.32</v>
      </c>
      <c r="H23" s="64">
        <v>30.13</v>
      </c>
      <c r="I23" s="64">
        <v>5.67</v>
      </c>
      <c r="J23" s="64">
        <v>1.21</v>
      </c>
      <c r="K23" s="64">
        <v>280.06</v>
      </c>
      <c r="L23" s="64">
        <v>9.92</v>
      </c>
      <c r="M23" s="64">
        <v>77.47</v>
      </c>
      <c r="N23" s="64">
        <v>94.3</v>
      </c>
      <c r="O23" s="64">
        <v>0</v>
      </c>
      <c r="P23" s="64">
        <v>1.04</v>
      </c>
      <c r="Q23" s="64">
        <v>8.2100000000000009</v>
      </c>
      <c r="R23" s="198"/>
      <c r="S23" s="198"/>
      <c r="T23" s="198"/>
      <c r="U23" s="198"/>
    </row>
    <row r="24" spans="1:21" s="12" customFormat="1" x14ac:dyDescent="0.25">
      <c r="A24" s="215" t="s">
        <v>1319</v>
      </c>
      <c r="B24" s="64">
        <v>11.34</v>
      </c>
      <c r="C24" s="64">
        <v>53.11</v>
      </c>
      <c r="D24" s="64">
        <v>35.47</v>
      </c>
      <c r="E24" s="64">
        <v>6.04</v>
      </c>
      <c r="F24" s="64">
        <v>4.21</v>
      </c>
      <c r="G24" s="64">
        <v>103.02</v>
      </c>
      <c r="H24" s="64">
        <v>57.28</v>
      </c>
      <c r="I24" s="64">
        <v>5.5</v>
      </c>
      <c r="J24" s="64">
        <v>1.61</v>
      </c>
      <c r="K24" s="64">
        <v>248.91</v>
      </c>
      <c r="L24" s="64">
        <v>9.6999999999999993</v>
      </c>
      <c r="M24" s="64">
        <v>79.819999999999993</v>
      </c>
      <c r="N24" s="64">
        <v>93.8</v>
      </c>
      <c r="O24" s="64">
        <v>0</v>
      </c>
      <c r="P24" s="64">
        <v>1.01</v>
      </c>
      <c r="Q24" s="64">
        <v>8.2100000000000009</v>
      </c>
      <c r="R24" s="198"/>
      <c r="S24" s="198"/>
      <c r="T24" s="198"/>
      <c r="U24" s="198"/>
    </row>
    <row r="25" spans="1:21" s="12" customFormat="1" x14ac:dyDescent="0.25">
      <c r="A25" s="215" t="s">
        <v>1320</v>
      </c>
      <c r="B25" s="64">
        <v>10.96</v>
      </c>
      <c r="C25" s="64">
        <v>52.57</v>
      </c>
      <c r="D25" s="64">
        <v>34.880000000000003</v>
      </c>
      <c r="E25" s="64">
        <v>6.13</v>
      </c>
      <c r="F25" s="64">
        <v>3.85</v>
      </c>
      <c r="G25" s="64">
        <v>104.32</v>
      </c>
      <c r="H25" s="64">
        <v>58.16</v>
      </c>
      <c r="I25" s="64">
        <v>5.37</v>
      </c>
      <c r="J25" s="64">
        <v>1.84</v>
      </c>
      <c r="K25" s="64">
        <v>304.13</v>
      </c>
      <c r="L25" s="64">
        <v>9.52</v>
      </c>
      <c r="M25" s="64">
        <v>84.72</v>
      </c>
      <c r="N25" s="64">
        <v>94.1</v>
      </c>
      <c r="O25" s="64">
        <v>0</v>
      </c>
      <c r="P25" s="64">
        <v>1</v>
      </c>
      <c r="Q25" s="64">
        <v>8.2100000000000009</v>
      </c>
      <c r="R25" s="198"/>
      <c r="S25" s="198"/>
      <c r="T25" s="198"/>
      <c r="U25" s="198"/>
    </row>
    <row r="26" spans="1:21" s="12" customFormat="1" x14ac:dyDescent="0.25">
      <c r="A26" s="215" t="s">
        <v>1321</v>
      </c>
      <c r="B26" s="64">
        <v>11.33</v>
      </c>
      <c r="C26" s="64">
        <v>51.03</v>
      </c>
      <c r="D26" s="64">
        <v>34.369999999999997</v>
      </c>
      <c r="E26" s="64">
        <v>6.52</v>
      </c>
      <c r="F26" s="64">
        <v>4.59</v>
      </c>
      <c r="G26" s="64">
        <v>104.32</v>
      </c>
      <c r="H26" s="64">
        <v>58.16</v>
      </c>
      <c r="I26" s="64">
        <v>5.27</v>
      </c>
      <c r="J26" s="64">
        <v>1.89</v>
      </c>
      <c r="K26" s="64">
        <v>307.87</v>
      </c>
      <c r="L26" s="64">
        <v>9.11</v>
      </c>
      <c r="M26" s="64">
        <v>88.07</v>
      </c>
      <c r="N26" s="64">
        <v>94.1</v>
      </c>
      <c r="O26" s="64">
        <v>0</v>
      </c>
      <c r="P26" s="64">
        <v>0.99</v>
      </c>
      <c r="Q26" s="64">
        <v>8.2100000000000009</v>
      </c>
      <c r="R26" s="198"/>
      <c r="S26" s="198"/>
      <c r="T26" s="198"/>
      <c r="U26" s="198"/>
    </row>
    <row r="27" spans="1:21" s="12" customFormat="1" x14ac:dyDescent="0.25">
      <c r="A27" s="215" t="s">
        <v>1322</v>
      </c>
      <c r="B27" s="64">
        <v>12.31</v>
      </c>
      <c r="C27" s="64">
        <v>51.12</v>
      </c>
      <c r="D27" s="64">
        <v>35.200000000000003</v>
      </c>
      <c r="E27" s="64">
        <v>6.85</v>
      </c>
      <c r="F27" s="64">
        <v>5.16</v>
      </c>
      <c r="G27" s="64">
        <v>104.32</v>
      </c>
      <c r="H27" s="64">
        <v>58.16</v>
      </c>
      <c r="I27" s="64">
        <v>5.23</v>
      </c>
      <c r="J27" s="64">
        <v>2</v>
      </c>
      <c r="K27" s="64">
        <v>292.91000000000003</v>
      </c>
      <c r="L27" s="64">
        <v>9.08</v>
      </c>
      <c r="M27" s="64">
        <v>89</v>
      </c>
      <c r="N27" s="64">
        <v>94</v>
      </c>
      <c r="O27" s="64">
        <v>0</v>
      </c>
      <c r="P27" s="64">
        <v>0.98</v>
      </c>
      <c r="Q27" s="64">
        <v>8.2100000000000009</v>
      </c>
      <c r="R27" s="198"/>
      <c r="S27" s="198"/>
      <c r="T27" s="198"/>
      <c r="U27" s="198"/>
    </row>
    <row r="28" spans="1:21" s="12" customFormat="1" x14ac:dyDescent="0.25">
      <c r="A28" s="215" t="s">
        <v>1323</v>
      </c>
      <c r="B28" s="64">
        <v>13.12</v>
      </c>
      <c r="C28" s="64">
        <v>51.05</v>
      </c>
      <c r="D28" s="64">
        <v>35.82</v>
      </c>
      <c r="E28" s="64">
        <v>7</v>
      </c>
      <c r="F28" s="64">
        <v>4.25</v>
      </c>
      <c r="G28" s="64">
        <v>105.74</v>
      </c>
      <c r="H28" s="64">
        <v>61.89</v>
      </c>
      <c r="I28" s="64">
        <v>5.19</v>
      </c>
      <c r="J28" s="64">
        <v>1.92</v>
      </c>
      <c r="K28" s="64">
        <v>321.55</v>
      </c>
      <c r="L28" s="64">
        <v>9.02</v>
      </c>
      <c r="M28" s="64">
        <v>90</v>
      </c>
      <c r="N28" s="64">
        <v>94.2</v>
      </c>
      <c r="O28" s="64">
        <v>0</v>
      </c>
      <c r="P28" s="64">
        <v>0.97</v>
      </c>
      <c r="Q28" s="64">
        <v>8.2100000000000009</v>
      </c>
      <c r="R28" s="198"/>
      <c r="S28" s="198"/>
      <c r="T28" s="198"/>
      <c r="U28" s="198"/>
    </row>
    <row r="29" spans="1:21" s="12" customFormat="1" x14ac:dyDescent="0.25">
      <c r="A29" s="215" t="s">
        <v>1324</v>
      </c>
      <c r="B29" s="64">
        <v>15.86</v>
      </c>
      <c r="C29" s="64">
        <v>50.85</v>
      </c>
      <c r="D29" s="64">
        <v>37.909999999999997</v>
      </c>
      <c r="E29" s="64">
        <v>7.03</v>
      </c>
      <c r="F29" s="64">
        <v>4.03</v>
      </c>
      <c r="G29" s="64">
        <v>106.83</v>
      </c>
      <c r="H29" s="64">
        <v>66.14</v>
      </c>
      <c r="I29" s="64">
        <v>5.12</v>
      </c>
      <c r="J29" s="64">
        <v>2.2999999999999998</v>
      </c>
      <c r="K29" s="64">
        <v>335.35</v>
      </c>
      <c r="L29" s="64">
        <v>8.83</v>
      </c>
      <c r="M29" s="64">
        <v>92.51</v>
      </c>
      <c r="N29" s="64">
        <v>94.5</v>
      </c>
      <c r="O29" s="64">
        <v>0</v>
      </c>
      <c r="P29" s="64">
        <v>0.96</v>
      </c>
      <c r="Q29" s="64">
        <v>8.2100000000000009</v>
      </c>
      <c r="R29" s="198"/>
      <c r="S29" s="198"/>
      <c r="T29" s="198"/>
      <c r="U29" s="198"/>
    </row>
    <row r="30" spans="1:21" s="12" customFormat="1" x14ac:dyDescent="0.25">
      <c r="A30" s="215" t="s">
        <v>1325</v>
      </c>
      <c r="B30" s="64">
        <v>19.25</v>
      </c>
      <c r="C30" s="64">
        <v>50.65</v>
      </c>
      <c r="D30" s="64">
        <v>40.53</v>
      </c>
      <c r="E30" s="64">
        <v>6.9</v>
      </c>
      <c r="F30" s="64">
        <v>4.28</v>
      </c>
      <c r="G30" s="64">
        <v>106.83</v>
      </c>
      <c r="H30" s="64">
        <v>66.14</v>
      </c>
      <c r="I30" s="64">
        <v>5.08</v>
      </c>
      <c r="J30" s="64">
        <v>2.34</v>
      </c>
      <c r="K30" s="64">
        <v>288.08</v>
      </c>
      <c r="L30" s="64">
        <v>8.9</v>
      </c>
      <c r="M30" s="64">
        <v>88.19</v>
      </c>
      <c r="N30" s="64">
        <v>94.2</v>
      </c>
      <c r="O30" s="64">
        <v>0</v>
      </c>
      <c r="P30" s="64">
        <v>0.95</v>
      </c>
      <c r="Q30" s="64">
        <v>8.26</v>
      </c>
      <c r="R30" s="198"/>
      <c r="S30" s="198"/>
      <c r="T30" s="198"/>
      <c r="U30" s="198"/>
    </row>
    <row r="31" spans="1:21" s="12" customFormat="1" x14ac:dyDescent="0.25">
      <c r="A31" s="215" t="s">
        <v>1326</v>
      </c>
      <c r="B31" s="64">
        <v>20.239999999999998</v>
      </c>
      <c r="C31" s="64">
        <v>50.8</v>
      </c>
      <c r="D31" s="64">
        <v>41.4</v>
      </c>
      <c r="E31" s="64">
        <v>7.04</v>
      </c>
      <c r="F31" s="64">
        <v>4.03</v>
      </c>
      <c r="G31" s="64">
        <v>106.83</v>
      </c>
      <c r="H31" s="64">
        <v>66.14</v>
      </c>
      <c r="I31" s="64">
        <v>5.05</v>
      </c>
      <c r="J31" s="64">
        <v>1.37</v>
      </c>
      <c r="K31" s="64">
        <v>283.57</v>
      </c>
      <c r="L31" s="64">
        <v>9.02</v>
      </c>
      <c r="M31" s="64">
        <v>83.99</v>
      </c>
      <c r="N31" s="64">
        <v>94.1</v>
      </c>
      <c r="O31" s="64">
        <v>0</v>
      </c>
      <c r="P31" s="64">
        <v>0.93</v>
      </c>
      <c r="Q31" s="64">
        <v>8.2799999999999994</v>
      </c>
      <c r="R31" s="198"/>
      <c r="S31" s="198"/>
      <c r="T31" s="198"/>
      <c r="U31" s="198"/>
    </row>
    <row r="32" spans="1:21" s="12" customFormat="1" x14ac:dyDescent="0.25">
      <c r="A32" s="215" t="s">
        <v>1327</v>
      </c>
      <c r="B32" s="64">
        <v>19.989999999999998</v>
      </c>
      <c r="C32" s="64">
        <v>50.7</v>
      </c>
      <c r="D32" s="64">
        <v>41.14</v>
      </c>
      <c r="E32" s="64">
        <v>6.74</v>
      </c>
      <c r="F32" s="64">
        <v>4.33</v>
      </c>
      <c r="G32" s="64">
        <v>107.95</v>
      </c>
      <c r="H32" s="64">
        <v>66.14</v>
      </c>
      <c r="I32" s="64">
        <v>5</v>
      </c>
      <c r="J32" s="64">
        <v>2.2799999999999998</v>
      </c>
      <c r="K32" s="64">
        <v>334.2</v>
      </c>
      <c r="L32" s="64">
        <v>9.34</v>
      </c>
      <c r="M32" s="64">
        <v>83.37</v>
      </c>
      <c r="N32" s="64">
        <v>94</v>
      </c>
      <c r="O32" s="64">
        <v>0</v>
      </c>
      <c r="P32" s="64">
        <v>0.91</v>
      </c>
      <c r="Q32" s="64">
        <v>8.25</v>
      </c>
      <c r="R32" s="198"/>
      <c r="S32" s="198"/>
      <c r="T32" s="198"/>
      <c r="U32" s="198"/>
    </row>
    <row r="33" spans="1:21" s="12" customFormat="1" x14ac:dyDescent="0.25">
      <c r="A33" s="215" t="s">
        <v>1328</v>
      </c>
      <c r="B33" s="64">
        <v>21.01</v>
      </c>
      <c r="C33" s="64">
        <v>51.24</v>
      </c>
      <c r="D33" s="64">
        <v>42.24</v>
      </c>
      <c r="E33" s="64">
        <v>7.17</v>
      </c>
      <c r="F33" s="64">
        <v>4.16</v>
      </c>
      <c r="G33" s="64">
        <v>108.8</v>
      </c>
      <c r="H33" s="64">
        <v>67.209999999999994</v>
      </c>
      <c r="I33" s="64">
        <v>4.95</v>
      </c>
      <c r="J33" s="64">
        <v>1.96</v>
      </c>
      <c r="K33" s="64">
        <v>332.68</v>
      </c>
      <c r="L33" s="64">
        <v>9.1199999999999992</v>
      </c>
      <c r="M33" s="64">
        <v>87.5</v>
      </c>
      <c r="N33" s="64">
        <v>94.6</v>
      </c>
      <c r="O33" s="64">
        <v>0</v>
      </c>
      <c r="P33" s="64">
        <v>0.9</v>
      </c>
      <c r="Q33" s="64">
        <v>8.3000000000000007</v>
      </c>
      <c r="R33" s="198"/>
      <c r="S33" s="198"/>
      <c r="T33" s="198"/>
      <c r="U33" s="198"/>
    </row>
    <row r="34" spans="1:21" s="12" customFormat="1" x14ac:dyDescent="0.25">
      <c r="A34" s="215" t="s">
        <v>1329</v>
      </c>
      <c r="B34" s="64">
        <v>21.85</v>
      </c>
      <c r="C34" s="64">
        <v>51.33</v>
      </c>
      <c r="D34" s="64">
        <v>42.97</v>
      </c>
      <c r="E34" s="64">
        <v>7.58</v>
      </c>
      <c r="F34" s="64">
        <v>4.22</v>
      </c>
      <c r="G34" s="64">
        <v>108.8</v>
      </c>
      <c r="H34" s="64">
        <v>67.209999999999994</v>
      </c>
      <c r="I34" s="64">
        <v>4.91</v>
      </c>
      <c r="J34" s="64">
        <v>2.11</v>
      </c>
      <c r="K34" s="64">
        <v>3.03</v>
      </c>
      <c r="L34" s="64">
        <v>9.17</v>
      </c>
      <c r="M34" s="64">
        <v>84.35</v>
      </c>
      <c r="N34" s="64">
        <v>95.6</v>
      </c>
      <c r="O34" s="64">
        <v>0</v>
      </c>
      <c r="P34" s="64">
        <v>0.9</v>
      </c>
      <c r="Q34" s="64">
        <v>8.42</v>
      </c>
      <c r="R34" s="198"/>
      <c r="S34" s="198"/>
      <c r="T34" s="198"/>
      <c r="U34" s="198"/>
    </row>
    <row r="35" spans="1:21" s="12" customFormat="1" x14ac:dyDescent="0.25">
      <c r="A35" s="215" t="s">
        <v>1330</v>
      </c>
      <c r="B35" s="64">
        <v>22.81</v>
      </c>
      <c r="C35" s="64">
        <v>51.72</v>
      </c>
      <c r="D35" s="64">
        <v>43.94</v>
      </c>
      <c r="E35" s="64">
        <v>7.38</v>
      </c>
      <c r="F35" s="64">
        <v>4.33</v>
      </c>
      <c r="G35" s="64">
        <v>108.8</v>
      </c>
      <c r="H35" s="64">
        <v>67.209999999999994</v>
      </c>
      <c r="I35" s="64">
        <v>4.93</v>
      </c>
      <c r="J35" s="64">
        <v>2.34</v>
      </c>
      <c r="K35" s="64">
        <v>2.94</v>
      </c>
      <c r="L35" s="64">
        <v>9.56</v>
      </c>
      <c r="M35" s="64">
        <v>78.959999999999994</v>
      </c>
      <c r="N35" s="64">
        <v>101.2</v>
      </c>
      <c r="O35" s="64">
        <v>0</v>
      </c>
      <c r="P35" s="64">
        <v>0.9</v>
      </c>
      <c r="Q35" s="64">
        <v>8.57</v>
      </c>
      <c r="R35" s="198"/>
      <c r="S35" s="198"/>
      <c r="T35" s="198"/>
      <c r="U35" s="198"/>
    </row>
    <row r="36" spans="1:21" s="12" customFormat="1" x14ac:dyDescent="0.25">
      <c r="A36" s="215" t="s">
        <v>1331</v>
      </c>
      <c r="B36" s="64">
        <v>23.07</v>
      </c>
      <c r="C36" s="64">
        <v>52.48</v>
      </c>
      <c r="D36" s="64">
        <v>44.54</v>
      </c>
      <c r="E36" s="64">
        <v>6.78</v>
      </c>
      <c r="F36" s="64">
        <v>4.5999999999999996</v>
      </c>
      <c r="G36" s="64">
        <v>105.5</v>
      </c>
      <c r="H36" s="64">
        <v>58.43</v>
      </c>
      <c r="I36" s="64">
        <v>4.93</v>
      </c>
      <c r="J36" s="64">
        <v>2.5299999999999998</v>
      </c>
      <c r="K36" s="64">
        <v>353.68</v>
      </c>
      <c r="L36" s="64">
        <v>9.8800000000000008</v>
      </c>
      <c r="M36" s="64">
        <v>78.27</v>
      </c>
      <c r="N36" s="64">
        <v>114.7</v>
      </c>
      <c r="O36" s="64">
        <v>0</v>
      </c>
      <c r="P36" s="64">
        <v>0.9</v>
      </c>
      <c r="Q36" s="64">
        <v>8.7100000000000009</v>
      </c>
      <c r="R36" s="198"/>
      <c r="S36" s="198"/>
      <c r="T36" s="198"/>
      <c r="U36" s="198"/>
    </row>
    <row r="37" spans="1:21" s="12" customFormat="1" x14ac:dyDescent="0.25">
      <c r="A37" s="215" t="s">
        <v>1332</v>
      </c>
      <c r="B37" s="64">
        <v>23.22</v>
      </c>
      <c r="C37" s="64">
        <v>52.98</v>
      </c>
      <c r="D37" s="64">
        <v>44.92</v>
      </c>
      <c r="E37" s="64">
        <v>7.13</v>
      </c>
      <c r="F37" s="64">
        <v>4.83</v>
      </c>
      <c r="G37" s="64">
        <v>102.97</v>
      </c>
      <c r="H37" s="64">
        <v>57.43</v>
      </c>
      <c r="I37" s="64">
        <v>4.8899999999999997</v>
      </c>
      <c r="J37" s="64">
        <v>2.2999999999999998</v>
      </c>
      <c r="K37" s="64">
        <v>353.28</v>
      </c>
      <c r="L37" s="64">
        <v>10.26</v>
      </c>
      <c r="M37" s="64">
        <v>77.150000000000006</v>
      </c>
      <c r="N37" s="64">
        <v>132.6</v>
      </c>
      <c r="O37" s="64">
        <v>0</v>
      </c>
      <c r="P37" s="64">
        <v>0.92</v>
      </c>
      <c r="Q37" s="64">
        <v>8.86</v>
      </c>
      <c r="R37" s="198"/>
      <c r="S37" s="198"/>
      <c r="T37" s="198"/>
      <c r="U37" s="198"/>
    </row>
    <row r="38" spans="1:21" s="12" customFormat="1" x14ac:dyDescent="0.25">
      <c r="A38" s="215" t="s">
        <v>1333</v>
      </c>
      <c r="B38" s="64">
        <v>23.45</v>
      </c>
      <c r="C38" s="64">
        <v>53.45</v>
      </c>
      <c r="D38" s="64">
        <v>45.35</v>
      </c>
      <c r="E38" s="64">
        <v>7.38</v>
      </c>
      <c r="F38" s="64">
        <v>4.4400000000000004</v>
      </c>
      <c r="G38" s="64">
        <v>102.97</v>
      </c>
      <c r="H38" s="64">
        <v>57.43</v>
      </c>
      <c r="I38" s="64">
        <v>4.88</v>
      </c>
      <c r="J38" s="64">
        <v>2.0299999999999998</v>
      </c>
      <c r="K38" s="64">
        <v>349</v>
      </c>
      <c r="L38" s="64">
        <v>10.69</v>
      </c>
      <c r="M38" s="64">
        <v>75.48</v>
      </c>
      <c r="N38" s="64">
        <v>151.30000000000001</v>
      </c>
      <c r="O38" s="64">
        <v>0</v>
      </c>
      <c r="P38" s="64">
        <v>0.99</v>
      </c>
      <c r="Q38" s="64">
        <v>9.06</v>
      </c>
      <c r="R38" s="198"/>
      <c r="S38" s="198"/>
      <c r="T38" s="198"/>
      <c r="U38" s="198"/>
    </row>
    <row r="39" spans="1:21" s="12" customFormat="1" x14ac:dyDescent="0.25">
      <c r="A39" s="215" t="s">
        <v>1334</v>
      </c>
      <c r="B39" s="64">
        <v>23.85</v>
      </c>
      <c r="C39" s="64">
        <v>54.15</v>
      </c>
      <c r="D39" s="64">
        <v>46.04</v>
      </c>
      <c r="E39" s="64">
        <v>7.5</v>
      </c>
      <c r="F39" s="64">
        <v>4.4400000000000004</v>
      </c>
      <c r="G39" s="64">
        <v>102.97</v>
      </c>
      <c r="H39" s="64">
        <v>57.43</v>
      </c>
      <c r="I39" s="64">
        <v>4.93</v>
      </c>
      <c r="J39" s="64">
        <v>2.82</v>
      </c>
      <c r="K39" s="64">
        <v>341.55</v>
      </c>
      <c r="L39" s="64">
        <v>11.27</v>
      </c>
      <c r="M39" s="64">
        <v>73.39</v>
      </c>
      <c r="N39" s="64">
        <v>214</v>
      </c>
      <c r="O39" s="64">
        <v>0</v>
      </c>
      <c r="P39" s="64">
        <v>1</v>
      </c>
      <c r="Q39" s="64">
        <v>9.18</v>
      </c>
      <c r="R39" s="198"/>
      <c r="S39" s="198"/>
      <c r="T39" s="198"/>
      <c r="U39" s="198"/>
    </row>
    <row r="40" spans="1:21" s="12" customFormat="1" x14ac:dyDescent="0.25">
      <c r="A40" s="215" t="s">
        <v>1335</v>
      </c>
      <c r="B40" s="64">
        <v>24.81</v>
      </c>
      <c r="C40" s="64">
        <v>55.01</v>
      </c>
      <c r="D40" s="64">
        <v>47.26</v>
      </c>
      <c r="E40" s="64">
        <v>6.95</v>
      </c>
      <c r="F40" s="64">
        <v>4.3899999999999997</v>
      </c>
      <c r="G40" s="64">
        <v>109.34</v>
      </c>
      <c r="H40" s="64">
        <v>56.16</v>
      </c>
      <c r="I40" s="64">
        <v>5</v>
      </c>
      <c r="J40" s="64">
        <v>1.91</v>
      </c>
      <c r="K40" s="64">
        <v>336.41</v>
      </c>
      <c r="L40" s="64">
        <v>13.29</v>
      </c>
      <c r="M40" s="64">
        <v>64.62</v>
      </c>
      <c r="N40" s="64">
        <v>309.2</v>
      </c>
      <c r="O40" s="64">
        <v>0</v>
      </c>
      <c r="P40" s="64">
        <v>1.01</v>
      </c>
      <c r="Q40" s="64">
        <v>9.27</v>
      </c>
      <c r="R40" s="198"/>
      <c r="S40" s="198"/>
      <c r="T40" s="198"/>
      <c r="U40" s="198"/>
    </row>
    <row r="41" spans="1:21" s="12" customFormat="1" x14ac:dyDescent="0.25">
      <c r="A41" s="215" t="s">
        <v>1336</v>
      </c>
      <c r="B41" s="64">
        <v>25.58</v>
      </c>
      <c r="C41" s="64">
        <v>55.67</v>
      </c>
      <c r="D41" s="64">
        <v>48.22</v>
      </c>
      <c r="E41" s="64">
        <v>6.94</v>
      </c>
      <c r="F41" s="64">
        <v>3.96</v>
      </c>
      <c r="G41" s="64">
        <v>114.21</v>
      </c>
      <c r="H41" s="64">
        <v>64.34</v>
      </c>
      <c r="I41" s="64">
        <v>5.05</v>
      </c>
      <c r="J41" s="64">
        <v>2.86</v>
      </c>
      <c r="K41" s="64">
        <v>344.91</v>
      </c>
      <c r="L41" s="64">
        <v>15.71</v>
      </c>
      <c r="M41" s="64">
        <v>54.9</v>
      </c>
      <c r="N41" s="64">
        <v>364.7</v>
      </c>
      <c r="O41" s="64">
        <v>0</v>
      </c>
      <c r="P41" s="64">
        <v>1.01</v>
      </c>
      <c r="Q41" s="64">
        <v>9.3800000000000008</v>
      </c>
      <c r="R41" s="198"/>
      <c r="S41" s="198"/>
      <c r="T41" s="198"/>
      <c r="U41" s="198"/>
    </row>
    <row r="42" spans="1:21" s="12" customFormat="1" x14ac:dyDescent="0.25">
      <c r="A42" s="215" t="s">
        <v>1337</v>
      </c>
      <c r="B42" s="64">
        <v>26</v>
      </c>
      <c r="C42" s="64">
        <v>55.72</v>
      </c>
      <c r="D42" s="64">
        <v>48.59</v>
      </c>
      <c r="E42" s="64">
        <v>7.23</v>
      </c>
      <c r="F42" s="64">
        <v>4.2</v>
      </c>
      <c r="G42" s="64">
        <v>114.21</v>
      </c>
      <c r="H42" s="64">
        <v>64.34</v>
      </c>
      <c r="I42" s="64">
        <v>5.0599999999999996</v>
      </c>
      <c r="J42" s="64">
        <v>1.7</v>
      </c>
      <c r="K42" s="64">
        <v>345.72</v>
      </c>
      <c r="L42" s="64">
        <v>16.55</v>
      </c>
      <c r="M42" s="64">
        <v>52.09</v>
      </c>
      <c r="N42" s="64">
        <v>417.7</v>
      </c>
      <c r="O42" s="64">
        <v>0</v>
      </c>
      <c r="P42" s="64">
        <v>1.01</v>
      </c>
      <c r="Q42" s="64">
        <v>9.44</v>
      </c>
      <c r="R42" s="198"/>
      <c r="S42" s="198"/>
      <c r="T42" s="198"/>
      <c r="U42" s="198"/>
    </row>
    <row r="43" spans="1:21" s="12" customFormat="1" x14ac:dyDescent="0.25">
      <c r="A43" s="215" t="s">
        <v>1338</v>
      </c>
      <c r="B43" s="64">
        <v>25.74</v>
      </c>
      <c r="C43" s="64">
        <v>55.37</v>
      </c>
      <c r="D43" s="64">
        <v>48.2</v>
      </c>
      <c r="E43" s="64">
        <v>6.89</v>
      </c>
      <c r="F43" s="64">
        <v>4.16</v>
      </c>
      <c r="G43" s="64">
        <v>114.21</v>
      </c>
      <c r="H43" s="64">
        <v>64.34</v>
      </c>
      <c r="I43" s="64">
        <v>5.0599999999999996</v>
      </c>
      <c r="J43" s="64">
        <v>2.35</v>
      </c>
      <c r="K43" s="64">
        <v>337.27</v>
      </c>
      <c r="L43" s="64">
        <v>17.29</v>
      </c>
      <c r="M43" s="64">
        <v>49.65</v>
      </c>
      <c r="N43" s="64">
        <v>472.3</v>
      </c>
      <c r="O43" s="64">
        <v>0</v>
      </c>
      <c r="P43" s="64">
        <v>1.01</v>
      </c>
      <c r="Q43" s="64">
        <v>9.39</v>
      </c>
      <c r="R43" s="198"/>
      <c r="S43" s="198"/>
      <c r="T43" s="198"/>
      <c r="U43" s="198"/>
    </row>
    <row r="44" spans="1:21" s="12" customFormat="1" x14ac:dyDescent="0.25">
      <c r="A44" s="215" t="s">
        <v>1339</v>
      </c>
      <c r="B44" s="64">
        <v>25.79</v>
      </c>
      <c r="C44" s="64">
        <v>56.41</v>
      </c>
      <c r="D44" s="64">
        <v>48.78</v>
      </c>
      <c r="E44" s="64">
        <v>6.73</v>
      </c>
      <c r="F44" s="64">
        <v>4.38</v>
      </c>
      <c r="G44" s="64">
        <v>111.92</v>
      </c>
      <c r="H44" s="64">
        <v>54.61</v>
      </c>
      <c r="I44" s="64">
        <v>5.0599999999999996</v>
      </c>
      <c r="J44" s="64">
        <v>1.1299999999999999</v>
      </c>
      <c r="K44" s="64">
        <v>21.86</v>
      </c>
      <c r="L44" s="64">
        <v>18.010000000000002</v>
      </c>
      <c r="M44" s="64">
        <v>47.03</v>
      </c>
      <c r="N44" s="64">
        <v>485.3</v>
      </c>
      <c r="O44" s="64">
        <v>0</v>
      </c>
      <c r="P44" s="64">
        <v>0.99</v>
      </c>
      <c r="Q44" s="64">
        <v>9.3800000000000008</v>
      </c>
      <c r="R44" s="198"/>
      <c r="S44" s="198"/>
      <c r="T44" s="198"/>
      <c r="U44" s="198"/>
    </row>
    <row r="45" spans="1:21" s="12" customFormat="1" x14ac:dyDescent="0.25">
      <c r="A45" s="215" t="s">
        <v>1340</v>
      </c>
      <c r="B45" s="64">
        <v>26.04</v>
      </c>
      <c r="C45" s="64">
        <v>56.63</v>
      </c>
      <c r="D45" s="64">
        <v>49.1</v>
      </c>
      <c r="E45" s="64">
        <v>7</v>
      </c>
      <c r="F45" s="64">
        <v>4.45</v>
      </c>
      <c r="G45" s="64">
        <v>110.17</v>
      </c>
      <c r="H45" s="64">
        <v>54.61</v>
      </c>
      <c r="I45" s="64">
        <v>5.14</v>
      </c>
      <c r="J45" s="64">
        <v>1.57</v>
      </c>
      <c r="K45" s="64">
        <v>84.46</v>
      </c>
      <c r="L45" s="64">
        <v>16.71</v>
      </c>
      <c r="M45" s="64">
        <v>52.69</v>
      </c>
      <c r="N45" s="64">
        <v>567.6</v>
      </c>
      <c r="O45" s="64">
        <v>0</v>
      </c>
      <c r="P45" s="64">
        <v>0.97</v>
      </c>
      <c r="Q45" s="64">
        <v>9.4</v>
      </c>
      <c r="R45" s="198"/>
      <c r="S45" s="198"/>
      <c r="T45" s="198"/>
      <c r="U45" s="198"/>
    </row>
    <row r="46" spans="1:21" s="12" customFormat="1" x14ac:dyDescent="0.25">
      <c r="A46" s="215" t="s">
        <v>1341</v>
      </c>
      <c r="B46" s="64">
        <v>26.24</v>
      </c>
      <c r="C46" s="64">
        <v>56.79</v>
      </c>
      <c r="D46" s="64">
        <v>49.34</v>
      </c>
      <c r="E46" s="64">
        <v>7.06</v>
      </c>
      <c r="F46" s="64">
        <v>4.1100000000000003</v>
      </c>
      <c r="G46" s="64">
        <v>110.17</v>
      </c>
      <c r="H46" s="64">
        <v>54.61</v>
      </c>
      <c r="I46" s="64">
        <v>5.27</v>
      </c>
      <c r="J46" s="64">
        <v>2.73</v>
      </c>
      <c r="K46" s="64">
        <v>342.71</v>
      </c>
      <c r="L46" s="64">
        <v>20.34</v>
      </c>
      <c r="M46" s="64">
        <v>41.93</v>
      </c>
      <c r="N46" s="64">
        <v>597.5</v>
      </c>
      <c r="O46" s="64">
        <v>0</v>
      </c>
      <c r="P46" s="64">
        <v>0.97</v>
      </c>
      <c r="Q46" s="64">
        <v>9.34</v>
      </c>
      <c r="R46" s="198"/>
      <c r="S46" s="198"/>
      <c r="T46" s="198"/>
      <c r="U46" s="198"/>
    </row>
    <row r="47" spans="1:21" s="12" customFormat="1" x14ac:dyDescent="0.25">
      <c r="A47" s="215" t="s">
        <v>1342</v>
      </c>
      <c r="B47" s="64">
        <v>26.54</v>
      </c>
      <c r="C47" s="64">
        <v>57.28</v>
      </c>
      <c r="D47" s="64">
        <v>49.83</v>
      </c>
      <c r="E47" s="64">
        <v>6.87</v>
      </c>
      <c r="F47" s="64">
        <v>3.63</v>
      </c>
      <c r="G47" s="64">
        <v>110.17</v>
      </c>
      <c r="H47" s="64">
        <v>54.61</v>
      </c>
      <c r="I47" s="64">
        <v>5.69</v>
      </c>
      <c r="J47" s="64">
        <v>0.89</v>
      </c>
      <c r="K47" s="64">
        <v>35.64</v>
      </c>
      <c r="L47" s="64">
        <v>20.62</v>
      </c>
      <c r="M47" s="64">
        <v>41.64</v>
      </c>
      <c r="N47" s="64">
        <v>638.79999999999995</v>
      </c>
      <c r="O47" s="64">
        <v>0</v>
      </c>
      <c r="P47" s="64">
        <v>0.95</v>
      </c>
      <c r="Q47" s="64">
        <v>9.18</v>
      </c>
      <c r="R47" s="198"/>
      <c r="S47" s="198"/>
      <c r="T47" s="198"/>
      <c r="U47" s="198"/>
    </row>
    <row r="48" spans="1:21" s="12" customFormat="1" x14ac:dyDescent="0.25">
      <c r="A48" s="215" t="s">
        <v>1343</v>
      </c>
      <c r="B48" s="64">
        <v>25.98</v>
      </c>
      <c r="C48" s="64">
        <v>57.23</v>
      </c>
      <c r="D48" s="64">
        <v>49.35</v>
      </c>
      <c r="E48" s="64">
        <v>6.68</v>
      </c>
      <c r="F48" s="64">
        <v>3.84</v>
      </c>
      <c r="G48" s="64">
        <v>107.61</v>
      </c>
      <c r="H48" s="64">
        <v>29.7</v>
      </c>
      <c r="I48" s="64">
        <v>5.8</v>
      </c>
      <c r="J48" s="64">
        <v>3.87</v>
      </c>
      <c r="K48" s="64">
        <v>114.12</v>
      </c>
      <c r="L48" s="64">
        <v>17.649999999999999</v>
      </c>
      <c r="M48" s="64">
        <v>48.7</v>
      </c>
      <c r="N48" s="64">
        <v>685.6</v>
      </c>
      <c r="O48" s="64">
        <v>0</v>
      </c>
      <c r="P48" s="64">
        <v>0.95</v>
      </c>
      <c r="Q48" s="64">
        <v>9.1</v>
      </c>
      <c r="R48" s="198"/>
      <c r="S48" s="198"/>
      <c r="T48" s="198"/>
      <c r="U48" s="198"/>
    </row>
    <row r="49" spans="1:21" s="12" customFormat="1" x14ac:dyDescent="0.25">
      <c r="A49" s="215" t="s">
        <v>1344</v>
      </c>
      <c r="B49" s="64">
        <v>24.46</v>
      </c>
      <c r="C49" s="64">
        <v>57.02</v>
      </c>
      <c r="D49" s="64">
        <v>48.03</v>
      </c>
      <c r="E49" s="64">
        <v>6.57</v>
      </c>
      <c r="F49" s="64">
        <v>3.32</v>
      </c>
      <c r="G49" s="64">
        <v>105.65</v>
      </c>
      <c r="H49" s="64">
        <v>39.880000000000003</v>
      </c>
      <c r="I49" s="64">
        <v>5.92</v>
      </c>
      <c r="J49" s="64">
        <v>2.64</v>
      </c>
      <c r="K49" s="64">
        <v>109.63</v>
      </c>
      <c r="L49" s="64">
        <v>17.579999999999998</v>
      </c>
      <c r="M49" s="64">
        <v>49.04</v>
      </c>
      <c r="N49" s="64">
        <v>705.9</v>
      </c>
      <c r="O49" s="64">
        <v>0</v>
      </c>
      <c r="P49" s="64">
        <v>0.93</v>
      </c>
      <c r="Q49" s="64">
        <v>8.98</v>
      </c>
      <c r="R49" s="198"/>
      <c r="S49" s="198"/>
      <c r="T49" s="198"/>
      <c r="U49" s="198"/>
    </row>
    <row r="50" spans="1:21" s="12" customFormat="1" x14ac:dyDescent="0.25">
      <c r="A50" s="215" t="s">
        <v>1345</v>
      </c>
      <c r="B50" s="64">
        <v>22.9</v>
      </c>
      <c r="C50" s="64">
        <v>57.18</v>
      </c>
      <c r="D50" s="64">
        <v>46.86</v>
      </c>
      <c r="E50" s="64">
        <v>6.66</v>
      </c>
      <c r="F50" s="64">
        <v>3.75</v>
      </c>
      <c r="G50" s="64">
        <v>105.65</v>
      </c>
      <c r="H50" s="64">
        <v>39.880000000000003</v>
      </c>
      <c r="I50" s="64">
        <v>6.58</v>
      </c>
      <c r="J50" s="64">
        <v>1.07</v>
      </c>
      <c r="K50" s="64">
        <v>84.53</v>
      </c>
      <c r="L50" s="64">
        <v>19.53</v>
      </c>
      <c r="M50" s="64">
        <v>44.02</v>
      </c>
      <c r="N50" s="64">
        <v>718.6</v>
      </c>
      <c r="O50" s="64">
        <v>0</v>
      </c>
      <c r="P50" s="64">
        <v>0.91</v>
      </c>
      <c r="Q50" s="64">
        <v>8.85</v>
      </c>
      <c r="R50" s="198"/>
      <c r="S50" s="198"/>
      <c r="T50" s="198"/>
      <c r="U50" s="198"/>
    </row>
    <row r="51" spans="1:21" s="12" customFormat="1" x14ac:dyDescent="0.25">
      <c r="A51" s="215" t="s">
        <v>1346</v>
      </c>
      <c r="B51" s="64">
        <v>21.74</v>
      </c>
      <c r="C51" s="64">
        <v>58.54</v>
      </c>
      <c r="D51" s="64">
        <v>46.65</v>
      </c>
      <c r="E51" s="64">
        <v>6.61</v>
      </c>
      <c r="F51" s="64">
        <v>4.03</v>
      </c>
      <c r="G51" s="64">
        <v>105.65</v>
      </c>
      <c r="H51" s="64">
        <v>39.880000000000003</v>
      </c>
      <c r="I51" s="64">
        <v>7.29</v>
      </c>
      <c r="J51" s="64">
        <v>1.62</v>
      </c>
      <c r="K51" s="64">
        <v>91.99</v>
      </c>
      <c r="L51" s="64">
        <v>20.36</v>
      </c>
      <c r="M51" s="64">
        <v>41.15</v>
      </c>
      <c r="N51" s="64">
        <v>736.9</v>
      </c>
      <c r="O51" s="64">
        <v>0</v>
      </c>
      <c r="P51" s="64">
        <v>0.91</v>
      </c>
      <c r="Q51" s="64">
        <v>8.81</v>
      </c>
      <c r="R51" s="198"/>
      <c r="S51" s="198"/>
      <c r="T51" s="198"/>
      <c r="U51" s="198"/>
    </row>
    <row r="52" spans="1:21" s="12" customFormat="1" x14ac:dyDescent="0.25">
      <c r="A52" s="215" t="s">
        <v>1347</v>
      </c>
      <c r="B52" s="64">
        <v>20.09</v>
      </c>
      <c r="C52" s="64">
        <v>60.07</v>
      </c>
      <c r="D52" s="64">
        <v>46.12</v>
      </c>
      <c r="E52" s="64">
        <v>6.26</v>
      </c>
      <c r="F52" s="64">
        <v>4.6399999999999997</v>
      </c>
      <c r="G52" s="64">
        <v>103.19</v>
      </c>
      <c r="H52" s="64">
        <v>88.77</v>
      </c>
      <c r="I52" s="64">
        <v>7.54</v>
      </c>
      <c r="J52" s="64">
        <v>1.5</v>
      </c>
      <c r="K52" s="64">
        <v>338.76</v>
      </c>
      <c r="L52" s="64">
        <v>22.22</v>
      </c>
      <c r="M52" s="64">
        <v>36.46</v>
      </c>
      <c r="N52" s="64">
        <v>781</v>
      </c>
      <c r="O52" s="64">
        <v>0</v>
      </c>
      <c r="P52" s="64">
        <v>0.9</v>
      </c>
      <c r="Q52" s="64">
        <v>8.7799999999999994</v>
      </c>
      <c r="R52" s="198"/>
      <c r="S52" s="198"/>
      <c r="T52" s="198"/>
      <c r="U52" s="198"/>
    </row>
    <row r="53" spans="1:21" s="12" customFormat="1" x14ac:dyDescent="0.25">
      <c r="A53" s="215" t="s">
        <v>1348</v>
      </c>
      <c r="B53" s="64">
        <v>18.22</v>
      </c>
      <c r="C53" s="64">
        <v>61.15</v>
      </c>
      <c r="D53" s="64">
        <v>45.19</v>
      </c>
      <c r="E53" s="64">
        <v>6.31</v>
      </c>
      <c r="F53" s="64">
        <v>4.1399999999999997</v>
      </c>
      <c r="G53" s="64">
        <v>101.3</v>
      </c>
      <c r="H53" s="64">
        <v>43.1</v>
      </c>
      <c r="I53" s="64">
        <v>7.59</v>
      </c>
      <c r="J53" s="64">
        <v>2.72</v>
      </c>
      <c r="K53" s="64">
        <v>119.04</v>
      </c>
      <c r="L53" s="64">
        <v>21.23</v>
      </c>
      <c r="M53" s="64">
        <v>38.67</v>
      </c>
      <c r="N53" s="64">
        <v>842.9</v>
      </c>
      <c r="O53" s="64">
        <v>0</v>
      </c>
      <c r="P53" s="64">
        <v>0.89</v>
      </c>
      <c r="Q53" s="64">
        <v>8.77</v>
      </c>
      <c r="R53" s="198"/>
      <c r="S53" s="198"/>
      <c r="T53" s="198"/>
      <c r="U53" s="198"/>
    </row>
    <row r="54" spans="1:21" s="12" customFormat="1" x14ac:dyDescent="0.25">
      <c r="A54" s="215" t="s">
        <v>1349</v>
      </c>
      <c r="B54" s="64">
        <v>16.18</v>
      </c>
      <c r="C54" s="64">
        <v>62.62</v>
      </c>
      <c r="D54" s="64">
        <v>44.32</v>
      </c>
      <c r="E54" s="64">
        <v>6.11</v>
      </c>
      <c r="F54" s="64">
        <v>4.0199999999999996</v>
      </c>
      <c r="G54" s="64">
        <v>101.3</v>
      </c>
      <c r="H54" s="64">
        <v>43.1</v>
      </c>
      <c r="I54" s="64">
        <v>7.59</v>
      </c>
      <c r="J54" s="64">
        <v>2.5</v>
      </c>
      <c r="K54" s="64">
        <v>337.24</v>
      </c>
      <c r="L54" s="64">
        <v>22.94</v>
      </c>
      <c r="M54" s="64">
        <v>35.22</v>
      </c>
      <c r="N54" s="64">
        <v>751.6</v>
      </c>
      <c r="O54" s="64">
        <v>0</v>
      </c>
      <c r="P54" s="64">
        <v>0.87</v>
      </c>
      <c r="Q54" s="64">
        <v>8.73</v>
      </c>
      <c r="R54" s="198"/>
      <c r="S54" s="198"/>
      <c r="T54" s="198"/>
      <c r="U54" s="198"/>
    </row>
    <row r="55" spans="1:21" s="12" customFormat="1" x14ac:dyDescent="0.25">
      <c r="A55" s="215" t="s">
        <v>1350</v>
      </c>
      <c r="B55" s="64">
        <v>14.45</v>
      </c>
      <c r="C55" s="64">
        <v>64.48</v>
      </c>
      <c r="D55" s="64">
        <v>43.9</v>
      </c>
      <c r="E55" s="64">
        <v>5.91</v>
      </c>
      <c r="F55" s="64">
        <v>4.68</v>
      </c>
      <c r="G55" s="64">
        <v>101.3</v>
      </c>
      <c r="H55" s="64">
        <v>43.1</v>
      </c>
      <c r="I55" s="64">
        <v>7.67</v>
      </c>
      <c r="J55" s="64">
        <v>2.96</v>
      </c>
      <c r="K55" s="64">
        <v>339.24</v>
      </c>
      <c r="L55" s="64">
        <v>25.47</v>
      </c>
      <c r="M55" s="64">
        <v>29.08</v>
      </c>
      <c r="N55" s="64">
        <v>747.2</v>
      </c>
      <c r="O55" s="64">
        <v>0</v>
      </c>
      <c r="P55" s="64">
        <v>0.86</v>
      </c>
      <c r="Q55" s="64">
        <v>8.8000000000000007</v>
      </c>
      <c r="R55" s="198"/>
      <c r="S55" s="198"/>
      <c r="T55" s="198"/>
      <c r="U55" s="198"/>
    </row>
    <row r="56" spans="1:21" s="12" customFormat="1" x14ac:dyDescent="0.25">
      <c r="A56" s="215" t="s">
        <v>1351</v>
      </c>
      <c r="B56" s="64">
        <v>12.98</v>
      </c>
      <c r="C56" s="64">
        <v>65.819999999999993</v>
      </c>
      <c r="D56" s="64">
        <v>43.42</v>
      </c>
      <c r="E56" s="64">
        <v>6.09</v>
      </c>
      <c r="F56" s="64">
        <v>4.2300000000000004</v>
      </c>
      <c r="G56" s="64">
        <v>98.11</v>
      </c>
      <c r="H56" s="64">
        <v>37.159999999999997</v>
      </c>
      <c r="I56" s="64">
        <v>7.68</v>
      </c>
      <c r="J56" s="64">
        <v>0.72</v>
      </c>
      <c r="K56" s="64">
        <v>97.37</v>
      </c>
      <c r="L56" s="64">
        <v>24.13</v>
      </c>
      <c r="M56" s="64">
        <v>31.22</v>
      </c>
      <c r="N56" s="64">
        <v>778.1</v>
      </c>
      <c r="O56" s="64">
        <v>0</v>
      </c>
      <c r="P56" s="64">
        <v>0.86</v>
      </c>
      <c r="Q56" s="64">
        <v>8.7100000000000009</v>
      </c>
      <c r="R56" s="198"/>
      <c r="S56" s="198"/>
      <c r="T56" s="198"/>
      <c r="U56" s="198"/>
    </row>
    <row r="57" spans="1:21" s="12" customFormat="1" x14ac:dyDescent="0.25">
      <c r="A57" s="215" t="s">
        <v>1352</v>
      </c>
      <c r="B57" s="64">
        <v>11.91</v>
      </c>
      <c r="C57" s="64">
        <v>66.78</v>
      </c>
      <c r="D57" s="64">
        <v>43.06</v>
      </c>
      <c r="E57" s="64">
        <v>6.53</v>
      </c>
      <c r="F57" s="64">
        <v>4.1100000000000003</v>
      </c>
      <c r="G57" s="64">
        <v>95.67</v>
      </c>
      <c r="H57" s="64">
        <v>35.17</v>
      </c>
      <c r="I57" s="64">
        <v>7.43</v>
      </c>
      <c r="J57" s="64">
        <v>2.2000000000000002</v>
      </c>
      <c r="K57" s="64">
        <v>320.57</v>
      </c>
      <c r="L57" s="64">
        <v>24.57</v>
      </c>
      <c r="M57" s="64">
        <v>30.3</v>
      </c>
      <c r="N57" s="64">
        <v>743.2</v>
      </c>
      <c r="O57" s="64">
        <v>0</v>
      </c>
      <c r="P57" s="64">
        <v>0.84</v>
      </c>
      <c r="Q57" s="64">
        <v>8.6</v>
      </c>
      <c r="R57" s="198"/>
      <c r="S57" s="198"/>
      <c r="T57" s="198"/>
      <c r="U57" s="198"/>
    </row>
    <row r="58" spans="1:21" s="12" customFormat="1" x14ac:dyDescent="0.25">
      <c r="A58" s="215" t="s">
        <v>1353</v>
      </c>
      <c r="B58" s="64">
        <v>10.82</v>
      </c>
      <c r="C58" s="64">
        <v>67.3</v>
      </c>
      <c r="D58" s="64">
        <v>42.46</v>
      </c>
      <c r="E58" s="64">
        <v>5.94</v>
      </c>
      <c r="F58" s="64">
        <v>4.3899999999999997</v>
      </c>
      <c r="G58" s="64">
        <v>95.67</v>
      </c>
      <c r="H58" s="64">
        <v>35.17</v>
      </c>
      <c r="I58" s="64">
        <v>7.57</v>
      </c>
      <c r="J58" s="64">
        <v>1.62</v>
      </c>
      <c r="K58" s="64">
        <v>349.05</v>
      </c>
      <c r="L58" s="64">
        <v>25.11</v>
      </c>
      <c r="M58" s="64">
        <v>29.32</v>
      </c>
      <c r="N58" s="64">
        <v>741.2</v>
      </c>
      <c r="O58" s="64">
        <v>0</v>
      </c>
      <c r="P58" s="64">
        <v>0.82</v>
      </c>
      <c r="Q58" s="64">
        <v>8.5</v>
      </c>
      <c r="R58" s="198"/>
      <c r="S58" s="198"/>
      <c r="T58" s="198"/>
      <c r="U58" s="198"/>
    </row>
    <row r="59" spans="1:21" s="12" customFormat="1" x14ac:dyDescent="0.25">
      <c r="A59" s="215" t="s">
        <v>1354</v>
      </c>
      <c r="B59" s="64">
        <v>9.4700000000000006</v>
      </c>
      <c r="C59" s="64">
        <v>66.31</v>
      </c>
      <c r="D59" s="64">
        <v>40.86</v>
      </c>
      <c r="E59" s="64">
        <v>5.75</v>
      </c>
      <c r="F59" s="64">
        <v>4.38</v>
      </c>
      <c r="G59" s="64">
        <v>95.67</v>
      </c>
      <c r="H59" s="64">
        <v>35.17</v>
      </c>
      <c r="I59" s="64">
        <v>7.19</v>
      </c>
      <c r="J59" s="64">
        <v>0.53</v>
      </c>
      <c r="K59" s="64">
        <v>103.78</v>
      </c>
      <c r="L59" s="64">
        <v>23.85</v>
      </c>
      <c r="M59" s="64">
        <v>31.44</v>
      </c>
      <c r="N59" s="64">
        <v>705.9</v>
      </c>
      <c r="O59" s="64">
        <v>0</v>
      </c>
      <c r="P59" s="64">
        <v>0.81</v>
      </c>
      <c r="Q59" s="64">
        <v>8.35</v>
      </c>
      <c r="R59" s="198"/>
      <c r="S59" s="198"/>
      <c r="T59" s="198"/>
      <c r="U59" s="198"/>
    </row>
    <row r="60" spans="1:21" s="12" customFormat="1" x14ac:dyDescent="0.25">
      <c r="A60" s="215" t="s">
        <v>1355</v>
      </c>
      <c r="B60" s="64">
        <v>8.4600000000000009</v>
      </c>
      <c r="C60" s="64">
        <v>64.62</v>
      </c>
      <c r="D60" s="64">
        <v>39.17</v>
      </c>
      <c r="E60" s="64">
        <v>5.61</v>
      </c>
      <c r="F60" s="64">
        <v>3.8</v>
      </c>
      <c r="G60" s="64">
        <v>92.1</v>
      </c>
      <c r="H60" s="64">
        <v>33.1</v>
      </c>
      <c r="I60" s="64">
        <v>6.9</v>
      </c>
      <c r="J60" s="64">
        <v>0.46</v>
      </c>
      <c r="K60" s="64">
        <v>94.64</v>
      </c>
      <c r="L60" s="64">
        <v>23.11</v>
      </c>
      <c r="M60" s="64">
        <v>32.92</v>
      </c>
      <c r="N60" s="64">
        <v>656.7</v>
      </c>
      <c r="O60" s="64">
        <v>0</v>
      </c>
      <c r="P60" s="64">
        <v>0.77</v>
      </c>
      <c r="Q60" s="64">
        <v>8.2200000000000006</v>
      </c>
      <c r="R60" s="198"/>
      <c r="S60" s="198"/>
      <c r="T60" s="198"/>
      <c r="U60" s="198"/>
    </row>
    <row r="61" spans="1:21" s="12" customFormat="1" x14ac:dyDescent="0.25">
      <c r="A61" s="215" t="s">
        <v>1356</v>
      </c>
      <c r="B61" s="64">
        <v>7.98</v>
      </c>
      <c r="C61" s="64">
        <v>63.49</v>
      </c>
      <c r="D61" s="64">
        <v>38.19</v>
      </c>
      <c r="E61" s="64">
        <v>5.53</v>
      </c>
      <c r="F61" s="64">
        <v>3.89</v>
      </c>
      <c r="G61" s="64">
        <v>89.37</v>
      </c>
      <c r="H61" s="64">
        <v>31.24</v>
      </c>
      <c r="I61" s="64">
        <v>6.89</v>
      </c>
      <c r="J61" s="64">
        <v>2.33</v>
      </c>
      <c r="K61" s="64">
        <v>324.94</v>
      </c>
      <c r="L61" s="64">
        <v>24.65</v>
      </c>
      <c r="M61" s="64">
        <v>30.54</v>
      </c>
      <c r="N61" s="64">
        <v>600.70000000000005</v>
      </c>
      <c r="O61" s="64">
        <v>0</v>
      </c>
      <c r="P61" s="64">
        <v>0.81</v>
      </c>
      <c r="Q61" s="64">
        <v>8.2100000000000009</v>
      </c>
      <c r="R61" s="198"/>
      <c r="S61" s="198"/>
      <c r="T61" s="198"/>
      <c r="U61" s="198"/>
    </row>
    <row r="62" spans="1:21" s="12" customFormat="1" x14ac:dyDescent="0.25">
      <c r="A62" s="215" t="s">
        <v>1357</v>
      </c>
      <c r="B62" s="64">
        <v>7.64</v>
      </c>
      <c r="C62" s="64">
        <v>63.03</v>
      </c>
      <c r="D62" s="64">
        <v>37.68</v>
      </c>
      <c r="E62" s="64">
        <v>5.78</v>
      </c>
      <c r="F62" s="64">
        <v>4.5199999999999996</v>
      </c>
      <c r="G62" s="64">
        <v>89.37</v>
      </c>
      <c r="H62" s="64">
        <v>31.24</v>
      </c>
      <c r="I62" s="64">
        <v>6.08</v>
      </c>
      <c r="J62" s="64">
        <v>1.08</v>
      </c>
      <c r="K62" s="64">
        <v>65.209999999999994</v>
      </c>
      <c r="L62" s="64">
        <v>23.81</v>
      </c>
      <c r="M62" s="64">
        <v>31.58</v>
      </c>
      <c r="N62" s="64">
        <v>581.20000000000005</v>
      </c>
      <c r="O62" s="64">
        <v>0</v>
      </c>
      <c r="P62" s="64">
        <v>0.81</v>
      </c>
      <c r="Q62" s="64">
        <v>8.2100000000000009</v>
      </c>
      <c r="R62" s="198"/>
      <c r="S62" s="198"/>
      <c r="T62" s="198"/>
      <c r="U62" s="198"/>
    </row>
    <row r="63" spans="1:21" s="12" customFormat="1" x14ac:dyDescent="0.25">
      <c r="A63" s="215" t="s">
        <v>1358</v>
      </c>
      <c r="B63" s="64">
        <v>7.06</v>
      </c>
      <c r="C63" s="64">
        <v>61.97</v>
      </c>
      <c r="D63" s="64">
        <v>36.659999999999997</v>
      </c>
      <c r="E63" s="64">
        <v>6.25</v>
      </c>
      <c r="F63" s="64">
        <v>4.68</v>
      </c>
      <c r="G63" s="64">
        <v>89.37</v>
      </c>
      <c r="H63" s="64">
        <v>31.24</v>
      </c>
      <c r="I63" s="64">
        <v>6.4</v>
      </c>
      <c r="J63" s="64">
        <v>0.8</v>
      </c>
      <c r="K63" s="64">
        <v>73.930000000000007</v>
      </c>
      <c r="L63" s="64">
        <v>22.07</v>
      </c>
      <c r="M63" s="64">
        <v>34.74</v>
      </c>
      <c r="N63" s="64">
        <v>553.70000000000005</v>
      </c>
      <c r="O63" s="64">
        <v>0</v>
      </c>
      <c r="P63" s="64">
        <v>0.79</v>
      </c>
      <c r="Q63" s="64">
        <v>8.2100000000000009</v>
      </c>
      <c r="R63" s="198"/>
      <c r="S63" s="198"/>
      <c r="T63" s="198"/>
      <c r="U63" s="198"/>
    </row>
    <row r="64" spans="1:21" s="12" customFormat="1" x14ac:dyDescent="0.25">
      <c r="A64" s="215" t="s">
        <v>1359</v>
      </c>
      <c r="B64" s="64">
        <v>6.61</v>
      </c>
      <c r="C64" s="64">
        <v>61.2</v>
      </c>
      <c r="D64" s="64">
        <v>35.9</v>
      </c>
      <c r="E64" s="64">
        <v>5.68</v>
      </c>
      <c r="F64" s="64">
        <v>4.42</v>
      </c>
      <c r="G64" s="64">
        <v>89.96</v>
      </c>
      <c r="H64" s="64">
        <v>31.24</v>
      </c>
      <c r="I64" s="64">
        <v>5.78</v>
      </c>
      <c r="J64" s="64">
        <v>2.29</v>
      </c>
      <c r="K64" s="64">
        <v>129.38999999999999</v>
      </c>
      <c r="L64" s="64">
        <v>22.18</v>
      </c>
      <c r="M64" s="64">
        <v>33.81</v>
      </c>
      <c r="N64" s="64">
        <v>456.6</v>
      </c>
      <c r="O64" s="64">
        <v>0</v>
      </c>
      <c r="P64" s="64">
        <v>0.77</v>
      </c>
      <c r="Q64" s="64">
        <v>8.2100000000000009</v>
      </c>
      <c r="R64" s="198"/>
      <c r="S64" s="198"/>
      <c r="T64" s="198"/>
      <c r="U64" s="198"/>
    </row>
    <row r="65" spans="1:21" s="12" customFormat="1" x14ac:dyDescent="0.25">
      <c r="A65" s="215" t="s">
        <v>1360</v>
      </c>
      <c r="B65" s="64">
        <v>6.01</v>
      </c>
      <c r="C65" s="64">
        <v>59.8</v>
      </c>
      <c r="D65" s="64">
        <v>34.69</v>
      </c>
      <c r="E65" s="64">
        <v>6.09</v>
      </c>
      <c r="F65" s="64">
        <v>4.63</v>
      </c>
      <c r="G65" s="64">
        <v>90.41</v>
      </c>
      <c r="H65" s="64">
        <v>34.64</v>
      </c>
      <c r="I65" s="64">
        <v>6.01</v>
      </c>
      <c r="J65" s="64">
        <v>1.23</v>
      </c>
      <c r="K65" s="64">
        <v>105.37</v>
      </c>
      <c r="L65" s="64">
        <v>21.47</v>
      </c>
      <c r="M65" s="64">
        <v>35.049999999999997</v>
      </c>
      <c r="N65" s="64">
        <v>227.2</v>
      </c>
      <c r="O65" s="64">
        <v>0</v>
      </c>
      <c r="P65" s="64">
        <v>0.79</v>
      </c>
      <c r="Q65" s="64">
        <v>8.2100000000000009</v>
      </c>
      <c r="R65" s="198"/>
      <c r="S65" s="198"/>
      <c r="T65" s="198"/>
      <c r="U65" s="198"/>
    </row>
    <row r="66" spans="1:21" s="12" customFormat="1" x14ac:dyDescent="0.25">
      <c r="A66" s="215" t="s">
        <v>1361</v>
      </c>
      <c r="B66" s="64">
        <v>5.43</v>
      </c>
      <c r="C66" s="64">
        <v>59.05</v>
      </c>
      <c r="D66" s="64">
        <v>33.83</v>
      </c>
      <c r="E66" s="64">
        <v>6.14</v>
      </c>
      <c r="F66" s="64">
        <v>5.0199999999999996</v>
      </c>
      <c r="G66" s="64">
        <v>90.41</v>
      </c>
      <c r="H66" s="64">
        <v>34.64</v>
      </c>
      <c r="I66" s="64">
        <v>6.03</v>
      </c>
      <c r="J66" s="64">
        <v>1.96</v>
      </c>
      <c r="K66" s="64">
        <v>334.27</v>
      </c>
      <c r="L66" s="64">
        <v>22.62</v>
      </c>
      <c r="M66" s="64">
        <v>34.26</v>
      </c>
      <c r="N66" s="64">
        <v>209.7</v>
      </c>
      <c r="O66" s="64">
        <v>0</v>
      </c>
      <c r="P66" s="64">
        <v>0.84</v>
      </c>
      <c r="Q66" s="64">
        <v>8.2100000000000009</v>
      </c>
      <c r="R66" s="198"/>
      <c r="S66" s="198"/>
      <c r="T66" s="198"/>
      <c r="U66" s="198"/>
    </row>
    <row r="67" spans="1:21" s="12" customFormat="1" x14ac:dyDescent="0.25">
      <c r="A67" s="215" t="s">
        <v>1362</v>
      </c>
      <c r="B67" s="64">
        <v>5.38</v>
      </c>
      <c r="C67" s="64">
        <v>60.4</v>
      </c>
      <c r="D67" s="64">
        <v>34.49</v>
      </c>
      <c r="E67" s="64">
        <v>6.25</v>
      </c>
      <c r="F67" s="64">
        <v>5.01</v>
      </c>
      <c r="G67" s="64">
        <v>90.41</v>
      </c>
      <c r="H67" s="64">
        <v>34.64</v>
      </c>
      <c r="I67" s="64">
        <v>6.02</v>
      </c>
      <c r="J67" s="64">
        <v>2.67</v>
      </c>
      <c r="K67" s="64">
        <v>326.60000000000002</v>
      </c>
      <c r="L67" s="64">
        <v>23.42</v>
      </c>
      <c r="M67" s="64">
        <v>32.4</v>
      </c>
      <c r="N67" s="64">
        <v>211.9</v>
      </c>
      <c r="O67" s="64">
        <v>0</v>
      </c>
      <c r="P67" s="64">
        <v>0.82</v>
      </c>
      <c r="Q67" s="64">
        <v>8.2100000000000009</v>
      </c>
      <c r="R67" s="198"/>
      <c r="S67" s="198"/>
      <c r="T67" s="198"/>
      <c r="U67" s="198"/>
    </row>
    <row r="68" spans="1:21" s="12" customFormat="1" x14ac:dyDescent="0.25">
      <c r="A68" s="215" t="s">
        <v>1363</v>
      </c>
      <c r="B68" s="64">
        <v>4.93</v>
      </c>
      <c r="C68" s="64">
        <v>62.03</v>
      </c>
      <c r="D68" s="64">
        <v>34.99</v>
      </c>
      <c r="E68" s="64">
        <v>6.16</v>
      </c>
      <c r="F68" s="64">
        <v>5.47</v>
      </c>
      <c r="G68" s="64">
        <v>90.35</v>
      </c>
      <c r="H68" s="64">
        <v>26.16</v>
      </c>
      <c r="I68" s="64">
        <v>6.95</v>
      </c>
      <c r="J68" s="64">
        <v>2.2000000000000002</v>
      </c>
      <c r="K68" s="64">
        <v>309.24</v>
      </c>
      <c r="L68" s="64">
        <v>23.55</v>
      </c>
      <c r="M68" s="64">
        <v>32.44</v>
      </c>
      <c r="N68" s="64">
        <v>191.9</v>
      </c>
      <c r="O68" s="64">
        <v>0</v>
      </c>
      <c r="P68" s="64">
        <v>0.81</v>
      </c>
      <c r="Q68" s="64">
        <v>8.2100000000000009</v>
      </c>
      <c r="R68" s="198"/>
      <c r="S68" s="198"/>
      <c r="T68" s="198"/>
      <c r="U68" s="198"/>
    </row>
    <row r="69" spans="1:21" s="12" customFormat="1" x14ac:dyDescent="0.25">
      <c r="A69" s="215" t="s">
        <v>1364</v>
      </c>
      <c r="B69" s="64">
        <v>3.99</v>
      </c>
      <c r="C69" s="64">
        <v>63.17</v>
      </c>
      <c r="D69" s="64">
        <v>34.83</v>
      </c>
      <c r="E69" s="64">
        <v>6.07</v>
      </c>
      <c r="F69" s="64">
        <v>5.95</v>
      </c>
      <c r="G69" s="64">
        <v>90.3</v>
      </c>
      <c r="H69" s="64">
        <v>26.16</v>
      </c>
      <c r="I69" s="64">
        <v>7.45</v>
      </c>
      <c r="J69" s="64">
        <v>2.2999999999999998</v>
      </c>
      <c r="K69" s="64">
        <v>309.52999999999997</v>
      </c>
      <c r="L69" s="64">
        <v>22.85</v>
      </c>
      <c r="M69" s="64">
        <v>33.479999999999997</v>
      </c>
      <c r="N69" s="64">
        <v>180.1</v>
      </c>
      <c r="O69" s="64">
        <v>0</v>
      </c>
      <c r="P69" s="64">
        <v>0.8</v>
      </c>
      <c r="Q69" s="64">
        <v>8.2100000000000009</v>
      </c>
      <c r="R69" s="198"/>
      <c r="S69" s="198"/>
      <c r="T69" s="198"/>
      <c r="U69" s="198"/>
    </row>
    <row r="70" spans="1:21" s="12" customFormat="1" x14ac:dyDescent="0.25">
      <c r="A70" s="215" t="s">
        <v>1365</v>
      </c>
      <c r="B70" s="64">
        <v>3.23</v>
      </c>
      <c r="C70" s="64">
        <v>63.54</v>
      </c>
      <c r="D70" s="64">
        <v>34.409999999999997</v>
      </c>
      <c r="E70" s="64">
        <v>6.06</v>
      </c>
      <c r="F70" s="64">
        <v>5.93</v>
      </c>
      <c r="G70" s="64">
        <v>90.3</v>
      </c>
      <c r="H70" s="64">
        <v>26.16</v>
      </c>
      <c r="I70" s="64">
        <v>7.21</v>
      </c>
      <c r="J70" s="64">
        <v>2.36</v>
      </c>
      <c r="K70" s="64">
        <v>318.24</v>
      </c>
      <c r="L70" s="64">
        <v>22.32</v>
      </c>
      <c r="M70" s="64">
        <v>34.21</v>
      </c>
      <c r="N70" s="64">
        <v>171.8</v>
      </c>
      <c r="O70" s="64">
        <v>0</v>
      </c>
      <c r="P70" s="64">
        <v>0.8</v>
      </c>
      <c r="Q70" s="64">
        <v>8.2100000000000009</v>
      </c>
      <c r="R70" s="198"/>
      <c r="S70" s="198"/>
      <c r="T70" s="198"/>
      <c r="U70" s="198"/>
    </row>
    <row r="71" spans="1:21" s="12" customFormat="1" x14ac:dyDescent="0.25">
      <c r="A71" s="215" t="s">
        <v>1366</v>
      </c>
      <c r="B71" s="64">
        <v>2.91</v>
      </c>
      <c r="C71" s="64">
        <v>64.13</v>
      </c>
      <c r="D71" s="64">
        <v>34.46</v>
      </c>
      <c r="E71" s="64">
        <v>5.58</v>
      </c>
      <c r="F71" s="64">
        <v>6.24</v>
      </c>
      <c r="G71" s="64">
        <v>90.3</v>
      </c>
      <c r="H71" s="64">
        <v>26.16</v>
      </c>
      <c r="I71" s="64">
        <v>6.66</v>
      </c>
      <c r="J71" s="64">
        <v>2.71</v>
      </c>
      <c r="K71" s="64">
        <v>327.92</v>
      </c>
      <c r="L71" s="64">
        <v>21.95</v>
      </c>
      <c r="M71" s="64">
        <v>34.450000000000003</v>
      </c>
      <c r="N71" s="64">
        <v>166.9</v>
      </c>
      <c r="O71" s="64">
        <v>0</v>
      </c>
      <c r="P71" s="64">
        <v>0.8</v>
      </c>
      <c r="Q71" s="64">
        <v>8.2100000000000009</v>
      </c>
      <c r="R71" s="198"/>
      <c r="S71" s="198"/>
      <c r="T71" s="198"/>
      <c r="U71" s="198"/>
    </row>
    <row r="72" spans="1:21" s="12" customFormat="1" x14ac:dyDescent="0.25">
      <c r="A72" s="215" t="s">
        <v>1367</v>
      </c>
      <c r="B72" s="64">
        <v>2.68</v>
      </c>
      <c r="C72" s="64">
        <v>64.5</v>
      </c>
      <c r="D72" s="64">
        <v>34.47</v>
      </c>
      <c r="E72" s="64">
        <v>6.94</v>
      </c>
      <c r="F72" s="64">
        <v>6.37</v>
      </c>
      <c r="G72" s="64">
        <v>91.61</v>
      </c>
      <c r="H72" s="64">
        <v>233.05</v>
      </c>
      <c r="I72" s="64">
        <v>6.5</v>
      </c>
      <c r="J72" s="64">
        <v>2.21</v>
      </c>
      <c r="K72" s="64">
        <v>307.06</v>
      </c>
      <c r="L72" s="64">
        <v>21.6</v>
      </c>
      <c r="M72" s="64">
        <v>35.69</v>
      </c>
      <c r="N72" s="64">
        <v>157.6</v>
      </c>
      <c r="O72" s="64">
        <v>0</v>
      </c>
      <c r="P72" s="64">
        <v>0.81</v>
      </c>
      <c r="Q72" s="64">
        <v>8.2100000000000009</v>
      </c>
      <c r="R72" s="198"/>
      <c r="S72" s="198"/>
      <c r="T72" s="198"/>
      <c r="U72" s="198"/>
    </row>
    <row r="73" spans="1:21" s="12" customFormat="1" x14ac:dyDescent="0.25">
      <c r="A73" s="215" t="s">
        <v>1368</v>
      </c>
      <c r="B73" s="64">
        <v>2.52</v>
      </c>
      <c r="C73" s="64">
        <v>64.52</v>
      </c>
      <c r="D73" s="64">
        <v>34.36</v>
      </c>
      <c r="E73" s="64">
        <v>6.74</v>
      </c>
      <c r="F73" s="64">
        <v>6.15</v>
      </c>
      <c r="G73" s="64">
        <v>92.61</v>
      </c>
      <c r="H73" s="64">
        <v>34.729999999999997</v>
      </c>
      <c r="I73" s="64">
        <v>6.29</v>
      </c>
      <c r="J73" s="64">
        <v>2.4700000000000002</v>
      </c>
      <c r="K73" s="64">
        <v>320.11</v>
      </c>
      <c r="L73" s="64">
        <v>21.24</v>
      </c>
      <c r="M73" s="64">
        <v>37.15</v>
      </c>
      <c r="N73" s="64">
        <v>149</v>
      </c>
      <c r="O73" s="64">
        <v>0</v>
      </c>
      <c r="P73" s="64">
        <v>0.81</v>
      </c>
      <c r="Q73" s="64">
        <v>8.2100000000000009</v>
      </c>
      <c r="R73" s="198"/>
      <c r="S73" s="198"/>
      <c r="T73" s="198"/>
      <c r="U73" s="198"/>
    </row>
    <row r="74" spans="1:21" s="12" customFormat="1" x14ac:dyDescent="0.25">
      <c r="A74" s="215" t="s">
        <v>1369</v>
      </c>
      <c r="B74" s="64">
        <v>2.63</v>
      </c>
      <c r="C74" s="64">
        <v>64.97</v>
      </c>
      <c r="D74" s="64">
        <v>34.68</v>
      </c>
      <c r="E74" s="64">
        <v>6.64</v>
      </c>
      <c r="F74" s="64">
        <v>6.16</v>
      </c>
      <c r="G74" s="64">
        <v>92.61</v>
      </c>
      <c r="H74" s="64">
        <v>34.729999999999997</v>
      </c>
      <c r="I74" s="64">
        <v>6.13</v>
      </c>
      <c r="J74" s="64">
        <v>2.38</v>
      </c>
      <c r="K74" s="64">
        <v>328.55</v>
      </c>
      <c r="L74" s="64">
        <v>20.82</v>
      </c>
      <c r="M74" s="64">
        <v>38.4</v>
      </c>
      <c r="N74" s="64">
        <v>138.80000000000001</v>
      </c>
      <c r="O74" s="64">
        <v>0</v>
      </c>
      <c r="P74" s="64">
        <v>0.83</v>
      </c>
      <c r="Q74" s="64">
        <v>8.2100000000000009</v>
      </c>
      <c r="R74" s="198"/>
      <c r="S74" s="198"/>
      <c r="T74" s="198"/>
      <c r="U74" s="198"/>
    </row>
    <row r="75" spans="1:21" s="12" customFormat="1" x14ac:dyDescent="0.25">
      <c r="A75" s="215" t="s">
        <v>1370</v>
      </c>
      <c r="B75" s="64">
        <v>3.03</v>
      </c>
      <c r="C75" s="64">
        <v>66.150000000000006</v>
      </c>
      <c r="D75" s="64">
        <v>35.61</v>
      </c>
      <c r="E75" s="64">
        <v>6.77</v>
      </c>
      <c r="F75" s="64">
        <v>5.97</v>
      </c>
      <c r="G75" s="64">
        <v>92.61</v>
      </c>
      <c r="H75" s="64">
        <v>34.729999999999997</v>
      </c>
      <c r="I75" s="64">
        <v>5.96</v>
      </c>
      <c r="J75" s="64">
        <v>2.57</v>
      </c>
      <c r="K75" s="64">
        <v>335.42</v>
      </c>
      <c r="L75" s="64">
        <v>20.37</v>
      </c>
      <c r="M75" s="64">
        <v>39.85</v>
      </c>
      <c r="N75" s="64">
        <v>128.19999999999999</v>
      </c>
      <c r="O75" s="64">
        <v>0</v>
      </c>
      <c r="P75" s="64">
        <v>0.84</v>
      </c>
      <c r="Q75" s="64">
        <v>8.2100000000000009</v>
      </c>
      <c r="R75" s="198"/>
      <c r="S75" s="198"/>
      <c r="T75" s="198"/>
      <c r="U75" s="198"/>
    </row>
    <row r="76" spans="1:21" s="12" customFormat="1" x14ac:dyDescent="0.25">
      <c r="A76" s="215" t="s">
        <v>1371</v>
      </c>
      <c r="B76" s="64">
        <v>3.58</v>
      </c>
      <c r="C76" s="64">
        <v>65.88</v>
      </c>
      <c r="D76" s="64">
        <v>35.909999999999997</v>
      </c>
      <c r="E76" s="64">
        <v>6.27</v>
      </c>
      <c r="F76" s="64">
        <v>4.7699999999999996</v>
      </c>
      <c r="G76" s="64">
        <v>92.63</v>
      </c>
      <c r="H76" s="64">
        <v>9.33</v>
      </c>
      <c r="I76" s="64">
        <v>5.69</v>
      </c>
      <c r="J76" s="64">
        <v>2.25</v>
      </c>
      <c r="K76" s="64">
        <v>338.52</v>
      </c>
      <c r="L76" s="64">
        <v>19.739999999999998</v>
      </c>
      <c r="M76" s="64">
        <v>43.49</v>
      </c>
      <c r="N76" s="64">
        <v>119.3</v>
      </c>
      <c r="O76" s="64">
        <v>0</v>
      </c>
      <c r="P76" s="64">
        <v>0.96</v>
      </c>
      <c r="Q76" s="64">
        <v>8.2100000000000009</v>
      </c>
      <c r="R76" s="198"/>
      <c r="S76" s="198"/>
      <c r="T76" s="198"/>
      <c r="U76" s="198"/>
    </row>
    <row r="77" spans="1:21" s="12" customFormat="1" x14ac:dyDescent="0.25">
      <c r="A77" s="215" t="s">
        <v>1372</v>
      </c>
      <c r="B77" s="64">
        <v>4.34</v>
      </c>
      <c r="C77" s="64">
        <v>66.010000000000005</v>
      </c>
      <c r="D77" s="64">
        <v>36.590000000000003</v>
      </c>
      <c r="E77" s="64">
        <v>6.28</v>
      </c>
      <c r="F77" s="64">
        <v>4.07</v>
      </c>
      <c r="G77" s="64">
        <v>92.64</v>
      </c>
      <c r="H77" s="64">
        <v>30.69</v>
      </c>
      <c r="I77" s="64">
        <v>5.38</v>
      </c>
      <c r="J77" s="64">
        <v>2.23</v>
      </c>
      <c r="K77" s="64">
        <v>341.23</v>
      </c>
      <c r="L77" s="64">
        <v>18.86</v>
      </c>
      <c r="M77" s="64">
        <v>46.96</v>
      </c>
      <c r="N77" s="64">
        <v>111.5</v>
      </c>
      <c r="O77" s="64">
        <v>0</v>
      </c>
      <c r="P77" s="64">
        <v>0.99</v>
      </c>
      <c r="Q77" s="64">
        <v>8.2100000000000009</v>
      </c>
      <c r="R77" s="198"/>
      <c r="S77" s="198"/>
      <c r="T77" s="198"/>
      <c r="U77" s="198"/>
    </row>
    <row r="78" spans="1:21" s="12" customFormat="1" x14ac:dyDescent="0.25">
      <c r="A78" s="215" t="s">
        <v>1373</v>
      </c>
      <c r="B78" s="64">
        <v>5.5</v>
      </c>
      <c r="C78" s="64">
        <v>66.47</v>
      </c>
      <c r="D78" s="64">
        <v>37.76</v>
      </c>
      <c r="E78" s="64">
        <v>6.4</v>
      </c>
      <c r="F78" s="64">
        <v>4.3600000000000003</v>
      </c>
      <c r="G78" s="64">
        <v>92.64</v>
      </c>
      <c r="H78" s="64">
        <v>30.69</v>
      </c>
      <c r="I78" s="64">
        <v>4.63</v>
      </c>
      <c r="J78" s="64">
        <v>1.94</v>
      </c>
      <c r="K78" s="64">
        <v>354.88</v>
      </c>
      <c r="L78" s="64">
        <v>18.059999999999999</v>
      </c>
      <c r="M78" s="64">
        <v>48.23</v>
      </c>
      <c r="N78" s="64">
        <v>106.2</v>
      </c>
      <c r="O78" s="64">
        <v>0</v>
      </c>
      <c r="P78" s="64">
        <v>1.1399999999999999</v>
      </c>
      <c r="Q78" s="64">
        <v>8.2100000000000009</v>
      </c>
      <c r="R78" s="198"/>
      <c r="S78" s="198"/>
      <c r="T78" s="198"/>
      <c r="U78" s="198"/>
    </row>
    <row r="79" spans="1:21" s="12" customFormat="1" x14ac:dyDescent="0.25">
      <c r="A79" s="215" t="s">
        <v>1374</v>
      </c>
      <c r="B79" s="64">
        <v>6.97</v>
      </c>
      <c r="C79" s="64">
        <v>66.84</v>
      </c>
      <c r="D79" s="64">
        <v>39.130000000000003</v>
      </c>
      <c r="E79" s="64">
        <v>6.42</v>
      </c>
      <c r="F79" s="64">
        <v>4.0199999999999996</v>
      </c>
      <c r="G79" s="64">
        <v>92.64</v>
      </c>
      <c r="H79" s="64">
        <v>30.69</v>
      </c>
      <c r="I79" s="64">
        <v>4.92</v>
      </c>
      <c r="J79" s="64">
        <v>1.87</v>
      </c>
      <c r="K79" s="64">
        <v>11.38</v>
      </c>
      <c r="L79" s="64">
        <v>17.309999999999999</v>
      </c>
      <c r="M79" s="64">
        <v>51.84</v>
      </c>
      <c r="N79" s="64">
        <v>104.4</v>
      </c>
      <c r="O79" s="64">
        <v>0</v>
      </c>
      <c r="P79" s="64">
        <v>1.33</v>
      </c>
      <c r="Q79" s="64">
        <v>8.2100000000000009</v>
      </c>
      <c r="R79" s="198"/>
      <c r="S79" s="198"/>
      <c r="T79" s="198"/>
      <c r="U79" s="198"/>
    </row>
    <row r="80" spans="1:21" s="12" customFormat="1" x14ac:dyDescent="0.25">
      <c r="A80" s="215" t="s">
        <v>1375</v>
      </c>
      <c r="B80" s="64">
        <v>8.6300000000000008</v>
      </c>
      <c r="C80" s="64">
        <v>67.2</v>
      </c>
      <c r="D80" s="64">
        <v>40.65</v>
      </c>
      <c r="E80" s="64">
        <v>7.66</v>
      </c>
      <c r="F80" s="64">
        <v>4.17</v>
      </c>
      <c r="G80" s="64">
        <v>101.88</v>
      </c>
      <c r="H80" s="64">
        <v>46.99</v>
      </c>
      <c r="I80" s="64">
        <v>5.7</v>
      </c>
      <c r="J80" s="64">
        <v>1.99</v>
      </c>
      <c r="K80" s="64">
        <v>49.4</v>
      </c>
      <c r="L80" s="64">
        <v>16.760000000000002</v>
      </c>
      <c r="M80" s="64">
        <v>54.24</v>
      </c>
      <c r="N80" s="64">
        <v>103.2</v>
      </c>
      <c r="O80" s="64">
        <v>0</v>
      </c>
      <c r="P80" s="64">
        <v>1.25</v>
      </c>
      <c r="Q80" s="64">
        <v>8.2100000000000009</v>
      </c>
      <c r="R80" s="198"/>
      <c r="S80" s="198"/>
      <c r="T80" s="198"/>
      <c r="U80" s="198"/>
    </row>
    <row r="81" spans="1:26" s="12" customFormat="1" x14ac:dyDescent="0.25">
      <c r="A81" s="215" t="s">
        <v>1376</v>
      </c>
      <c r="B81" s="64">
        <v>10</v>
      </c>
      <c r="C81" s="64">
        <v>66.98</v>
      </c>
      <c r="D81" s="64">
        <v>41.63</v>
      </c>
      <c r="E81" s="64">
        <v>7.91</v>
      </c>
      <c r="F81" s="64">
        <v>3.63</v>
      </c>
      <c r="G81" s="64">
        <v>108.95</v>
      </c>
      <c r="H81" s="64">
        <v>46.99</v>
      </c>
      <c r="I81" s="64">
        <v>7.3</v>
      </c>
      <c r="J81" s="64">
        <v>1.64</v>
      </c>
      <c r="K81" s="64">
        <v>62.92</v>
      </c>
      <c r="L81" s="64">
        <v>16.48</v>
      </c>
      <c r="M81" s="64">
        <v>54.5</v>
      </c>
      <c r="N81" s="64">
        <v>102.7</v>
      </c>
      <c r="O81" s="64">
        <v>0</v>
      </c>
      <c r="P81" s="64">
        <v>1.35</v>
      </c>
      <c r="Q81" s="64">
        <v>8.2100000000000009</v>
      </c>
      <c r="R81" s="198"/>
      <c r="S81" s="198"/>
      <c r="T81" s="198"/>
      <c r="U81" s="198"/>
    </row>
    <row r="82" spans="1:26" s="12" customFormat="1" x14ac:dyDescent="0.25">
      <c r="A82" s="215" t="s">
        <v>1377</v>
      </c>
      <c r="B82" s="64">
        <v>12.29</v>
      </c>
      <c r="C82" s="64">
        <v>67.11</v>
      </c>
      <c r="D82" s="64">
        <v>43.55</v>
      </c>
      <c r="E82" s="64">
        <v>7.71</v>
      </c>
      <c r="F82" s="64">
        <v>3.77</v>
      </c>
      <c r="G82" s="64">
        <v>108.95</v>
      </c>
      <c r="H82" s="64">
        <v>46.99</v>
      </c>
      <c r="I82" s="64">
        <v>7.79</v>
      </c>
      <c r="J82" s="64">
        <v>1.8</v>
      </c>
      <c r="K82" s="64">
        <v>95.42</v>
      </c>
      <c r="L82" s="64">
        <v>16.7</v>
      </c>
      <c r="M82" s="64">
        <v>51.4</v>
      </c>
      <c r="N82" s="64">
        <v>101.7</v>
      </c>
      <c r="O82" s="64">
        <v>0</v>
      </c>
      <c r="P82" s="64">
        <v>1.54</v>
      </c>
      <c r="Q82" s="64">
        <v>8.2100000000000009</v>
      </c>
      <c r="R82" s="198"/>
      <c r="S82" s="198"/>
      <c r="T82" s="198"/>
      <c r="U82" s="198"/>
    </row>
    <row r="83" spans="1:26" s="12" customFormat="1" x14ac:dyDescent="0.25">
      <c r="A83" s="215" t="s">
        <v>1378</v>
      </c>
      <c r="B83" s="64">
        <v>13.96</v>
      </c>
      <c r="C83" s="64">
        <v>67.47</v>
      </c>
      <c r="D83" s="64">
        <v>45.07</v>
      </c>
      <c r="E83" s="64">
        <v>7.49</v>
      </c>
      <c r="F83" s="64">
        <v>3.93</v>
      </c>
      <c r="G83" s="64">
        <v>108.95</v>
      </c>
      <c r="H83" s="64">
        <v>46.99</v>
      </c>
      <c r="I83" s="64">
        <v>7.79</v>
      </c>
      <c r="J83" s="64">
        <v>1.86</v>
      </c>
      <c r="K83" s="64">
        <v>97.27</v>
      </c>
      <c r="L83" s="64">
        <v>16.54</v>
      </c>
      <c r="M83" s="64">
        <v>51.39</v>
      </c>
      <c r="N83" s="64">
        <v>101.4</v>
      </c>
      <c r="O83" s="64">
        <v>0</v>
      </c>
      <c r="P83" s="64">
        <v>1.25</v>
      </c>
      <c r="Q83" s="64">
        <v>8.31</v>
      </c>
      <c r="R83" s="198"/>
      <c r="S83" s="198"/>
      <c r="T83" s="198"/>
      <c r="U83" s="198"/>
    </row>
    <row r="84" spans="1:26" s="12" customFormat="1" x14ac:dyDescent="0.25">
      <c r="A84" s="215" t="s">
        <v>1379</v>
      </c>
      <c r="B84" s="64">
        <v>15.05</v>
      </c>
      <c r="C84" s="64">
        <v>68.38</v>
      </c>
      <c r="D84" s="64">
        <v>46.41</v>
      </c>
      <c r="E84" s="64">
        <v>8.07</v>
      </c>
      <c r="F84" s="64">
        <v>4.1500000000000004</v>
      </c>
      <c r="G84" s="64">
        <v>118.47</v>
      </c>
      <c r="H84" s="64">
        <v>104.05</v>
      </c>
      <c r="I84" s="64">
        <v>8.0500000000000007</v>
      </c>
      <c r="J84" s="64">
        <v>1.1100000000000001</v>
      </c>
      <c r="K84" s="64">
        <v>221.44</v>
      </c>
      <c r="L84" s="64">
        <v>15.81</v>
      </c>
      <c r="M84" s="64">
        <v>57.25</v>
      </c>
      <c r="N84" s="64">
        <v>101.1</v>
      </c>
      <c r="O84" s="64">
        <v>0</v>
      </c>
      <c r="P84" s="64">
        <v>1.25</v>
      </c>
      <c r="Q84" s="64">
        <v>8.52</v>
      </c>
      <c r="R84" s="198"/>
      <c r="S84" s="198"/>
      <c r="T84" s="198"/>
      <c r="U84" s="198"/>
    </row>
    <row r="85" spans="1:26" s="12" customFormat="1" x14ac:dyDescent="0.25">
      <c r="A85" s="215" t="s">
        <v>1380</v>
      </c>
      <c r="B85" s="64">
        <v>19.329999999999998</v>
      </c>
      <c r="C85" s="64">
        <v>70.56</v>
      </c>
      <c r="D85" s="64">
        <v>50.99</v>
      </c>
      <c r="E85" s="64">
        <v>8.0399999999999991</v>
      </c>
      <c r="F85" s="64">
        <v>4.37</v>
      </c>
      <c r="G85" s="64">
        <v>125.75</v>
      </c>
      <c r="H85" s="64">
        <v>3.26</v>
      </c>
      <c r="I85" s="64">
        <v>8.11</v>
      </c>
      <c r="J85" s="64">
        <v>1.66</v>
      </c>
      <c r="K85" s="64">
        <v>318.93</v>
      </c>
      <c r="L85" s="64">
        <v>15.06</v>
      </c>
      <c r="M85" s="64">
        <v>65.08</v>
      </c>
      <c r="N85" s="64">
        <v>101</v>
      </c>
      <c r="O85" s="64">
        <v>0</v>
      </c>
      <c r="P85" s="64">
        <v>1.24</v>
      </c>
      <c r="Q85" s="64">
        <v>8.98</v>
      </c>
      <c r="R85" s="198"/>
      <c r="S85" s="198"/>
      <c r="T85" s="198"/>
      <c r="U85" s="198"/>
    </row>
    <row r="86" spans="1:26" s="12" customFormat="1" x14ac:dyDescent="0.25">
      <c r="A86" s="215" t="s">
        <v>1381</v>
      </c>
      <c r="B86" s="64">
        <v>29.89</v>
      </c>
      <c r="C86" s="64">
        <v>72.8</v>
      </c>
      <c r="D86" s="64">
        <v>60.63</v>
      </c>
      <c r="E86" s="64">
        <v>8.7200000000000006</v>
      </c>
      <c r="F86" s="64">
        <v>4.79</v>
      </c>
      <c r="G86" s="64">
        <v>125.75</v>
      </c>
      <c r="H86" s="64">
        <v>3.26</v>
      </c>
      <c r="I86" s="64">
        <v>8.19</v>
      </c>
      <c r="J86" s="64">
        <v>1.6</v>
      </c>
      <c r="K86" s="64">
        <v>9.24</v>
      </c>
      <c r="L86" s="64">
        <v>14.49</v>
      </c>
      <c r="M86" s="64">
        <v>68.760000000000005</v>
      </c>
      <c r="N86" s="64">
        <v>101.1</v>
      </c>
      <c r="O86" s="64">
        <v>0</v>
      </c>
      <c r="P86" s="64">
        <v>1.43</v>
      </c>
      <c r="Q86" s="64">
        <v>9.9700000000000006</v>
      </c>
      <c r="R86" s="198"/>
      <c r="S86" s="198"/>
      <c r="T86" s="198"/>
      <c r="U86" s="198"/>
    </row>
    <row r="87" spans="1:26" s="12" customFormat="1" x14ac:dyDescent="0.25">
      <c r="A87" s="215" t="s">
        <v>1382</v>
      </c>
      <c r="B87" s="64">
        <v>39.909999999999997</v>
      </c>
      <c r="C87" s="64">
        <v>74.95</v>
      </c>
      <c r="D87" s="64">
        <v>69.790000000000006</v>
      </c>
      <c r="E87" s="64">
        <v>9.1999999999999993</v>
      </c>
      <c r="F87" s="64">
        <v>4.49</v>
      </c>
      <c r="G87" s="64">
        <v>125.75</v>
      </c>
      <c r="H87" s="64">
        <v>3.26</v>
      </c>
      <c r="I87" s="64">
        <v>8.49</v>
      </c>
      <c r="J87" s="64">
        <v>2.04</v>
      </c>
      <c r="K87" s="64">
        <v>337.41</v>
      </c>
      <c r="L87" s="64">
        <v>14.26</v>
      </c>
      <c r="M87" s="64">
        <v>70.31</v>
      </c>
      <c r="N87" s="64">
        <v>100.9</v>
      </c>
      <c r="O87" s="64">
        <v>0</v>
      </c>
      <c r="P87" s="64">
        <v>1.56</v>
      </c>
      <c r="Q87" s="64">
        <v>10.29</v>
      </c>
      <c r="R87" s="198"/>
      <c r="S87" s="198"/>
      <c r="T87" s="198"/>
      <c r="U87" s="198"/>
    </row>
    <row r="88" spans="1:26" s="12" customFormat="1" x14ac:dyDescent="0.25">
      <c r="A88" s="215" t="s">
        <v>1383</v>
      </c>
      <c r="B88" s="64">
        <v>50.68</v>
      </c>
      <c r="C88" s="64">
        <v>76.53</v>
      </c>
      <c r="D88" s="64">
        <v>79.25</v>
      </c>
      <c r="E88" s="64">
        <v>10.220000000000001</v>
      </c>
      <c r="F88" s="64">
        <v>4.46</v>
      </c>
      <c r="G88" s="64">
        <v>153.16999999999999</v>
      </c>
      <c r="H88" s="64">
        <v>50.91</v>
      </c>
      <c r="I88" s="64">
        <v>8.86</v>
      </c>
      <c r="J88" s="64">
        <v>1.8</v>
      </c>
      <c r="K88" s="64">
        <v>307.20999999999998</v>
      </c>
      <c r="L88" s="64">
        <v>14.09</v>
      </c>
      <c r="M88" s="64">
        <v>69.040000000000006</v>
      </c>
      <c r="N88" s="64">
        <v>101.2</v>
      </c>
      <c r="O88" s="64">
        <v>0</v>
      </c>
      <c r="P88" s="64">
        <v>1.72</v>
      </c>
      <c r="Q88" s="64">
        <v>10.44</v>
      </c>
      <c r="R88" s="198"/>
      <c r="S88" s="198"/>
      <c r="T88" s="198"/>
      <c r="U88" s="198"/>
    </row>
    <row r="89" spans="1:26" s="12" customFormat="1" x14ac:dyDescent="0.25">
      <c r="A89" s="215" t="s">
        <v>1384</v>
      </c>
      <c r="B89" s="64">
        <v>56.48</v>
      </c>
      <c r="C89" s="64">
        <v>77.28</v>
      </c>
      <c r="D89" s="64">
        <v>84.29</v>
      </c>
      <c r="E89" s="64">
        <v>10.3</v>
      </c>
      <c r="F89" s="64">
        <v>4.12</v>
      </c>
      <c r="G89" s="64">
        <v>174.14</v>
      </c>
      <c r="H89" s="64">
        <v>50.91</v>
      </c>
      <c r="I89" s="64">
        <v>8.74</v>
      </c>
      <c r="J89" s="64">
        <v>2.04</v>
      </c>
      <c r="K89" s="64">
        <v>11.79</v>
      </c>
      <c r="L89" s="64">
        <v>14.12</v>
      </c>
      <c r="M89" s="64">
        <v>62.92</v>
      </c>
      <c r="N89" s="64">
        <v>101.4</v>
      </c>
      <c r="O89" s="64">
        <v>0</v>
      </c>
      <c r="P89" s="64">
        <v>1.82</v>
      </c>
      <c r="Q89" s="64">
        <v>10.53</v>
      </c>
      <c r="R89" s="198"/>
      <c r="S89" s="198"/>
      <c r="T89" s="198"/>
      <c r="U89" s="198"/>
    </row>
    <row r="90" spans="1:26" s="12" customFormat="1" x14ac:dyDescent="0.25">
      <c r="A90" s="215" t="s">
        <v>1385</v>
      </c>
      <c r="B90" s="64">
        <v>56.67</v>
      </c>
      <c r="C90" s="64">
        <v>78.03</v>
      </c>
      <c r="D90" s="64">
        <v>84.84</v>
      </c>
      <c r="E90" s="64">
        <v>10.199999999999999</v>
      </c>
      <c r="F90" s="64">
        <v>4.67</v>
      </c>
      <c r="G90" s="64">
        <v>174.14</v>
      </c>
      <c r="H90" s="64">
        <v>50.91</v>
      </c>
      <c r="I90" s="64">
        <v>9.0399999999999991</v>
      </c>
      <c r="J90" s="64">
        <v>1.7</v>
      </c>
      <c r="K90" s="64">
        <v>295.33</v>
      </c>
      <c r="L90" s="64">
        <v>14.32</v>
      </c>
      <c r="M90" s="64">
        <v>60.54</v>
      </c>
      <c r="N90" s="64">
        <v>100.7</v>
      </c>
      <c r="O90" s="64">
        <v>0</v>
      </c>
      <c r="P90" s="64">
        <v>1.88</v>
      </c>
      <c r="Q90" s="64">
        <v>10.53</v>
      </c>
      <c r="R90" s="198"/>
      <c r="S90" s="198"/>
      <c r="T90" s="198"/>
      <c r="U90" s="198"/>
    </row>
    <row r="91" spans="1:26" s="12" customFormat="1" x14ac:dyDescent="0.25">
      <c r="A91" s="215" t="s">
        <v>1386</v>
      </c>
      <c r="B91" s="64">
        <v>56.12</v>
      </c>
      <c r="C91" s="64">
        <v>78.25</v>
      </c>
      <c r="D91" s="64">
        <v>84.51</v>
      </c>
      <c r="E91" s="64">
        <v>9.64</v>
      </c>
      <c r="F91" s="64">
        <v>5</v>
      </c>
      <c r="G91" s="64">
        <v>174.14</v>
      </c>
      <c r="H91" s="64">
        <v>50.91</v>
      </c>
      <c r="I91" s="64">
        <v>9.2799999999999994</v>
      </c>
      <c r="J91" s="64">
        <v>1.95</v>
      </c>
      <c r="K91" s="64">
        <v>297.27999999999997</v>
      </c>
      <c r="L91" s="64">
        <v>14.09</v>
      </c>
      <c r="M91" s="64">
        <v>63.62</v>
      </c>
      <c r="N91" s="64">
        <v>100.8</v>
      </c>
      <c r="O91" s="64">
        <v>0</v>
      </c>
      <c r="P91" s="64">
        <v>1.91</v>
      </c>
      <c r="Q91" s="64">
        <v>10.55</v>
      </c>
      <c r="R91" s="198"/>
      <c r="S91" s="198"/>
      <c r="T91" s="198"/>
      <c r="U91" s="198"/>
    </row>
    <row r="92" spans="1:26" s="12" customFormat="1" x14ac:dyDescent="0.25">
      <c r="A92" s="215" t="s">
        <v>1387</v>
      </c>
      <c r="B92" s="64">
        <v>59.5</v>
      </c>
      <c r="C92" s="64">
        <v>77.900000000000006</v>
      </c>
      <c r="D92" s="64">
        <v>87.04</v>
      </c>
      <c r="E92" s="64">
        <v>10.130000000000001</v>
      </c>
      <c r="F92" s="64">
        <v>4.72</v>
      </c>
      <c r="G92" s="64">
        <v>173.15</v>
      </c>
      <c r="H92" s="64">
        <v>26.54</v>
      </c>
      <c r="I92" s="64">
        <v>9.32</v>
      </c>
      <c r="J92" s="64">
        <v>1.63</v>
      </c>
      <c r="K92" s="64">
        <v>309.61</v>
      </c>
      <c r="L92" s="64">
        <v>13.59</v>
      </c>
      <c r="M92" s="64">
        <v>75.400000000000006</v>
      </c>
      <c r="N92" s="64">
        <v>100.9</v>
      </c>
      <c r="O92" s="64">
        <v>0</v>
      </c>
      <c r="P92" s="64">
        <v>2.1</v>
      </c>
      <c r="Q92" s="64">
        <v>10.55</v>
      </c>
      <c r="R92" s="198"/>
      <c r="S92" s="198"/>
      <c r="T92" s="198"/>
      <c r="U92" s="198"/>
    </row>
    <row r="93" spans="1:26" s="12" customFormat="1" x14ac:dyDescent="0.25">
      <c r="A93" s="215" t="s">
        <v>1388</v>
      </c>
      <c r="B93" s="64">
        <v>66.5</v>
      </c>
      <c r="C93" s="64">
        <v>76.34</v>
      </c>
      <c r="D93" s="64">
        <v>91.84</v>
      </c>
      <c r="E93" s="64">
        <v>10.72</v>
      </c>
      <c r="F93" s="64">
        <v>4.93</v>
      </c>
      <c r="G93" s="64">
        <v>172.4</v>
      </c>
      <c r="H93" s="64">
        <v>121.65</v>
      </c>
      <c r="I93" s="64">
        <v>9.31</v>
      </c>
      <c r="J93" s="64">
        <v>2</v>
      </c>
      <c r="K93" s="64">
        <v>257.48</v>
      </c>
      <c r="L93" s="64">
        <v>13.35</v>
      </c>
      <c r="M93" s="64">
        <v>74.28</v>
      </c>
      <c r="N93" s="64">
        <v>100.6</v>
      </c>
      <c r="O93" s="64">
        <v>0</v>
      </c>
      <c r="P93" s="64">
        <v>2.16</v>
      </c>
      <c r="Q93" s="64">
        <v>10.45</v>
      </c>
      <c r="R93" s="198"/>
      <c r="S93" s="198"/>
      <c r="T93" s="198"/>
      <c r="U93" s="198"/>
    </row>
    <row r="94" spans="1:26" s="12" customFormat="1" x14ac:dyDescent="0.25">
      <c r="A94" s="215" t="s">
        <v>1389</v>
      </c>
      <c r="B94" s="64">
        <v>72.61</v>
      </c>
      <c r="C94" s="64">
        <v>75.38</v>
      </c>
      <c r="D94" s="64">
        <v>96.23</v>
      </c>
      <c r="E94" s="64">
        <v>11.26</v>
      </c>
      <c r="F94" s="64">
        <v>4.66</v>
      </c>
      <c r="G94" s="64">
        <v>172.4</v>
      </c>
      <c r="H94" s="64">
        <v>121.65</v>
      </c>
      <c r="I94" s="64">
        <v>10.3</v>
      </c>
      <c r="J94" s="64">
        <v>1.91</v>
      </c>
      <c r="K94" s="64">
        <v>291.77</v>
      </c>
      <c r="L94" s="64">
        <v>13.29</v>
      </c>
      <c r="M94" s="64">
        <v>72.39</v>
      </c>
      <c r="N94" s="64">
        <v>101.3</v>
      </c>
      <c r="O94" s="64">
        <v>0</v>
      </c>
      <c r="P94" s="64">
        <v>2.27</v>
      </c>
      <c r="Q94" s="64">
        <v>10.45</v>
      </c>
      <c r="R94" s="198"/>
      <c r="S94" s="198"/>
      <c r="T94" s="198"/>
      <c r="U94" s="198"/>
    </row>
    <row r="95" spans="1:26" s="12" customFormat="1" x14ac:dyDescent="0.25">
      <c r="A95" s="215" t="s">
        <v>1390</v>
      </c>
      <c r="B95" s="64">
        <v>77.989999999999995</v>
      </c>
      <c r="C95" s="64">
        <v>74.63</v>
      </c>
      <c r="D95" s="64">
        <v>100.16</v>
      </c>
      <c r="E95" s="64">
        <v>11.19</v>
      </c>
      <c r="F95" s="64">
        <v>4.51</v>
      </c>
      <c r="G95" s="64">
        <v>172.4</v>
      </c>
      <c r="H95" s="64">
        <v>121.65</v>
      </c>
      <c r="I95" s="64">
        <v>10.220000000000001</v>
      </c>
      <c r="J95" s="64">
        <v>1.82</v>
      </c>
      <c r="K95" s="64">
        <v>283.55</v>
      </c>
      <c r="L95" s="64">
        <v>13.17</v>
      </c>
      <c r="M95" s="64">
        <v>73.510000000000005</v>
      </c>
      <c r="N95" s="64">
        <v>101.2</v>
      </c>
      <c r="O95" s="64">
        <v>0</v>
      </c>
      <c r="P95" s="64">
        <v>2.2200000000000002</v>
      </c>
      <c r="Q95" s="64">
        <v>10.5</v>
      </c>
      <c r="R95" s="198"/>
      <c r="S95" s="198"/>
      <c r="T95" s="198"/>
      <c r="U95" s="198"/>
    </row>
    <row r="96" spans="1:26" s="12" customFormat="1" x14ac:dyDescent="0.25">
      <c r="A96" s="215" t="s">
        <v>1391</v>
      </c>
      <c r="B96" s="64">
        <v>85.31</v>
      </c>
      <c r="C96" s="64">
        <v>74.08</v>
      </c>
      <c r="D96" s="64">
        <v>105.74</v>
      </c>
      <c r="E96" s="64">
        <v>11.4</v>
      </c>
      <c r="F96" s="64">
        <v>4.87</v>
      </c>
      <c r="G96" s="64">
        <v>185.03</v>
      </c>
      <c r="H96" s="64">
        <v>86.83</v>
      </c>
      <c r="I96" s="64">
        <v>10.199999999999999</v>
      </c>
      <c r="J96" s="64">
        <v>1.76</v>
      </c>
      <c r="K96" s="64">
        <v>317.3</v>
      </c>
      <c r="L96" s="64">
        <v>12.87</v>
      </c>
      <c r="M96" s="64">
        <v>81.209999999999994</v>
      </c>
      <c r="N96" s="64">
        <v>102.5</v>
      </c>
      <c r="O96" s="64">
        <v>0</v>
      </c>
      <c r="P96" s="64">
        <v>2.44</v>
      </c>
      <c r="Q96" s="64">
        <v>10.53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1392</v>
      </c>
      <c r="B97" s="64">
        <v>92.62</v>
      </c>
      <c r="C97" s="64">
        <v>73.010000000000005</v>
      </c>
      <c r="D97" s="64">
        <v>111.05</v>
      </c>
      <c r="E97" s="64">
        <v>12.23</v>
      </c>
      <c r="F97" s="64">
        <v>4.8899999999999997</v>
      </c>
      <c r="G97" s="64">
        <v>194.69</v>
      </c>
      <c r="H97" s="64">
        <v>66.2</v>
      </c>
      <c r="I97" s="64">
        <v>10.29</v>
      </c>
      <c r="J97" s="64">
        <v>1.85</v>
      </c>
      <c r="K97" s="64">
        <v>302.7</v>
      </c>
      <c r="L97" s="64">
        <v>12.64</v>
      </c>
      <c r="M97" s="64">
        <v>79.540000000000006</v>
      </c>
      <c r="N97" s="64">
        <v>102.4</v>
      </c>
      <c r="O97" s="64">
        <v>0</v>
      </c>
      <c r="P97" s="64">
        <v>2.42</v>
      </c>
      <c r="Q97" s="64">
        <v>10.58</v>
      </c>
      <c r="R97" s="198"/>
      <c r="S97" s="198"/>
      <c r="T97" s="198"/>
      <c r="U97" s="198"/>
    </row>
    <row r="98" spans="1:33" s="12" customFormat="1" x14ac:dyDescent="0.25">
      <c r="A98" s="215" t="s">
        <v>1393</v>
      </c>
      <c r="B98" s="64">
        <v>99.24</v>
      </c>
      <c r="C98" s="64">
        <v>72.510000000000005</v>
      </c>
      <c r="D98" s="64">
        <v>116.09</v>
      </c>
      <c r="E98" s="64">
        <v>12.42</v>
      </c>
      <c r="F98" s="64">
        <v>4.72</v>
      </c>
      <c r="G98" s="64">
        <v>194.69</v>
      </c>
      <c r="H98" s="64">
        <v>66.2</v>
      </c>
      <c r="I98" s="64">
        <v>10.81</v>
      </c>
      <c r="J98" s="64">
        <v>1.94</v>
      </c>
      <c r="K98" s="64">
        <v>337.38</v>
      </c>
      <c r="L98" s="64">
        <v>12.36</v>
      </c>
      <c r="M98" s="64">
        <v>83.77</v>
      </c>
      <c r="N98" s="64">
        <v>102.6</v>
      </c>
      <c r="O98" s="64">
        <v>0</v>
      </c>
      <c r="P98" s="64">
        <v>2.4900000000000002</v>
      </c>
      <c r="Q98" s="64">
        <v>10.66</v>
      </c>
      <c r="R98" s="198"/>
      <c r="S98" s="198"/>
      <c r="T98" s="198"/>
      <c r="U98" s="198"/>
    </row>
    <row r="99" spans="1:33" s="12" customFormat="1" x14ac:dyDescent="0.25">
      <c r="A99" s="215" t="s">
        <v>1394</v>
      </c>
      <c r="B99" s="64">
        <v>107.69</v>
      </c>
      <c r="C99" s="64">
        <v>71.88</v>
      </c>
      <c r="D99" s="64">
        <v>122.53</v>
      </c>
      <c r="E99" s="64">
        <v>12.9</v>
      </c>
      <c r="F99" s="64">
        <v>5.24</v>
      </c>
      <c r="G99" s="64">
        <v>194.69</v>
      </c>
      <c r="H99" s="64">
        <v>66.2</v>
      </c>
      <c r="I99" s="64">
        <v>10.77</v>
      </c>
      <c r="J99" s="64">
        <v>1.9</v>
      </c>
      <c r="K99" s="64">
        <v>313.43</v>
      </c>
      <c r="L99" s="64">
        <v>12.08</v>
      </c>
      <c r="M99" s="64">
        <v>84.35</v>
      </c>
      <c r="N99" s="64">
        <v>101.6</v>
      </c>
      <c r="O99" s="64">
        <v>0</v>
      </c>
      <c r="P99" s="64">
        <v>2.58</v>
      </c>
      <c r="Q99" s="64">
        <v>10.72</v>
      </c>
      <c r="R99" s="198"/>
      <c r="S99" s="198"/>
      <c r="T99" s="198"/>
      <c r="U99" s="198"/>
    </row>
    <row r="100" spans="1:33" s="12" customFormat="1" x14ac:dyDescent="0.25">
      <c r="A100" s="215" t="s">
        <v>1395</v>
      </c>
      <c r="B100" s="64">
        <v>113.53</v>
      </c>
      <c r="C100" s="64">
        <v>72.25</v>
      </c>
      <c r="D100" s="64">
        <v>127.41</v>
      </c>
      <c r="E100" s="64">
        <v>13.49</v>
      </c>
      <c r="F100" s="64">
        <v>4.54</v>
      </c>
      <c r="G100" s="64">
        <v>208.33</v>
      </c>
      <c r="H100" s="64">
        <v>138.76</v>
      </c>
      <c r="I100" s="64">
        <v>10.87</v>
      </c>
      <c r="J100" s="64">
        <v>1.83</v>
      </c>
      <c r="K100" s="64">
        <v>307.52</v>
      </c>
      <c r="L100" s="64">
        <v>11.96</v>
      </c>
      <c r="M100" s="64">
        <v>82.56</v>
      </c>
      <c r="N100" s="64">
        <v>101.1</v>
      </c>
      <c r="O100" s="64">
        <v>0</v>
      </c>
      <c r="P100" s="64">
        <v>2.63</v>
      </c>
      <c r="Q100" s="64">
        <v>10.85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1396</v>
      </c>
      <c r="B101" s="64">
        <v>118.99</v>
      </c>
      <c r="C101" s="64">
        <v>72.88</v>
      </c>
      <c r="D101" s="64">
        <v>132.12</v>
      </c>
      <c r="E101" s="64">
        <v>13.92</v>
      </c>
      <c r="F101" s="64">
        <v>5.51</v>
      </c>
      <c r="G101" s="64">
        <v>218.76</v>
      </c>
      <c r="H101" s="64">
        <v>138.76</v>
      </c>
      <c r="I101" s="64">
        <v>11.07</v>
      </c>
      <c r="J101" s="64">
        <v>1.9</v>
      </c>
      <c r="K101" s="64">
        <v>297.08999999999997</v>
      </c>
      <c r="L101" s="64">
        <v>11.79</v>
      </c>
      <c r="M101" s="64">
        <v>81.36</v>
      </c>
      <c r="N101" s="64">
        <v>102.5</v>
      </c>
      <c r="O101" s="64">
        <v>0</v>
      </c>
      <c r="P101" s="64">
        <v>2.68</v>
      </c>
      <c r="Q101" s="64">
        <v>11.02</v>
      </c>
      <c r="R101" s="198"/>
      <c r="S101" s="198"/>
      <c r="T101" s="198"/>
      <c r="U101" s="198"/>
    </row>
    <row r="102" spans="1:33" s="12" customFormat="1" x14ac:dyDescent="0.25">
      <c r="A102" s="215" t="s">
        <v>1397</v>
      </c>
      <c r="B102" s="64">
        <v>126.85</v>
      </c>
      <c r="C102" s="64">
        <v>73.739999999999995</v>
      </c>
      <c r="D102" s="64">
        <v>138.87</v>
      </c>
      <c r="E102" s="64">
        <v>14.33</v>
      </c>
      <c r="F102" s="64">
        <v>5.29</v>
      </c>
      <c r="G102" s="64">
        <v>218.76</v>
      </c>
      <c r="H102" s="64">
        <v>138.76</v>
      </c>
      <c r="I102" s="64">
        <v>11.16</v>
      </c>
      <c r="J102" s="64">
        <v>1.76</v>
      </c>
      <c r="K102" s="64">
        <v>324.77999999999997</v>
      </c>
      <c r="L102" s="64">
        <v>11.71</v>
      </c>
      <c r="M102" s="64">
        <v>82.71</v>
      </c>
      <c r="N102" s="64">
        <v>104.1</v>
      </c>
      <c r="O102" s="64">
        <v>0</v>
      </c>
      <c r="P102" s="64">
        <v>2.72</v>
      </c>
      <c r="Q102" s="64">
        <v>11.12</v>
      </c>
      <c r="R102" s="198"/>
      <c r="S102" s="198"/>
      <c r="T102" s="198"/>
      <c r="U102" s="198"/>
    </row>
    <row r="103" spans="1:33" s="12" customFormat="1" x14ac:dyDescent="0.25">
      <c r="A103" s="215" t="s">
        <v>1398</v>
      </c>
      <c r="B103" s="64">
        <v>135.68</v>
      </c>
      <c r="C103" s="64">
        <v>74.3</v>
      </c>
      <c r="D103" s="64">
        <v>146.25</v>
      </c>
      <c r="E103" s="64">
        <v>13.99</v>
      </c>
      <c r="F103" s="64">
        <v>5.07</v>
      </c>
      <c r="G103" s="64">
        <v>218.76</v>
      </c>
      <c r="H103" s="64">
        <v>138.76</v>
      </c>
      <c r="I103" s="64">
        <v>11.23</v>
      </c>
      <c r="J103" s="64">
        <v>2.0699999999999998</v>
      </c>
      <c r="K103" s="64">
        <v>343.3</v>
      </c>
      <c r="L103" s="64">
        <v>11.68</v>
      </c>
      <c r="M103" s="64">
        <v>86.64</v>
      </c>
      <c r="N103" s="64">
        <v>104.1</v>
      </c>
      <c r="O103" s="64">
        <v>0</v>
      </c>
      <c r="P103" s="64">
        <v>2.74</v>
      </c>
      <c r="Q103" s="64">
        <v>11.21</v>
      </c>
      <c r="R103" s="198"/>
      <c r="S103" s="198"/>
      <c r="T103" s="198"/>
      <c r="U103" s="198"/>
    </row>
    <row r="104" spans="1:33" s="12" customFormat="1" x14ac:dyDescent="0.25">
      <c r="A104" s="215" t="s">
        <v>1399</v>
      </c>
      <c r="B104" s="64">
        <v>141.82</v>
      </c>
      <c r="C104" s="64">
        <v>74.67</v>
      </c>
      <c r="D104" s="64">
        <v>151.37</v>
      </c>
      <c r="E104" s="64">
        <v>11.15</v>
      </c>
      <c r="F104" s="64">
        <v>5.42</v>
      </c>
      <c r="G104" s="64">
        <v>222.06</v>
      </c>
      <c r="H104" s="64">
        <v>178.59</v>
      </c>
      <c r="I104" s="64">
        <v>11.3</v>
      </c>
      <c r="J104" s="64">
        <v>2.09</v>
      </c>
      <c r="K104" s="64">
        <v>342.4</v>
      </c>
      <c r="L104" s="64">
        <v>11.34</v>
      </c>
      <c r="M104" s="64">
        <v>89.58</v>
      </c>
      <c r="N104" s="64">
        <v>103.8</v>
      </c>
      <c r="O104" s="64">
        <v>0</v>
      </c>
      <c r="P104" s="64">
        <v>2.77</v>
      </c>
      <c r="Q104" s="64">
        <v>11.33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2.52</v>
      </c>
      <c r="C106" s="67">
        <f>MIN(C9:C104)</f>
        <v>50.65</v>
      </c>
      <c r="D106" s="67">
        <f t="shared" ref="D106:Q106" si="0">MIN(D9:D104)</f>
        <v>33.83</v>
      </c>
      <c r="E106" s="67">
        <f t="shared" si="0"/>
        <v>5.53</v>
      </c>
      <c r="F106" s="67">
        <f t="shared" si="0"/>
        <v>3.32</v>
      </c>
      <c r="G106" s="67">
        <f t="shared" si="0"/>
        <v>89.37</v>
      </c>
      <c r="H106" s="67">
        <f t="shared" si="0"/>
        <v>3.26</v>
      </c>
      <c r="I106" s="67">
        <f t="shared" si="0"/>
        <v>4.63</v>
      </c>
      <c r="J106" s="67">
        <f t="shared" si="0"/>
        <v>0.33</v>
      </c>
      <c r="K106" s="67">
        <f t="shared" si="0"/>
        <v>2.94</v>
      </c>
      <c r="L106" s="67">
        <f t="shared" si="0"/>
        <v>8.83</v>
      </c>
      <c r="M106" s="67">
        <f t="shared" si="0"/>
        <v>29.08</v>
      </c>
      <c r="N106" s="67">
        <f t="shared" si="0"/>
        <v>92.7</v>
      </c>
      <c r="O106" s="67">
        <f t="shared" si="0"/>
        <v>0</v>
      </c>
      <c r="P106" s="67">
        <f t="shared" si="0"/>
        <v>0.77</v>
      </c>
      <c r="Q106" s="67">
        <f t="shared" si="0"/>
        <v>8.2100000000000009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141.82</v>
      </c>
      <c r="C107" s="66">
        <f t="shared" ref="C107:Q107" si="1">MAX(C9:C104)</f>
        <v>78.25</v>
      </c>
      <c r="D107" s="66">
        <f t="shared" si="1"/>
        <v>151.37</v>
      </c>
      <c r="E107" s="66">
        <f t="shared" si="1"/>
        <v>14.33</v>
      </c>
      <c r="F107" s="66">
        <f t="shared" si="1"/>
        <v>6.37</v>
      </c>
      <c r="G107" s="66">
        <f t="shared" si="1"/>
        <v>222.06</v>
      </c>
      <c r="H107" s="66">
        <f t="shared" si="1"/>
        <v>233.05</v>
      </c>
      <c r="I107" s="66">
        <f t="shared" si="1"/>
        <v>11.3</v>
      </c>
      <c r="J107" s="66">
        <f t="shared" si="1"/>
        <v>3.87</v>
      </c>
      <c r="K107" s="66">
        <f t="shared" si="1"/>
        <v>354.88</v>
      </c>
      <c r="L107" s="66">
        <f t="shared" si="1"/>
        <v>25.47</v>
      </c>
      <c r="M107" s="66">
        <f t="shared" si="1"/>
        <v>92.51</v>
      </c>
      <c r="N107" s="66">
        <f t="shared" si="1"/>
        <v>842.9</v>
      </c>
      <c r="O107" s="66">
        <f t="shared" si="1"/>
        <v>0</v>
      </c>
      <c r="P107" s="66">
        <f t="shared" si="1"/>
        <v>2.77</v>
      </c>
      <c r="Q107" s="66">
        <f t="shared" si="1"/>
        <v>11.33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29.314791666666668</v>
      </c>
      <c r="C108" s="67">
        <f t="shared" ref="C108:Q108" si="2">AVERAGE(C9:C104)</f>
        <v>62.596770833333345</v>
      </c>
      <c r="D108" s="67">
        <f t="shared" si="2"/>
        <v>54.836145833333326</v>
      </c>
      <c r="E108" s="67">
        <f t="shared" si="2"/>
        <v>7.6115624999999989</v>
      </c>
      <c r="F108" s="67">
        <f t="shared" si="2"/>
        <v>4.4896875000000014</v>
      </c>
      <c r="G108" s="67">
        <f t="shared" si="2"/>
        <v>120.50156249999998</v>
      </c>
      <c r="H108" s="67">
        <f t="shared" si="2"/>
        <v>53.522258064516116</v>
      </c>
      <c r="I108" s="67">
        <f t="shared" si="2"/>
        <v>6.9959374999999975</v>
      </c>
      <c r="J108" s="67">
        <f t="shared" si="2"/>
        <v>1.8477083333333331</v>
      </c>
      <c r="K108" s="67">
        <f t="shared" si="2"/>
        <v>247.69093750000002</v>
      </c>
      <c r="L108" s="67">
        <f t="shared" si="2"/>
        <v>15.721041666666657</v>
      </c>
      <c r="M108" s="67">
        <f t="shared" si="2"/>
        <v>58.933437500000018</v>
      </c>
      <c r="N108" s="67">
        <f t="shared" si="2"/>
        <v>247.0385416666667</v>
      </c>
      <c r="O108" s="67">
        <f t="shared" si="2"/>
        <v>0</v>
      </c>
      <c r="P108" s="67">
        <f t="shared" si="2"/>
        <v>1.2689583333333327</v>
      </c>
      <c r="Q108" s="67">
        <f t="shared" si="2"/>
        <v>9.0512500000000049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31.757459960047733</v>
      </c>
      <c r="C109" s="67">
        <f t="shared" ref="C109:Q109" si="3">STDEV(C9:C104)</f>
        <v>8.0271996158838093</v>
      </c>
      <c r="D109" s="67">
        <f t="shared" si="3"/>
        <v>28.072961757376831</v>
      </c>
      <c r="E109" s="67">
        <f t="shared" si="3"/>
        <v>2.1175121092675582</v>
      </c>
      <c r="F109" s="67">
        <f t="shared" si="3"/>
        <v>0.63140020359931071</v>
      </c>
      <c r="G109" s="67">
        <f t="shared" si="3"/>
        <v>35.521227347457305</v>
      </c>
      <c r="H109" s="67">
        <f t="shared" si="3"/>
        <v>37.999064894931315</v>
      </c>
      <c r="I109" s="67">
        <f t="shared" si="3"/>
        <v>1.831631184505405</v>
      </c>
      <c r="J109" s="67">
        <f t="shared" si="3"/>
        <v>0.61077944880924351</v>
      </c>
      <c r="K109" s="67">
        <f t="shared" si="3"/>
        <v>115.89866867295967</v>
      </c>
      <c r="L109" s="67">
        <f t="shared" si="3"/>
        <v>5.045327693528737</v>
      </c>
      <c r="M109" s="67">
        <f t="shared" si="3"/>
        <v>19.38082616391906</v>
      </c>
      <c r="N109" s="67">
        <f t="shared" si="3"/>
        <v>238.61352693371265</v>
      </c>
      <c r="O109" s="67">
        <f t="shared" si="3"/>
        <v>0</v>
      </c>
      <c r="P109" s="67">
        <f t="shared" si="3"/>
        <v>0.56005916824013002</v>
      </c>
      <c r="Q109" s="67">
        <f t="shared" si="3"/>
        <v>0.96234171630831167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COUNT(H9:H104)+3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9" sqref="G11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247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13/12/2024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231</v>
      </c>
      <c r="C7" s="198" t="s">
        <v>232</v>
      </c>
      <c r="D7" s="198" t="s">
        <v>233</v>
      </c>
      <c r="E7" s="198" t="s">
        <v>234</v>
      </c>
      <c r="F7" s="198" t="s">
        <v>235</v>
      </c>
      <c r="G7" s="198" t="s">
        <v>236</v>
      </c>
      <c r="H7" s="198" t="s">
        <v>237</v>
      </c>
      <c r="I7" s="198" t="s">
        <v>238</v>
      </c>
      <c r="J7" s="198" t="s">
        <v>239</v>
      </c>
      <c r="K7" s="198" t="s">
        <v>240</v>
      </c>
      <c r="L7" s="198" t="s">
        <v>241</v>
      </c>
      <c r="M7" s="198" t="s">
        <v>242</v>
      </c>
      <c r="N7" s="198" t="s">
        <v>243</v>
      </c>
      <c r="O7" s="198" t="s">
        <v>244</v>
      </c>
      <c r="P7" s="198" t="s">
        <v>245</v>
      </c>
      <c r="Q7" s="198" t="s">
        <v>246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1400</v>
      </c>
      <c r="B9" s="64">
        <v>143.94</v>
      </c>
      <c r="C9" s="64">
        <v>74.349999999999994</v>
      </c>
      <c r="D9" s="64">
        <v>152.9</v>
      </c>
      <c r="E9" s="64">
        <v>12.29</v>
      </c>
      <c r="F9" s="64">
        <v>5.33</v>
      </c>
      <c r="G9" s="64">
        <v>224.59</v>
      </c>
      <c r="H9" s="64">
        <v>139.36000000000001</v>
      </c>
      <c r="I9" s="64">
        <v>11.36</v>
      </c>
      <c r="J9" s="64">
        <v>2.08</v>
      </c>
      <c r="K9" s="64">
        <v>340.3</v>
      </c>
      <c r="L9" s="64">
        <v>11.13</v>
      </c>
      <c r="M9" s="64">
        <v>85.18</v>
      </c>
      <c r="N9" s="64">
        <v>104.5</v>
      </c>
      <c r="O9" s="64">
        <v>0</v>
      </c>
      <c r="P9" s="64">
        <v>2.76</v>
      </c>
      <c r="Q9" s="64">
        <v>11.34</v>
      </c>
      <c r="R9" s="198"/>
      <c r="S9" s="198"/>
      <c r="T9" s="198"/>
      <c r="U9" s="198"/>
    </row>
    <row r="10" spans="1:21" s="12" customFormat="1" x14ac:dyDescent="0.25">
      <c r="A10" s="215" t="s">
        <v>1401</v>
      </c>
      <c r="B10" s="64">
        <v>143.03</v>
      </c>
      <c r="C10" s="64">
        <v>74.13</v>
      </c>
      <c r="D10" s="64">
        <v>152.05000000000001</v>
      </c>
      <c r="E10" s="64">
        <v>11.95</v>
      </c>
      <c r="F10" s="64">
        <v>5.78</v>
      </c>
      <c r="G10" s="64">
        <v>224.59</v>
      </c>
      <c r="H10" s="64">
        <v>139.36000000000001</v>
      </c>
      <c r="I10" s="64">
        <v>11.41</v>
      </c>
      <c r="J10" s="64">
        <v>1.98</v>
      </c>
      <c r="K10" s="64">
        <v>306.61</v>
      </c>
      <c r="L10" s="64">
        <v>11.07</v>
      </c>
      <c r="M10" s="64">
        <v>86.17</v>
      </c>
      <c r="N10" s="64">
        <v>105</v>
      </c>
      <c r="O10" s="64">
        <v>0</v>
      </c>
      <c r="P10" s="64">
        <v>2.72</v>
      </c>
      <c r="Q10" s="64">
        <v>11.32</v>
      </c>
      <c r="R10" s="198"/>
      <c r="S10" s="198"/>
      <c r="T10" s="198"/>
      <c r="U10" s="198"/>
    </row>
    <row r="11" spans="1:21" s="12" customFormat="1" x14ac:dyDescent="0.25">
      <c r="A11" s="215" t="s">
        <v>1402</v>
      </c>
      <c r="B11" s="64">
        <v>139.91</v>
      </c>
      <c r="C11" s="64">
        <v>73.86</v>
      </c>
      <c r="D11" s="64">
        <v>149.41</v>
      </c>
      <c r="E11" s="64">
        <v>11.24</v>
      </c>
      <c r="F11" s="64">
        <v>5.32</v>
      </c>
      <c r="G11" s="64">
        <v>224.59</v>
      </c>
      <c r="H11" s="64">
        <v>139.36000000000001</v>
      </c>
      <c r="I11" s="64">
        <v>11.35</v>
      </c>
      <c r="J11" s="64">
        <v>2.12</v>
      </c>
      <c r="K11" s="64">
        <v>307.33</v>
      </c>
      <c r="L11" s="64">
        <v>10.84</v>
      </c>
      <c r="M11" s="64">
        <v>85.22</v>
      </c>
      <c r="N11" s="64">
        <v>105.9</v>
      </c>
      <c r="O11" s="64">
        <v>0</v>
      </c>
      <c r="P11" s="64">
        <v>2.67</v>
      </c>
      <c r="Q11" s="64">
        <v>11.28</v>
      </c>
      <c r="R11" s="198"/>
      <c r="S11" s="198"/>
      <c r="T11" s="198"/>
      <c r="U11" s="198"/>
    </row>
    <row r="12" spans="1:21" s="12" customFormat="1" x14ac:dyDescent="0.25">
      <c r="A12" s="215" t="s">
        <v>1403</v>
      </c>
      <c r="B12" s="64">
        <v>135.25</v>
      </c>
      <c r="C12" s="64">
        <v>73.459999999999994</v>
      </c>
      <c r="D12" s="64">
        <v>145.46</v>
      </c>
      <c r="E12" s="64">
        <v>10.59</v>
      </c>
      <c r="F12" s="64">
        <v>5.13</v>
      </c>
      <c r="G12" s="64">
        <v>213.33</v>
      </c>
      <c r="H12" s="64">
        <v>33.28</v>
      </c>
      <c r="I12" s="64">
        <v>11.21</v>
      </c>
      <c r="J12" s="64">
        <v>2.11</v>
      </c>
      <c r="K12" s="64">
        <v>326.25</v>
      </c>
      <c r="L12" s="64">
        <v>10.92</v>
      </c>
      <c r="M12" s="64">
        <v>86.95</v>
      </c>
      <c r="N12" s="64">
        <v>100.1</v>
      </c>
      <c r="O12" s="64">
        <v>0</v>
      </c>
      <c r="P12" s="64">
        <v>2.61</v>
      </c>
      <c r="Q12" s="64">
        <v>11.25</v>
      </c>
      <c r="R12" s="198"/>
      <c r="S12" s="198"/>
      <c r="T12" s="198"/>
      <c r="U12" s="198"/>
    </row>
    <row r="13" spans="1:21" s="12" customFormat="1" x14ac:dyDescent="0.25">
      <c r="A13" s="215" t="s">
        <v>1404</v>
      </c>
      <c r="B13" s="64">
        <v>133.07</v>
      </c>
      <c r="C13" s="64">
        <v>71.37</v>
      </c>
      <c r="D13" s="64">
        <v>142.62</v>
      </c>
      <c r="E13" s="64">
        <v>10.67</v>
      </c>
      <c r="F13" s="64">
        <v>4.63</v>
      </c>
      <c r="G13" s="64">
        <v>204.72</v>
      </c>
      <c r="H13" s="64">
        <v>20.16</v>
      </c>
      <c r="I13" s="64">
        <v>11.02</v>
      </c>
      <c r="J13" s="64">
        <v>2.12</v>
      </c>
      <c r="K13" s="64">
        <v>282.8</v>
      </c>
      <c r="L13" s="64">
        <v>10.84</v>
      </c>
      <c r="M13" s="64">
        <v>87.32</v>
      </c>
      <c r="N13" s="64">
        <v>93.4</v>
      </c>
      <c r="O13" s="64">
        <v>0</v>
      </c>
      <c r="P13" s="64">
        <v>2.2400000000000002</v>
      </c>
      <c r="Q13" s="64">
        <v>11.2</v>
      </c>
      <c r="R13" s="198"/>
      <c r="S13" s="198"/>
      <c r="T13" s="198"/>
      <c r="U13" s="198"/>
    </row>
    <row r="14" spans="1:21" s="12" customFormat="1" x14ac:dyDescent="0.25">
      <c r="A14" s="215" t="s">
        <v>1405</v>
      </c>
      <c r="B14" s="64">
        <v>128.68</v>
      </c>
      <c r="C14" s="64">
        <v>70.09</v>
      </c>
      <c r="D14" s="64">
        <v>138.43</v>
      </c>
      <c r="E14" s="64">
        <v>10.31</v>
      </c>
      <c r="F14" s="64">
        <v>5.35</v>
      </c>
      <c r="G14" s="64">
        <v>204.72</v>
      </c>
      <c r="H14" s="64">
        <v>20.16</v>
      </c>
      <c r="I14" s="64">
        <v>10.88</v>
      </c>
      <c r="J14" s="64">
        <v>2.0099999999999998</v>
      </c>
      <c r="K14" s="64">
        <v>297.52</v>
      </c>
      <c r="L14" s="64">
        <v>10.74</v>
      </c>
      <c r="M14" s="64">
        <v>86.29</v>
      </c>
      <c r="N14" s="64">
        <v>93.6</v>
      </c>
      <c r="O14" s="64">
        <v>0</v>
      </c>
      <c r="P14" s="64">
        <v>2.31</v>
      </c>
      <c r="Q14" s="64">
        <v>11.15</v>
      </c>
      <c r="R14" s="198"/>
      <c r="S14" s="198"/>
      <c r="T14" s="198"/>
      <c r="U14" s="198"/>
    </row>
    <row r="15" spans="1:21" s="12" customFormat="1" x14ac:dyDescent="0.25">
      <c r="A15" s="215" t="s">
        <v>1406</v>
      </c>
      <c r="B15" s="64">
        <v>122.38</v>
      </c>
      <c r="C15" s="64">
        <v>68.760000000000005</v>
      </c>
      <c r="D15" s="64">
        <v>132.69</v>
      </c>
      <c r="E15" s="64">
        <v>10.57</v>
      </c>
      <c r="F15" s="64">
        <v>4.88</v>
      </c>
      <c r="G15" s="64">
        <v>204.72</v>
      </c>
      <c r="H15" s="64">
        <v>20.16</v>
      </c>
      <c r="I15" s="64">
        <v>10.75</v>
      </c>
      <c r="J15" s="64">
        <v>2.1800000000000002</v>
      </c>
      <c r="K15" s="64">
        <v>329.93</v>
      </c>
      <c r="L15" s="64">
        <v>10.73</v>
      </c>
      <c r="M15" s="64">
        <v>89.09</v>
      </c>
      <c r="N15" s="64">
        <v>92.1</v>
      </c>
      <c r="O15" s="64">
        <v>0</v>
      </c>
      <c r="P15" s="64">
        <v>2.23</v>
      </c>
      <c r="Q15" s="64">
        <v>11.1</v>
      </c>
      <c r="R15" s="198"/>
      <c r="S15" s="198"/>
      <c r="T15" s="198"/>
      <c r="U15" s="198"/>
    </row>
    <row r="16" spans="1:21" s="12" customFormat="1" x14ac:dyDescent="0.25">
      <c r="A16" s="215" t="s">
        <v>1407</v>
      </c>
      <c r="B16" s="64">
        <v>115.75</v>
      </c>
      <c r="C16" s="64">
        <v>67.5</v>
      </c>
      <c r="D16" s="64">
        <v>126.72</v>
      </c>
      <c r="E16" s="64">
        <v>10.41</v>
      </c>
      <c r="F16" s="64">
        <v>4.8600000000000003</v>
      </c>
      <c r="G16" s="64">
        <v>195.19</v>
      </c>
      <c r="H16" s="64">
        <v>19.440000000000001</v>
      </c>
      <c r="I16" s="64">
        <v>10.6</v>
      </c>
      <c r="J16" s="64">
        <v>0.56000000000000005</v>
      </c>
      <c r="K16" s="64">
        <v>331.26</v>
      </c>
      <c r="L16" s="64">
        <v>11.2</v>
      </c>
      <c r="M16" s="64">
        <v>83.08</v>
      </c>
      <c r="N16" s="64">
        <v>93.1</v>
      </c>
      <c r="O16" s="64">
        <v>0</v>
      </c>
      <c r="P16" s="64">
        <v>2.1800000000000002</v>
      </c>
      <c r="Q16" s="64">
        <v>11.04</v>
      </c>
      <c r="R16" s="198"/>
      <c r="S16" s="198"/>
      <c r="T16" s="198"/>
      <c r="U16" s="198"/>
    </row>
    <row r="17" spans="1:21" s="12" customFormat="1" x14ac:dyDescent="0.25">
      <c r="A17" s="215" t="s">
        <v>1408</v>
      </c>
      <c r="B17" s="64">
        <v>109.55</v>
      </c>
      <c r="C17" s="64">
        <v>65.819999999999993</v>
      </c>
      <c r="D17" s="64">
        <v>120.86</v>
      </c>
      <c r="E17" s="64">
        <v>9.8699999999999992</v>
      </c>
      <c r="F17" s="64">
        <v>4.75</v>
      </c>
      <c r="G17" s="64">
        <v>187.56</v>
      </c>
      <c r="H17" s="64">
        <v>31.68</v>
      </c>
      <c r="I17" s="64">
        <v>10.43</v>
      </c>
      <c r="J17" s="64">
        <v>1.29</v>
      </c>
      <c r="K17" s="64">
        <v>47.12</v>
      </c>
      <c r="L17" s="64">
        <v>11.19</v>
      </c>
      <c r="M17" s="64">
        <v>81.739999999999995</v>
      </c>
      <c r="N17" s="64">
        <v>93.9</v>
      </c>
      <c r="O17" s="64">
        <v>0</v>
      </c>
      <c r="P17" s="64">
        <v>2.12</v>
      </c>
      <c r="Q17" s="64">
        <v>10.88</v>
      </c>
      <c r="R17" s="198"/>
      <c r="S17" s="198"/>
      <c r="T17" s="198"/>
      <c r="U17" s="198"/>
    </row>
    <row r="18" spans="1:21" s="12" customFormat="1" x14ac:dyDescent="0.25">
      <c r="A18" s="215" t="s">
        <v>1409</v>
      </c>
      <c r="B18" s="64">
        <v>103.03</v>
      </c>
      <c r="C18" s="64">
        <v>64.150000000000006</v>
      </c>
      <c r="D18" s="64">
        <v>114.76</v>
      </c>
      <c r="E18" s="64">
        <v>9.84</v>
      </c>
      <c r="F18" s="64">
        <v>4.4800000000000004</v>
      </c>
      <c r="G18" s="64">
        <v>187.56</v>
      </c>
      <c r="H18" s="64">
        <v>31.68</v>
      </c>
      <c r="I18" s="64">
        <v>10.31</v>
      </c>
      <c r="J18" s="64">
        <v>2.31</v>
      </c>
      <c r="K18" s="64">
        <v>349.17</v>
      </c>
      <c r="L18" s="64">
        <v>11.05</v>
      </c>
      <c r="M18" s="64">
        <v>81.290000000000006</v>
      </c>
      <c r="N18" s="64">
        <v>93.7</v>
      </c>
      <c r="O18" s="64">
        <v>0</v>
      </c>
      <c r="P18" s="64">
        <v>2.0699999999999998</v>
      </c>
      <c r="Q18" s="64">
        <v>10.84</v>
      </c>
      <c r="R18" s="198"/>
      <c r="S18" s="198"/>
      <c r="T18" s="198"/>
      <c r="U18" s="198"/>
    </row>
    <row r="19" spans="1:21" s="12" customFormat="1" x14ac:dyDescent="0.25">
      <c r="A19" s="215" t="s">
        <v>1410</v>
      </c>
      <c r="B19" s="64">
        <v>96.93</v>
      </c>
      <c r="C19" s="64">
        <v>63.09</v>
      </c>
      <c r="D19" s="64">
        <v>109.32</v>
      </c>
      <c r="E19" s="64">
        <v>9.73</v>
      </c>
      <c r="F19" s="64">
        <v>4.58</v>
      </c>
      <c r="G19" s="64">
        <v>187.56</v>
      </c>
      <c r="H19" s="64">
        <v>31.68</v>
      </c>
      <c r="I19" s="64">
        <v>10.16</v>
      </c>
      <c r="J19" s="64">
        <v>1.21</v>
      </c>
      <c r="K19" s="64">
        <v>310.72000000000003</v>
      </c>
      <c r="L19" s="64">
        <v>11.04</v>
      </c>
      <c r="M19" s="64">
        <v>80.709999999999994</v>
      </c>
      <c r="N19" s="64">
        <v>96</v>
      </c>
      <c r="O19" s="64">
        <v>0</v>
      </c>
      <c r="P19" s="64">
        <v>2.02</v>
      </c>
      <c r="Q19" s="64">
        <v>10.76</v>
      </c>
      <c r="R19" s="198"/>
      <c r="S19" s="198"/>
      <c r="T19" s="198"/>
      <c r="U19" s="198"/>
    </row>
    <row r="20" spans="1:21" s="12" customFormat="1" x14ac:dyDescent="0.25">
      <c r="A20" s="215" t="s">
        <v>1411</v>
      </c>
      <c r="B20" s="64">
        <v>91.49</v>
      </c>
      <c r="C20" s="64">
        <v>62.09</v>
      </c>
      <c r="D20" s="64">
        <v>104.43</v>
      </c>
      <c r="E20" s="64">
        <v>9.67</v>
      </c>
      <c r="F20" s="64">
        <v>4.42</v>
      </c>
      <c r="G20" s="64">
        <v>197.97</v>
      </c>
      <c r="H20" s="64">
        <v>47.03</v>
      </c>
      <c r="I20" s="64">
        <v>9.99</v>
      </c>
      <c r="J20" s="64">
        <v>1.33</v>
      </c>
      <c r="K20" s="64">
        <v>339.68</v>
      </c>
      <c r="L20" s="64">
        <v>11</v>
      </c>
      <c r="M20" s="64">
        <v>79.42</v>
      </c>
      <c r="N20" s="64">
        <v>98</v>
      </c>
      <c r="O20" s="64">
        <v>0</v>
      </c>
      <c r="P20" s="64">
        <v>1.97</v>
      </c>
      <c r="Q20" s="64">
        <v>10.7</v>
      </c>
      <c r="R20" s="198"/>
      <c r="S20" s="198"/>
      <c r="T20" s="198"/>
      <c r="U20" s="198"/>
    </row>
    <row r="21" spans="1:21" s="12" customFormat="1" x14ac:dyDescent="0.25">
      <c r="A21" s="215" t="s">
        <v>1412</v>
      </c>
      <c r="B21" s="64">
        <v>86.67</v>
      </c>
      <c r="C21" s="64">
        <v>62.02</v>
      </c>
      <c r="D21" s="64">
        <v>100.53</v>
      </c>
      <c r="E21" s="64">
        <v>9.8800000000000008</v>
      </c>
      <c r="F21" s="64">
        <v>4.74</v>
      </c>
      <c r="G21" s="64">
        <v>206.29</v>
      </c>
      <c r="H21" s="64">
        <v>52.26</v>
      </c>
      <c r="I21" s="64">
        <v>9.83</v>
      </c>
      <c r="J21" s="64">
        <v>1.57</v>
      </c>
      <c r="K21" s="64">
        <v>226.46</v>
      </c>
      <c r="L21" s="64">
        <v>10.77</v>
      </c>
      <c r="M21" s="64">
        <v>83.01</v>
      </c>
      <c r="N21" s="64">
        <v>98.7</v>
      </c>
      <c r="O21" s="64">
        <v>0</v>
      </c>
      <c r="P21" s="64">
        <v>1.92</v>
      </c>
      <c r="Q21" s="64">
        <v>10.64</v>
      </c>
      <c r="R21" s="198"/>
      <c r="S21" s="198"/>
      <c r="T21" s="198"/>
      <c r="U21" s="198"/>
    </row>
    <row r="22" spans="1:21" s="12" customFormat="1" x14ac:dyDescent="0.25">
      <c r="A22" s="215" t="s">
        <v>1413</v>
      </c>
      <c r="B22" s="64">
        <v>81.86</v>
      </c>
      <c r="C22" s="64">
        <v>61.52</v>
      </c>
      <c r="D22" s="64">
        <v>96.41</v>
      </c>
      <c r="E22" s="64">
        <v>9.41</v>
      </c>
      <c r="F22" s="64">
        <v>5.01</v>
      </c>
      <c r="G22" s="64">
        <v>206.29</v>
      </c>
      <c r="H22" s="64">
        <v>52.26</v>
      </c>
      <c r="I22" s="64">
        <v>9.66</v>
      </c>
      <c r="J22" s="64">
        <v>1.1499999999999999</v>
      </c>
      <c r="K22" s="64">
        <v>252.02</v>
      </c>
      <c r="L22" s="64">
        <v>10.56</v>
      </c>
      <c r="M22" s="64">
        <v>84.48</v>
      </c>
      <c r="N22" s="64">
        <v>99.7</v>
      </c>
      <c r="O22" s="64">
        <v>0</v>
      </c>
      <c r="P22" s="64">
        <v>1.88</v>
      </c>
      <c r="Q22" s="64">
        <v>10.63</v>
      </c>
      <c r="R22" s="198"/>
      <c r="S22" s="198"/>
      <c r="T22" s="198"/>
      <c r="U22" s="198"/>
    </row>
    <row r="23" spans="1:21" s="12" customFormat="1" x14ac:dyDescent="0.25">
      <c r="A23" s="215" t="s">
        <v>1414</v>
      </c>
      <c r="B23" s="64">
        <v>77.2</v>
      </c>
      <c r="C23" s="64">
        <v>60.86</v>
      </c>
      <c r="D23" s="64">
        <v>92.34</v>
      </c>
      <c r="E23" s="64">
        <v>9.19</v>
      </c>
      <c r="F23" s="64">
        <v>5.29</v>
      </c>
      <c r="G23" s="64">
        <v>206.29</v>
      </c>
      <c r="H23" s="64">
        <v>52.26</v>
      </c>
      <c r="I23" s="64">
        <v>9.48</v>
      </c>
      <c r="J23" s="64">
        <v>1.57</v>
      </c>
      <c r="K23" s="64">
        <v>76.22</v>
      </c>
      <c r="L23" s="64">
        <v>10.39</v>
      </c>
      <c r="M23" s="64">
        <v>81.58</v>
      </c>
      <c r="N23" s="64">
        <v>99.8</v>
      </c>
      <c r="O23" s="64">
        <v>0</v>
      </c>
      <c r="P23" s="64">
        <v>1.84</v>
      </c>
      <c r="Q23" s="64">
        <v>10.56</v>
      </c>
      <c r="R23" s="198"/>
      <c r="S23" s="198"/>
      <c r="T23" s="198"/>
      <c r="U23" s="198"/>
    </row>
    <row r="24" spans="1:21" s="12" customFormat="1" x14ac:dyDescent="0.25">
      <c r="A24" s="215" t="s">
        <v>1415</v>
      </c>
      <c r="B24" s="64">
        <v>72.900000000000006</v>
      </c>
      <c r="C24" s="64">
        <v>60.85</v>
      </c>
      <c r="D24" s="64">
        <v>88.88</v>
      </c>
      <c r="E24" s="64">
        <v>8.82</v>
      </c>
      <c r="F24" s="64">
        <v>4.82</v>
      </c>
      <c r="G24" s="64">
        <v>216.74</v>
      </c>
      <c r="H24" s="64">
        <v>200.93</v>
      </c>
      <c r="I24" s="64">
        <v>9.31</v>
      </c>
      <c r="J24" s="64">
        <v>1.36</v>
      </c>
      <c r="K24" s="64">
        <v>100.94</v>
      </c>
      <c r="L24" s="64">
        <v>10.68</v>
      </c>
      <c r="M24" s="64">
        <v>77.3</v>
      </c>
      <c r="N24" s="64">
        <v>100.8</v>
      </c>
      <c r="O24" s="64">
        <v>0</v>
      </c>
      <c r="P24" s="64">
        <v>1.79</v>
      </c>
      <c r="Q24" s="64">
        <v>10.52</v>
      </c>
      <c r="R24" s="198"/>
      <c r="S24" s="198"/>
      <c r="T24" s="198"/>
      <c r="U24" s="198"/>
    </row>
    <row r="25" spans="1:21" s="12" customFormat="1" x14ac:dyDescent="0.25">
      <c r="A25" s="215" t="s">
        <v>1416</v>
      </c>
      <c r="B25" s="64">
        <v>68.349999999999994</v>
      </c>
      <c r="C25" s="64">
        <v>60.68</v>
      </c>
      <c r="D25" s="64">
        <v>85.14</v>
      </c>
      <c r="E25" s="64">
        <v>8.49</v>
      </c>
      <c r="F25" s="64">
        <v>4.9000000000000004</v>
      </c>
      <c r="G25" s="64">
        <v>225.11</v>
      </c>
      <c r="H25" s="6" t="s">
        <v>42</v>
      </c>
      <c r="I25" s="64">
        <v>9.1199999999999992</v>
      </c>
      <c r="J25" s="64">
        <v>1.32</v>
      </c>
      <c r="K25" s="64">
        <v>53.16</v>
      </c>
      <c r="L25" s="64">
        <v>10.68</v>
      </c>
      <c r="M25" s="64">
        <v>76.52</v>
      </c>
      <c r="N25" s="64">
        <v>105.1</v>
      </c>
      <c r="O25" s="64">
        <v>0</v>
      </c>
      <c r="P25" s="64">
        <v>1.74</v>
      </c>
      <c r="Q25" s="64">
        <v>10.47</v>
      </c>
      <c r="R25" s="198"/>
      <c r="S25" s="198"/>
      <c r="T25" s="198"/>
      <c r="U25" s="198"/>
    </row>
    <row r="26" spans="1:21" s="12" customFormat="1" x14ac:dyDescent="0.25">
      <c r="A26" s="215" t="s">
        <v>1417</v>
      </c>
      <c r="B26" s="64">
        <v>63.79</v>
      </c>
      <c r="C26" s="64">
        <v>60.46</v>
      </c>
      <c r="D26" s="64">
        <v>81.36</v>
      </c>
      <c r="E26" s="64">
        <v>8.4</v>
      </c>
      <c r="F26" s="64">
        <v>4.53</v>
      </c>
      <c r="G26" s="64">
        <v>225.11</v>
      </c>
      <c r="H26" s="6" t="s">
        <v>42</v>
      </c>
      <c r="I26" s="64">
        <v>8.93</v>
      </c>
      <c r="J26" s="64">
        <v>1.1399999999999999</v>
      </c>
      <c r="K26" s="64">
        <v>41.18</v>
      </c>
      <c r="L26" s="64">
        <v>10.66</v>
      </c>
      <c r="M26" s="64">
        <v>76.89</v>
      </c>
      <c r="N26" s="64">
        <v>109.7</v>
      </c>
      <c r="O26" s="64">
        <v>0</v>
      </c>
      <c r="P26" s="64">
        <v>1.7</v>
      </c>
      <c r="Q26" s="64">
        <v>10.43</v>
      </c>
      <c r="R26" s="198"/>
      <c r="S26" s="198"/>
      <c r="T26" s="198"/>
      <c r="U26" s="198"/>
    </row>
    <row r="27" spans="1:21" s="12" customFormat="1" x14ac:dyDescent="0.25">
      <c r="A27" s="215" t="s">
        <v>1418</v>
      </c>
      <c r="B27" s="64">
        <v>59.63</v>
      </c>
      <c r="C27" s="64">
        <v>60.46</v>
      </c>
      <c r="D27" s="64">
        <v>78.03</v>
      </c>
      <c r="E27" s="64">
        <v>8.1199999999999992</v>
      </c>
      <c r="F27" s="64">
        <v>4.96</v>
      </c>
      <c r="G27" s="64">
        <v>225.11</v>
      </c>
      <c r="H27" s="6" t="s">
        <v>42</v>
      </c>
      <c r="I27" s="64">
        <v>8.6999999999999993</v>
      </c>
      <c r="J27" s="64">
        <v>1.1000000000000001</v>
      </c>
      <c r="K27" s="64">
        <v>348.56</v>
      </c>
      <c r="L27" s="64">
        <v>10.72</v>
      </c>
      <c r="M27" s="64">
        <v>74.09</v>
      </c>
      <c r="N27" s="64">
        <v>107.7</v>
      </c>
      <c r="O27" s="64">
        <v>0</v>
      </c>
      <c r="P27" s="64">
        <v>1.65</v>
      </c>
      <c r="Q27" s="64">
        <v>10.4</v>
      </c>
      <c r="R27" s="198"/>
      <c r="S27" s="198"/>
      <c r="T27" s="198"/>
      <c r="U27" s="198"/>
    </row>
    <row r="28" spans="1:21" s="12" customFormat="1" x14ac:dyDescent="0.25">
      <c r="A28" s="215" t="s">
        <v>1419</v>
      </c>
      <c r="B28" s="64">
        <v>55.08</v>
      </c>
      <c r="C28" s="64">
        <v>60.21</v>
      </c>
      <c r="D28" s="64">
        <v>74.25</v>
      </c>
      <c r="E28" s="64">
        <v>7.46</v>
      </c>
      <c r="F28" s="64">
        <v>4.5599999999999996</v>
      </c>
      <c r="G28" s="64">
        <v>199.26</v>
      </c>
      <c r="H28" s="6" t="s">
        <v>42</v>
      </c>
      <c r="I28" s="64">
        <v>8.48</v>
      </c>
      <c r="J28" s="64">
        <v>1.62</v>
      </c>
      <c r="K28" s="64">
        <v>357.8</v>
      </c>
      <c r="L28" s="64">
        <v>10.87</v>
      </c>
      <c r="M28" s="64">
        <v>70.69</v>
      </c>
      <c r="N28" s="64">
        <v>106.6</v>
      </c>
      <c r="O28" s="64">
        <v>0</v>
      </c>
      <c r="P28" s="64">
        <v>1.59</v>
      </c>
      <c r="Q28" s="64">
        <v>10.33</v>
      </c>
      <c r="R28" s="198"/>
      <c r="S28" s="198"/>
      <c r="T28" s="198"/>
      <c r="U28" s="198"/>
    </row>
    <row r="29" spans="1:21" s="12" customFormat="1" x14ac:dyDescent="0.25">
      <c r="A29" s="215" t="s">
        <v>1420</v>
      </c>
      <c r="B29" s="64">
        <v>50.82</v>
      </c>
      <c r="C29" s="64">
        <v>59.99</v>
      </c>
      <c r="D29" s="64">
        <v>70.72</v>
      </c>
      <c r="E29" s="64">
        <v>7.39</v>
      </c>
      <c r="F29" s="64">
        <v>4.46</v>
      </c>
      <c r="G29" s="64">
        <v>178.59</v>
      </c>
      <c r="H29" s="6" t="s">
        <v>42</v>
      </c>
      <c r="I29" s="64">
        <v>8.26</v>
      </c>
      <c r="J29" s="64">
        <v>0.91</v>
      </c>
      <c r="K29" s="64">
        <v>352.79</v>
      </c>
      <c r="L29" s="64">
        <v>10.92</v>
      </c>
      <c r="M29" s="64">
        <v>67.19</v>
      </c>
      <c r="N29" s="64">
        <v>107</v>
      </c>
      <c r="O29" s="64">
        <v>0</v>
      </c>
      <c r="P29" s="64">
        <v>1.51</v>
      </c>
      <c r="Q29" s="64">
        <v>10.27</v>
      </c>
      <c r="R29" s="198"/>
      <c r="S29" s="198"/>
      <c r="T29" s="198"/>
      <c r="U29" s="198"/>
    </row>
    <row r="30" spans="1:21" s="12" customFormat="1" x14ac:dyDescent="0.25">
      <c r="A30" s="215" t="s">
        <v>1421</v>
      </c>
      <c r="B30" s="64">
        <v>48.29</v>
      </c>
      <c r="C30" s="64">
        <v>58.38</v>
      </c>
      <c r="D30" s="64">
        <v>67.849999999999994</v>
      </c>
      <c r="E30" s="64">
        <v>6.7</v>
      </c>
      <c r="F30" s="64">
        <v>3.78</v>
      </c>
      <c r="G30" s="64">
        <v>0</v>
      </c>
      <c r="H30" s="6" t="s">
        <v>42</v>
      </c>
      <c r="I30" s="64">
        <v>8.2100000000000009</v>
      </c>
      <c r="J30" s="64">
        <v>2</v>
      </c>
      <c r="K30" s="64">
        <v>336.3</v>
      </c>
      <c r="L30" s="64">
        <v>17.95</v>
      </c>
      <c r="M30" s="64">
        <v>67.48</v>
      </c>
      <c r="N30" s="64">
        <v>107.8</v>
      </c>
      <c r="O30" s="64">
        <v>0</v>
      </c>
      <c r="P30" s="64">
        <v>1.45</v>
      </c>
      <c r="Q30" s="64">
        <v>0</v>
      </c>
      <c r="R30" s="198"/>
      <c r="S30" s="198"/>
      <c r="T30" s="198"/>
      <c r="U30" s="198"/>
    </row>
    <row r="31" spans="1:21" s="12" customFormat="1" x14ac:dyDescent="0.25">
      <c r="A31" s="215" t="s">
        <v>1422</v>
      </c>
      <c r="B31" s="64">
        <v>42.76</v>
      </c>
      <c r="C31" s="64">
        <v>57.28</v>
      </c>
      <c r="D31" s="64">
        <v>62.84</v>
      </c>
      <c r="E31" s="64">
        <v>6.92</v>
      </c>
      <c r="F31" s="64">
        <v>4.4800000000000004</v>
      </c>
      <c r="G31" s="64">
        <v>178.59</v>
      </c>
      <c r="H31" s="6" t="s">
        <v>42</v>
      </c>
      <c r="I31" s="64">
        <v>7.64</v>
      </c>
      <c r="J31" s="64">
        <v>0.56999999999999995</v>
      </c>
      <c r="K31" s="64">
        <v>68.290000000000006</v>
      </c>
      <c r="L31" s="64">
        <v>10.39</v>
      </c>
      <c r="M31" s="64">
        <v>71.31</v>
      </c>
      <c r="N31" s="64">
        <v>109.9</v>
      </c>
      <c r="O31" s="64">
        <v>0</v>
      </c>
      <c r="P31" s="64">
        <v>1.36</v>
      </c>
      <c r="Q31" s="64">
        <v>10.17</v>
      </c>
      <c r="R31" s="198"/>
      <c r="S31" s="198"/>
      <c r="T31" s="198"/>
      <c r="U31" s="198"/>
    </row>
    <row r="32" spans="1:21" s="12" customFormat="1" x14ac:dyDescent="0.25">
      <c r="A32" s="215" t="s">
        <v>1423</v>
      </c>
      <c r="B32" s="64">
        <v>40.44</v>
      </c>
      <c r="C32" s="64">
        <v>56.87</v>
      </c>
      <c r="D32" s="64">
        <v>60.77</v>
      </c>
      <c r="E32" s="64">
        <v>6.51</v>
      </c>
      <c r="F32" s="64">
        <v>4.21</v>
      </c>
      <c r="G32" s="64">
        <v>140.80000000000001</v>
      </c>
      <c r="H32" s="6" t="s">
        <v>42</v>
      </c>
      <c r="I32" s="64">
        <v>7.43</v>
      </c>
      <c r="J32" s="64">
        <v>0.96</v>
      </c>
      <c r="K32" s="64">
        <v>79.67</v>
      </c>
      <c r="L32" s="64">
        <v>10.26</v>
      </c>
      <c r="M32" s="64">
        <v>71.09</v>
      </c>
      <c r="N32" s="64">
        <v>110.3</v>
      </c>
      <c r="O32" s="64">
        <v>0</v>
      </c>
      <c r="P32" s="64">
        <v>1.31</v>
      </c>
      <c r="Q32" s="64">
        <v>10.14</v>
      </c>
      <c r="R32" s="198"/>
      <c r="S32" s="198"/>
      <c r="T32" s="198"/>
      <c r="U32" s="198"/>
    </row>
    <row r="33" spans="1:21" s="12" customFormat="1" x14ac:dyDescent="0.25">
      <c r="A33" s="215" t="s">
        <v>1424</v>
      </c>
      <c r="B33" s="64">
        <v>37.92</v>
      </c>
      <c r="C33" s="64">
        <v>56.17</v>
      </c>
      <c r="D33" s="64">
        <v>58.38</v>
      </c>
      <c r="E33" s="64">
        <v>6.48</v>
      </c>
      <c r="F33" s="64">
        <v>3.94</v>
      </c>
      <c r="G33" s="64">
        <v>111.9</v>
      </c>
      <c r="H33" s="6" t="s">
        <v>42</v>
      </c>
      <c r="I33" s="64">
        <v>7.29</v>
      </c>
      <c r="J33" s="64">
        <v>0.77</v>
      </c>
      <c r="K33" s="64">
        <v>355.5</v>
      </c>
      <c r="L33" s="64">
        <v>10.16</v>
      </c>
      <c r="M33" s="64">
        <v>72.209999999999994</v>
      </c>
      <c r="N33" s="64">
        <v>109.8</v>
      </c>
      <c r="O33" s="64">
        <v>0</v>
      </c>
      <c r="P33" s="64">
        <v>1.25</v>
      </c>
      <c r="Q33" s="64">
        <v>10.11</v>
      </c>
      <c r="R33" s="198"/>
      <c r="S33" s="198"/>
      <c r="T33" s="198"/>
      <c r="U33" s="198"/>
    </row>
    <row r="34" spans="1:21" s="12" customFormat="1" x14ac:dyDescent="0.25">
      <c r="A34" s="215" t="s">
        <v>1425</v>
      </c>
      <c r="B34" s="64">
        <v>35.44</v>
      </c>
      <c r="C34" s="64">
        <v>55.16</v>
      </c>
      <c r="D34" s="64">
        <v>55.86</v>
      </c>
      <c r="E34" s="64">
        <v>6.23</v>
      </c>
      <c r="F34" s="64">
        <v>3.99</v>
      </c>
      <c r="G34" s="64">
        <v>111.9</v>
      </c>
      <c r="H34" s="6" t="s">
        <v>42</v>
      </c>
      <c r="I34" s="64">
        <v>7.02</v>
      </c>
      <c r="J34" s="64">
        <v>2.17</v>
      </c>
      <c r="K34" s="64">
        <v>310.20999999999998</v>
      </c>
      <c r="L34" s="64">
        <v>10.029999999999999</v>
      </c>
      <c r="M34" s="64">
        <v>74.08</v>
      </c>
      <c r="N34" s="64">
        <v>110.2</v>
      </c>
      <c r="O34" s="64">
        <v>0</v>
      </c>
      <c r="P34" s="64">
        <v>1.19</v>
      </c>
      <c r="Q34" s="64">
        <v>10.1</v>
      </c>
      <c r="R34" s="198"/>
      <c r="S34" s="198"/>
      <c r="T34" s="198"/>
      <c r="U34" s="198"/>
    </row>
    <row r="35" spans="1:21" s="12" customFormat="1" x14ac:dyDescent="0.25">
      <c r="A35" s="215" t="s">
        <v>1426</v>
      </c>
      <c r="B35" s="64">
        <v>34.700000000000003</v>
      </c>
      <c r="C35" s="64">
        <v>54.73</v>
      </c>
      <c r="D35" s="64">
        <v>55.05</v>
      </c>
      <c r="E35" s="64">
        <v>6.54</v>
      </c>
      <c r="F35" s="64">
        <v>4.07</v>
      </c>
      <c r="G35" s="64">
        <v>111.9</v>
      </c>
      <c r="H35" s="6" t="s">
        <v>42</v>
      </c>
      <c r="I35" s="64">
        <v>6.76</v>
      </c>
      <c r="J35" s="64">
        <v>2.15</v>
      </c>
      <c r="K35" s="64">
        <v>297.75</v>
      </c>
      <c r="L35" s="64">
        <v>9.6300000000000008</v>
      </c>
      <c r="M35" s="64">
        <v>77.22</v>
      </c>
      <c r="N35" s="64">
        <v>117.3</v>
      </c>
      <c r="O35" s="64">
        <v>0</v>
      </c>
      <c r="P35" s="64">
        <v>1.1499999999999999</v>
      </c>
      <c r="Q35" s="64">
        <v>10.09</v>
      </c>
      <c r="R35" s="198"/>
      <c r="S35" s="198"/>
      <c r="T35" s="198"/>
      <c r="U35" s="198"/>
    </row>
    <row r="36" spans="1:21" s="12" customFormat="1" x14ac:dyDescent="0.25">
      <c r="A36" s="215" t="s">
        <v>1427</v>
      </c>
      <c r="B36" s="64">
        <v>34.26</v>
      </c>
      <c r="C36" s="64">
        <v>54.62</v>
      </c>
      <c r="D36" s="64">
        <v>54.64</v>
      </c>
      <c r="E36" s="64">
        <v>6.71</v>
      </c>
      <c r="F36" s="64">
        <v>3.82</v>
      </c>
      <c r="G36" s="64">
        <v>100.34</v>
      </c>
      <c r="H36" s="64">
        <v>36.07</v>
      </c>
      <c r="I36" s="64">
        <v>6.54</v>
      </c>
      <c r="J36" s="64">
        <v>1.97</v>
      </c>
      <c r="K36" s="64">
        <v>275.58999999999997</v>
      </c>
      <c r="L36" s="64">
        <v>9.77</v>
      </c>
      <c r="M36" s="64">
        <v>76.88</v>
      </c>
      <c r="N36" s="64">
        <v>130.69999999999999</v>
      </c>
      <c r="O36" s="64">
        <v>0</v>
      </c>
      <c r="P36" s="64">
        <v>1.1200000000000001</v>
      </c>
      <c r="Q36" s="64">
        <v>10.06</v>
      </c>
      <c r="R36" s="198"/>
      <c r="S36" s="198"/>
      <c r="T36" s="198"/>
      <c r="U36" s="198"/>
    </row>
    <row r="37" spans="1:21" s="12" customFormat="1" x14ac:dyDescent="0.25">
      <c r="A37" s="215" t="s">
        <v>1428</v>
      </c>
      <c r="B37" s="64">
        <v>34.229999999999997</v>
      </c>
      <c r="C37" s="64">
        <v>54.64</v>
      </c>
      <c r="D37" s="64">
        <v>54.62</v>
      </c>
      <c r="E37" s="64">
        <v>6.72</v>
      </c>
      <c r="F37" s="64">
        <v>4.12</v>
      </c>
      <c r="G37" s="64">
        <v>91.09</v>
      </c>
      <c r="H37" s="64">
        <v>48.33</v>
      </c>
      <c r="I37" s="64">
        <v>6.39</v>
      </c>
      <c r="J37" s="64">
        <v>1.89</v>
      </c>
      <c r="K37" s="64">
        <v>339.94</v>
      </c>
      <c r="L37" s="64">
        <v>9.9600000000000009</v>
      </c>
      <c r="M37" s="64">
        <v>78.849999999999994</v>
      </c>
      <c r="N37" s="64">
        <v>144.69999999999999</v>
      </c>
      <c r="O37" s="64">
        <v>0</v>
      </c>
      <c r="P37" s="64">
        <v>1.25</v>
      </c>
      <c r="Q37" s="64">
        <v>10.08</v>
      </c>
      <c r="R37" s="198"/>
      <c r="S37" s="198"/>
      <c r="T37" s="198"/>
      <c r="U37" s="198"/>
    </row>
    <row r="38" spans="1:21" s="12" customFormat="1" x14ac:dyDescent="0.25">
      <c r="A38" s="215" t="s">
        <v>1429</v>
      </c>
      <c r="B38" s="64">
        <v>39.22</v>
      </c>
      <c r="C38" s="64">
        <v>55.17</v>
      </c>
      <c r="D38" s="64">
        <v>58.9</v>
      </c>
      <c r="E38" s="64">
        <v>6.94</v>
      </c>
      <c r="F38" s="64">
        <v>4.3</v>
      </c>
      <c r="G38" s="64">
        <v>91.09</v>
      </c>
      <c r="H38" s="64">
        <v>48.33</v>
      </c>
      <c r="I38" s="64">
        <v>6.26</v>
      </c>
      <c r="J38" s="64">
        <v>2.0299999999999998</v>
      </c>
      <c r="K38" s="64">
        <v>333.1</v>
      </c>
      <c r="L38" s="64">
        <v>10.32</v>
      </c>
      <c r="M38" s="64">
        <v>79.069999999999993</v>
      </c>
      <c r="N38" s="64">
        <v>162.69999999999999</v>
      </c>
      <c r="O38" s="64">
        <v>0</v>
      </c>
      <c r="P38" s="64">
        <v>1.31</v>
      </c>
      <c r="Q38" s="64">
        <v>10.17</v>
      </c>
      <c r="R38" s="198"/>
      <c r="S38" s="198"/>
      <c r="T38" s="198"/>
      <c r="U38" s="198"/>
    </row>
    <row r="39" spans="1:21" s="12" customFormat="1" x14ac:dyDescent="0.25">
      <c r="A39" s="215" t="s">
        <v>1430</v>
      </c>
      <c r="B39" s="64">
        <v>43.62</v>
      </c>
      <c r="C39" s="64">
        <v>55.7</v>
      </c>
      <c r="D39" s="64">
        <v>62.7</v>
      </c>
      <c r="E39" s="64">
        <v>7.64</v>
      </c>
      <c r="F39" s="64">
        <v>3.99</v>
      </c>
      <c r="G39" s="64">
        <v>91.09</v>
      </c>
      <c r="H39" s="64">
        <v>48.33</v>
      </c>
      <c r="I39" s="64">
        <v>6.18</v>
      </c>
      <c r="J39" s="64">
        <v>2.59</v>
      </c>
      <c r="K39" s="64">
        <v>346.03</v>
      </c>
      <c r="L39" s="64">
        <v>11.34</v>
      </c>
      <c r="M39" s="64">
        <v>69.72</v>
      </c>
      <c r="N39" s="64">
        <v>224.2</v>
      </c>
      <c r="O39" s="64">
        <v>0</v>
      </c>
      <c r="P39" s="64">
        <v>1.3</v>
      </c>
      <c r="Q39" s="64">
        <v>10.15</v>
      </c>
      <c r="R39" s="198"/>
      <c r="S39" s="198"/>
      <c r="T39" s="198"/>
      <c r="U39" s="198"/>
    </row>
    <row r="40" spans="1:21" s="12" customFormat="1" x14ac:dyDescent="0.25">
      <c r="A40" s="215" t="s">
        <v>1431</v>
      </c>
      <c r="B40" s="64">
        <v>44.1</v>
      </c>
      <c r="C40" s="64">
        <v>56.41</v>
      </c>
      <c r="D40" s="64">
        <v>63.46</v>
      </c>
      <c r="E40" s="64">
        <v>8.42</v>
      </c>
      <c r="F40" s="64">
        <v>4.63</v>
      </c>
      <c r="G40" s="64">
        <v>96.29</v>
      </c>
      <c r="H40" s="64">
        <v>13.71</v>
      </c>
      <c r="I40" s="64">
        <v>6.17</v>
      </c>
      <c r="J40" s="64">
        <v>2.19</v>
      </c>
      <c r="K40" s="64">
        <v>343.75</v>
      </c>
      <c r="L40" s="64">
        <v>13.52</v>
      </c>
      <c r="M40" s="64">
        <v>56.35</v>
      </c>
      <c r="N40" s="64">
        <v>311.3</v>
      </c>
      <c r="O40" s="64">
        <v>0</v>
      </c>
      <c r="P40" s="64">
        <v>1.28</v>
      </c>
      <c r="Q40" s="64">
        <v>10.130000000000001</v>
      </c>
      <c r="R40" s="198"/>
      <c r="S40" s="198"/>
      <c r="T40" s="198"/>
      <c r="U40" s="198"/>
    </row>
    <row r="41" spans="1:21" s="12" customFormat="1" x14ac:dyDescent="0.25">
      <c r="A41" s="215" t="s">
        <v>1432</v>
      </c>
      <c r="B41" s="64">
        <v>42.27</v>
      </c>
      <c r="C41" s="64">
        <v>57.18</v>
      </c>
      <c r="D41" s="64">
        <v>62.39</v>
      </c>
      <c r="E41" s="64">
        <v>9.0500000000000007</v>
      </c>
      <c r="F41" s="64">
        <v>4.13</v>
      </c>
      <c r="G41" s="64">
        <v>100.28</v>
      </c>
      <c r="H41" s="64">
        <v>1.93</v>
      </c>
      <c r="I41" s="64">
        <v>6.1</v>
      </c>
      <c r="J41" s="64">
        <v>2.81</v>
      </c>
      <c r="K41" s="64">
        <v>337.79</v>
      </c>
      <c r="L41" s="64">
        <v>15.31</v>
      </c>
      <c r="M41" s="64">
        <v>49.32</v>
      </c>
      <c r="N41" s="64">
        <v>365</v>
      </c>
      <c r="O41" s="64">
        <v>0</v>
      </c>
      <c r="P41" s="64">
        <v>1.23</v>
      </c>
      <c r="Q41" s="64">
        <v>10.119999999999999</v>
      </c>
      <c r="R41" s="198"/>
      <c r="S41" s="198"/>
      <c r="T41" s="198"/>
      <c r="U41" s="198"/>
    </row>
    <row r="42" spans="1:21" s="12" customFormat="1" x14ac:dyDescent="0.25">
      <c r="A42" s="215" t="s">
        <v>1433</v>
      </c>
      <c r="B42" s="64">
        <v>39.74</v>
      </c>
      <c r="C42" s="64">
        <v>58.41</v>
      </c>
      <c r="D42" s="64">
        <v>61.01</v>
      </c>
      <c r="E42" s="64">
        <v>8.4700000000000006</v>
      </c>
      <c r="F42" s="64">
        <v>4.1900000000000004</v>
      </c>
      <c r="G42" s="64">
        <v>100.28</v>
      </c>
      <c r="H42" s="64">
        <v>1.93</v>
      </c>
      <c r="I42" s="64">
        <v>5.98</v>
      </c>
      <c r="J42" s="64">
        <v>2.96</v>
      </c>
      <c r="K42" s="64">
        <v>342.23</v>
      </c>
      <c r="L42" s="64">
        <v>16.66</v>
      </c>
      <c r="M42" s="64">
        <v>44.9</v>
      </c>
      <c r="N42" s="64">
        <v>405.2</v>
      </c>
      <c r="O42" s="64">
        <v>0</v>
      </c>
      <c r="P42" s="64">
        <v>1.19</v>
      </c>
      <c r="Q42" s="64">
        <v>10.09</v>
      </c>
      <c r="R42" s="198"/>
      <c r="S42" s="198"/>
      <c r="T42" s="198"/>
      <c r="U42" s="198"/>
    </row>
    <row r="43" spans="1:21" s="12" customFormat="1" x14ac:dyDescent="0.25">
      <c r="A43" s="215" t="s">
        <v>1434</v>
      </c>
      <c r="B43" s="64">
        <v>36.96</v>
      </c>
      <c r="C43" s="64">
        <v>59.26</v>
      </c>
      <c r="D43" s="64">
        <v>59.22</v>
      </c>
      <c r="E43" s="64">
        <v>8.39</v>
      </c>
      <c r="F43" s="64">
        <v>4.17</v>
      </c>
      <c r="G43" s="64">
        <v>100.28</v>
      </c>
      <c r="H43" s="64">
        <v>1.93</v>
      </c>
      <c r="I43" s="64">
        <v>5.78</v>
      </c>
      <c r="J43" s="64">
        <v>1.85</v>
      </c>
      <c r="K43" s="64">
        <v>340.77</v>
      </c>
      <c r="L43" s="64">
        <v>17.59</v>
      </c>
      <c r="M43" s="64">
        <v>42.8</v>
      </c>
      <c r="N43" s="64">
        <v>487.2</v>
      </c>
      <c r="O43" s="64">
        <v>0</v>
      </c>
      <c r="P43" s="64">
        <v>1.1399999999999999</v>
      </c>
      <c r="Q43" s="64">
        <v>10.07</v>
      </c>
      <c r="R43" s="198"/>
      <c r="S43" s="198"/>
      <c r="T43" s="198"/>
      <c r="U43" s="198"/>
    </row>
    <row r="44" spans="1:21" s="12" customFormat="1" x14ac:dyDescent="0.25">
      <c r="A44" s="215" t="s">
        <v>1435</v>
      </c>
      <c r="B44" s="64">
        <v>34.1</v>
      </c>
      <c r="C44" s="64">
        <v>59.7</v>
      </c>
      <c r="D44" s="64">
        <v>57.16</v>
      </c>
      <c r="E44" s="64">
        <v>7.88</v>
      </c>
      <c r="F44" s="64">
        <v>4.2699999999999996</v>
      </c>
      <c r="G44" s="64">
        <v>90.4</v>
      </c>
      <c r="H44" s="64">
        <v>0.57999999999999996</v>
      </c>
      <c r="I44" s="64">
        <v>5.59</v>
      </c>
      <c r="J44" s="64">
        <v>1.81</v>
      </c>
      <c r="K44" s="64">
        <v>338.77</v>
      </c>
      <c r="L44" s="64">
        <v>18.559999999999999</v>
      </c>
      <c r="M44" s="64">
        <v>40.93</v>
      </c>
      <c r="N44" s="64">
        <v>517.20000000000005</v>
      </c>
      <c r="O44" s="64">
        <v>0</v>
      </c>
      <c r="P44" s="64">
        <v>1.1200000000000001</v>
      </c>
      <c r="Q44" s="64">
        <v>10.050000000000001</v>
      </c>
      <c r="R44" s="198"/>
      <c r="S44" s="198"/>
      <c r="T44" s="198"/>
      <c r="U44" s="198"/>
    </row>
    <row r="45" spans="1:21" s="12" customFormat="1" x14ac:dyDescent="0.25">
      <c r="A45" s="215" t="s">
        <v>1436</v>
      </c>
      <c r="B45" s="64">
        <v>31.41</v>
      </c>
      <c r="C45" s="64">
        <v>60.61</v>
      </c>
      <c r="D45" s="64">
        <v>55.47</v>
      </c>
      <c r="E45" s="64">
        <v>7.42</v>
      </c>
      <c r="F45" s="64">
        <v>4.17</v>
      </c>
      <c r="G45" s="64">
        <v>82.84</v>
      </c>
      <c r="H45" s="64">
        <v>0.12</v>
      </c>
      <c r="I45" s="64">
        <v>5.46</v>
      </c>
      <c r="J45" s="64">
        <v>2.1</v>
      </c>
      <c r="K45" s="64">
        <v>340.43</v>
      </c>
      <c r="L45" s="64">
        <v>19.63</v>
      </c>
      <c r="M45" s="64">
        <v>38.700000000000003</v>
      </c>
      <c r="N45" s="64">
        <v>535.29999999999995</v>
      </c>
      <c r="O45" s="64">
        <v>0</v>
      </c>
      <c r="P45" s="64">
        <v>1.08</v>
      </c>
      <c r="Q45" s="64">
        <v>10</v>
      </c>
      <c r="R45" s="198"/>
      <c r="S45" s="198"/>
      <c r="T45" s="198"/>
      <c r="U45" s="198"/>
    </row>
    <row r="46" spans="1:21" s="12" customFormat="1" x14ac:dyDescent="0.25">
      <c r="A46" s="215" t="s">
        <v>1437</v>
      </c>
      <c r="B46" s="64">
        <v>28.71</v>
      </c>
      <c r="C46" s="64">
        <v>60.89</v>
      </c>
      <c r="D46" s="64">
        <v>53.46</v>
      </c>
      <c r="E46" s="64">
        <v>7.4</v>
      </c>
      <c r="F46" s="64">
        <v>3.92</v>
      </c>
      <c r="G46" s="64">
        <v>82.84</v>
      </c>
      <c r="H46" s="64">
        <v>0.12</v>
      </c>
      <c r="I46" s="64">
        <v>5.4</v>
      </c>
      <c r="J46" s="64">
        <v>0.78</v>
      </c>
      <c r="K46" s="64">
        <v>8.2899999999999991</v>
      </c>
      <c r="L46" s="64">
        <v>19.66</v>
      </c>
      <c r="M46" s="64">
        <v>39.950000000000003</v>
      </c>
      <c r="N46" s="64">
        <v>617.1</v>
      </c>
      <c r="O46" s="64">
        <v>0</v>
      </c>
      <c r="P46" s="64">
        <v>1.06</v>
      </c>
      <c r="Q46" s="64">
        <v>9.9600000000000009</v>
      </c>
      <c r="R46" s="198"/>
      <c r="S46" s="198"/>
      <c r="T46" s="198"/>
      <c r="U46" s="198"/>
    </row>
    <row r="47" spans="1:21" s="12" customFormat="1" x14ac:dyDescent="0.25">
      <c r="A47" s="215" t="s">
        <v>1438</v>
      </c>
      <c r="B47" s="64">
        <v>26.26</v>
      </c>
      <c r="C47" s="64">
        <v>60.28</v>
      </c>
      <c r="D47" s="64">
        <v>51.18</v>
      </c>
      <c r="E47" s="64">
        <v>7.51</v>
      </c>
      <c r="F47" s="64">
        <v>3.4</v>
      </c>
      <c r="G47" s="64">
        <v>82.84</v>
      </c>
      <c r="H47" s="64">
        <v>0.12</v>
      </c>
      <c r="I47" s="64">
        <v>5.37</v>
      </c>
      <c r="J47" s="64">
        <v>1.35</v>
      </c>
      <c r="K47" s="64">
        <v>358.78</v>
      </c>
      <c r="L47" s="64">
        <v>19.34</v>
      </c>
      <c r="M47" s="64">
        <v>39.200000000000003</v>
      </c>
      <c r="N47" s="64">
        <v>700.7</v>
      </c>
      <c r="O47" s="64">
        <v>0</v>
      </c>
      <c r="P47" s="64">
        <v>1.03</v>
      </c>
      <c r="Q47" s="64">
        <v>9.67</v>
      </c>
      <c r="R47" s="198"/>
      <c r="S47" s="198"/>
      <c r="T47" s="198"/>
      <c r="U47" s="198"/>
    </row>
    <row r="48" spans="1:21" s="12" customFormat="1" x14ac:dyDescent="0.25">
      <c r="A48" s="215" t="s">
        <v>1439</v>
      </c>
      <c r="B48" s="64">
        <v>23.95</v>
      </c>
      <c r="C48" s="64">
        <v>61.1</v>
      </c>
      <c r="D48" s="64">
        <v>49.75</v>
      </c>
      <c r="E48" s="64">
        <v>7.21</v>
      </c>
      <c r="F48" s="64">
        <v>3.89</v>
      </c>
      <c r="G48" s="64">
        <v>81.069999999999993</v>
      </c>
      <c r="H48" s="64">
        <v>20.82</v>
      </c>
      <c r="I48" s="64">
        <v>5.44</v>
      </c>
      <c r="J48" s="64">
        <v>3.06</v>
      </c>
      <c r="K48" s="64">
        <v>342.85</v>
      </c>
      <c r="L48" s="64">
        <v>21.79</v>
      </c>
      <c r="M48" s="64">
        <v>33.14</v>
      </c>
      <c r="N48" s="64">
        <v>711.7</v>
      </c>
      <c r="O48" s="64">
        <v>0</v>
      </c>
      <c r="P48" s="64">
        <v>0.99</v>
      </c>
      <c r="Q48" s="64">
        <v>9.4</v>
      </c>
      <c r="R48" s="198"/>
      <c r="S48" s="198"/>
      <c r="T48" s="198"/>
      <c r="U48" s="198"/>
    </row>
    <row r="49" spans="1:21" s="12" customFormat="1" x14ac:dyDescent="0.25">
      <c r="A49" s="215" t="s">
        <v>1440</v>
      </c>
      <c r="B49" s="64">
        <v>21.55</v>
      </c>
      <c r="C49" s="64">
        <v>61.62</v>
      </c>
      <c r="D49" s="64">
        <v>48.09</v>
      </c>
      <c r="E49" s="64">
        <v>7.65</v>
      </c>
      <c r="F49" s="64">
        <v>3.79</v>
      </c>
      <c r="G49" s="64">
        <v>79.66</v>
      </c>
      <c r="H49" s="64">
        <v>34.35</v>
      </c>
      <c r="I49" s="64">
        <v>5.59</v>
      </c>
      <c r="J49" s="64">
        <v>2.81</v>
      </c>
      <c r="K49" s="64">
        <v>336.4</v>
      </c>
      <c r="L49" s="64">
        <v>22.9</v>
      </c>
      <c r="M49" s="64">
        <v>32.11</v>
      </c>
      <c r="N49" s="64">
        <v>744.9</v>
      </c>
      <c r="O49" s="64">
        <v>0</v>
      </c>
      <c r="P49" s="64">
        <v>0.97</v>
      </c>
      <c r="Q49" s="64">
        <v>9.16</v>
      </c>
      <c r="R49" s="198"/>
      <c r="S49" s="198"/>
      <c r="T49" s="198"/>
      <c r="U49" s="198"/>
    </row>
    <row r="50" spans="1:21" s="12" customFormat="1" x14ac:dyDescent="0.25">
      <c r="A50" s="215" t="s">
        <v>1441</v>
      </c>
      <c r="B50" s="64">
        <v>19.600000000000001</v>
      </c>
      <c r="C50" s="64">
        <v>61.7</v>
      </c>
      <c r="D50" s="64">
        <v>46.58</v>
      </c>
      <c r="E50" s="64">
        <v>7.88</v>
      </c>
      <c r="F50" s="64">
        <v>3.68</v>
      </c>
      <c r="G50" s="64">
        <v>79.66</v>
      </c>
      <c r="H50" s="64">
        <v>34.35</v>
      </c>
      <c r="I50" s="64">
        <v>5.5</v>
      </c>
      <c r="J50" s="64">
        <v>0.93</v>
      </c>
      <c r="K50" s="64">
        <v>32.83</v>
      </c>
      <c r="L50" s="64">
        <v>22.13</v>
      </c>
      <c r="M50" s="64">
        <v>33.799999999999997</v>
      </c>
      <c r="N50" s="64">
        <v>787.5</v>
      </c>
      <c r="O50" s="64">
        <v>0</v>
      </c>
      <c r="P50" s="64">
        <v>0.94</v>
      </c>
      <c r="Q50" s="64">
        <v>8.93</v>
      </c>
      <c r="R50" s="198"/>
      <c r="S50" s="198"/>
      <c r="T50" s="198"/>
      <c r="U50" s="198"/>
    </row>
    <row r="51" spans="1:21" s="12" customFormat="1" x14ac:dyDescent="0.25">
      <c r="A51" s="215" t="s">
        <v>1442</v>
      </c>
      <c r="B51" s="64">
        <v>17.97</v>
      </c>
      <c r="C51" s="64">
        <v>61.5</v>
      </c>
      <c r="D51" s="64">
        <v>45.17</v>
      </c>
      <c r="E51" s="64">
        <v>7.01</v>
      </c>
      <c r="F51" s="64">
        <v>4.05</v>
      </c>
      <c r="G51" s="64">
        <v>79.66</v>
      </c>
      <c r="H51" s="64">
        <v>34.35</v>
      </c>
      <c r="I51" s="64">
        <v>5.59</v>
      </c>
      <c r="J51" s="64">
        <v>1.1299999999999999</v>
      </c>
      <c r="K51" s="64">
        <v>46.91</v>
      </c>
      <c r="L51" s="64">
        <v>21.23</v>
      </c>
      <c r="M51" s="64">
        <v>34.9</v>
      </c>
      <c r="N51" s="64">
        <v>807</v>
      </c>
      <c r="O51" s="64">
        <v>0</v>
      </c>
      <c r="P51" s="64">
        <v>0.93</v>
      </c>
      <c r="Q51" s="64">
        <v>8.7799999999999994</v>
      </c>
      <c r="R51" s="198"/>
      <c r="S51" s="198"/>
      <c r="T51" s="198"/>
      <c r="U51" s="198"/>
    </row>
    <row r="52" spans="1:21" s="12" customFormat="1" x14ac:dyDescent="0.25">
      <c r="A52" s="215" t="s">
        <v>1443</v>
      </c>
      <c r="B52" s="64">
        <v>12.08</v>
      </c>
      <c r="C52" s="64">
        <v>60.86</v>
      </c>
      <c r="D52" s="64">
        <v>40.11</v>
      </c>
      <c r="E52" s="64">
        <v>14.96</v>
      </c>
      <c r="F52" s="64">
        <v>19.579999999999998</v>
      </c>
      <c r="G52" s="64">
        <v>67.09</v>
      </c>
      <c r="H52" s="64">
        <v>27.75</v>
      </c>
      <c r="I52" s="64">
        <v>5.74</v>
      </c>
      <c r="J52" s="64">
        <v>1.61</v>
      </c>
      <c r="K52" s="64">
        <v>357.68</v>
      </c>
      <c r="L52" s="64">
        <v>22.19</v>
      </c>
      <c r="M52" s="64">
        <v>31.87</v>
      </c>
      <c r="N52" s="64">
        <v>821.5</v>
      </c>
      <c r="O52" s="64">
        <v>0</v>
      </c>
      <c r="P52" s="64">
        <v>0.79</v>
      </c>
      <c r="Q52" s="64">
        <v>8.5399999999999991</v>
      </c>
      <c r="R52" s="198"/>
      <c r="S52" s="198"/>
      <c r="T52" s="198"/>
      <c r="U52" s="198"/>
    </row>
    <row r="53" spans="1:21" s="12" customFormat="1" x14ac:dyDescent="0.25">
      <c r="A53" s="215" t="s">
        <v>1444</v>
      </c>
      <c r="B53" s="64">
        <v>3.33</v>
      </c>
      <c r="C53" s="64">
        <v>62.75</v>
      </c>
      <c r="D53" s="64">
        <v>34.08</v>
      </c>
      <c r="E53" s="64">
        <v>13.44</v>
      </c>
      <c r="F53" s="64">
        <v>19.600000000000001</v>
      </c>
      <c r="G53" s="64">
        <v>57.47</v>
      </c>
      <c r="H53" s="64">
        <v>25.5</v>
      </c>
      <c r="I53" s="64">
        <v>6.56</v>
      </c>
      <c r="J53" s="64">
        <v>1.23</v>
      </c>
      <c r="K53" s="64">
        <v>17.57</v>
      </c>
      <c r="L53" s="64">
        <v>22.75</v>
      </c>
      <c r="M53" s="64">
        <v>30.34</v>
      </c>
      <c r="N53" s="64">
        <v>894.6</v>
      </c>
      <c r="O53" s="64">
        <v>0</v>
      </c>
      <c r="P53" s="64">
        <v>0.68</v>
      </c>
      <c r="Q53" s="64">
        <v>8.2100000000000009</v>
      </c>
      <c r="R53" s="198"/>
      <c r="S53" s="198"/>
      <c r="T53" s="198"/>
      <c r="U53" s="198"/>
    </row>
    <row r="54" spans="1:21" s="12" customFormat="1" x14ac:dyDescent="0.25">
      <c r="A54" s="215" t="s">
        <v>1445</v>
      </c>
      <c r="B54" s="64">
        <v>1.79</v>
      </c>
      <c r="C54" s="64">
        <v>60.3</v>
      </c>
      <c r="D54" s="64">
        <v>31.56</v>
      </c>
      <c r="E54" s="64">
        <v>14.72</v>
      </c>
      <c r="F54" s="64">
        <v>21.21</v>
      </c>
      <c r="G54" s="64">
        <v>57.47</v>
      </c>
      <c r="H54" s="64">
        <v>25.5</v>
      </c>
      <c r="I54" s="64">
        <v>5.07</v>
      </c>
      <c r="J54" s="64">
        <v>2.5</v>
      </c>
      <c r="K54" s="64">
        <v>344.53</v>
      </c>
      <c r="L54" s="64">
        <v>24.3</v>
      </c>
      <c r="M54" s="64">
        <v>28.05</v>
      </c>
      <c r="N54" s="64">
        <v>809.5</v>
      </c>
      <c r="O54" s="64">
        <v>0</v>
      </c>
      <c r="P54" s="64">
        <v>0.65</v>
      </c>
      <c r="Q54" s="64">
        <v>8.2100000000000009</v>
      </c>
      <c r="R54" s="198"/>
      <c r="S54" s="198"/>
      <c r="T54" s="198"/>
      <c r="U54" s="198"/>
    </row>
    <row r="55" spans="1:21" s="12" customFormat="1" x14ac:dyDescent="0.25">
      <c r="A55" s="215" t="s">
        <v>1446</v>
      </c>
      <c r="B55" s="64">
        <v>1.66</v>
      </c>
      <c r="C55" s="64">
        <v>62.22</v>
      </c>
      <c r="D55" s="64">
        <v>32.47</v>
      </c>
      <c r="E55" s="64">
        <v>12.17</v>
      </c>
      <c r="F55" s="64">
        <v>11.33</v>
      </c>
      <c r="G55" s="64">
        <v>57.47</v>
      </c>
      <c r="H55" s="64">
        <v>25.5</v>
      </c>
      <c r="I55" s="64">
        <v>4</v>
      </c>
      <c r="J55" s="64">
        <v>1.72</v>
      </c>
      <c r="K55" s="64">
        <v>349.06</v>
      </c>
      <c r="L55" s="64">
        <v>24.06</v>
      </c>
      <c r="M55" s="64">
        <v>29.09</v>
      </c>
      <c r="N55" s="64">
        <v>726.1</v>
      </c>
      <c r="O55" s="64">
        <v>0</v>
      </c>
      <c r="P55" s="64">
        <v>0.68</v>
      </c>
      <c r="Q55" s="64">
        <v>8.2100000000000009</v>
      </c>
      <c r="R55" s="198"/>
      <c r="S55" s="198"/>
      <c r="T55" s="198"/>
      <c r="U55" s="198"/>
    </row>
    <row r="56" spans="1:21" s="12" customFormat="1" x14ac:dyDescent="0.25">
      <c r="A56" s="215" t="s">
        <v>1447</v>
      </c>
      <c r="B56" s="64">
        <v>2.12</v>
      </c>
      <c r="C56" s="64">
        <v>64.19</v>
      </c>
      <c r="D56" s="64">
        <v>33.869999999999997</v>
      </c>
      <c r="E56" s="64">
        <v>11.56</v>
      </c>
      <c r="F56" s="64">
        <v>8.98</v>
      </c>
      <c r="G56" s="64">
        <v>57.47</v>
      </c>
      <c r="H56" s="64">
        <v>25.5</v>
      </c>
      <c r="I56" s="64">
        <v>3.79</v>
      </c>
      <c r="J56" s="64">
        <v>1.37</v>
      </c>
      <c r="K56" s="64">
        <v>0</v>
      </c>
      <c r="L56" s="64">
        <v>24.55</v>
      </c>
      <c r="M56" s="64">
        <v>27.9</v>
      </c>
      <c r="N56" s="64">
        <v>740.9</v>
      </c>
      <c r="O56" s="64">
        <v>0</v>
      </c>
      <c r="P56" s="64">
        <v>0.7</v>
      </c>
      <c r="Q56" s="64">
        <v>8.2100000000000009</v>
      </c>
      <c r="R56" s="198"/>
      <c r="S56" s="198"/>
      <c r="T56" s="198"/>
      <c r="U56" s="198"/>
    </row>
    <row r="57" spans="1:21" s="12" customFormat="1" x14ac:dyDescent="0.25">
      <c r="A57" s="215" t="s">
        <v>1448</v>
      </c>
      <c r="B57" s="64">
        <v>2.27</v>
      </c>
      <c r="C57" s="64">
        <v>66.75</v>
      </c>
      <c r="D57" s="64">
        <v>35.32</v>
      </c>
      <c r="E57" s="64">
        <v>11.19</v>
      </c>
      <c r="F57" s="64">
        <v>10.11</v>
      </c>
      <c r="G57" s="212" t="s">
        <v>40</v>
      </c>
      <c r="H57" s="212" t="s">
        <v>40</v>
      </c>
      <c r="I57" s="64">
        <v>4.37</v>
      </c>
      <c r="J57" s="64">
        <v>1.1299999999999999</v>
      </c>
      <c r="K57" s="64">
        <v>13.38</v>
      </c>
      <c r="L57" s="64">
        <v>23.19</v>
      </c>
      <c r="M57" s="64">
        <v>29.55</v>
      </c>
      <c r="N57" s="64">
        <v>771.5</v>
      </c>
      <c r="O57" s="64">
        <v>0</v>
      </c>
      <c r="P57" s="64">
        <v>0.72</v>
      </c>
      <c r="Q57" s="64">
        <v>8.2100000000000009</v>
      </c>
      <c r="R57" s="198"/>
      <c r="S57" s="198"/>
      <c r="T57" s="198"/>
      <c r="U57" s="198"/>
    </row>
    <row r="58" spans="1:21" s="12" customFormat="1" x14ac:dyDescent="0.25">
      <c r="A58" s="215" t="s">
        <v>1449</v>
      </c>
      <c r="B58" s="64">
        <v>2.0299999999999998</v>
      </c>
      <c r="C58" s="64">
        <v>67.319999999999993</v>
      </c>
      <c r="D58" s="64">
        <v>35.43</v>
      </c>
      <c r="E58" s="64">
        <v>10.49</v>
      </c>
      <c r="F58" s="64">
        <v>9.4600000000000009</v>
      </c>
      <c r="G58" s="212" t="s">
        <v>40</v>
      </c>
      <c r="H58" s="212" t="s">
        <v>40</v>
      </c>
      <c r="I58" s="64">
        <v>4.37</v>
      </c>
      <c r="J58" s="64">
        <v>3.14</v>
      </c>
      <c r="K58" s="64">
        <v>338.6</v>
      </c>
      <c r="L58" s="64">
        <v>25.42</v>
      </c>
      <c r="M58" s="64">
        <v>24.61</v>
      </c>
      <c r="N58" s="64">
        <v>729.3</v>
      </c>
      <c r="O58" s="64">
        <v>0</v>
      </c>
      <c r="P58" s="64">
        <v>0.71</v>
      </c>
      <c r="Q58" s="64">
        <v>8.2100000000000009</v>
      </c>
      <c r="R58" s="198"/>
      <c r="S58" s="198"/>
      <c r="T58" s="198"/>
      <c r="U58" s="198"/>
    </row>
    <row r="59" spans="1:21" s="12" customFormat="1" x14ac:dyDescent="0.25">
      <c r="A59" s="215" t="s">
        <v>1450</v>
      </c>
      <c r="B59" s="64">
        <v>1.96</v>
      </c>
      <c r="C59" s="64">
        <v>67.319999999999993</v>
      </c>
      <c r="D59" s="64">
        <v>35.369999999999997</v>
      </c>
      <c r="E59" s="64">
        <v>8.83</v>
      </c>
      <c r="F59" s="64">
        <v>8.01</v>
      </c>
      <c r="G59" s="212" t="s">
        <v>40</v>
      </c>
      <c r="H59" s="212" t="s">
        <v>40</v>
      </c>
      <c r="I59" s="64">
        <v>4.57</v>
      </c>
      <c r="J59" s="64">
        <v>0.91</v>
      </c>
      <c r="K59" s="64">
        <v>27.55</v>
      </c>
      <c r="L59" s="64">
        <v>23.92</v>
      </c>
      <c r="M59" s="64">
        <v>26.7</v>
      </c>
      <c r="N59" s="64">
        <v>679.5</v>
      </c>
      <c r="O59" s="64">
        <v>0</v>
      </c>
      <c r="P59" s="64">
        <v>0.71</v>
      </c>
      <c r="Q59" s="64">
        <v>8.2100000000000009</v>
      </c>
      <c r="R59" s="198"/>
      <c r="S59" s="198"/>
      <c r="T59" s="198"/>
      <c r="U59" s="198"/>
    </row>
    <row r="60" spans="1:21" s="12" customFormat="1" x14ac:dyDescent="0.25">
      <c r="A60" s="215" t="s">
        <v>1451</v>
      </c>
      <c r="B60" s="64">
        <v>2.13</v>
      </c>
      <c r="C60" s="64">
        <v>66.33</v>
      </c>
      <c r="D60" s="64">
        <v>34.99</v>
      </c>
      <c r="E60" s="64">
        <v>7.92</v>
      </c>
      <c r="F60" s="64">
        <v>7.01</v>
      </c>
      <c r="G60" s="212" t="s">
        <v>40</v>
      </c>
      <c r="H60" s="212" t="s">
        <v>40</v>
      </c>
      <c r="I60" s="64">
        <v>4.57</v>
      </c>
      <c r="J60" s="64">
        <v>1.01</v>
      </c>
      <c r="K60" s="64">
        <v>347.18</v>
      </c>
      <c r="L60" s="64">
        <v>24.19</v>
      </c>
      <c r="M60" s="64">
        <v>25.21</v>
      </c>
      <c r="N60" s="64">
        <v>673</v>
      </c>
      <c r="O60" s="64">
        <v>0</v>
      </c>
      <c r="P60" s="64">
        <v>0.71</v>
      </c>
      <c r="Q60" s="64">
        <v>8.2100000000000009</v>
      </c>
      <c r="R60" s="198"/>
      <c r="S60" s="198"/>
      <c r="T60" s="198"/>
      <c r="U60" s="198"/>
    </row>
    <row r="61" spans="1:21" s="12" customFormat="1" x14ac:dyDescent="0.25">
      <c r="A61" s="215" t="s">
        <v>1452</v>
      </c>
      <c r="B61" s="64">
        <v>2.27</v>
      </c>
      <c r="C61" s="64">
        <v>65.87</v>
      </c>
      <c r="D61" s="64">
        <v>34.86</v>
      </c>
      <c r="E61" s="64">
        <v>9.1199999999999992</v>
      </c>
      <c r="F61" s="64">
        <v>8.91</v>
      </c>
      <c r="G61" s="64">
        <v>35.68</v>
      </c>
      <c r="H61" s="64">
        <v>10.31</v>
      </c>
      <c r="I61" s="64">
        <v>4.6100000000000003</v>
      </c>
      <c r="J61" s="64">
        <v>1.1299999999999999</v>
      </c>
      <c r="K61" s="64">
        <v>47.95</v>
      </c>
      <c r="L61" s="64">
        <v>23.47</v>
      </c>
      <c r="M61" s="64">
        <v>25.81</v>
      </c>
      <c r="N61" s="64">
        <v>733.8</v>
      </c>
      <c r="O61" s="64">
        <v>0</v>
      </c>
      <c r="P61" s="64">
        <v>0.71</v>
      </c>
      <c r="Q61" s="64">
        <v>8.2100000000000009</v>
      </c>
      <c r="R61" s="198"/>
      <c r="S61" s="198"/>
      <c r="T61" s="198"/>
      <c r="U61" s="198"/>
    </row>
    <row r="62" spans="1:21" s="12" customFormat="1" x14ac:dyDescent="0.25">
      <c r="A62" s="215" t="s">
        <v>1453</v>
      </c>
      <c r="B62" s="64">
        <v>1.66</v>
      </c>
      <c r="C62" s="64">
        <v>66.63</v>
      </c>
      <c r="D62" s="64">
        <v>34.770000000000003</v>
      </c>
      <c r="E62" s="64">
        <v>10.49</v>
      </c>
      <c r="F62" s="64">
        <v>10.9</v>
      </c>
      <c r="G62" s="64">
        <v>97.3</v>
      </c>
      <c r="H62" s="64">
        <v>21.58</v>
      </c>
      <c r="I62" s="64">
        <v>4.68</v>
      </c>
      <c r="J62" s="64">
        <v>2.15</v>
      </c>
      <c r="K62" s="64">
        <v>106.92</v>
      </c>
      <c r="L62" s="64">
        <v>22.02</v>
      </c>
      <c r="M62" s="64">
        <v>27.89</v>
      </c>
      <c r="N62" s="64">
        <v>704.5</v>
      </c>
      <c r="O62" s="64">
        <v>0</v>
      </c>
      <c r="P62" s="64">
        <v>0.72</v>
      </c>
      <c r="Q62" s="64">
        <v>8.2100000000000009</v>
      </c>
      <c r="R62" s="198"/>
      <c r="S62" s="198"/>
      <c r="T62" s="198"/>
      <c r="U62" s="198"/>
    </row>
    <row r="63" spans="1:21" s="12" customFormat="1" x14ac:dyDescent="0.25">
      <c r="A63" s="215" t="s">
        <v>1454</v>
      </c>
      <c r="B63" s="64">
        <v>1.46</v>
      </c>
      <c r="C63" s="64">
        <v>65.41</v>
      </c>
      <c r="D63" s="64">
        <v>33.97</v>
      </c>
      <c r="E63" s="64">
        <v>7.4</v>
      </c>
      <c r="F63" s="64">
        <v>7.56</v>
      </c>
      <c r="G63" s="64">
        <v>97.3</v>
      </c>
      <c r="H63" s="64">
        <v>21.58</v>
      </c>
      <c r="I63" s="64">
        <v>4.25</v>
      </c>
      <c r="J63" s="64">
        <v>1.23</v>
      </c>
      <c r="K63" s="64">
        <v>349.23</v>
      </c>
      <c r="L63" s="64">
        <v>23.19</v>
      </c>
      <c r="M63" s="64">
        <v>26.12</v>
      </c>
      <c r="N63" s="64">
        <v>642.20000000000005</v>
      </c>
      <c r="O63" s="64">
        <v>0</v>
      </c>
      <c r="P63" s="64">
        <v>0.71</v>
      </c>
      <c r="Q63" s="64">
        <v>8.2100000000000009</v>
      </c>
      <c r="R63" s="198"/>
      <c r="S63" s="198"/>
      <c r="T63" s="198"/>
      <c r="U63" s="198"/>
    </row>
    <row r="64" spans="1:21" s="12" customFormat="1" x14ac:dyDescent="0.25">
      <c r="A64" s="215" t="s">
        <v>1455</v>
      </c>
      <c r="B64" s="64">
        <v>1.78</v>
      </c>
      <c r="C64" s="64">
        <v>63.97</v>
      </c>
      <c r="D64" s="64">
        <v>33.47</v>
      </c>
      <c r="E64" s="64">
        <v>6.75</v>
      </c>
      <c r="F64" s="64">
        <v>6.08</v>
      </c>
      <c r="G64" s="64">
        <v>97.3</v>
      </c>
      <c r="H64" s="64">
        <v>21.58</v>
      </c>
      <c r="I64" s="64">
        <v>4.6900000000000004</v>
      </c>
      <c r="J64" s="64">
        <v>2.16</v>
      </c>
      <c r="K64" s="64">
        <v>105.45</v>
      </c>
      <c r="L64" s="64">
        <v>22.04</v>
      </c>
      <c r="M64" s="64">
        <v>27.2</v>
      </c>
      <c r="N64" s="64">
        <v>506.1</v>
      </c>
      <c r="O64" s="64">
        <v>0</v>
      </c>
      <c r="P64" s="64">
        <v>0.69</v>
      </c>
      <c r="Q64" s="64">
        <v>8.2100000000000009</v>
      </c>
      <c r="R64" s="198"/>
      <c r="S64" s="198"/>
      <c r="T64" s="198"/>
      <c r="U64" s="198"/>
    </row>
    <row r="65" spans="1:21" s="12" customFormat="1" x14ac:dyDescent="0.25">
      <c r="A65" s="215" t="s">
        <v>1456</v>
      </c>
      <c r="B65" s="64">
        <v>1.96</v>
      </c>
      <c r="C65" s="64">
        <v>61.73</v>
      </c>
      <c r="D65" s="64">
        <v>32.450000000000003</v>
      </c>
      <c r="E65" s="64">
        <v>6.48</v>
      </c>
      <c r="F65" s="64">
        <v>5.54</v>
      </c>
      <c r="G65" s="64">
        <v>98.06</v>
      </c>
      <c r="H65" s="64">
        <v>17.97</v>
      </c>
      <c r="I65" s="64">
        <v>4.33</v>
      </c>
      <c r="J65" s="64">
        <v>2.1</v>
      </c>
      <c r="K65" s="64">
        <v>111.05</v>
      </c>
      <c r="L65" s="64">
        <v>21.96</v>
      </c>
      <c r="M65" s="64">
        <v>26.92</v>
      </c>
      <c r="N65" s="64">
        <v>280.39999999999998</v>
      </c>
      <c r="O65" s="64">
        <v>0</v>
      </c>
      <c r="P65" s="64">
        <v>0.66</v>
      </c>
      <c r="Q65" s="64">
        <v>8.2100000000000009</v>
      </c>
      <c r="R65" s="198"/>
      <c r="S65" s="198"/>
      <c r="T65" s="198"/>
      <c r="U65" s="198"/>
    </row>
    <row r="66" spans="1:21" s="12" customFormat="1" x14ac:dyDescent="0.25">
      <c r="A66" s="215" t="s">
        <v>1457</v>
      </c>
      <c r="B66" s="64">
        <v>2.16</v>
      </c>
      <c r="C66" s="64">
        <v>59.6</v>
      </c>
      <c r="D66" s="64">
        <v>31.49</v>
      </c>
      <c r="E66" s="64">
        <v>6.7</v>
      </c>
      <c r="F66" s="64">
        <v>5.03</v>
      </c>
      <c r="G66" s="64">
        <v>99.37</v>
      </c>
      <c r="H66" s="64">
        <v>14.03</v>
      </c>
      <c r="I66" s="64">
        <v>4.71</v>
      </c>
      <c r="J66" s="64">
        <v>1.1399999999999999</v>
      </c>
      <c r="K66" s="64">
        <v>93.49</v>
      </c>
      <c r="L66" s="64">
        <v>21.95</v>
      </c>
      <c r="M66" s="64">
        <v>26.9</v>
      </c>
      <c r="N66" s="64">
        <v>217.9</v>
      </c>
      <c r="O66" s="64">
        <v>0</v>
      </c>
      <c r="P66" s="64">
        <v>0.67</v>
      </c>
      <c r="Q66" s="64">
        <v>8.2100000000000009</v>
      </c>
      <c r="R66" s="198"/>
      <c r="S66" s="198"/>
      <c r="T66" s="198"/>
      <c r="U66" s="198"/>
    </row>
    <row r="67" spans="1:21" s="12" customFormat="1" x14ac:dyDescent="0.25">
      <c r="A67" s="215" t="s">
        <v>1458</v>
      </c>
      <c r="B67" s="64">
        <v>2.4300000000000002</v>
      </c>
      <c r="C67" s="64">
        <v>58.1</v>
      </c>
      <c r="D67" s="64">
        <v>30.93</v>
      </c>
      <c r="E67" s="64">
        <v>6.57</v>
      </c>
      <c r="F67" s="64">
        <v>5.62</v>
      </c>
      <c r="G67" s="64">
        <v>99.37</v>
      </c>
      <c r="H67" s="64">
        <v>14.03</v>
      </c>
      <c r="I67" s="64">
        <v>4.7300000000000004</v>
      </c>
      <c r="J67" s="64">
        <v>1.44</v>
      </c>
      <c r="K67" s="64">
        <v>41.8</v>
      </c>
      <c r="L67" s="64">
        <v>22.11</v>
      </c>
      <c r="M67" s="64">
        <v>27.12</v>
      </c>
      <c r="N67" s="64">
        <v>227.2</v>
      </c>
      <c r="O67" s="64">
        <v>0</v>
      </c>
      <c r="P67" s="64">
        <v>0.63</v>
      </c>
      <c r="Q67" s="64">
        <v>8.2100000000000009</v>
      </c>
      <c r="R67" s="198"/>
      <c r="S67" s="198"/>
      <c r="T67" s="198"/>
      <c r="U67" s="198"/>
    </row>
    <row r="68" spans="1:21" s="12" customFormat="1" x14ac:dyDescent="0.25">
      <c r="A68" s="215" t="s">
        <v>1459</v>
      </c>
      <c r="B68" s="64">
        <v>2.5099999999999998</v>
      </c>
      <c r="C68" s="64">
        <v>57.21</v>
      </c>
      <c r="D68" s="64">
        <v>30.53</v>
      </c>
      <c r="E68" s="64">
        <v>6.57</v>
      </c>
      <c r="F68" s="64">
        <v>6.19</v>
      </c>
      <c r="G68" s="64">
        <v>99.37</v>
      </c>
      <c r="H68" s="64">
        <v>14.03</v>
      </c>
      <c r="I68" s="64">
        <v>4.34</v>
      </c>
      <c r="J68" s="64">
        <v>2.92</v>
      </c>
      <c r="K68" s="64">
        <v>336.55</v>
      </c>
      <c r="L68" s="64">
        <v>22.98</v>
      </c>
      <c r="M68" s="64">
        <v>25.18</v>
      </c>
      <c r="N68" s="64">
        <v>190.7</v>
      </c>
      <c r="O68" s="64">
        <v>0</v>
      </c>
      <c r="P68" s="64">
        <v>0.66</v>
      </c>
      <c r="Q68" s="64">
        <v>8.2100000000000009</v>
      </c>
      <c r="R68" s="198"/>
      <c r="S68" s="198"/>
      <c r="T68" s="198"/>
      <c r="U68" s="198"/>
    </row>
    <row r="69" spans="1:21" s="12" customFormat="1" x14ac:dyDescent="0.25">
      <c r="A69" s="215" t="s">
        <v>1460</v>
      </c>
      <c r="B69" s="64">
        <v>2.61</v>
      </c>
      <c r="C69" s="64">
        <v>57.27</v>
      </c>
      <c r="D69" s="64">
        <v>30.63</v>
      </c>
      <c r="E69" s="64">
        <v>6.5</v>
      </c>
      <c r="F69" s="64">
        <v>5.62</v>
      </c>
      <c r="G69" s="64">
        <v>95.33</v>
      </c>
      <c r="H69" s="64">
        <v>18.600000000000001</v>
      </c>
      <c r="I69" s="64">
        <v>4.54</v>
      </c>
      <c r="J69" s="64">
        <v>2.95</v>
      </c>
      <c r="K69" s="64">
        <v>343.53</v>
      </c>
      <c r="L69" s="64">
        <v>22.48</v>
      </c>
      <c r="M69" s="64">
        <v>25.5</v>
      </c>
      <c r="N69" s="64">
        <v>176.5</v>
      </c>
      <c r="O69" s="64">
        <v>0</v>
      </c>
      <c r="P69" s="64">
        <v>0.67</v>
      </c>
      <c r="Q69" s="64">
        <v>8.2100000000000009</v>
      </c>
      <c r="R69" s="198"/>
      <c r="S69" s="198"/>
      <c r="T69" s="198"/>
      <c r="U69" s="198"/>
    </row>
    <row r="70" spans="1:21" s="12" customFormat="1" x14ac:dyDescent="0.25">
      <c r="A70" s="215" t="s">
        <v>1461</v>
      </c>
      <c r="B70" s="64">
        <v>2.8</v>
      </c>
      <c r="C70" s="64">
        <v>57.82</v>
      </c>
      <c r="D70" s="64">
        <v>31.08</v>
      </c>
      <c r="E70" s="64">
        <v>6.85</v>
      </c>
      <c r="F70" s="64">
        <v>5.85</v>
      </c>
      <c r="G70" s="64">
        <v>88.35</v>
      </c>
      <c r="H70" s="64">
        <v>23.6</v>
      </c>
      <c r="I70" s="64">
        <v>5.0999999999999996</v>
      </c>
      <c r="J70" s="64">
        <v>1.1000000000000001</v>
      </c>
      <c r="K70" s="64">
        <v>356.37</v>
      </c>
      <c r="L70" s="64">
        <v>21.94</v>
      </c>
      <c r="M70" s="64">
        <v>26.81</v>
      </c>
      <c r="N70" s="64">
        <v>166</v>
      </c>
      <c r="O70" s="64">
        <v>0</v>
      </c>
      <c r="P70" s="64">
        <v>0.7</v>
      </c>
      <c r="Q70" s="64">
        <v>8.2100000000000009</v>
      </c>
      <c r="R70" s="198"/>
      <c r="S70" s="198"/>
      <c r="T70" s="198"/>
      <c r="U70" s="198"/>
    </row>
    <row r="71" spans="1:21" s="12" customFormat="1" x14ac:dyDescent="0.25">
      <c r="A71" s="215" t="s">
        <v>1462</v>
      </c>
      <c r="B71" s="64">
        <v>3.05</v>
      </c>
      <c r="C71" s="64">
        <v>58.38</v>
      </c>
      <c r="D71" s="64">
        <v>31.57</v>
      </c>
      <c r="E71" s="64">
        <v>6.58</v>
      </c>
      <c r="F71" s="64">
        <v>5.15</v>
      </c>
      <c r="G71" s="64">
        <v>88.35</v>
      </c>
      <c r="H71" s="64">
        <v>23.6</v>
      </c>
      <c r="I71" s="64">
        <v>4.75</v>
      </c>
      <c r="J71" s="64">
        <v>1.1000000000000001</v>
      </c>
      <c r="K71" s="64">
        <v>34.32</v>
      </c>
      <c r="L71" s="64">
        <v>21.26</v>
      </c>
      <c r="M71" s="64">
        <v>28.32</v>
      </c>
      <c r="N71" s="64">
        <v>148.30000000000001</v>
      </c>
      <c r="O71" s="64">
        <v>0</v>
      </c>
      <c r="P71" s="64">
        <v>0.69</v>
      </c>
      <c r="Q71" s="64">
        <v>8.2100000000000009</v>
      </c>
      <c r="R71" s="198"/>
      <c r="S71" s="198"/>
      <c r="T71" s="198"/>
      <c r="U71" s="198"/>
    </row>
    <row r="72" spans="1:21" s="12" customFormat="1" x14ac:dyDescent="0.25">
      <c r="A72" s="215" t="s">
        <v>1463</v>
      </c>
      <c r="B72" s="64">
        <v>3.44</v>
      </c>
      <c r="C72" s="64">
        <v>59.35</v>
      </c>
      <c r="D72" s="64">
        <v>32.39</v>
      </c>
      <c r="E72" s="64">
        <v>6.24</v>
      </c>
      <c r="F72" s="64">
        <v>5.17</v>
      </c>
      <c r="G72" s="64">
        <v>88.35</v>
      </c>
      <c r="H72" s="64">
        <v>23.6</v>
      </c>
      <c r="I72" s="64">
        <v>5.28</v>
      </c>
      <c r="J72" s="64">
        <v>3.17</v>
      </c>
      <c r="K72" s="64">
        <v>344.31</v>
      </c>
      <c r="L72" s="64">
        <v>21.12</v>
      </c>
      <c r="M72" s="64">
        <v>29.92</v>
      </c>
      <c r="N72" s="64">
        <v>140.5</v>
      </c>
      <c r="O72" s="64">
        <v>0</v>
      </c>
      <c r="P72" s="64">
        <v>0.7</v>
      </c>
      <c r="Q72" s="64">
        <v>8.2100000000000009</v>
      </c>
      <c r="R72" s="198"/>
      <c r="S72" s="198"/>
      <c r="T72" s="198"/>
      <c r="U72" s="198"/>
    </row>
    <row r="73" spans="1:21" s="12" customFormat="1" x14ac:dyDescent="0.25">
      <c r="A73" s="215" t="s">
        <v>1464</v>
      </c>
      <c r="B73" s="64">
        <v>3.5</v>
      </c>
      <c r="C73" s="64">
        <v>60.79</v>
      </c>
      <c r="D73" s="64">
        <v>33.19</v>
      </c>
      <c r="E73" s="64">
        <v>6.22</v>
      </c>
      <c r="F73" s="64">
        <v>4.8</v>
      </c>
      <c r="G73" s="64">
        <v>87.25</v>
      </c>
      <c r="H73" s="64">
        <v>26.86</v>
      </c>
      <c r="I73" s="64">
        <v>5.73</v>
      </c>
      <c r="J73" s="64">
        <v>2.77</v>
      </c>
      <c r="K73" s="64">
        <v>349.85</v>
      </c>
      <c r="L73" s="64">
        <v>21.06</v>
      </c>
      <c r="M73" s="64">
        <v>30.1</v>
      </c>
      <c r="N73" s="64">
        <v>144.19999999999999</v>
      </c>
      <c r="O73" s="64">
        <v>0</v>
      </c>
      <c r="P73" s="64">
        <v>0.71</v>
      </c>
      <c r="Q73" s="64">
        <v>8.2100000000000009</v>
      </c>
      <c r="R73" s="198"/>
      <c r="S73" s="198"/>
      <c r="T73" s="198"/>
      <c r="U73" s="198"/>
    </row>
    <row r="74" spans="1:21" s="12" customFormat="1" x14ac:dyDescent="0.25">
      <c r="A74" s="215" t="s">
        <v>1465</v>
      </c>
      <c r="B74" s="64">
        <v>3.44</v>
      </c>
      <c r="C74" s="64">
        <v>62.73</v>
      </c>
      <c r="D74" s="64">
        <v>34.15</v>
      </c>
      <c r="E74" s="64">
        <v>6.22</v>
      </c>
      <c r="F74" s="64">
        <v>4.76</v>
      </c>
      <c r="G74" s="64">
        <v>85.36</v>
      </c>
      <c r="H74" s="64">
        <v>38.26</v>
      </c>
      <c r="I74" s="64">
        <v>5.82</v>
      </c>
      <c r="J74" s="64">
        <v>2.72</v>
      </c>
      <c r="K74" s="64">
        <v>345.09</v>
      </c>
      <c r="L74" s="64">
        <v>20.8</v>
      </c>
      <c r="M74" s="64">
        <v>31.18</v>
      </c>
      <c r="N74" s="64">
        <v>128.80000000000001</v>
      </c>
      <c r="O74" s="64">
        <v>0</v>
      </c>
      <c r="P74" s="64">
        <v>0.74</v>
      </c>
      <c r="Q74" s="64">
        <v>8.2100000000000009</v>
      </c>
      <c r="R74" s="198"/>
      <c r="S74" s="198"/>
      <c r="T74" s="198"/>
      <c r="U74" s="198"/>
    </row>
    <row r="75" spans="1:21" s="12" customFormat="1" x14ac:dyDescent="0.25">
      <c r="A75" s="215" t="s">
        <v>1466</v>
      </c>
      <c r="B75" s="64">
        <v>3.64</v>
      </c>
      <c r="C75" s="64">
        <v>64.44</v>
      </c>
      <c r="D75" s="64">
        <v>35.21</v>
      </c>
      <c r="E75" s="64">
        <v>6</v>
      </c>
      <c r="F75" s="64">
        <v>5.49</v>
      </c>
      <c r="G75" s="64">
        <v>85.36</v>
      </c>
      <c r="H75" s="64">
        <v>38.26</v>
      </c>
      <c r="I75" s="64">
        <v>5.73</v>
      </c>
      <c r="J75" s="64">
        <v>2.85</v>
      </c>
      <c r="K75" s="64">
        <v>347.8</v>
      </c>
      <c r="L75" s="64">
        <v>20.34</v>
      </c>
      <c r="M75" s="64">
        <v>31.95</v>
      </c>
      <c r="N75" s="64">
        <v>115.4</v>
      </c>
      <c r="O75" s="64">
        <v>0</v>
      </c>
      <c r="P75" s="64">
        <v>0.76</v>
      </c>
      <c r="Q75" s="64">
        <v>8.2100000000000009</v>
      </c>
      <c r="R75" s="198"/>
      <c r="S75" s="198"/>
      <c r="T75" s="198"/>
      <c r="U75" s="198"/>
    </row>
    <row r="76" spans="1:21" s="12" customFormat="1" x14ac:dyDescent="0.25">
      <c r="A76" s="215" t="s">
        <v>1467</v>
      </c>
      <c r="B76" s="64">
        <v>3.93</v>
      </c>
      <c r="C76" s="64">
        <v>65.36</v>
      </c>
      <c r="D76" s="64">
        <v>35.92</v>
      </c>
      <c r="E76" s="64">
        <v>6.37</v>
      </c>
      <c r="F76" s="64">
        <v>5.17</v>
      </c>
      <c r="G76" s="64">
        <v>85.36</v>
      </c>
      <c r="H76" s="64">
        <v>38.26</v>
      </c>
      <c r="I76" s="64">
        <v>5.64</v>
      </c>
      <c r="J76" s="64">
        <v>2.76</v>
      </c>
      <c r="K76" s="64">
        <v>349.23</v>
      </c>
      <c r="L76" s="64">
        <v>19.78</v>
      </c>
      <c r="M76" s="64">
        <v>33.54</v>
      </c>
      <c r="N76" s="64">
        <v>103.4</v>
      </c>
      <c r="O76" s="64">
        <v>0</v>
      </c>
      <c r="P76" s="64">
        <v>0.79</v>
      </c>
      <c r="Q76" s="64">
        <v>8.2100000000000009</v>
      </c>
      <c r="R76" s="198"/>
      <c r="S76" s="198"/>
      <c r="T76" s="198"/>
      <c r="U76" s="198"/>
    </row>
    <row r="77" spans="1:21" s="12" customFormat="1" x14ac:dyDescent="0.25">
      <c r="A77" s="215" t="s">
        <v>1468</v>
      </c>
      <c r="B77" s="64">
        <v>4.8099999999999996</v>
      </c>
      <c r="C77" s="64">
        <v>67.430000000000007</v>
      </c>
      <c r="D77" s="64">
        <v>37.71</v>
      </c>
      <c r="E77" s="64">
        <v>6.29</v>
      </c>
      <c r="F77" s="64">
        <v>4.82</v>
      </c>
      <c r="G77" s="64">
        <v>89.68</v>
      </c>
      <c r="H77" s="64">
        <v>56.55</v>
      </c>
      <c r="I77" s="64">
        <v>5.58</v>
      </c>
      <c r="J77" s="64">
        <v>2.21</v>
      </c>
      <c r="K77" s="64">
        <v>355.34</v>
      </c>
      <c r="L77" s="64">
        <v>19.07</v>
      </c>
      <c r="M77" s="64">
        <v>35.76</v>
      </c>
      <c r="N77" s="64">
        <v>94</v>
      </c>
      <c r="O77" s="64">
        <v>0</v>
      </c>
      <c r="P77" s="64">
        <v>0.83</v>
      </c>
      <c r="Q77" s="64">
        <v>8.2100000000000009</v>
      </c>
      <c r="R77" s="198"/>
      <c r="S77" s="198"/>
      <c r="T77" s="198"/>
      <c r="U77" s="198"/>
    </row>
    <row r="78" spans="1:21" s="12" customFormat="1" x14ac:dyDescent="0.25">
      <c r="A78" s="215" t="s">
        <v>1469</v>
      </c>
      <c r="B78" s="64">
        <v>6.49</v>
      </c>
      <c r="C78" s="64">
        <v>69.73</v>
      </c>
      <c r="D78" s="64">
        <v>40.26</v>
      </c>
      <c r="E78" s="64">
        <v>6.59</v>
      </c>
      <c r="F78" s="64">
        <v>4.26</v>
      </c>
      <c r="G78" s="64">
        <v>97.13</v>
      </c>
      <c r="H78" s="64">
        <v>76.56</v>
      </c>
      <c r="I78" s="64">
        <v>5.56</v>
      </c>
      <c r="J78" s="64">
        <v>1.66</v>
      </c>
      <c r="K78" s="64">
        <v>13.69</v>
      </c>
      <c r="L78" s="64">
        <v>18.079999999999998</v>
      </c>
      <c r="M78" s="64">
        <v>39.61</v>
      </c>
      <c r="N78" s="64">
        <v>89.2</v>
      </c>
      <c r="O78" s="64">
        <v>0</v>
      </c>
      <c r="P78" s="64">
        <v>0.9</v>
      </c>
      <c r="Q78" s="64">
        <v>8.2100000000000009</v>
      </c>
      <c r="R78" s="198"/>
      <c r="S78" s="198"/>
      <c r="T78" s="198"/>
      <c r="U78" s="198"/>
    </row>
    <row r="79" spans="1:21" s="12" customFormat="1" x14ac:dyDescent="0.25">
      <c r="A79" s="215" t="s">
        <v>1470</v>
      </c>
      <c r="B79" s="64">
        <v>9.1199999999999992</v>
      </c>
      <c r="C79" s="64">
        <v>72.099999999999994</v>
      </c>
      <c r="D79" s="64">
        <v>43.61</v>
      </c>
      <c r="E79" s="64">
        <v>6.64</v>
      </c>
      <c r="F79" s="64">
        <v>4.33</v>
      </c>
      <c r="G79" s="64">
        <v>97.13</v>
      </c>
      <c r="H79" s="64">
        <v>76.56</v>
      </c>
      <c r="I79" s="64">
        <v>5.62</v>
      </c>
      <c r="J79" s="64">
        <v>1.84</v>
      </c>
      <c r="K79" s="64">
        <v>8.27</v>
      </c>
      <c r="L79" s="64">
        <v>17.18</v>
      </c>
      <c r="M79" s="64">
        <v>42.58</v>
      </c>
      <c r="N79" s="64">
        <v>87.6</v>
      </c>
      <c r="O79" s="64">
        <v>0</v>
      </c>
      <c r="P79" s="64">
        <v>1.03</v>
      </c>
      <c r="Q79" s="64">
        <v>8.3699999999999992</v>
      </c>
      <c r="R79" s="198"/>
      <c r="S79" s="198"/>
      <c r="T79" s="198"/>
      <c r="U79" s="198"/>
    </row>
    <row r="80" spans="1:21" s="12" customFormat="1" x14ac:dyDescent="0.25">
      <c r="A80" s="215" t="s">
        <v>1471</v>
      </c>
      <c r="B80" s="64">
        <v>11.58</v>
      </c>
      <c r="C80" s="64">
        <v>72.819999999999993</v>
      </c>
      <c r="D80" s="64">
        <v>45.96</v>
      </c>
      <c r="E80" s="64">
        <v>6.54</v>
      </c>
      <c r="F80" s="64">
        <v>4.76</v>
      </c>
      <c r="G80" s="64">
        <v>97.13</v>
      </c>
      <c r="H80" s="64">
        <v>76.56</v>
      </c>
      <c r="I80" s="64">
        <v>6.06</v>
      </c>
      <c r="J80" s="64">
        <v>1.89</v>
      </c>
      <c r="K80" s="64">
        <v>326.14</v>
      </c>
      <c r="L80" s="64">
        <v>16.559999999999999</v>
      </c>
      <c r="M80" s="64">
        <v>46.75</v>
      </c>
      <c r="N80" s="64">
        <v>85.7</v>
      </c>
      <c r="O80" s="64">
        <v>0</v>
      </c>
      <c r="P80" s="64">
        <v>1.64</v>
      </c>
      <c r="Q80" s="64">
        <v>8.75</v>
      </c>
      <c r="R80" s="198"/>
      <c r="S80" s="198"/>
      <c r="T80" s="198"/>
      <c r="U80" s="198"/>
    </row>
    <row r="81" spans="1:26" s="12" customFormat="1" x14ac:dyDescent="0.25">
      <c r="A81" s="215" t="s">
        <v>1472</v>
      </c>
      <c r="B81" s="64">
        <v>14.82</v>
      </c>
      <c r="C81" s="64">
        <v>73.34</v>
      </c>
      <c r="D81" s="64">
        <v>48.83</v>
      </c>
      <c r="E81" s="64">
        <v>6.78</v>
      </c>
      <c r="F81" s="64">
        <v>4.5</v>
      </c>
      <c r="G81" s="64">
        <v>105.99</v>
      </c>
      <c r="H81" s="64">
        <v>66.540000000000006</v>
      </c>
      <c r="I81" s="64">
        <v>6.09</v>
      </c>
      <c r="J81" s="64">
        <v>1.57</v>
      </c>
      <c r="K81" s="64">
        <v>11.75</v>
      </c>
      <c r="L81" s="64">
        <v>15.94</v>
      </c>
      <c r="M81" s="64">
        <v>48.51</v>
      </c>
      <c r="N81" s="64">
        <v>85.8</v>
      </c>
      <c r="O81" s="64">
        <v>0</v>
      </c>
      <c r="P81" s="64">
        <v>1.5</v>
      </c>
      <c r="Q81" s="64">
        <v>9.23</v>
      </c>
      <c r="R81" s="198"/>
      <c r="S81" s="198"/>
      <c r="T81" s="198"/>
      <c r="U81" s="198"/>
    </row>
    <row r="82" spans="1:26" s="12" customFormat="1" x14ac:dyDescent="0.25">
      <c r="A82" s="215" t="s">
        <v>1473</v>
      </c>
      <c r="B82" s="64">
        <v>17.75</v>
      </c>
      <c r="C82" s="64">
        <v>73.52</v>
      </c>
      <c r="D82" s="64">
        <v>51.27</v>
      </c>
      <c r="E82" s="64">
        <v>6.63</v>
      </c>
      <c r="F82" s="64">
        <v>4.09</v>
      </c>
      <c r="G82" s="64">
        <v>121.3</v>
      </c>
      <c r="H82" s="64">
        <v>55.59</v>
      </c>
      <c r="I82" s="64">
        <v>7.66</v>
      </c>
      <c r="J82" s="64">
        <v>0.63</v>
      </c>
      <c r="K82" s="64">
        <v>281.06</v>
      </c>
      <c r="L82" s="64">
        <v>15.53</v>
      </c>
      <c r="M82" s="64">
        <v>48.64</v>
      </c>
      <c r="N82" s="64">
        <v>86.2</v>
      </c>
      <c r="O82" s="64">
        <v>0</v>
      </c>
      <c r="P82" s="64">
        <v>1.58</v>
      </c>
      <c r="Q82" s="64">
        <v>9.8000000000000007</v>
      </c>
      <c r="R82" s="198"/>
      <c r="S82" s="198"/>
      <c r="T82" s="198"/>
      <c r="U82" s="198"/>
    </row>
    <row r="83" spans="1:26" s="12" customFormat="1" x14ac:dyDescent="0.25">
      <c r="A83" s="215" t="s">
        <v>1474</v>
      </c>
      <c r="B83" s="64">
        <v>20.329999999999998</v>
      </c>
      <c r="C83" s="64">
        <v>73.569999999999993</v>
      </c>
      <c r="D83" s="64">
        <v>53.37</v>
      </c>
      <c r="E83" s="64">
        <v>6.66</v>
      </c>
      <c r="F83" s="64">
        <v>4.1100000000000003</v>
      </c>
      <c r="G83" s="64">
        <v>121.3</v>
      </c>
      <c r="H83" s="64">
        <v>55.59</v>
      </c>
      <c r="I83" s="64">
        <v>7.7</v>
      </c>
      <c r="J83" s="64">
        <v>0.51</v>
      </c>
      <c r="K83" s="64">
        <v>348.87</v>
      </c>
      <c r="L83" s="64">
        <v>15.01</v>
      </c>
      <c r="M83" s="64">
        <v>53.52</v>
      </c>
      <c r="N83" s="64">
        <v>85.5</v>
      </c>
      <c r="O83" s="64">
        <v>0</v>
      </c>
      <c r="P83" s="64">
        <v>1.68</v>
      </c>
      <c r="Q83" s="64">
        <v>10.28</v>
      </c>
      <c r="R83" s="198"/>
      <c r="S83" s="198"/>
      <c r="T83" s="198"/>
      <c r="U83" s="198"/>
    </row>
    <row r="84" spans="1:26" s="12" customFormat="1" x14ac:dyDescent="0.25">
      <c r="A84" s="215" t="s">
        <v>1475</v>
      </c>
      <c r="B84" s="64">
        <v>23.47</v>
      </c>
      <c r="C84" s="64">
        <v>73.400000000000006</v>
      </c>
      <c r="D84" s="64">
        <v>55.79</v>
      </c>
      <c r="E84" s="64">
        <v>7.55</v>
      </c>
      <c r="F84" s="64">
        <v>4.26</v>
      </c>
      <c r="G84" s="64">
        <v>121.3</v>
      </c>
      <c r="H84" s="64">
        <v>55.59</v>
      </c>
      <c r="I84" s="64">
        <v>8.3699999999999992</v>
      </c>
      <c r="J84" s="64">
        <v>2.13</v>
      </c>
      <c r="K84" s="64">
        <v>349.01</v>
      </c>
      <c r="L84" s="64">
        <v>14.68</v>
      </c>
      <c r="M84" s="64">
        <v>56.73</v>
      </c>
      <c r="N84" s="64">
        <v>85.3</v>
      </c>
      <c r="O84" s="64">
        <v>0</v>
      </c>
      <c r="P84" s="64">
        <v>1.88</v>
      </c>
      <c r="Q84" s="64">
        <v>10.61</v>
      </c>
      <c r="R84" s="198"/>
      <c r="S84" s="198"/>
      <c r="T84" s="198"/>
      <c r="U84" s="198"/>
    </row>
    <row r="85" spans="1:26" s="12" customFormat="1" x14ac:dyDescent="0.25">
      <c r="A85" s="215" t="s">
        <v>1476</v>
      </c>
      <c r="B85" s="64">
        <v>27.23</v>
      </c>
      <c r="C85" s="64">
        <v>73.39</v>
      </c>
      <c r="D85" s="64">
        <v>58.8</v>
      </c>
      <c r="E85" s="64">
        <v>7.8</v>
      </c>
      <c r="F85" s="64">
        <v>3.34</v>
      </c>
      <c r="G85" s="64">
        <v>132.91</v>
      </c>
      <c r="H85" s="64">
        <v>58.11</v>
      </c>
      <c r="I85" s="64">
        <v>9.18</v>
      </c>
      <c r="J85" s="64">
        <v>0.56000000000000005</v>
      </c>
      <c r="K85" s="64">
        <v>12.73</v>
      </c>
      <c r="L85" s="64">
        <v>14.39</v>
      </c>
      <c r="M85" s="64">
        <v>57.48</v>
      </c>
      <c r="N85" s="64">
        <v>84.9</v>
      </c>
      <c r="O85" s="64">
        <v>0</v>
      </c>
      <c r="P85" s="64">
        <v>1.89</v>
      </c>
      <c r="Q85" s="64">
        <v>10.69</v>
      </c>
      <c r="R85" s="198"/>
      <c r="S85" s="198"/>
      <c r="T85" s="198"/>
      <c r="U85" s="198"/>
    </row>
    <row r="86" spans="1:26" s="12" customFormat="1" x14ac:dyDescent="0.25">
      <c r="A86" s="215" t="s">
        <v>1477</v>
      </c>
      <c r="B86" s="64">
        <v>30.76</v>
      </c>
      <c r="C86" s="64">
        <v>73.25</v>
      </c>
      <c r="D86" s="64">
        <v>61.57</v>
      </c>
      <c r="E86" s="64">
        <v>8.11</v>
      </c>
      <c r="F86" s="64">
        <v>4.03</v>
      </c>
      <c r="G86" s="64">
        <v>152.96</v>
      </c>
      <c r="H86" s="64">
        <v>60.87</v>
      </c>
      <c r="I86" s="64">
        <v>9.35</v>
      </c>
      <c r="J86" s="64">
        <v>1.48</v>
      </c>
      <c r="K86" s="64">
        <v>63.63</v>
      </c>
      <c r="L86" s="64">
        <v>14.56</v>
      </c>
      <c r="M86" s="64">
        <v>52.73</v>
      </c>
      <c r="N86" s="64">
        <v>85.2</v>
      </c>
      <c r="O86" s="64">
        <v>0</v>
      </c>
      <c r="P86" s="64">
        <v>1.8</v>
      </c>
      <c r="Q86" s="64">
        <v>10.73</v>
      </c>
      <c r="R86" s="198"/>
      <c r="S86" s="198"/>
      <c r="T86" s="198"/>
      <c r="U86" s="198"/>
    </row>
    <row r="87" spans="1:26" s="12" customFormat="1" x14ac:dyDescent="0.25">
      <c r="A87" s="215" t="s">
        <v>1478</v>
      </c>
      <c r="B87" s="64">
        <v>33.090000000000003</v>
      </c>
      <c r="C87" s="64">
        <v>73.55</v>
      </c>
      <c r="D87" s="64">
        <v>63.58</v>
      </c>
      <c r="E87" s="64">
        <v>8.44</v>
      </c>
      <c r="F87" s="64">
        <v>4.5199999999999996</v>
      </c>
      <c r="G87" s="64">
        <v>152.96</v>
      </c>
      <c r="H87" s="64">
        <v>60.87</v>
      </c>
      <c r="I87" s="64">
        <v>9.52</v>
      </c>
      <c r="J87" s="64">
        <v>0.87</v>
      </c>
      <c r="K87" s="64">
        <v>143.80000000000001</v>
      </c>
      <c r="L87" s="64">
        <v>14.64</v>
      </c>
      <c r="M87" s="64">
        <v>50.11</v>
      </c>
      <c r="N87" s="64">
        <v>85.6</v>
      </c>
      <c r="O87" s="64">
        <v>0</v>
      </c>
      <c r="P87" s="64">
        <v>1.66</v>
      </c>
      <c r="Q87" s="64">
        <v>10.78</v>
      </c>
      <c r="R87" s="198"/>
      <c r="S87" s="198"/>
      <c r="T87" s="198"/>
      <c r="U87" s="198"/>
    </row>
    <row r="88" spans="1:26" s="12" customFormat="1" x14ac:dyDescent="0.25">
      <c r="A88" s="215" t="s">
        <v>1479</v>
      </c>
      <c r="B88" s="64">
        <v>34.78</v>
      </c>
      <c r="C88" s="64">
        <v>73.98</v>
      </c>
      <c r="D88" s="64">
        <v>65.16</v>
      </c>
      <c r="E88" s="64">
        <v>8.4700000000000006</v>
      </c>
      <c r="F88" s="64">
        <v>4.55</v>
      </c>
      <c r="G88" s="64">
        <v>152.96</v>
      </c>
      <c r="H88" s="64">
        <v>60.87</v>
      </c>
      <c r="I88" s="64">
        <v>9.6</v>
      </c>
      <c r="J88" s="64">
        <v>1.99</v>
      </c>
      <c r="K88" s="64">
        <v>306.81</v>
      </c>
      <c r="L88" s="64">
        <v>14.44</v>
      </c>
      <c r="M88" s="64">
        <v>53.25</v>
      </c>
      <c r="N88" s="64">
        <v>85.1</v>
      </c>
      <c r="O88" s="64">
        <v>0</v>
      </c>
      <c r="P88" s="64">
        <v>1.6</v>
      </c>
      <c r="Q88" s="64">
        <v>10.89</v>
      </c>
      <c r="R88" s="198"/>
      <c r="S88" s="198"/>
      <c r="T88" s="198"/>
      <c r="U88" s="198"/>
    </row>
    <row r="89" spans="1:26" s="12" customFormat="1" x14ac:dyDescent="0.25">
      <c r="A89" s="215" t="s">
        <v>1480</v>
      </c>
      <c r="B89" s="64">
        <v>37.450000000000003</v>
      </c>
      <c r="C89" s="64">
        <v>74.64</v>
      </c>
      <c r="D89" s="64">
        <v>67.650000000000006</v>
      </c>
      <c r="E89" s="64">
        <v>8.48</v>
      </c>
      <c r="F89" s="64">
        <v>4.47</v>
      </c>
      <c r="G89" s="64">
        <v>157.09</v>
      </c>
      <c r="H89" s="64">
        <v>86.44</v>
      </c>
      <c r="I89" s="64">
        <v>8.61</v>
      </c>
      <c r="J89" s="64">
        <v>1.85</v>
      </c>
      <c r="K89" s="64">
        <v>277.67</v>
      </c>
      <c r="L89" s="64">
        <v>13.95</v>
      </c>
      <c r="M89" s="64">
        <v>57.76</v>
      </c>
      <c r="N89" s="64">
        <v>85.2</v>
      </c>
      <c r="O89" s="64">
        <v>0</v>
      </c>
      <c r="P89" s="64">
        <v>1.68</v>
      </c>
      <c r="Q89" s="64">
        <v>10.92</v>
      </c>
      <c r="R89" s="198"/>
      <c r="S89" s="198"/>
      <c r="T89" s="198"/>
      <c r="U89" s="198"/>
    </row>
    <row r="90" spans="1:26" s="12" customFormat="1" x14ac:dyDescent="0.25">
      <c r="A90" s="215" t="s">
        <v>1481</v>
      </c>
      <c r="B90" s="64">
        <v>41.07</v>
      </c>
      <c r="C90" s="64">
        <v>74.86</v>
      </c>
      <c r="D90" s="64">
        <v>70.67</v>
      </c>
      <c r="E90" s="64">
        <v>8.81</v>
      </c>
      <c r="F90" s="64">
        <v>4.63</v>
      </c>
      <c r="G90" s="64">
        <v>164.22</v>
      </c>
      <c r="H90" s="213" t="s">
        <v>42</v>
      </c>
      <c r="I90" s="64">
        <v>8.42</v>
      </c>
      <c r="J90" s="64">
        <v>1.22</v>
      </c>
      <c r="K90" s="64">
        <v>262.08999999999997</v>
      </c>
      <c r="L90" s="64">
        <v>13.51</v>
      </c>
      <c r="M90" s="64">
        <v>64.73</v>
      </c>
      <c r="N90" s="64">
        <v>85</v>
      </c>
      <c r="O90" s="64">
        <v>0</v>
      </c>
      <c r="P90" s="64">
        <v>1.75</v>
      </c>
      <c r="Q90" s="64">
        <v>10.97</v>
      </c>
      <c r="R90" s="198"/>
      <c r="S90" s="198"/>
      <c r="T90" s="198"/>
      <c r="U90" s="198"/>
    </row>
    <row r="91" spans="1:26" s="12" customFormat="1" x14ac:dyDescent="0.25">
      <c r="A91" s="215" t="s">
        <v>1482</v>
      </c>
      <c r="B91" s="64">
        <v>46.6</v>
      </c>
      <c r="C91" s="64">
        <v>75.2</v>
      </c>
      <c r="D91" s="64">
        <v>75.28</v>
      </c>
      <c r="E91" s="64">
        <v>9.1999999999999993</v>
      </c>
      <c r="F91" s="64">
        <v>4.76</v>
      </c>
      <c r="G91" s="64">
        <v>164.22</v>
      </c>
      <c r="H91" s="213" t="s">
        <v>42</v>
      </c>
      <c r="I91" s="64">
        <v>8.5299999999999994</v>
      </c>
      <c r="J91" s="64">
        <v>1.64</v>
      </c>
      <c r="K91" s="64">
        <v>290.31</v>
      </c>
      <c r="L91" s="64">
        <v>13.4</v>
      </c>
      <c r="M91" s="64">
        <v>64.540000000000006</v>
      </c>
      <c r="N91" s="64">
        <v>84.3</v>
      </c>
      <c r="O91" s="64">
        <v>0</v>
      </c>
      <c r="P91" s="64">
        <v>1.85</v>
      </c>
      <c r="Q91" s="64">
        <v>11.06</v>
      </c>
      <c r="R91" s="198"/>
      <c r="S91" s="198"/>
      <c r="T91" s="198"/>
      <c r="U91" s="198"/>
    </row>
    <row r="92" spans="1:26" s="12" customFormat="1" x14ac:dyDescent="0.25">
      <c r="A92" s="215" t="s">
        <v>1483</v>
      </c>
      <c r="B92" s="64">
        <v>54.82</v>
      </c>
      <c r="C92" s="64">
        <v>75.47</v>
      </c>
      <c r="D92" s="64">
        <v>82.01</v>
      </c>
      <c r="E92" s="64">
        <v>9.6199999999999992</v>
      </c>
      <c r="F92" s="64">
        <v>4.84</v>
      </c>
      <c r="G92" s="64">
        <v>164.22</v>
      </c>
      <c r="H92" s="213" t="s">
        <v>42</v>
      </c>
      <c r="I92" s="64">
        <v>8.76</v>
      </c>
      <c r="J92" s="64">
        <v>1.67</v>
      </c>
      <c r="K92" s="64">
        <v>305.37</v>
      </c>
      <c r="L92" s="64">
        <v>13.08</v>
      </c>
      <c r="M92" s="64">
        <v>66.86</v>
      </c>
      <c r="N92" s="64">
        <v>84.3</v>
      </c>
      <c r="O92" s="64">
        <v>0</v>
      </c>
      <c r="P92" s="64">
        <v>1.99</v>
      </c>
      <c r="Q92" s="64">
        <v>11.16</v>
      </c>
      <c r="R92" s="198"/>
      <c r="S92" s="198"/>
      <c r="T92" s="198"/>
      <c r="U92" s="198"/>
    </row>
    <row r="93" spans="1:26" s="12" customFormat="1" x14ac:dyDescent="0.25">
      <c r="A93" s="215" t="s">
        <v>1484</v>
      </c>
      <c r="B93" s="64">
        <v>66.900000000000006</v>
      </c>
      <c r="C93" s="64">
        <v>75.900000000000006</v>
      </c>
      <c r="D93" s="64">
        <v>91.93</v>
      </c>
      <c r="E93" s="64">
        <v>9.8800000000000008</v>
      </c>
      <c r="F93" s="64">
        <v>4.9400000000000004</v>
      </c>
      <c r="G93" s="64">
        <v>167.19</v>
      </c>
      <c r="H93" s="64">
        <v>138.28</v>
      </c>
      <c r="I93" s="64">
        <v>9</v>
      </c>
      <c r="J93" s="64">
        <v>2.0699999999999998</v>
      </c>
      <c r="K93" s="64">
        <v>324.69</v>
      </c>
      <c r="L93" s="64">
        <v>12.81</v>
      </c>
      <c r="M93" s="64">
        <v>70.75</v>
      </c>
      <c r="N93" s="64">
        <v>84.1</v>
      </c>
      <c r="O93" s="64">
        <v>0</v>
      </c>
      <c r="P93" s="64">
        <v>2.12</v>
      </c>
      <c r="Q93" s="64">
        <v>11.32</v>
      </c>
      <c r="R93" s="198"/>
      <c r="S93" s="198"/>
      <c r="T93" s="198"/>
      <c r="U93" s="198"/>
    </row>
    <row r="94" spans="1:26" s="12" customFormat="1" x14ac:dyDescent="0.25">
      <c r="A94" s="215" t="s">
        <v>1485</v>
      </c>
      <c r="B94" s="64">
        <v>80.19</v>
      </c>
      <c r="C94" s="64">
        <v>76.430000000000007</v>
      </c>
      <c r="D94" s="64">
        <v>102.86</v>
      </c>
      <c r="E94" s="64">
        <v>10.25</v>
      </c>
      <c r="F94" s="64">
        <v>4.6500000000000004</v>
      </c>
      <c r="G94" s="64">
        <v>172.34</v>
      </c>
      <c r="H94" s="64">
        <v>100.98</v>
      </c>
      <c r="I94" s="64">
        <v>9.2899999999999991</v>
      </c>
      <c r="J94" s="64">
        <v>2.06</v>
      </c>
      <c r="K94" s="64">
        <v>325.01</v>
      </c>
      <c r="L94" s="64">
        <v>12.67</v>
      </c>
      <c r="M94" s="64">
        <v>70.23</v>
      </c>
      <c r="N94" s="64">
        <v>84</v>
      </c>
      <c r="O94" s="64">
        <v>0</v>
      </c>
      <c r="P94" s="64">
        <v>2.2400000000000002</v>
      </c>
      <c r="Q94" s="64">
        <v>11.51</v>
      </c>
      <c r="R94" s="198"/>
      <c r="S94" s="198"/>
      <c r="T94" s="198"/>
      <c r="U94" s="198"/>
    </row>
    <row r="95" spans="1:26" s="12" customFormat="1" x14ac:dyDescent="0.25">
      <c r="A95" s="215" t="s">
        <v>1486</v>
      </c>
      <c r="B95" s="64">
        <v>93.98</v>
      </c>
      <c r="C95" s="64">
        <v>76.69</v>
      </c>
      <c r="D95" s="64">
        <v>114.06</v>
      </c>
      <c r="E95" s="64">
        <v>10.96</v>
      </c>
      <c r="F95" s="64">
        <v>4.51</v>
      </c>
      <c r="G95" s="64">
        <v>172.34</v>
      </c>
      <c r="H95" s="64">
        <v>100.98</v>
      </c>
      <c r="I95" s="64">
        <v>9.65</v>
      </c>
      <c r="J95" s="64">
        <v>1.99</v>
      </c>
      <c r="K95" s="64">
        <v>343.07</v>
      </c>
      <c r="L95" s="64">
        <v>12.41</v>
      </c>
      <c r="M95" s="64">
        <v>74.069999999999993</v>
      </c>
      <c r="N95" s="64">
        <v>84.2</v>
      </c>
      <c r="O95" s="64">
        <v>0</v>
      </c>
      <c r="P95" s="64">
        <v>2.37</v>
      </c>
      <c r="Q95" s="64">
        <v>11.72</v>
      </c>
      <c r="R95" s="198"/>
      <c r="S95" s="198"/>
      <c r="T95" s="198"/>
      <c r="U95" s="198"/>
    </row>
    <row r="96" spans="1:26" s="12" customFormat="1" x14ac:dyDescent="0.25">
      <c r="A96" s="215" t="s">
        <v>1487</v>
      </c>
      <c r="B96" s="64">
        <v>104.13</v>
      </c>
      <c r="C96" s="64">
        <v>76.489999999999995</v>
      </c>
      <c r="D96" s="64">
        <v>122.09</v>
      </c>
      <c r="E96" s="64">
        <v>11.03</v>
      </c>
      <c r="F96" s="64">
        <v>4.71</v>
      </c>
      <c r="G96" s="64">
        <v>172.34</v>
      </c>
      <c r="H96" s="64">
        <v>100.98</v>
      </c>
      <c r="I96" s="64">
        <v>9.98</v>
      </c>
      <c r="J96" s="64">
        <v>2.15</v>
      </c>
      <c r="K96" s="64">
        <v>290.05</v>
      </c>
      <c r="L96" s="64">
        <v>12.46</v>
      </c>
      <c r="M96" s="64">
        <v>67.84</v>
      </c>
      <c r="N96" s="64">
        <v>83.6</v>
      </c>
      <c r="O96" s="64">
        <v>0</v>
      </c>
      <c r="P96" s="64">
        <v>2.5099999999999998</v>
      </c>
      <c r="Q96" s="64">
        <v>11.86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1488</v>
      </c>
      <c r="B97" s="64">
        <v>107.92</v>
      </c>
      <c r="C97" s="64">
        <v>74.959999999999994</v>
      </c>
      <c r="D97" s="64">
        <v>124.33</v>
      </c>
      <c r="E97" s="64">
        <v>10.98</v>
      </c>
      <c r="F97" s="64">
        <v>5.0999999999999996</v>
      </c>
      <c r="G97" s="64">
        <v>174.59</v>
      </c>
      <c r="H97" s="64">
        <v>75.78</v>
      </c>
      <c r="I97" s="64">
        <v>10.3</v>
      </c>
      <c r="J97" s="64">
        <v>1.54</v>
      </c>
      <c r="K97" s="64">
        <v>311.85000000000002</v>
      </c>
      <c r="L97" s="64">
        <v>12.46</v>
      </c>
      <c r="M97" s="64">
        <v>64.930000000000007</v>
      </c>
      <c r="N97" s="64">
        <v>84</v>
      </c>
      <c r="O97" s="64">
        <v>0</v>
      </c>
      <c r="P97" s="64">
        <v>2.5499999999999998</v>
      </c>
      <c r="Q97" s="64">
        <v>11.92</v>
      </c>
      <c r="R97" s="198"/>
      <c r="S97" s="198"/>
      <c r="T97" s="198"/>
      <c r="U97" s="198"/>
    </row>
    <row r="98" spans="1:33" s="12" customFormat="1" x14ac:dyDescent="0.25">
      <c r="A98" s="215" t="s">
        <v>1489</v>
      </c>
      <c r="B98" s="64">
        <v>108.78</v>
      </c>
      <c r="C98" s="64">
        <v>74.099999999999994</v>
      </c>
      <c r="D98" s="64">
        <v>124.57</v>
      </c>
      <c r="E98" s="64">
        <v>10.210000000000001</v>
      </c>
      <c r="F98" s="64">
        <v>4.59</v>
      </c>
      <c r="G98" s="64">
        <v>178.48</v>
      </c>
      <c r="H98" s="64">
        <v>48.22</v>
      </c>
      <c r="I98" s="64">
        <v>10.74</v>
      </c>
      <c r="J98" s="64">
        <v>1.77</v>
      </c>
      <c r="K98" s="64">
        <v>328.98</v>
      </c>
      <c r="L98" s="64">
        <v>12.67</v>
      </c>
      <c r="M98" s="64">
        <v>61.97</v>
      </c>
      <c r="N98" s="64">
        <v>83.7</v>
      </c>
      <c r="O98" s="64">
        <v>0</v>
      </c>
      <c r="P98" s="64">
        <v>2.5299999999999998</v>
      </c>
      <c r="Q98" s="64">
        <v>12.12</v>
      </c>
      <c r="R98" s="198"/>
      <c r="S98" s="198"/>
      <c r="T98" s="198"/>
      <c r="U98" s="198"/>
    </row>
    <row r="99" spans="1:33" s="12" customFormat="1" x14ac:dyDescent="0.25">
      <c r="A99" s="215" t="s">
        <v>1490</v>
      </c>
      <c r="B99" s="64">
        <v>107.56</v>
      </c>
      <c r="C99" s="64">
        <v>73.16</v>
      </c>
      <c r="D99" s="64">
        <v>123.1</v>
      </c>
      <c r="E99" s="64">
        <v>10.1</v>
      </c>
      <c r="F99" s="64">
        <v>4.57</v>
      </c>
      <c r="G99" s="64">
        <v>178.48</v>
      </c>
      <c r="H99" s="64">
        <v>48.22</v>
      </c>
      <c r="I99" s="64">
        <v>10.66</v>
      </c>
      <c r="J99" s="64">
        <v>1.79</v>
      </c>
      <c r="K99" s="64">
        <v>354.91</v>
      </c>
      <c r="L99" s="64">
        <v>13.23</v>
      </c>
      <c r="M99" s="64">
        <v>55.51</v>
      </c>
      <c r="N99" s="64">
        <v>82.6</v>
      </c>
      <c r="O99" s="64">
        <v>0</v>
      </c>
      <c r="P99" s="64">
        <v>2.4500000000000002</v>
      </c>
      <c r="Q99" s="64">
        <v>12.24</v>
      </c>
      <c r="R99" s="198"/>
      <c r="S99" s="198"/>
      <c r="T99" s="198"/>
      <c r="U99" s="198"/>
    </row>
    <row r="100" spans="1:33" s="12" customFormat="1" x14ac:dyDescent="0.25">
      <c r="A100" s="215" t="s">
        <v>1491</v>
      </c>
      <c r="B100" s="64">
        <v>104.65</v>
      </c>
      <c r="C100" s="64">
        <v>72.11</v>
      </c>
      <c r="D100" s="64">
        <v>120.22</v>
      </c>
      <c r="E100" s="64">
        <v>9.75</v>
      </c>
      <c r="F100" s="64">
        <v>4.3</v>
      </c>
      <c r="G100" s="64">
        <v>178.48</v>
      </c>
      <c r="H100" s="64">
        <v>48.22</v>
      </c>
      <c r="I100" s="64">
        <v>10.58</v>
      </c>
      <c r="J100" s="64">
        <v>1.1100000000000001</v>
      </c>
      <c r="K100" s="64">
        <v>15.76</v>
      </c>
      <c r="L100" s="64">
        <v>13.36</v>
      </c>
      <c r="M100" s="64">
        <v>51.61</v>
      </c>
      <c r="N100" s="64">
        <v>82.9</v>
      </c>
      <c r="O100" s="64">
        <v>0</v>
      </c>
      <c r="P100" s="64">
        <v>2.33</v>
      </c>
      <c r="Q100" s="64">
        <v>12.28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1492</v>
      </c>
      <c r="B101" s="64">
        <v>100.6</v>
      </c>
      <c r="C101" s="64">
        <v>70.87</v>
      </c>
      <c r="D101" s="64">
        <v>116.33</v>
      </c>
      <c r="E101" s="64">
        <v>9.24</v>
      </c>
      <c r="F101" s="64">
        <v>4.21</v>
      </c>
      <c r="G101" s="64">
        <v>171.34</v>
      </c>
      <c r="H101" s="64">
        <v>44.33</v>
      </c>
      <c r="I101" s="64">
        <v>10</v>
      </c>
      <c r="J101" s="64">
        <v>0.93</v>
      </c>
      <c r="K101" s="64">
        <v>18.420000000000002</v>
      </c>
      <c r="L101" s="64">
        <v>13</v>
      </c>
      <c r="M101" s="64">
        <v>52.85</v>
      </c>
      <c r="N101" s="64">
        <v>83.4</v>
      </c>
      <c r="O101" s="64">
        <v>0</v>
      </c>
      <c r="P101" s="64">
        <v>2.2799999999999998</v>
      </c>
      <c r="Q101" s="64">
        <v>12.29</v>
      </c>
      <c r="R101" s="198"/>
      <c r="S101" s="198"/>
      <c r="T101" s="198"/>
      <c r="U101" s="198"/>
    </row>
    <row r="102" spans="1:33" s="12" customFormat="1" x14ac:dyDescent="0.25">
      <c r="A102" s="215" t="s">
        <v>1493</v>
      </c>
      <c r="B102" s="64">
        <v>96.32</v>
      </c>
      <c r="C102" s="64">
        <v>69.22</v>
      </c>
      <c r="D102" s="64">
        <v>112.02</v>
      </c>
      <c r="E102" s="64">
        <v>8.66</v>
      </c>
      <c r="F102" s="64">
        <v>4.2</v>
      </c>
      <c r="G102" s="64">
        <v>159.01</v>
      </c>
      <c r="H102" s="64">
        <v>40.06</v>
      </c>
      <c r="I102" s="64">
        <v>9.84</v>
      </c>
      <c r="J102" s="64">
        <v>0.91</v>
      </c>
      <c r="K102" s="64">
        <v>47.26</v>
      </c>
      <c r="L102" s="64">
        <v>12.84</v>
      </c>
      <c r="M102" s="64">
        <v>53.08</v>
      </c>
      <c r="N102" s="64">
        <v>83.7</v>
      </c>
      <c r="O102" s="64">
        <v>0</v>
      </c>
      <c r="P102" s="64">
        <v>2.25</v>
      </c>
      <c r="Q102" s="64">
        <v>12.27</v>
      </c>
      <c r="R102" s="198"/>
      <c r="S102" s="198"/>
      <c r="T102" s="198"/>
      <c r="U102" s="198"/>
    </row>
    <row r="103" spans="1:33" s="12" customFormat="1" x14ac:dyDescent="0.25">
      <c r="A103" s="215" t="s">
        <v>1494</v>
      </c>
      <c r="B103" s="64">
        <v>91.86</v>
      </c>
      <c r="C103" s="64">
        <v>67.42</v>
      </c>
      <c r="D103" s="64">
        <v>107.51</v>
      </c>
      <c r="E103" s="64">
        <v>8.27</v>
      </c>
      <c r="F103" s="64">
        <v>4.47</v>
      </c>
      <c r="G103" s="64">
        <v>159.01</v>
      </c>
      <c r="H103" s="64">
        <v>40.06</v>
      </c>
      <c r="I103" s="64">
        <v>9.64</v>
      </c>
      <c r="J103" s="64">
        <v>1.19</v>
      </c>
      <c r="K103" s="64">
        <v>312.32</v>
      </c>
      <c r="L103" s="64">
        <v>12.56</v>
      </c>
      <c r="M103" s="64">
        <v>55.17</v>
      </c>
      <c r="N103" s="64">
        <v>84</v>
      </c>
      <c r="O103" s="64">
        <v>0</v>
      </c>
      <c r="P103" s="64">
        <v>2.1800000000000002</v>
      </c>
      <c r="Q103" s="64">
        <v>12.21</v>
      </c>
      <c r="R103" s="198"/>
      <c r="S103" s="198"/>
      <c r="T103" s="198"/>
      <c r="U103" s="198"/>
    </row>
    <row r="104" spans="1:33" s="12" customFormat="1" x14ac:dyDescent="0.25">
      <c r="A104" s="215" t="s">
        <v>1495</v>
      </c>
      <c r="B104" s="64">
        <v>87.51</v>
      </c>
      <c r="C104" s="64">
        <v>65.11</v>
      </c>
      <c r="D104" s="64">
        <v>102.82</v>
      </c>
      <c r="E104" s="64">
        <v>7.83</v>
      </c>
      <c r="F104" s="64">
        <v>4.6100000000000003</v>
      </c>
      <c r="G104" s="64">
        <v>159.01</v>
      </c>
      <c r="H104" s="64">
        <v>40.06</v>
      </c>
      <c r="I104" s="64">
        <v>9.56</v>
      </c>
      <c r="J104" s="64">
        <v>1.1499999999999999</v>
      </c>
      <c r="K104" s="64">
        <v>337.57</v>
      </c>
      <c r="L104" s="64">
        <v>12.44</v>
      </c>
      <c r="M104" s="64">
        <v>55.4</v>
      </c>
      <c r="N104" s="64">
        <v>83.7</v>
      </c>
      <c r="O104" s="64">
        <v>0</v>
      </c>
      <c r="P104" s="64">
        <v>2.17</v>
      </c>
      <c r="Q104" s="64">
        <v>12.12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1.46</v>
      </c>
      <c r="C106" s="67">
        <f>MIN(C9:C104)</f>
        <v>54.62</v>
      </c>
      <c r="D106" s="67">
        <f t="shared" ref="D106:Q106" si="0">MIN(D9:D104)</f>
        <v>30.53</v>
      </c>
      <c r="E106" s="67">
        <f t="shared" si="0"/>
        <v>6</v>
      </c>
      <c r="F106" s="67">
        <f t="shared" si="0"/>
        <v>3.34</v>
      </c>
      <c r="G106" s="67">
        <f t="shared" si="0"/>
        <v>0</v>
      </c>
      <c r="H106" s="67">
        <f t="shared" si="0"/>
        <v>0.12</v>
      </c>
      <c r="I106" s="67">
        <f t="shared" si="0"/>
        <v>3.79</v>
      </c>
      <c r="J106" s="67">
        <f t="shared" si="0"/>
        <v>0.51</v>
      </c>
      <c r="K106" s="67">
        <f t="shared" si="0"/>
        <v>0</v>
      </c>
      <c r="L106" s="67">
        <f t="shared" si="0"/>
        <v>9.6300000000000008</v>
      </c>
      <c r="M106" s="67">
        <f t="shared" si="0"/>
        <v>24.61</v>
      </c>
      <c r="N106" s="67">
        <f t="shared" si="0"/>
        <v>82.6</v>
      </c>
      <c r="O106" s="67">
        <f t="shared" si="0"/>
        <v>0</v>
      </c>
      <c r="P106" s="67">
        <f t="shared" si="0"/>
        <v>0.63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143.94</v>
      </c>
      <c r="C107" s="66">
        <f t="shared" ref="C107:Q107" si="1">MAX(C9:C104)</f>
        <v>76.69</v>
      </c>
      <c r="D107" s="66">
        <f t="shared" si="1"/>
        <v>152.9</v>
      </c>
      <c r="E107" s="66">
        <f t="shared" si="1"/>
        <v>14.96</v>
      </c>
      <c r="F107" s="66">
        <f t="shared" si="1"/>
        <v>21.21</v>
      </c>
      <c r="G107" s="66">
        <f t="shared" si="1"/>
        <v>225.11</v>
      </c>
      <c r="H107" s="66">
        <f t="shared" si="1"/>
        <v>200.93</v>
      </c>
      <c r="I107" s="66">
        <f t="shared" si="1"/>
        <v>11.41</v>
      </c>
      <c r="J107" s="66">
        <f t="shared" si="1"/>
        <v>3.17</v>
      </c>
      <c r="K107" s="66">
        <f t="shared" si="1"/>
        <v>358.78</v>
      </c>
      <c r="L107" s="66">
        <f t="shared" si="1"/>
        <v>25.42</v>
      </c>
      <c r="M107" s="66">
        <f t="shared" si="1"/>
        <v>89.09</v>
      </c>
      <c r="N107" s="66">
        <f t="shared" si="1"/>
        <v>894.6</v>
      </c>
      <c r="O107" s="66">
        <f t="shared" si="1"/>
        <v>0</v>
      </c>
      <c r="P107" s="66">
        <f t="shared" si="1"/>
        <v>2.76</v>
      </c>
      <c r="Q107" s="66">
        <f t="shared" si="1"/>
        <v>12.29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46.597812500000003</v>
      </c>
      <c r="C108" s="67">
        <f t="shared" ref="C108:Q108" si="2">AVERAGE(C9:C104)</f>
        <v>65.192812499999988</v>
      </c>
      <c r="D108" s="67">
        <f t="shared" si="2"/>
        <v>70.052395833333321</v>
      </c>
      <c r="E108" s="67">
        <f t="shared" si="2"/>
        <v>8.5634375000000009</v>
      </c>
      <c r="F108" s="67">
        <f t="shared" si="2"/>
        <v>5.5211458333333319</v>
      </c>
      <c r="G108" s="67">
        <f t="shared" si="2"/>
        <v>133.58945652173904</v>
      </c>
      <c r="H108" s="67">
        <f t="shared" si="2"/>
        <v>45.194871794871766</v>
      </c>
      <c r="I108" s="67">
        <f t="shared" si="2"/>
        <v>7.4453124999999973</v>
      </c>
      <c r="J108" s="67">
        <f t="shared" si="2"/>
        <v>1.7146874999999995</v>
      </c>
      <c r="K108" s="67">
        <f t="shared" si="2"/>
        <v>240.78041666666653</v>
      </c>
      <c r="L108" s="67">
        <f t="shared" si="2"/>
        <v>15.897187500000001</v>
      </c>
      <c r="M108" s="67">
        <f t="shared" si="2"/>
        <v>54.218437499999986</v>
      </c>
      <c r="N108" s="67">
        <f t="shared" si="2"/>
        <v>252.8822916666667</v>
      </c>
      <c r="O108" s="67">
        <f t="shared" si="2"/>
        <v>0</v>
      </c>
      <c r="P108" s="67">
        <f t="shared" si="2"/>
        <v>1.4580208333333331</v>
      </c>
      <c r="Q108" s="67">
        <f t="shared" si="2"/>
        <v>9.8400000000000034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42.427099090908122</v>
      </c>
      <c r="C109" s="67">
        <f t="shared" ref="C109:Q109" si="3">STDEV(C9:C104)</f>
        <v>6.6533720304069055</v>
      </c>
      <c r="D109" s="67">
        <f t="shared" si="3"/>
        <v>35.498606132599875</v>
      </c>
      <c r="E109" s="67">
        <f t="shared" si="3"/>
        <v>1.9668814900884555</v>
      </c>
      <c r="F109" s="67">
        <f t="shared" si="3"/>
        <v>3.0339933281651916</v>
      </c>
      <c r="G109" s="67">
        <f t="shared" si="3"/>
        <v>53.650909814067653</v>
      </c>
      <c r="H109" s="67">
        <f t="shared" si="3"/>
        <v>37.188478097794004</v>
      </c>
      <c r="I109" s="67">
        <f t="shared" si="3"/>
        <v>2.2887436006981834</v>
      </c>
      <c r="J109" s="67">
        <f t="shared" si="3"/>
        <v>0.66745069303401172</v>
      </c>
      <c r="K109" s="67">
        <f t="shared" si="3"/>
        <v>133.27986395011607</v>
      </c>
      <c r="L109" s="67">
        <f t="shared" si="3"/>
        <v>4.9796972436241385</v>
      </c>
      <c r="M109" s="67">
        <f t="shared" si="3"/>
        <v>21.110310293569615</v>
      </c>
      <c r="N109" s="67">
        <f t="shared" si="3"/>
        <v>255.09146388358803</v>
      </c>
      <c r="O109" s="67">
        <f t="shared" si="3"/>
        <v>0</v>
      </c>
      <c r="P109" s="67">
        <f t="shared" si="3"/>
        <v>0.6398546213035502</v>
      </c>
      <c r="Q109" s="67">
        <f t="shared" si="3"/>
        <v>1.6671349517565326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COUNT(G9:G104)+4</f>
        <v>96</v>
      </c>
      <c r="H110" s="66">
        <f>COUNT(H9:H104)+18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216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0" sqref="G12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247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14/12/2024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231</v>
      </c>
      <c r="C7" s="198" t="s">
        <v>232</v>
      </c>
      <c r="D7" s="198" t="s">
        <v>233</v>
      </c>
      <c r="E7" s="198" t="s">
        <v>234</v>
      </c>
      <c r="F7" s="198" t="s">
        <v>235</v>
      </c>
      <c r="G7" s="198" t="s">
        <v>236</v>
      </c>
      <c r="H7" s="198" t="s">
        <v>237</v>
      </c>
      <c r="I7" s="198" t="s">
        <v>238</v>
      </c>
      <c r="J7" s="198" t="s">
        <v>239</v>
      </c>
      <c r="K7" s="198" t="s">
        <v>240</v>
      </c>
      <c r="L7" s="198" t="s">
        <v>241</v>
      </c>
      <c r="M7" s="198" t="s">
        <v>242</v>
      </c>
      <c r="N7" s="198" t="s">
        <v>243</v>
      </c>
      <c r="O7" s="198" t="s">
        <v>244</v>
      </c>
      <c r="P7" s="198" t="s">
        <v>245</v>
      </c>
      <c r="Q7" s="198" t="s">
        <v>246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1496</v>
      </c>
      <c r="B9" s="64">
        <v>82.74</v>
      </c>
      <c r="C9" s="64">
        <v>63.55</v>
      </c>
      <c r="D9" s="64">
        <v>98.18</v>
      </c>
      <c r="E9" s="64">
        <v>8.4700000000000006</v>
      </c>
      <c r="F9" s="64">
        <v>4.4800000000000004</v>
      </c>
      <c r="G9" s="64">
        <v>148.88</v>
      </c>
      <c r="H9" s="64">
        <v>31.69</v>
      </c>
      <c r="I9" s="64">
        <v>9.23</v>
      </c>
      <c r="J9" s="64">
        <v>0.49</v>
      </c>
      <c r="K9" s="64">
        <v>299.01</v>
      </c>
      <c r="L9" s="64">
        <v>12.47</v>
      </c>
      <c r="M9" s="64">
        <v>53.48</v>
      </c>
      <c r="N9" s="64">
        <v>84</v>
      </c>
      <c r="O9" s="64">
        <v>0</v>
      </c>
      <c r="P9" s="64">
        <v>2.11</v>
      </c>
      <c r="Q9" s="64">
        <v>12.04</v>
      </c>
      <c r="R9" s="198"/>
      <c r="S9" s="198"/>
      <c r="T9" s="198"/>
      <c r="U9" s="198"/>
    </row>
    <row r="10" spans="1:21" s="12" customFormat="1" x14ac:dyDescent="0.25">
      <c r="A10" s="215" t="s">
        <v>1497</v>
      </c>
      <c r="B10" s="64">
        <v>77.63</v>
      </c>
      <c r="C10" s="64">
        <v>62.98</v>
      </c>
      <c r="D10" s="64">
        <v>93.78</v>
      </c>
      <c r="E10" s="64">
        <v>8.0500000000000007</v>
      </c>
      <c r="F10" s="64">
        <v>4.54</v>
      </c>
      <c r="G10" s="64">
        <v>131.38999999999999</v>
      </c>
      <c r="H10" s="64">
        <v>3.21</v>
      </c>
      <c r="I10" s="64">
        <v>9.5299999999999994</v>
      </c>
      <c r="J10" s="64">
        <v>2.09</v>
      </c>
      <c r="K10" s="64">
        <v>343.68</v>
      </c>
      <c r="L10" s="64">
        <v>12.53</v>
      </c>
      <c r="M10" s="64">
        <v>51.36</v>
      </c>
      <c r="N10" s="64">
        <v>84.3</v>
      </c>
      <c r="O10" s="64">
        <v>0</v>
      </c>
      <c r="P10" s="64">
        <v>2.0099999999999998</v>
      </c>
      <c r="Q10" s="64">
        <v>11.98</v>
      </c>
      <c r="R10" s="198"/>
      <c r="S10" s="198"/>
      <c r="T10" s="198"/>
      <c r="U10" s="198"/>
    </row>
    <row r="11" spans="1:21" s="12" customFormat="1" x14ac:dyDescent="0.25">
      <c r="A11" s="215" t="s">
        <v>1498</v>
      </c>
      <c r="B11" s="64">
        <v>72.03</v>
      </c>
      <c r="C11" s="64">
        <v>62.4</v>
      </c>
      <c r="D11" s="64">
        <v>88.98</v>
      </c>
      <c r="E11" s="64">
        <v>7.84</v>
      </c>
      <c r="F11" s="64">
        <v>4.38</v>
      </c>
      <c r="G11" s="64">
        <v>131.38999999999999</v>
      </c>
      <c r="H11" s="64">
        <v>3.21</v>
      </c>
      <c r="I11" s="64">
        <v>9.4</v>
      </c>
      <c r="J11" s="64">
        <v>1.28</v>
      </c>
      <c r="K11" s="64">
        <v>337.13</v>
      </c>
      <c r="L11" s="64">
        <v>12.55</v>
      </c>
      <c r="M11" s="64">
        <v>48.44</v>
      </c>
      <c r="N11" s="64">
        <v>84.5</v>
      </c>
      <c r="O11" s="64">
        <v>0</v>
      </c>
      <c r="P11" s="64">
        <v>1.94</v>
      </c>
      <c r="Q11" s="64">
        <v>11.89</v>
      </c>
      <c r="R11" s="198"/>
      <c r="S11" s="198"/>
      <c r="T11" s="198"/>
      <c r="U11" s="198"/>
    </row>
    <row r="12" spans="1:21" s="12" customFormat="1" x14ac:dyDescent="0.25">
      <c r="A12" s="215" t="s">
        <v>1499</v>
      </c>
      <c r="B12" s="64">
        <v>66.52</v>
      </c>
      <c r="C12" s="64">
        <v>61.52</v>
      </c>
      <c r="D12" s="64">
        <v>84.11</v>
      </c>
      <c r="E12" s="64">
        <v>7.39</v>
      </c>
      <c r="F12" s="64">
        <v>4.12</v>
      </c>
      <c r="G12" s="64">
        <v>131.38999999999999</v>
      </c>
      <c r="H12" s="64">
        <v>3.21</v>
      </c>
      <c r="I12" s="64">
        <v>8.9499999999999993</v>
      </c>
      <c r="J12" s="64">
        <v>0.48</v>
      </c>
      <c r="K12" s="64">
        <v>345.81</v>
      </c>
      <c r="L12" s="64">
        <v>12.34</v>
      </c>
      <c r="M12" s="64">
        <v>47.96</v>
      </c>
      <c r="N12" s="64">
        <v>84.6</v>
      </c>
      <c r="O12" s="64">
        <v>0</v>
      </c>
      <c r="P12" s="64">
        <v>1.85</v>
      </c>
      <c r="Q12" s="64">
        <v>11.78</v>
      </c>
      <c r="R12" s="198"/>
      <c r="S12" s="198"/>
      <c r="T12" s="198"/>
      <c r="U12" s="198"/>
    </row>
    <row r="13" spans="1:21" s="12" customFormat="1" x14ac:dyDescent="0.25">
      <c r="A13" s="215" t="s">
        <v>1500</v>
      </c>
      <c r="B13" s="64">
        <v>61.59</v>
      </c>
      <c r="C13" s="64">
        <v>60.87</v>
      </c>
      <c r="D13" s="64">
        <v>79.819999999999993</v>
      </c>
      <c r="E13" s="64">
        <v>7.42</v>
      </c>
      <c r="F13" s="64">
        <v>3.92</v>
      </c>
      <c r="G13" s="64">
        <v>118.01</v>
      </c>
      <c r="H13" s="213" t="s">
        <v>42</v>
      </c>
      <c r="I13" s="64">
        <v>8.74</v>
      </c>
      <c r="J13" s="64">
        <v>0.49</v>
      </c>
      <c r="K13" s="64">
        <v>39.06</v>
      </c>
      <c r="L13" s="64">
        <v>11.97</v>
      </c>
      <c r="M13" s="64">
        <v>48.35</v>
      </c>
      <c r="N13" s="64">
        <v>84.7</v>
      </c>
      <c r="O13" s="64">
        <v>0</v>
      </c>
      <c r="P13" s="64">
        <v>1.59</v>
      </c>
      <c r="Q13" s="64">
        <v>11.7</v>
      </c>
      <c r="R13" s="198"/>
      <c r="S13" s="198"/>
      <c r="T13" s="198"/>
      <c r="U13" s="198"/>
    </row>
    <row r="14" spans="1:21" s="12" customFormat="1" x14ac:dyDescent="0.25">
      <c r="A14" s="215" t="s">
        <v>1501</v>
      </c>
      <c r="B14" s="64">
        <v>56.8</v>
      </c>
      <c r="C14" s="64">
        <v>60.11</v>
      </c>
      <c r="D14" s="64">
        <v>75.58</v>
      </c>
      <c r="E14" s="64">
        <v>7.01</v>
      </c>
      <c r="F14" s="64">
        <v>4.01</v>
      </c>
      <c r="G14" s="64">
        <v>94.89</v>
      </c>
      <c r="H14" s="213" t="s">
        <v>42</v>
      </c>
      <c r="I14" s="64">
        <v>8.4700000000000006</v>
      </c>
      <c r="J14" s="64">
        <v>2.77</v>
      </c>
      <c r="K14" s="64">
        <v>345.96</v>
      </c>
      <c r="L14" s="64">
        <v>11.95</v>
      </c>
      <c r="M14" s="64">
        <v>47.21</v>
      </c>
      <c r="N14" s="64">
        <v>84.2</v>
      </c>
      <c r="O14" s="64">
        <v>0</v>
      </c>
      <c r="P14" s="64">
        <v>1.59</v>
      </c>
      <c r="Q14" s="64">
        <v>11.63</v>
      </c>
      <c r="R14" s="198"/>
      <c r="S14" s="198"/>
      <c r="T14" s="198"/>
      <c r="U14" s="198"/>
    </row>
    <row r="15" spans="1:21" s="12" customFormat="1" x14ac:dyDescent="0.25">
      <c r="A15" s="215" t="s">
        <v>1502</v>
      </c>
      <c r="B15" s="64">
        <v>51.49</v>
      </c>
      <c r="C15" s="64">
        <v>59.4</v>
      </c>
      <c r="D15" s="64">
        <v>70.95</v>
      </c>
      <c r="E15" s="64">
        <v>6.95</v>
      </c>
      <c r="F15" s="64">
        <v>3.88</v>
      </c>
      <c r="G15" s="64">
        <v>94.89</v>
      </c>
      <c r="H15" s="213" t="s">
        <v>42</v>
      </c>
      <c r="I15" s="64">
        <v>8.17</v>
      </c>
      <c r="J15" s="64">
        <v>2.87</v>
      </c>
      <c r="K15" s="64">
        <v>347.38</v>
      </c>
      <c r="L15" s="64">
        <v>11.98</v>
      </c>
      <c r="M15" s="64">
        <v>47.17</v>
      </c>
      <c r="N15" s="64">
        <v>85.1</v>
      </c>
      <c r="O15" s="64">
        <v>0</v>
      </c>
      <c r="P15" s="64">
        <v>1.5</v>
      </c>
      <c r="Q15" s="64">
        <v>11.54</v>
      </c>
      <c r="R15" s="198"/>
      <c r="S15" s="198"/>
      <c r="T15" s="198"/>
      <c r="U15" s="198"/>
    </row>
    <row r="16" spans="1:21" s="12" customFormat="1" x14ac:dyDescent="0.25">
      <c r="A16" s="215" t="s">
        <v>1503</v>
      </c>
      <c r="B16" s="64">
        <v>46.25</v>
      </c>
      <c r="C16" s="64">
        <v>59.13</v>
      </c>
      <c r="D16" s="64">
        <v>66.599999999999994</v>
      </c>
      <c r="E16" s="64">
        <v>6.47</v>
      </c>
      <c r="F16" s="64">
        <v>3.62</v>
      </c>
      <c r="G16" s="64">
        <v>94.89</v>
      </c>
      <c r="H16" s="213" t="s">
        <v>42</v>
      </c>
      <c r="I16" s="64">
        <v>7.85</v>
      </c>
      <c r="J16" s="64">
        <v>2.48</v>
      </c>
      <c r="K16" s="64">
        <v>356.37</v>
      </c>
      <c r="L16" s="64">
        <v>11.6</v>
      </c>
      <c r="M16" s="64">
        <v>51.03</v>
      </c>
      <c r="N16" s="64">
        <v>85.8</v>
      </c>
      <c r="O16" s="64">
        <v>0</v>
      </c>
      <c r="P16" s="64">
        <v>1.42</v>
      </c>
      <c r="Q16" s="64">
        <v>11.49</v>
      </c>
      <c r="R16" s="198"/>
      <c r="S16" s="198"/>
      <c r="T16" s="198"/>
      <c r="U16" s="198"/>
    </row>
    <row r="17" spans="1:21" s="12" customFormat="1" x14ac:dyDescent="0.25">
      <c r="A17" s="215" t="s">
        <v>1504</v>
      </c>
      <c r="B17" s="64">
        <v>42.13</v>
      </c>
      <c r="C17" s="64">
        <v>58.45</v>
      </c>
      <c r="D17" s="64">
        <v>62.95</v>
      </c>
      <c r="E17" s="64">
        <v>6.73</v>
      </c>
      <c r="F17" s="64">
        <v>3.64</v>
      </c>
      <c r="G17" s="64">
        <v>94.19</v>
      </c>
      <c r="H17" s="213" t="s">
        <v>42</v>
      </c>
      <c r="I17" s="64">
        <v>7.51</v>
      </c>
      <c r="J17" s="64">
        <v>1.9</v>
      </c>
      <c r="K17" s="64">
        <v>357.98</v>
      </c>
      <c r="L17" s="64">
        <v>11.06</v>
      </c>
      <c r="M17" s="64">
        <v>54.64</v>
      </c>
      <c r="N17" s="64">
        <v>86</v>
      </c>
      <c r="O17" s="64">
        <v>0</v>
      </c>
      <c r="P17" s="64">
        <v>1.35</v>
      </c>
      <c r="Q17" s="64">
        <v>11.44</v>
      </c>
      <c r="R17" s="198"/>
      <c r="S17" s="198"/>
      <c r="T17" s="198"/>
      <c r="U17" s="198"/>
    </row>
    <row r="18" spans="1:21" s="12" customFormat="1" x14ac:dyDescent="0.25">
      <c r="A18" s="215" t="s">
        <v>1505</v>
      </c>
      <c r="B18" s="64">
        <v>39.090000000000003</v>
      </c>
      <c r="C18" s="64">
        <v>57.64</v>
      </c>
      <c r="D18" s="64">
        <v>60.09</v>
      </c>
      <c r="E18" s="64">
        <v>6.32</v>
      </c>
      <c r="F18" s="64">
        <v>3.57</v>
      </c>
      <c r="G18" s="64">
        <v>92.96</v>
      </c>
      <c r="H18" s="213" t="s">
        <v>42</v>
      </c>
      <c r="I18" s="64">
        <v>7.23</v>
      </c>
      <c r="J18" s="64">
        <v>2.1800000000000002</v>
      </c>
      <c r="K18" s="64">
        <v>346.35</v>
      </c>
      <c r="L18" s="64">
        <v>10.88</v>
      </c>
      <c r="M18" s="64">
        <v>54.88</v>
      </c>
      <c r="N18" s="64">
        <v>85.8</v>
      </c>
      <c r="O18" s="64">
        <v>0</v>
      </c>
      <c r="P18" s="64">
        <v>1.32</v>
      </c>
      <c r="Q18" s="64">
        <v>11.35</v>
      </c>
      <c r="R18" s="198"/>
      <c r="S18" s="198"/>
      <c r="T18" s="198"/>
      <c r="U18" s="198"/>
    </row>
    <row r="19" spans="1:21" s="12" customFormat="1" x14ac:dyDescent="0.25">
      <c r="A19" s="215" t="s">
        <v>1506</v>
      </c>
      <c r="B19" s="64">
        <v>36.76</v>
      </c>
      <c r="C19" s="64">
        <v>57.42</v>
      </c>
      <c r="D19" s="64">
        <v>58.1</v>
      </c>
      <c r="E19" s="64">
        <v>6.57</v>
      </c>
      <c r="F19" s="64">
        <v>4.8600000000000003</v>
      </c>
      <c r="G19" s="64">
        <v>92.96</v>
      </c>
      <c r="H19" s="213" t="s">
        <v>42</v>
      </c>
      <c r="I19" s="64">
        <v>7.01</v>
      </c>
      <c r="J19" s="64">
        <v>1.51</v>
      </c>
      <c r="K19" s="64">
        <v>6.31</v>
      </c>
      <c r="L19" s="64">
        <v>10.64</v>
      </c>
      <c r="M19" s="64">
        <v>55.79</v>
      </c>
      <c r="N19" s="64">
        <v>86.1</v>
      </c>
      <c r="O19" s="64">
        <v>0</v>
      </c>
      <c r="P19" s="64">
        <v>1.28</v>
      </c>
      <c r="Q19" s="64">
        <v>11.27</v>
      </c>
      <c r="R19" s="198"/>
      <c r="S19" s="198"/>
      <c r="T19" s="198"/>
      <c r="U19" s="198"/>
    </row>
    <row r="20" spans="1:21" s="12" customFormat="1" x14ac:dyDescent="0.25">
      <c r="A20" s="215" t="s">
        <v>1507</v>
      </c>
      <c r="B20" s="64">
        <v>34.78</v>
      </c>
      <c r="C20" s="64">
        <v>56.85</v>
      </c>
      <c r="D20" s="64">
        <v>56.22</v>
      </c>
      <c r="E20" s="64">
        <v>6.53</v>
      </c>
      <c r="F20" s="64">
        <v>4.2300000000000004</v>
      </c>
      <c r="G20" s="64">
        <v>92.96</v>
      </c>
      <c r="H20" s="213" t="s">
        <v>42</v>
      </c>
      <c r="I20" s="64">
        <v>6.9</v>
      </c>
      <c r="J20" s="64">
        <v>1.95</v>
      </c>
      <c r="K20" s="64">
        <v>352.49</v>
      </c>
      <c r="L20" s="64">
        <v>10.51</v>
      </c>
      <c r="M20" s="64">
        <v>54.74</v>
      </c>
      <c r="N20" s="64">
        <v>85.7</v>
      </c>
      <c r="O20" s="64">
        <v>0</v>
      </c>
      <c r="P20" s="64">
        <v>1.26</v>
      </c>
      <c r="Q20" s="64">
        <v>11.18</v>
      </c>
      <c r="R20" s="198"/>
      <c r="S20" s="198"/>
      <c r="T20" s="198"/>
      <c r="U20" s="198"/>
    </row>
    <row r="21" spans="1:21" s="12" customFormat="1" x14ac:dyDescent="0.25">
      <c r="A21" s="215" t="s">
        <v>1508</v>
      </c>
      <c r="B21" s="64">
        <v>32.630000000000003</v>
      </c>
      <c r="C21" s="64">
        <v>56.2</v>
      </c>
      <c r="D21" s="64">
        <v>54.15</v>
      </c>
      <c r="E21" s="64">
        <v>6.74</v>
      </c>
      <c r="F21" s="64">
        <v>3.99</v>
      </c>
      <c r="G21" s="64">
        <v>94.8</v>
      </c>
      <c r="H21" s="213" t="s">
        <v>42</v>
      </c>
      <c r="I21" s="64">
        <v>6.72</v>
      </c>
      <c r="J21" s="64">
        <v>2.04</v>
      </c>
      <c r="K21" s="64">
        <v>344.72</v>
      </c>
      <c r="L21" s="64">
        <v>10.47</v>
      </c>
      <c r="M21" s="64">
        <v>53.28</v>
      </c>
      <c r="N21" s="64">
        <v>85.5</v>
      </c>
      <c r="O21" s="64">
        <v>0</v>
      </c>
      <c r="P21" s="64">
        <v>1.23</v>
      </c>
      <c r="Q21" s="64">
        <v>11.07</v>
      </c>
      <c r="R21" s="198"/>
      <c r="S21" s="198"/>
      <c r="T21" s="198"/>
      <c r="U21" s="198"/>
    </row>
    <row r="22" spans="1:21" s="12" customFormat="1" x14ac:dyDescent="0.25">
      <c r="A22" s="215" t="s">
        <v>1509</v>
      </c>
      <c r="B22" s="64">
        <v>30.45</v>
      </c>
      <c r="C22" s="64">
        <v>55.38</v>
      </c>
      <c r="D22" s="64">
        <v>51.97</v>
      </c>
      <c r="E22" s="64">
        <v>6.74</v>
      </c>
      <c r="F22" s="64">
        <v>3.85</v>
      </c>
      <c r="G22" s="64">
        <v>97.96</v>
      </c>
      <c r="H22" s="213" t="s">
        <v>42</v>
      </c>
      <c r="I22" s="64">
        <v>6.58</v>
      </c>
      <c r="J22" s="64">
        <v>2.5</v>
      </c>
      <c r="K22" s="64">
        <v>346.49</v>
      </c>
      <c r="L22" s="64">
        <v>10.49</v>
      </c>
      <c r="M22" s="64">
        <v>49.48</v>
      </c>
      <c r="N22" s="64">
        <v>85.8</v>
      </c>
      <c r="O22" s="64">
        <v>0</v>
      </c>
      <c r="P22" s="64">
        <v>1.2</v>
      </c>
      <c r="Q22" s="64">
        <v>10.95</v>
      </c>
      <c r="R22" s="198"/>
      <c r="S22" s="198"/>
      <c r="T22" s="198"/>
      <c r="U22" s="198"/>
    </row>
    <row r="23" spans="1:21" s="12" customFormat="1" x14ac:dyDescent="0.25">
      <c r="A23" s="215" t="s">
        <v>1510</v>
      </c>
      <c r="B23" s="64">
        <v>27.66</v>
      </c>
      <c r="C23" s="64">
        <v>54.79</v>
      </c>
      <c r="D23" s="64">
        <v>49.43</v>
      </c>
      <c r="E23" s="64">
        <v>6.65</v>
      </c>
      <c r="F23" s="64">
        <v>3.64</v>
      </c>
      <c r="G23" s="64">
        <v>97.96</v>
      </c>
      <c r="H23" s="213" t="s">
        <v>42</v>
      </c>
      <c r="I23" s="64">
        <v>6.31</v>
      </c>
      <c r="J23" s="64">
        <v>2.76</v>
      </c>
      <c r="K23" s="64">
        <v>348.33</v>
      </c>
      <c r="L23" s="64">
        <v>10.56</v>
      </c>
      <c r="M23" s="64">
        <v>48.11</v>
      </c>
      <c r="N23" s="64">
        <v>86.1</v>
      </c>
      <c r="O23" s="64">
        <v>0</v>
      </c>
      <c r="P23" s="64">
        <v>1.1399999999999999</v>
      </c>
      <c r="Q23" s="64">
        <v>10.81</v>
      </c>
      <c r="R23" s="198"/>
      <c r="S23" s="198"/>
      <c r="T23" s="198"/>
      <c r="U23" s="198"/>
    </row>
    <row r="24" spans="1:21" s="12" customFormat="1" x14ac:dyDescent="0.25">
      <c r="A24" s="215" t="s">
        <v>1511</v>
      </c>
      <c r="B24" s="64">
        <v>24.82</v>
      </c>
      <c r="C24" s="64">
        <v>54.37</v>
      </c>
      <c r="D24" s="64">
        <v>46.94</v>
      </c>
      <c r="E24" s="64">
        <v>5.93</v>
      </c>
      <c r="F24" s="64">
        <v>3.89</v>
      </c>
      <c r="G24" s="64">
        <v>97.96</v>
      </c>
      <c r="H24" s="213" t="s">
        <v>42</v>
      </c>
      <c r="I24" s="64">
        <v>6.23</v>
      </c>
      <c r="J24" s="64">
        <v>2.08</v>
      </c>
      <c r="K24" s="64">
        <v>348.21</v>
      </c>
      <c r="L24" s="64">
        <v>10.48</v>
      </c>
      <c r="M24" s="64">
        <v>47.58</v>
      </c>
      <c r="N24" s="64">
        <v>86.8</v>
      </c>
      <c r="O24" s="64">
        <v>0</v>
      </c>
      <c r="P24" s="64">
        <v>1.08</v>
      </c>
      <c r="Q24" s="64">
        <v>10.66</v>
      </c>
      <c r="R24" s="198"/>
      <c r="S24" s="198"/>
      <c r="T24" s="198"/>
      <c r="U24" s="198"/>
    </row>
    <row r="25" spans="1:21" s="12" customFormat="1" x14ac:dyDescent="0.25">
      <c r="A25" s="215" t="s">
        <v>1512</v>
      </c>
      <c r="B25" s="64">
        <v>22.4</v>
      </c>
      <c r="C25" s="64">
        <v>53.66</v>
      </c>
      <c r="D25" s="64">
        <v>44.62</v>
      </c>
      <c r="E25" s="64">
        <v>6.5</v>
      </c>
      <c r="F25" s="64">
        <v>4.45</v>
      </c>
      <c r="G25" s="64">
        <v>89.92</v>
      </c>
      <c r="H25" s="213" t="s">
        <v>42</v>
      </c>
      <c r="I25" s="64">
        <v>6.05</v>
      </c>
      <c r="J25" s="64">
        <v>2.58</v>
      </c>
      <c r="K25" s="64">
        <v>344.86</v>
      </c>
      <c r="L25" s="64">
        <v>10.47</v>
      </c>
      <c r="M25" s="64">
        <v>46.03</v>
      </c>
      <c r="N25" s="64">
        <v>86.5</v>
      </c>
      <c r="O25" s="64">
        <v>0</v>
      </c>
      <c r="P25" s="64">
        <v>1.05</v>
      </c>
      <c r="Q25" s="64">
        <v>10.54</v>
      </c>
      <c r="R25" s="198"/>
      <c r="S25" s="198"/>
      <c r="T25" s="198"/>
      <c r="U25" s="198"/>
    </row>
    <row r="26" spans="1:21" s="12" customFormat="1" x14ac:dyDescent="0.25">
      <c r="A26" s="215" t="s">
        <v>1513</v>
      </c>
      <c r="B26" s="64">
        <v>19.98</v>
      </c>
      <c r="C26" s="64">
        <v>53.01</v>
      </c>
      <c r="D26" s="64">
        <v>42.34</v>
      </c>
      <c r="E26" s="64">
        <v>6.09</v>
      </c>
      <c r="F26" s="64">
        <v>4.2</v>
      </c>
      <c r="G26" s="64">
        <v>76.03</v>
      </c>
      <c r="H26" s="213" t="s">
        <v>42</v>
      </c>
      <c r="I26" s="64">
        <v>5.76</v>
      </c>
      <c r="J26" s="64">
        <v>1.94</v>
      </c>
      <c r="K26" s="64">
        <v>338.2</v>
      </c>
      <c r="L26" s="64">
        <v>10.34</v>
      </c>
      <c r="M26" s="64">
        <v>46.48</v>
      </c>
      <c r="N26" s="64">
        <v>86.3</v>
      </c>
      <c r="O26" s="64">
        <v>0</v>
      </c>
      <c r="P26" s="64">
        <v>1</v>
      </c>
      <c r="Q26" s="64">
        <v>10.39</v>
      </c>
      <c r="R26" s="198"/>
      <c r="S26" s="198"/>
      <c r="T26" s="198"/>
      <c r="U26" s="198"/>
    </row>
    <row r="27" spans="1:21" s="12" customFormat="1" x14ac:dyDescent="0.25">
      <c r="A27" s="215" t="s">
        <v>1514</v>
      </c>
      <c r="B27" s="64">
        <v>17.690000000000001</v>
      </c>
      <c r="C27" s="64">
        <v>52.96</v>
      </c>
      <c r="D27" s="64">
        <v>40.479999999999997</v>
      </c>
      <c r="E27" s="64">
        <v>6</v>
      </c>
      <c r="F27" s="64">
        <v>4.12</v>
      </c>
      <c r="G27" s="64">
        <v>76.03</v>
      </c>
      <c r="H27" s="213" t="s">
        <v>42</v>
      </c>
      <c r="I27" s="64">
        <v>5.63</v>
      </c>
      <c r="J27" s="64">
        <v>1.58</v>
      </c>
      <c r="K27" s="64">
        <v>351.95</v>
      </c>
      <c r="L27" s="64">
        <v>10.210000000000001</v>
      </c>
      <c r="M27" s="64">
        <v>46.34</v>
      </c>
      <c r="N27" s="64">
        <v>86.1</v>
      </c>
      <c r="O27" s="64">
        <v>0</v>
      </c>
      <c r="P27" s="64">
        <v>0.95</v>
      </c>
      <c r="Q27" s="64">
        <v>10.23</v>
      </c>
      <c r="R27" s="198"/>
      <c r="S27" s="198"/>
      <c r="T27" s="198"/>
      <c r="U27" s="198"/>
    </row>
    <row r="28" spans="1:21" s="12" customFormat="1" x14ac:dyDescent="0.25">
      <c r="A28" s="215" t="s">
        <v>1515</v>
      </c>
      <c r="B28" s="64">
        <v>15.66</v>
      </c>
      <c r="C28" s="64">
        <v>53.1</v>
      </c>
      <c r="D28" s="64">
        <v>38.92</v>
      </c>
      <c r="E28" s="64">
        <v>6.05</v>
      </c>
      <c r="F28" s="64">
        <v>3.9</v>
      </c>
      <c r="G28" s="64">
        <v>76.03</v>
      </c>
      <c r="H28" s="213" t="s">
        <v>42</v>
      </c>
      <c r="I28" s="64">
        <v>5.44</v>
      </c>
      <c r="J28" s="64">
        <v>2.4</v>
      </c>
      <c r="K28" s="64">
        <v>350.41</v>
      </c>
      <c r="L28" s="64">
        <v>10.33</v>
      </c>
      <c r="M28" s="64">
        <v>44.88</v>
      </c>
      <c r="N28" s="64">
        <v>86</v>
      </c>
      <c r="O28" s="64">
        <v>0</v>
      </c>
      <c r="P28" s="64">
        <v>0.91</v>
      </c>
      <c r="Q28" s="64">
        <v>10.11</v>
      </c>
      <c r="R28" s="198"/>
      <c r="S28" s="198"/>
      <c r="T28" s="198"/>
      <c r="U28" s="198"/>
    </row>
    <row r="29" spans="1:21" s="12" customFormat="1" x14ac:dyDescent="0.25">
      <c r="A29" s="215" t="s">
        <v>1516</v>
      </c>
      <c r="B29" s="64">
        <v>13.61</v>
      </c>
      <c r="C29" s="64">
        <v>53.15</v>
      </c>
      <c r="D29" s="64">
        <v>37.31</v>
      </c>
      <c r="E29" s="64">
        <v>5.86</v>
      </c>
      <c r="F29" s="64">
        <v>3.72</v>
      </c>
      <c r="G29" s="64">
        <v>70.17</v>
      </c>
      <c r="H29" s="213" t="s">
        <v>42</v>
      </c>
      <c r="I29" s="64">
        <v>5.2</v>
      </c>
      <c r="J29" s="64">
        <v>3.22</v>
      </c>
      <c r="K29" s="64">
        <v>349.02</v>
      </c>
      <c r="L29" s="64">
        <v>10.25</v>
      </c>
      <c r="M29" s="64">
        <v>45.51</v>
      </c>
      <c r="N29" s="64">
        <v>86.2</v>
      </c>
      <c r="O29" s="64">
        <v>0</v>
      </c>
      <c r="P29" s="64">
        <v>0.85</v>
      </c>
      <c r="Q29" s="64">
        <v>9.98</v>
      </c>
      <c r="R29" s="198"/>
      <c r="S29" s="198"/>
      <c r="T29" s="198"/>
      <c r="U29" s="198"/>
    </row>
    <row r="30" spans="1:21" s="12" customFormat="1" x14ac:dyDescent="0.25">
      <c r="A30" s="215" t="s">
        <v>1517</v>
      </c>
      <c r="B30" s="64">
        <v>11.72</v>
      </c>
      <c r="C30" s="64">
        <v>53.42</v>
      </c>
      <c r="D30" s="64">
        <v>35.93</v>
      </c>
      <c r="E30" s="64">
        <v>5.78</v>
      </c>
      <c r="F30" s="64">
        <v>3.96</v>
      </c>
      <c r="G30" s="64">
        <v>60.04</v>
      </c>
      <c r="H30" s="213" t="s">
        <v>42</v>
      </c>
      <c r="I30" s="64">
        <v>5</v>
      </c>
      <c r="J30" s="64">
        <v>2.86</v>
      </c>
      <c r="K30" s="64">
        <v>347.78</v>
      </c>
      <c r="L30" s="64">
        <v>10.050000000000001</v>
      </c>
      <c r="M30" s="64">
        <v>45.9</v>
      </c>
      <c r="N30" s="64">
        <v>86.6</v>
      </c>
      <c r="O30" s="64">
        <v>0</v>
      </c>
      <c r="P30" s="64">
        <v>0.8</v>
      </c>
      <c r="Q30" s="64">
        <v>9.8699999999999992</v>
      </c>
      <c r="R30" s="198"/>
      <c r="S30" s="198"/>
      <c r="T30" s="198"/>
      <c r="U30" s="198"/>
    </row>
    <row r="31" spans="1:21" s="12" customFormat="1" x14ac:dyDescent="0.25">
      <c r="A31" s="215" t="s">
        <v>1518</v>
      </c>
      <c r="B31" s="64">
        <v>10.039999999999999</v>
      </c>
      <c r="C31" s="64">
        <v>53.67</v>
      </c>
      <c r="D31" s="64">
        <v>34.72</v>
      </c>
      <c r="E31" s="64">
        <v>5.83</v>
      </c>
      <c r="F31" s="64">
        <v>4.2</v>
      </c>
      <c r="G31" s="64">
        <v>60.04</v>
      </c>
      <c r="H31" s="213" t="s">
        <v>42</v>
      </c>
      <c r="I31" s="64">
        <v>4.78</v>
      </c>
      <c r="J31" s="64">
        <v>2.77</v>
      </c>
      <c r="K31" s="64">
        <v>343.7</v>
      </c>
      <c r="L31" s="64">
        <v>10</v>
      </c>
      <c r="M31" s="64">
        <v>44.9</v>
      </c>
      <c r="N31" s="64">
        <v>86.7</v>
      </c>
      <c r="O31" s="64">
        <v>0</v>
      </c>
      <c r="P31" s="64">
        <v>0.76</v>
      </c>
      <c r="Q31" s="64">
        <v>9.7799999999999994</v>
      </c>
      <c r="R31" s="198"/>
      <c r="S31" s="198"/>
      <c r="T31" s="198"/>
      <c r="U31" s="198"/>
    </row>
    <row r="32" spans="1:21" s="12" customFormat="1" x14ac:dyDescent="0.25">
      <c r="A32" s="215" t="s">
        <v>1519</v>
      </c>
      <c r="B32" s="64">
        <v>8.74</v>
      </c>
      <c r="C32" s="64">
        <v>53.65</v>
      </c>
      <c r="D32" s="64">
        <v>33.67</v>
      </c>
      <c r="E32" s="64">
        <v>5.07</v>
      </c>
      <c r="F32" s="64">
        <v>3.91</v>
      </c>
      <c r="G32" s="64">
        <v>60.04</v>
      </c>
      <c r="H32" s="213" t="s">
        <v>42</v>
      </c>
      <c r="I32" s="64">
        <v>4.58</v>
      </c>
      <c r="J32" s="64">
        <v>2.4700000000000002</v>
      </c>
      <c r="K32" s="64">
        <v>343.34</v>
      </c>
      <c r="L32" s="64">
        <v>9.84</v>
      </c>
      <c r="M32" s="64">
        <v>45.92</v>
      </c>
      <c r="N32" s="64">
        <v>86.8</v>
      </c>
      <c r="O32" s="64">
        <v>0</v>
      </c>
      <c r="P32" s="64">
        <v>0.73</v>
      </c>
      <c r="Q32" s="64">
        <v>9.66</v>
      </c>
      <c r="R32" s="198"/>
      <c r="S32" s="198"/>
      <c r="T32" s="198"/>
      <c r="U32" s="198"/>
    </row>
    <row r="33" spans="1:21" s="12" customFormat="1" x14ac:dyDescent="0.25">
      <c r="A33" s="215" t="s">
        <v>1520</v>
      </c>
      <c r="B33" s="64">
        <v>7.96</v>
      </c>
      <c r="C33" s="64">
        <v>53.63</v>
      </c>
      <c r="D33" s="64">
        <v>33.03</v>
      </c>
      <c r="E33" s="64">
        <v>5.74</v>
      </c>
      <c r="F33" s="64">
        <v>3.43</v>
      </c>
      <c r="G33" s="64">
        <v>60.58</v>
      </c>
      <c r="H33" s="213" t="s">
        <v>42</v>
      </c>
      <c r="I33" s="64">
        <v>4.42</v>
      </c>
      <c r="J33" s="64">
        <v>3.06</v>
      </c>
      <c r="K33" s="64">
        <v>347.93</v>
      </c>
      <c r="L33" s="64">
        <v>9.59</v>
      </c>
      <c r="M33" s="64">
        <v>47.24</v>
      </c>
      <c r="N33" s="64">
        <v>85.8</v>
      </c>
      <c r="O33" s="64">
        <v>0</v>
      </c>
      <c r="P33" s="64">
        <v>0.7</v>
      </c>
      <c r="Q33" s="64">
        <v>9.5399999999999991</v>
      </c>
      <c r="R33" s="198"/>
      <c r="S33" s="198"/>
      <c r="T33" s="198"/>
      <c r="U33" s="198"/>
    </row>
    <row r="34" spans="1:21" s="12" customFormat="1" x14ac:dyDescent="0.25">
      <c r="A34" s="215" t="s">
        <v>1521</v>
      </c>
      <c r="B34" s="64">
        <v>7.49</v>
      </c>
      <c r="C34" s="64">
        <v>53.28</v>
      </c>
      <c r="D34" s="64">
        <v>32.47</v>
      </c>
      <c r="E34" s="64">
        <v>5.2</v>
      </c>
      <c r="F34" s="64">
        <v>4.0599999999999996</v>
      </c>
      <c r="G34" s="64">
        <v>61.52</v>
      </c>
      <c r="H34" s="213" t="s">
        <v>42</v>
      </c>
      <c r="I34" s="64">
        <v>4.3099999999999996</v>
      </c>
      <c r="J34" s="64">
        <v>2.42</v>
      </c>
      <c r="K34" s="64">
        <v>340.41</v>
      </c>
      <c r="L34" s="64">
        <v>9.43</v>
      </c>
      <c r="M34" s="64">
        <v>47.67</v>
      </c>
      <c r="N34" s="64">
        <v>87</v>
      </c>
      <c r="O34" s="64">
        <v>0</v>
      </c>
      <c r="P34" s="64">
        <v>0.65</v>
      </c>
      <c r="Q34" s="64">
        <v>9.4499999999999993</v>
      </c>
      <c r="R34" s="198"/>
      <c r="S34" s="198"/>
      <c r="T34" s="198"/>
      <c r="U34" s="198"/>
    </row>
    <row r="35" spans="1:21" s="12" customFormat="1" x14ac:dyDescent="0.25">
      <c r="A35" s="215" t="s">
        <v>1522</v>
      </c>
      <c r="B35" s="64">
        <v>7.32</v>
      </c>
      <c r="C35" s="64">
        <v>53.42</v>
      </c>
      <c r="D35" s="64">
        <v>32.4</v>
      </c>
      <c r="E35" s="64">
        <v>5.5</v>
      </c>
      <c r="F35" s="64">
        <v>3.95</v>
      </c>
      <c r="G35" s="64">
        <v>61.52</v>
      </c>
      <c r="H35" s="213" t="s">
        <v>42</v>
      </c>
      <c r="I35" s="64">
        <v>4.13</v>
      </c>
      <c r="J35" s="64">
        <v>1.81</v>
      </c>
      <c r="K35" s="64">
        <v>329.5</v>
      </c>
      <c r="L35" s="64">
        <v>9.34</v>
      </c>
      <c r="M35" s="64">
        <v>47.83</v>
      </c>
      <c r="N35" s="64">
        <v>91.9</v>
      </c>
      <c r="O35" s="64">
        <v>0</v>
      </c>
      <c r="P35" s="64">
        <v>0.64</v>
      </c>
      <c r="Q35" s="64">
        <v>9.4</v>
      </c>
      <c r="R35" s="198"/>
      <c r="S35" s="198"/>
      <c r="T35" s="198"/>
      <c r="U35" s="198"/>
    </row>
    <row r="36" spans="1:21" s="12" customFormat="1" x14ac:dyDescent="0.25">
      <c r="A36" s="215" t="s">
        <v>1523</v>
      </c>
      <c r="B36" s="64">
        <v>7.65</v>
      </c>
      <c r="C36" s="64">
        <v>53.6</v>
      </c>
      <c r="D36" s="64">
        <v>32.76</v>
      </c>
      <c r="E36" s="64">
        <v>5.47</v>
      </c>
      <c r="F36" s="64">
        <v>3.85</v>
      </c>
      <c r="G36" s="64">
        <v>61.52</v>
      </c>
      <c r="H36" s="213" t="s">
        <v>42</v>
      </c>
      <c r="I36" s="64">
        <v>4.08</v>
      </c>
      <c r="J36" s="64">
        <v>1.77</v>
      </c>
      <c r="K36" s="64">
        <v>345.09</v>
      </c>
      <c r="L36" s="64">
        <v>9.32</v>
      </c>
      <c r="M36" s="64">
        <v>49.18</v>
      </c>
      <c r="N36" s="64">
        <v>103.5</v>
      </c>
      <c r="O36" s="64">
        <v>0</v>
      </c>
      <c r="P36" s="64">
        <v>0.63</v>
      </c>
      <c r="Q36" s="64">
        <v>9.39</v>
      </c>
      <c r="R36" s="198"/>
      <c r="S36" s="198"/>
      <c r="T36" s="198"/>
      <c r="U36" s="198"/>
    </row>
    <row r="37" spans="1:21" s="12" customFormat="1" x14ac:dyDescent="0.25">
      <c r="A37" s="215" t="s">
        <v>1524</v>
      </c>
      <c r="B37" s="64">
        <v>8.43</v>
      </c>
      <c r="C37" s="64">
        <v>53.85</v>
      </c>
      <c r="D37" s="64">
        <v>33.51</v>
      </c>
      <c r="E37" s="64">
        <v>5.92</v>
      </c>
      <c r="F37" s="64">
        <v>3.89</v>
      </c>
      <c r="G37" s="64">
        <v>61.75</v>
      </c>
      <c r="H37" s="213" t="s">
        <v>42</v>
      </c>
      <c r="I37" s="64">
        <v>4.04</v>
      </c>
      <c r="J37" s="64">
        <v>2.27</v>
      </c>
      <c r="K37" s="64">
        <v>335.13</v>
      </c>
      <c r="L37" s="64">
        <v>9.61</v>
      </c>
      <c r="M37" s="64">
        <v>47.73</v>
      </c>
      <c r="N37" s="64">
        <v>117.7</v>
      </c>
      <c r="O37" s="64">
        <v>0</v>
      </c>
      <c r="P37" s="64">
        <v>0.72</v>
      </c>
      <c r="Q37" s="64">
        <v>9.36</v>
      </c>
      <c r="R37" s="198"/>
      <c r="S37" s="198"/>
      <c r="T37" s="198"/>
      <c r="U37" s="198"/>
    </row>
    <row r="38" spans="1:21" s="12" customFormat="1" x14ac:dyDescent="0.25">
      <c r="A38" s="215" t="s">
        <v>1525</v>
      </c>
      <c r="B38" s="64">
        <v>8.77</v>
      </c>
      <c r="C38" s="64">
        <v>53.76</v>
      </c>
      <c r="D38" s="64">
        <v>33.74</v>
      </c>
      <c r="E38" s="64">
        <v>6.02</v>
      </c>
      <c r="F38" s="64">
        <v>4.01</v>
      </c>
      <c r="G38" s="64">
        <v>62.17</v>
      </c>
      <c r="H38" s="213" t="s">
        <v>42</v>
      </c>
      <c r="I38" s="64">
        <v>3.97</v>
      </c>
      <c r="J38" s="64">
        <v>1.98</v>
      </c>
      <c r="K38" s="64">
        <v>343.72</v>
      </c>
      <c r="L38" s="64">
        <v>9.99</v>
      </c>
      <c r="M38" s="64">
        <v>46.86</v>
      </c>
      <c r="N38" s="64">
        <v>134.1</v>
      </c>
      <c r="O38" s="64">
        <v>0</v>
      </c>
      <c r="P38" s="64">
        <v>0.75</v>
      </c>
      <c r="Q38" s="64">
        <v>9.33</v>
      </c>
      <c r="R38" s="198"/>
      <c r="S38" s="198"/>
      <c r="T38" s="198"/>
      <c r="U38" s="198"/>
    </row>
    <row r="39" spans="1:21" s="12" customFormat="1" x14ac:dyDescent="0.25">
      <c r="A39" s="215" t="s">
        <v>1526</v>
      </c>
      <c r="B39" s="64">
        <v>9.49</v>
      </c>
      <c r="C39" s="64">
        <v>53.89</v>
      </c>
      <c r="D39" s="64">
        <v>34.39</v>
      </c>
      <c r="E39" s="64">
        <v>6.42</v>
      </c>
      <c r="F39" s="64">
        <v>4.0199999999999996</v>
      </c>
      <c r="G39" s="64">
        <v>62.17</v>
      </c>
      <c r="H39" s="213" t="s">
        <v>42</v>
      </c>
      <c r="I39" s="64">
        <v>3.97</v>
      </c>
      <c r="J39" s="64">
        <v>1.96</v>
      </c>
      <c r="K39" s="64">
        <v>343.13</v>
      </c>
      <c r="L39" s="64">
        <v>10.45</v>
      </c>
      <c r="M39" s="64">
        <v>45.91</v>
      </c>
      <c r="N39" s="64">
        <v>203.6</v>
      </c>
      <c r="O39" s="64">
        <v>0</v>
      </c>
      <c r="P39" s="64">
        <v>0.74</v>
      </c>
      <c r="Q39" s="64">
        <v>9.2899999999999991</v>
      </c>
      <c r="R39" s="198"/>
      <c r="S39" s="198"/>
      <c r="T39" s="198"/>
      <c r="U39" s="198"/>
    </row>
    <row r="40" spans="1:21" s="12" customFormat="1" x14ac:dyDescent="0.25">
      <c r="A40" s="215" t="s">
        <v>1527</v>
      </c>
      <c r="B40" s="64">
        <v>10.38</v>
      </c>
      <c r="C40" s="64">
        <v>54.31</v>
      </c>
      <c r="D40" s="64">
        <v>35.32</v>
      </c>
      <c r="E40" s="64">
        <v>6.72</v>
      </c>
      <c r="F40" s="64">
        <v>3.82</v>
      </c>
      <c r="G40" s="64">
        <v>62.17</v>
      </c>
      <c r="H40" s="213" t="s">
        <v>42</v>
      </c>
      <c r="I40" s="64">
        <v>3.93</v>
      </c>
      <c r="J40" s="64">
        <v>1.1299999999999999</v>
      </c>
      <c r="K40" s="64">
        <v>0.28000000000000003</v>
      </c>
      <c r="L40" s="64">
        <v>12.4</v>
      </c>
      <c r="M40" s="64">
        <v>41.09</v>
      </c>
      <c r="N40" s="64">
        <v>331.4</v>
      </c>
      <c r="O40" s="64">
        <v>0</v>
      </c>
      <c r="P40" s="64">
        <v>0.73</v>
      </c>
      <c r="Q40" s="64">
        <v>9.27</v>
      </c>
      <c r="R40" s="198"/>
      <c r="S40" s="198"/>
      <c r="T40" s="198"/>
      <c r="U40" s="198"/>
    </row>
    <row r="41" spans="1:21" s="12" customFormat="1" x14ac:dyDescent="0.25">
      <c r="A41" s="215" t="s">
        <v>1528</v>
      </c>
      <c r="B41" s="64">
        <v>10.74</v>
      </c>
      <c r="C41" s="64">
        <v>54.47</v>
      </c>
      <c r="D41" s="64">
        <v>35.700000000000003</v>
      </c>
      <c r="E41" s="64">
        <v>6.9</v>
      </c>
      <c r="F41" s="64">
        <v>3.71</v>
      </c>
      <c r="G41" s="64">
        <v>62.63</v>
      </c>
      <c r="H41" s="213" t="s">
        <v>42</v>
      </c>
      <c r="I41" s="64">
        <v>3.92</v>
      </c>
      <c r="J41" s="64">
        <v>1.85</v>
      </c>
      <c r="K41" s="64">
        <v>337.44</v>
      </c>
      <c r="L41" s="64">
        <v>14.08</v>
      </c>
      <c r="M41" s="64">
        <v>36.549999999999997</v>
      </c>
      <c r="N41" s="64">
        <v>388.8</v>
      </c>
      <c r="O41" s="64">
        <v>0</v>
      </c>
      <c r="P41" s="64">
        <v>0.71</v>
      </c>
      <c r="Q41" s="64">
        <v>9.25</v>
      </c>
      <c r="R41" s="198"/>
      <c r="S41" s="198"/>
      <c r="T41" s="198"/>
      <c r="U41" s="198"/>
    </row>
    <row r="42" spans="1:21" s="12" customFormat="1" x14ac:dyDescent="0.25">
      <c r="A42" s="215" t="s">
        <v>1529</v>
      </c>
      <c r="B42" s="64">
        <v>10.6</v>
      </c>
      <c r="C42" s="64">
        <v>54.39</v>
      </c>
      <c r="D42" s="64">
        <v>35.54</v>
      </c>
      <c r="E42" s="64">
        <v>6.5</v>
      </c>
      <c r="F42" s="64">
        <v>4.38</v>
      </c>
      <c r="G42" s="64">
        <v>63.42</v>
      </c>
      <c r="H42" s="213" t="s">
        <v>42</v>
      </c>
      <c r="I42" s="64">
        <v>3.94</v>
      </c>
      <c r="J42" s="64">
        <v>2.67</v>
      </c>
      <c r="K42" s="64">
        <v>338.3</v>
      </c>
      <c r="L42" s="64">
        <v>15.66</v>
      </c>
      <c r="M42" s="64">
        <v>33.44</v>
      </c>
      <c r="N42" s="64">
        <v>445.1</v>
      </c>
      <c r="O42" s="64">
        <v>0</v>
      </c>
      <c r="P42" s="64">
        <v>0.71</v>
      </c>
      <c r="Q42" s="64">
        <v>9.25</v>
      </c>
      <c r="R42" s="198"/>
      <c r="S42" s="198"/>
      <c r="T42" s="198"/>
      <c r="U42" s="198"/>
    </row>
    <row r="43" spans="1:21" s="12" customFormat="1" x14ac:dyDescent="0.25">
      <c r="A43" s="215" t="s">
        <v>1530</v>
      </c>
      <c r="B43" s="64">
        <v>10.06</v>
      </c>
      <c r="C43" s="64">
        <v>54.74</v>
      </c>
      <c r="D43" s="64">
        <v>35.29</v>
      </c>
      <c r="E43" s="64">
        <v>6.81</v>
      </c>
      <c r="F43" s="64">
        <v>4.28</v>
      </c>
      <c r="G43" s="64">
        <v>63.42</v>
      </c>
      <c r="H43" s="213" t="s">
        <v>42</v>
      </c>
      <c r="I43" s="64">
        <v>4.03</v>
      </c>
      <c r="J43" s="64">
        <v>2.75</v>
      </c>
      <c r="K43" s="64">
        <v>337.06</v>
      </c>
      <c r="L43" s="64">
        <v>17.29</v>
      </c>
      <c r="M43" s="64">
        <v>30.96</v>
      </c>
      <c r="N43" s="64">
        <v>496.9</v>
      </c>
      <c r="O43" s="64">
        <v>0</v>
      </c>
      <c r="P43" s="64">
        <v>0.7</v>
      </c>
      <c r="Q43" s="64">
        <v>9.19</v>
      </c>
      <c r="R43" s="198"/>
      <c r="S43" s="198"/>
      <c r="T43" s="198"/>
      <c r="U43" s="198"/>
    </row>
    <row r="44" spans="1:21" s="12" customFormat="1" x14ac:dyDescent="0.25">
      <c r="A44" s="215" t="s">
        <v>1531</v>
      </c>
      <c r="B44" s="64">
        <v>9.4700000000000006</v>
      </c>
      <c r="C44" s="64">
        <v>55.26</v>
      </c>
      <c r="D44" s="64">
        <v>35.090000000000003</v>
      </c>
      <c r="E44" s="64">
        <v>6.66</v>
      </c>
      <c r="F44" s="64">
        <v>4.5</v>
      </c>
      <c r="G44" s="64">
        <v>63.42</v>
      </c>
      <c r="H44" s="213" t="s">
        <v>42</v>
      </c>
      <c r="I44" s="64">
        <v>4</v>
      </c>
      <c r="J44" s="64">
        <v>2.86</v>
      </c>
      <c r="K44" s="64">
        <v>341.76</v>
      </c>
      <c r="L44" s="64">
        <v>18.86</v>
      </c>
      <c r="M44" s="64">
        <v>28.78</v>
      </c>
      <c r="N44" s="64">
        <v>555</v>
      </c>
      <c r="O44" s="64">
        <v>0</v>
      </c>
      <c r="P44" s="64">
        <v>0.69</v>
      </c>
      <c r="Q44" s="64">
        <v>9.1199999999999992</v>
      </c>
      <c r="R44" s="198"/>
      <c r="S44" s="198"/>
      <c r="T44" s="198"/>
      <c r="U44" s="198"/>
    </row>
    <row r="45" spans="1:21" s="12" customFormat="1" x14ac:dyDescent="0.25">
      <c r="A45" s="215" t="s">
        <v>1532</v>
      </c>
      <c r="B45" s="64">
        <v>9.36</v>
      </c>
      <c r="C45" s="64">
        <v>56.09</v>
      </c>
      <c r="D45" s="64">
        <v>35.43</v>
      </c>
      <c r="E45" s="64">
        <v>6.3</v>
      </c>
      <c r="F45" s="64">
        <v>4.25</v>
      </c>
      <c r="G45" s="64">
        <v>63.11</v>
      </c>
      <c r="H45" s="213" t="s">
        <v>42</v>
      </c>
      <c r="I45" s="64">
        <v>3.93</v>
      </c>
      <c r="J45" s="64">
        <v>2.92</v>
      </c>
      <c r="K45" s="64">
        <v>344</v>
      </c>
      <c r="L45" s="64">
        <v>20.14</v>
      </c>
      <c r="M45" s="64">
        <v>27.08</v>
      </c>
      <c r="N45" s="64">
        <v>591.70000000000005</v>
      </c>
      <c r="O45" s="64">
        <v>0</v>
      </c>
      <c r="P45" s="64">
        <v>0.69</v>
      </c>
      <c r="Q45" s="64">
        <v>9.08</v>
      </c>
      <c r="R45" s="198"/>
      <c r="S45" s="198"/>
      <c r="T45" s="198"/>
      <c r="U45" s="198"/>
    </row>
    <row r="46" spans="1:21" s="12" customFormat="1" x14ac:dyDescent="0.25">
      <c r="A46" s="215" t="s">
        <v>1533</v>
      </c>
      <c r="B46" s="64">
        <v>9.3800000000000008</v>
      </c>
      <c r="C46" s="64">
        <v>56.97</v>
      </c>
      <c r="D46" s="64">
        <v>35.909999999999997</v>
      </c>
      <c r="E46" s="64">
        <v>6.41</v>
      </c>
      <c r="F46" s="64">
        <v>4.29</v>
      </c>
      <c r="G46" s="64">
        <v>62.58</v>
      </c>
      <c r="H46" s="213" t="s">
        <v>42</v>
      </c>
      <c r="I46" s="64">
        <v>3.87</v>
      </c>
      <c r="J46" s="64">
        <v>2.54</v>
      </c>
      <c r="K46" s="64">
        <v>338.91</v>
      </c>
      <c r="L46" s="64">
        <v>19.82</v>
      </c>
      <c r="M46" s="64">
        <v>26.85</v>
      </c>
      <c r="N46" s="64">
        <v>690.6</v>
      </c>
      <c r="O46" s="64">
        <v>0</v>
      </c>
      <c r="P46" s="64">
        <v>0.69</v>
      </c>
      <c r="Q46" s="64">
        <v>9.0299999999999994</v>
      </c>
      <c r="R46" s="198"/>
      <c r="S46" s="198"/>
      <c r="T46" s="198"/>
      <c r="U46" s="198"/>
    </row>
    <row r="47" spans="1:21" s="12" customFormat="1" x14ac:dyDescent="0.25">
      <c r="A47" s="215" t="s">
        <v>1534</v>
      </c>
      <c r="B47" s="64">
        <v>8.64</v>
      </c>
      <c r="C47" s="64">
        <v>57.56</v>
      </c>
      <c r="D47" s="64">
        <v>35.619999999999997</v>
      </c>
      <c r="E47" s="64">
        <v>6.04</v>
      </c>
      <c r="F47" s="64">
        <v>4.18</v>
      </c>
      <c r="G47" s="64">
        <v>62.58</v>
      </c>
      <c r="H47" s="213" t="s">
        <v>42</v>
      </c>
      <c r="I47" s="64">
        <v>3.82</v>
      </c>
      <c r="J47" s="64">
        <v>0.96</v>
      </c>
      <c r="K47" s="64">
        <v>33.22</v>
      </c>
      <c r="L47" s="64">
        <v>18.68</v>
      </c>
      <c r="M47" s="64">
        <v>29.77</v>
      </c>
      <c r="N47" s="64">
        <v>707.7</v>
      </c>
      <c r="O47" s="64">
        <v>0</v>
      </c>
      <c r="P47" s="64">
        <v>0.68</v>
      </c>
      <c r="Q47" s="64">
        <v>9.02</v>
      </c>
      <c r="R47" s="198"/>
      <c r="S47" s="198"/>
      <c r="T47" s="198"/>
      <c r="U47" s="198"/>
    </row>
    <row r="48" spans="1:21" s="12" customFormat="1" x14ac:dyDescent="0.25">
      <c r="A48" s="215" t="s">
        <v>1535</v>
      </c>
      <c r="B48" s="64">
        <v>7.99</v>
      </c>
      <c r="C48" s="64">
        <v>57.67</v>
      </c>
      <c r="D48" s="64">
        <v>35.17</v>
      </c>
      <c r="E48" s="64">
        <v>6.21</v>
      </c>
      <c r="F48" s="64">
        <v>4.1100000000000003</v>
      </c>
      <c r="G48" s="64">
        <v>62.58</v>
      </c>
      <c r="H48" s="213" t="s">
        <v>42</v>
      </c>
      <c r="I48" s="64">
        <v>3.78</v>
      </c>
      <c r="J48" s="64">
        <v>2.19</v>
      </c>
      <c r="K48" s="64">
        <v>334.13</v>
      </c>
      <c r="L48" s="64">
        <v>19.57</v>
      </c>
      <c r="M48" s="64">
        <v>27.8</v>
      </c>
      <c r="N48" s="64">
        <v>777.4</v>
      </c>
      <c r="O48" s="64">
        <v>0</v>
      </c>
      <c r="P48" s="64">
        <v>0.67</v>
      </c>
      <c r="Q48" s="64">
        <v>9.01</v>
      </c>
      <c r="R48" s="198"/>
      <c r="S48" s="198"/>
      <c r="T48" s="198"/>
      <c r="U48" s="198"/>
    </row>
    <row r="49" spans="1:21" s="12" customFormat="1" x14ac:dyDescent="0.25">
      <c r="A49" s="215" t="s">
        <v>1536</v>
      </c>
      <c r="B49" s="64">
        <v>7.4</v>
      </c>
      <c r="C49" s="64">
        <v>57.88</v>
      </c>
      <c r="D49" s="64">
        <v>34.799999999999997</v>
      </c>
      <c r="E49" s="64">
        <v>6.31</v>
      </c>
      <c r="F49" s="64">
        <v>4.13</v>
      </c>
      <c r="G49" s="64">
        <v>62.32</v>
      </c>
      <c r="H49" s="213" t="s">
        <v>42</v>
      </c>
      <c r="I49" s="64">
        <v>3.88</v>
      </c>
      <c r="J49" s="64">
        <v>1.36</v>
      </c>
      <c r="K49" s="64">
        <v>10.38</v>
      </c>
      <c r="L49" s="64">
        <v>19.63</v>
      </c>
      <c r="M49" s="64">
        <v>26.72</v>
      </c>
      <c r="N49" s="64">
        <v>770.6</v>
      </c>
      <c r="O49" s="64">
        <v>0</v>
      </c>
      <c r="P49" s="64">
        <v>0.66</v>
      </c>
      <c r="Q49" s="64">
        <v>8.99</v>
      </c>
      <c r="R49" s="198"/>
      <c r="S49" s="198"/>
      <c r="T49" s="198"/>
      <c r="U49" s="198"/>
    </row>
    <row r="50" spans="1:21" s="12" customFormat="1" x14ac:dyDescent="0.25">
      <c r="A50" s="215" t="s">
        <v>1537</v>
      </c>
      <c r="B50" s="64">
        <v>6.9</v>
      </c>
      <c r="C50" s="64">
        <v>58.34</v>
      </c>
      <c r="D50" s="64">
        <v>34.630000000000003</v>
      </c>
      <c r="E50" s="64">
        <v>6.23</v>
      </c>
      <c r="F50" s="64">
        <v>4.46</v>
      </c>
      <c r="G50" s="64">
        <v>61.89</v>
      </c>
      <c r="H50" s="213" t="s">
        <v>42</v>
      </c>
      <c r="I50" s="64">
        <v>4.07</v>
      </c>
      <c r="J50" s="64">
        <v>1.87</v>
      </c>
      <c r="K50" s="64">
        <v>345.81</v>
      </c>
      <c r="L50" s="64">
        <v>22.04</v>
      </c>
      <c r="M50" s="64">
        <v>23</v>
      </c>
      <c r="N50" s="64">
        <v>792.7</v>
      </c>
      <c r="O50" s="64">
        <v>0</v>
      </c>
      <c r="P50" s="64">
        <v>0.66</v>
      </c>
      <c r="Q50" s="64">
        <v>8.99</v>
      </c>
      <c r="R50" s="198"/>
      <c r="S50" s="198"/>
      <c r="T50" s="198"/>
      <c r="U50" s="198"/>
    </row>
    <row r="51" spans="1:21" s="12" customFormat="1" x14ac:dyDescent="0.25">
      <c r="A51" s="215" t="s">
        <v>1538</v>
      </c>
      <c r="B51" s="64">
        <v>6.56</v>
      </c>
      <c r="C51" s="64">
        <v>58.67</v>
      </c>
      <c r="D51" s="64">
        <v>34.54</v>
      </c>
      <c r="E51" s="64">
        <v>6.24</v>
      </c>
      <c r="F51" s="64">
        <v>4.1399999999999997</v>
      </c>
      <c r="G51" s="64">
        <v>61.89</v>
      </c>
      <c r="H51" s="213" t="s">
        <v>42</v>
      </c>
      <c r="I51" s="64">
        <v>4.3</v>
      </c>
      <c r="J51" s="64">
        <v>1.1499999999999999</v>
      </c>
      <c r="K51" s="64">
        <v>80.290000000000006</v>
      </c>
      <c r="L51" s="64">
        <v>20.56</v>
      </c>
      <c r="M51" s="64">
        <v>25.44</v>
      </c>
      <c r="N51" s="64">
        <v>827.5</v>
      </c>
      <c r="O51" s="64">
        <v>0</v>
      </c>
      <c r="P51" s="64">
        <v>0.66</v>
      </c>
      <c r="Q51" s="64">
        <v>8.98</v>
      </c>
      <c r="R51" s="198"/>
      <c r="S51" s="198"/>
      <c r="T51" s="198"/>
      <c r="U51" s="198"/>
    </row>
    <row r="52" spans="1:21" s="12" customFormat="1" x14ac:dyDescent="0.25">
      <c r="A52" s="215" t="s">
        <v>1539</v>
      </c>
      <c r="B52" s="64">
        <v>6.28</v>
      </c>
      <c r="C52" s="64">
        <v>58.38</v>
      </c>
      <c r="D52" s="64">
        <v>34.159999999999997</v>
      </c>
      <c r="E52" s="64">
        <v>5.89</v>
      </c>
      <c r="F52" s="64">
        <v>4</v>
      </c>
      <c r="G52" s="64">
        <v>61.89</v>
      </c>
      <c r="H52" s="213" t="s">
        <v>42</v>
      </c>
      <c r="I52" s="64">
        <v>4.3099999999999996</v>
      </c>
      <c r="J52" s="64">
        <v>1.24</v>
      </c>
      <c r="K52" s="64">
        <v>12.45</v>
      </c>
      <c r="L52" s="64">
        <v>21.2</v>
      </c>
      <c r="M52" s="64">
        <v>24.28</v>
      </c>
      <c r="N52" s="64">
        <v>845.3</v>
      </c>
      <c r="O52" s="64">
        <v>0</v>
      </c>
      <c r="P52" s="64">
        <v>0.65</v>
      </c>
      <c r="Q52" s="64">
        <v>9.02</v>
      </c>
      <c r="R52" s="198"/>
      <c r="S52" s="198"/>
      <c r="T52" s="198"/>
      <c r="U52" s="198"/>
    </row>
    <row r="53" spans="1:21" s="12" customFormat="1" x14ac:dyDescent="0.25">
      <c r="A53" s="215" t="s">
        <v>1540</v>
      </c>
      <c r="B53" s="64">
        <v>6.23</v>
      </c>
      <c r="C53" s="64">
        <v>58.46</v>
      </c>
      <c r="D53" s="64">
        <v>34.159999999999997</v>
      </c>
      <c r="E53" s="64">
        <v>6.22</v>
      </c>
      <c r="F53" s="64">
        <v>4</v>
      </c>
      <c r="G53" s="64">
        <v>63.42</v>
      </c>
      <c r="H53" s="213" t="s">
        <v>42</v>
      </c>
      <c r="I53" s="64">
        <v>4.63</v>
      </c>
      <c r="J53" s="64">
        <v>2.92</v>
      </c>
      <c r="K53" s="64">
        <v>340.45</v>
      </c>
      <c r="L53" s="64">
        <v>23.13</v>
      </c>
      <c r="M53" s="64">
        <v>20.97</v>
      </c>
      <c r="N53" s="64">
        <v>827.8</v>
      </c>
      <c r="O53" s="64">
        <v>0</v>
      </c>
      <c r="P53" s="64">
        <v>0.65</v>
      </c>
      <c r="Q53" s="64">
        <v>9.07</v>
      </c>
      <c r="R53" s="198"/>
      <c r="S53" s="198"/>
      <c r="T53" s="198"/>
      <c r="U53" s="198"/>
    </row>
    <row r="54" spans="1:21" s="12" customFormat="1" x14ac:dyDescent="0.25">
      <c r="A54" s="215" t="s">
        <v>1541</v>
      </c>
      <c r="B54" s="64">
        <v>6.24</v>
      </c>
      <c r="C54" s="64">
        <v>58.79</v>
      </c>
      <c r="D54" s="64">
        <v>34.340000000000003</v>
      </c>
      <c r="E54" s="64">
        <v>6.44</v>
      </c>
      <c r="F54" s="64">
        <v>3.89</v>
      </c>
      <c r="G54" s="64">
        <v>66.06</v>
      </c>
      <c r="H54" s="64">
        <v>21.48</v>
      </c>
      <c r="I54" s="64">
        <v>4.93</v>
      </c>
      <c r="J54" s="64">
        <v>1.1100000000000001</v>
      </c>
      <c r="K54" s="64">
        <v>24.18</v>
      </c>
      <c r="L54" s="64">
        <v>23.07</v>
      </c>
      <c r="M54" s="64">
        <v>21.05</v>
      </c>
      <c r="N54" s="64">
        <v>798.8</v>
      </c>
      <c r="O54" s="64">
        <v>0</v>
      </c>
      <c r="P54" s="64">
        <v>0.65</v>
      </c>
      <c r="Q54" s="64">
        <v>9.0500000000000007</v>
      </c>
      <c r="R54" s="198"/>
      <c r="S54" s="198"/>
      <c r="T54" s="198"/>
      <c r="U54" s="198"/>
    </row>
    <row r="55" spans="1:21" s="12" customFormat="1" x14ac:dyDescent="0.25">
      <c r="A55" s="215" t="s">
        <v>1542</v>
      </c>
      <c r="B55" s="64">
        <v>6.09</v>
      </c>
      <c r="C55" s="64">
        <v>58.78</v>
      </c>
      <c r="D55" s="64">
        <v>34.22</v>
      </c>
      <c r="E55" s="64">
        <v>6.12</v>
      </c>
      <c r="F55" s="64">
        <v>4.41</v>
      </c>
      <c r="G55" s="64">
        <v>66.06</v>
      </c>
      <c r="H55" s="64">
        <v>21.48</v>
      </c>
      <c r="I55" s="64">
        <v>5.03</v>
      </c>
      <c r="J55" s="64">
        <v>1.1000000000000001</v>
      </c>
      <c r="K55" s="64">
        <v>92.96</v>
      </c>
      <c r="L55" s="64">
        <v>21.33</v>
      </c>
      <c r="M55" s="64">
        <v>22.66</v>
      </c>
      <c r="N55" s="64">
        <v>810.7</v>
      </c>
      <c r="O55" s="64">
        <v>0</v>
      </c>
      <c r="P55" s="64">
        <v>0.65</v>
      </c>
      <c r="Q55" s="64">
        <v>8.98</v>
      </c>
      <c r="R55" s="198"/>
      <c r="S55" s="198"/>
      <c r="T55" s="198"/>
      <c r="U55" s="198"/>
    </row>
    <row r="56" spans="1:21" s="12" customFormat="1" x14ac:dyDescent="0.25">
      <c r="A56" s="215" t="s">
        <v>1543</v>
      </c>
      <c r="B56" s="64">
        <v>5.81</v>
      </c>
      <c r="C56" s="64">
        <v>58.09</v>
      </c>
      <c r="D56" s="64">
        <v>33.630000000000003</v>
      </c>
      <c r="E56" s="64">
        <v>5.9</v>
      </c>
      <c r="F56" s="64">
        <v>4.1900000000000004</v>
      </c>
      <c r="G56" s="64">
        <v>66.06</v>
      </c>
      <c r="H56" s="64">
        <v>21.48</v>
      </c>
      <c r="I56" s="64">
        <v>5.27</v>
      </c>
      <c r="J56" s="64">
        <v>1.1000000000000001</v>
      </c>
      <c r="K56" s="64">
        <v>123.87</v>
      </c>
      <c r="L56" s="64">
        <v>21</v>
      </c>
      <c r="M56" s="64">
        <v>23.5</v>
      </c>
      <c r="N56" s="64">
        <v>807.5</v>
      </c>
      <c r="O56" s="64">
        <v>0</v>
      </c>
      <c r="P56" s="64">
        <v>0.64</v>
      </c>
      <c r="Q56" s="64">
        <v>8.91</v>
      </c>
      <c r="R56" s="198"/>
      <c r="S56" s="198"/>
      <c r="T56" s="198"/>
      <c r="U56" s="198"/>
    </row>
    <row r="57" spans="1:21" s="12" customFormat="1" x14ac:dyDescent="0.25">
      <c r="A57" s="215" t="s">
        <v>1544</v>
      </c>
      <c r="B57" s="64">
        <v>5.49</v>
      </c>
      <c r="C57" s="64">
        <v>57.53</v>
      </c>
      <c r="D57" s="64">
        <v>33.08</v>
      </c>
      <c r="E57" s="64">
        <v>5.88</v>
      </c>
      <c r="F57" s="64">
        <v>4.05</v>
      </c>
      <c r="G57" s="64">
        <v>63.95</v>
      </c>
      <c r="H57" s="64">
        <v>28.94</v>
      </c>
      <c r="I57" s="64">
        <v>5.62</v>
      </c>
      <c r="J57" s="64">
        <v>2.46</v>
      </c>
      <c r="K57" s="64">
        <v>340.14</v>
      </c>
      <c r="L57" s="64">
        <v>23.22</v>
      </c>
      <c r="M57" s="64">
        <v>19.809999999999999</v>
      </c>
      <c r="N57" s="64">
        <v>815.3</v>
      </c>
      <c r="O57" s="64">
        <v>0</v>
      </c>
      <c r="P57" s="64">
        <v>0.64</v>
      </c>
      <c r="Q57" s="64">
        <v>8.83</v>
      </c>
      <c r="R57" s="198"/>
      <c r="S57" s="198"/>
      <c r="T57" s="198"/>
      <c r="U57" s="198"/>
    </row>
    <row r="58" spans="1:21" s="12" customFormat="1" x14ac:dyDescent="0.25">
      <c r="A58" s="215" t="s">
        <v>1545</v>
      </c>
      <c r="B58" s="64">
        <v>5.33</v>
      </c>
      <c r="C58" s="64">
        <v>57.51</v>
      </c>
      <c r="D58" s="64">
        <v>32.94</v>
      </c>
      <c r="E58" s="64">
        <v>6.29</v>
      </c>
      <c r="F58" s="64">
        <v>4.16</v>
      </c>
      <c r="G58" s="64">
        <v>60.29</v>
      </c>
      <c r="H58" s="64">
        <v>55.03</v>
      </c>
      <c r="I58" s="64">
        <v>6.3</v>
      </c>
      <c r="J58" s="64">
        <v>3.16</v>
      </c>
      <c r="K58" s="64">
        <v>334.58</v>
      </c>
      <c r="L58" s="64">
        <v>24.95</v>
      </c>
      <c r="M58" s="64">
        <v>17.98</v>
      </c>
      <c r="N58" s="64">
        <v>774</v>
      </c>
      <c r="O58" s="64">
        <v>0</v>
      </c>
      <c r="P58" s="64">
        <v>0.64</v>
      </c>
      <c r="Q58" s="64">
        <v>8.77</v>
      </c>
      <c r="R58" s="198"/>
      <c r="S58" s="198"/>
      <c r="T58" s="198"/>
      <c r="U58" s="198"/>
    </row>
    <row r="59" spans="1:21" s="12" customFormat="1" x14ac:dyDescent="0.25">
      <c r="A59" s="215" t="s">
        <v>1546</v>
      </c>
      <c r="B59" s="64">
        <v>5.23</v>
      </c>
      <c r="C59" s="64">
        <v>58.13</v>
      </c>
      <c r="D59" s="64">
        <v>33.18</v>
      </c>
      <c r="E59" s="64">
        <v>6.78</v>
      </c>
      <c r="F59" s="64">
        <v>4.67</v>
      </c>
      <c r="G59" s="64">
        <v>60.29</v>
      </c>
      <c r="H59" s="64">
        <v>55.03</v>
      </c>
      <c r="I59" s="64">
        <v>6.37</v>
      </c>
      <c r="J59" s="64">
        <v>2.67</v>
      </c>
      <c r="K59" s="64">
        <v>341.01</v>
      </c>
      <c r="L59" s="64">
        <v>25.46</v>
      </c>
      <c r="M59" s="64">
        <v>17.440000000000001</v>
      </c>
      <c r="N59" s="64">
        <v>759.7</v>
      </c>
      <c r="O59" s="64">
        <v>0</v>
      </c>
      <c r="P59" s="64">
        <v>0.64</v>
      </c>
      <c r="Q59" s="64">
        <v>8.76</v>
      </c>
      <c r="R59" s="198"/>
      <c r="S59" s="198"/>
      <c r="T59" s="198"/>
      <c r="U59" s="198"/>
    </row>
    <row r="60" spans="1:21" s="12" customFormat="1" x14ac:dyDescent="0.25">
      <c r="A60" s="215" t="s">
        <v>1547</v>
      </c>
      <c r="B60" s="64">
        <v>4.75</v>
      </c>
      <c r="C60" s="64">
        <v>58.66</v>
      </c>
      <c r="D60" s="64">
        <v>33.08</v>
      </c>
      <c r="E60" s="64">
        <v>6.35</v>
      </c>
      <c r="F60" s="64">
        <v>5.21</v>
      </c>
      <c r="G60" s="64">
        <v>60.29</v>
      </c>
      <c r="H60" s="64">
        <v>55.03</v>
      </c>
      <c r="I60" s="64">
        <v>6.12</v>
      </c>
      <c r="J60" s="64">
        <v>1.06</v>
      </c>
      <c r="K60" s="64">
        <v>95.35</v>
      </c>
      <c r="L60" s="64">
        <v>22.27</v>
      </c>
      <c r="M60" s="64">
        <v>24.41</v>
      </c>
      <c r="N60" s="64">
        <v>735.1</v>
      </c>
      <c r="O60" s="64">
        <v>0</v>
      </c>
      <c r="P60" s="64">
        <v>0.63</v>
      </c>
      <c r="Q60" s="64">
        <v>8.7200000000000006</v>
      </c>
      <c r="R60" s="198"/>
      <c r="S60" s="198"/>
      <c r="T60" s="198"/>
      <c r="U60" s="198"/>
    </row>
    <row r="61" spans="1:21" s="12" customFormat="1" x14ac:dyDescent="0.25">
      <c r="A61" s="215" t="s">
        <v>1548</v>
      </c>
      <c r="B61" s="64">
        <v>4.01</v>
      </c>
      <c r="C61" s="64">
        <v>58.37</v>
      </c>
      <c r="D61" s="64">
        <v>32.340000000000003</v>
      </c>
      <c r="E61" s="64">
        <v>5.97</v>
      </c>
      <c r="F61" s="64">
        <v>5.0599999999999996</v>
      </c>
      <c r="G61" s="64">
        <v>60.54</v>
      </c>
      <c r="H61" s="64">
        <v>29.33</v>
      </c>
      <c r="I61" s="64">
        <v>5.87</v>
      </c>
      <c r="J61" s="64">
        <v>2.29</v>
      </c>
      <c r="K61" s="64">
        <v>114.93</v>
      </c>
      <c r="L61" s="64">
        <v>21.09</v>
      </c>
      <c r="M61" s="64">
        <v>24.85</v>
      </c>
      <c r="N61" s="64">
        <v>715.3</v>
      </c>
      <c r="O61" s="64">
        <v>0</v>
      </c>
      <c r="P61" s="64">
        <v>0.61</v>
      </c>
      <c r="Q61" s="64">
        <v>8.68</v>
      </c>
      <c r="R61" s="198"/>
      <c r="S61" s="198"/>
      <c r="T61" s="198"/>
      <c r="U61" s="198"/>
    </row>
    <row r="62" spans="1:21" s="12" customFormat="1" x14ac:dyDescent="0.25">
      <c r="A62" s="215" t="s">
        <v>1549</v>
      </c>
      <c r="B62" s="64">
        <v>3.28</v>
      </c>
      <c r="C62" s="64">
        <v>57.72</v>
      </c>
      <c r="D62" s="64">
        <v>31.41</v>
      </c>
      <c r="E62" s="64">
        <v>5.63</v>
      </c>
      <c r="F62" s="64">
        <v>5.46</v>
      </c>
      <c r="G62" s="64">
        <v>60.96</v>
      </c>
      <c r="H62" s="64">
        <v>2.86</v>
      </c>
      <c r="I62" s="64">
        <v>6.09</v>
      </c>
      <c r="J62" s="64">
        <v>0.88</v>
      </c>
      <c r="K62" s="64">
        <v>126.51</v>
      </c>
      <c r="L62" s="64">
        <v>20.6</v>
      </c>
      <c r="M62" s="64">
        <v>24.16</v>
      </c>
      <c r="N62" s="64">
        <v>677.7</v>
      </c>
      <c r="O62" s="64">
        <v>0</v>
      </c>
      <c r="P62" s="64">
        <v>0.62</v>
      </c>
      <c r="Q62" s="64">
        <v>8.6</v>
      </c>
      <c r="R62" s="198"/>
      <c r="S62" s="198"/>
      <c r="T62" s="198"/>
      <c r="U62" s="198"/>
    </row>
    <row r="63" spans="1:21" s="12" customFormat="1" x14ac:dyDescent="0.25">
      <c r="A63" s="215" t="s">
        <v>1550</v>
      </c>
      <c r="B63" s="64">
        <v>2.84</v>
      </c>
      <c r="C63" s="64">
        <v>57.63</v>
      </c>
      <c r="D63" s="64">
        <v>31.01</v>
      </c>
      <c r="E63" s="64">
        <v>6.33</v>
      </c>
      <c r="F63" s="64">
        <v>5.27</v>
      </c>
      <c r="G63" s="64">
        <v>60.96</v>
      </c>
      <c r="H63" s="64">
        <v>2.86</v>
      </c>
      <c r="I63" s="64">
        <v>6.27</v>
      </c>
      <c r="J63" s="64">
        <v>1.1200000000000001</v>
      </c>
      <c r="K63" s="64">
        <v>85.37</v>
      </c>
      <c r="L63" s="64">
        <v>21.66</v>
      </c>
      <c r="M63" s="64">
        <v>22.65</v>
      </c>
      <c r="N63" s="64">
        <v>614.4</v>
      </c>
      <c r="O63" s="64">
        <v>0</v>
      </c>
      <c r="P63" s="64">
        <v>0.62</v>
      </c>
      <c r="Q63" s="64">
        <v>8.49</v>
      </c>
      <c r="R63" s="198"/>
      <c r="S63" s="198"/>
      <c r="T63" s="198"/>
      <c r="U63" s="198"/>
    </row>
    <row r="64" spans="1:21" s="12" customFormat="1" x14ac:dyDescent="0.25">
      <c r="A64" s="215" t="s">
        <v>1551</v>
      </c>
      <c r="B64" s="64">
        <v>2.5099999999999998</v>
      </c>
      <c r="C64" s="64">
        <v>57.12</v>
      </c>
      <c r="D64" s="64">
        <v>30.48</v>
      </c>
      <c r="E64" s="64">
        <v>6.12</v>
      </c>
      <c r="F64" s="64">
        <v>5.28</v>
      </c>
      <c r="G64" s="64">
        <v>60.96</v>
      </c>
      <c r="H64" s="64">
        <v>2.86</v>
      </c>
      <c r="I64" s="64">
        <v>6.46</v>
      </c>
      <c r="J64" s="64">
        <v>1.59</v>
      </c>
      <c r="K64" s="64">
        <v>134.25</v>
      </c>
      <c r="L64" s="64">
        <v>21.04</v>
      </c>
      <c r="M64" s="64">
        <v>23.22</v>
      </c>
      <c r="N64" s="64">
        <v>528</v>
      </c>
      <c r="O64" s="64">
        <v>0</v>
      </c>
      <c r="P64" s="64">
        <v>0.61</v>
      </c>
      <c r="Q64" s="64">
        <v>8.4</v>
      </c>
      <c r="R64" s="198"/>
      <c r="S64" s="198"/>
      <c r="T64" s="198"/>
      <c r="U64" s="198"/>
    </row>
    <row r="65" spans="1:21" s="12" customFormat="1" x14ac:dyDescent="0.25">
      <c r="A65" s="215" t="s">
        <v>1552</v>
      </c>
      <c r="B65" s="64">
        <v>2.23</v>
      </c>
      <c r="C65" s="64">
        <v>56.64</v>
      </c>
      <c r="D65" s="64">
        <v>30.01</v>
      </c>
      <c r="E65" s="64">
        <v>6.46</v>
      </c>
      <c r="F65" s="64">
        <v>5.44</v>
      </c>
      <c r="G65" s="64">
        <v>62.14</v>
      </c>
      <c r="H65" s="64">
        <v>14.34</v>
      </c>
      <c r="I65" s="64">
        <v>6.4</v>
      </c>
      <c r="J65" s="64">
        <v>1.79</v>
      </c>
      <c r="K65" s="64">
        <v>124.81</v>
      </c>
      <c r="L65" s="64">
        <v>21.12</v>
      </c>
      <c r="M65" s="64">
        <v>23.31</v>
      </c>
      <c r="N65" s="64">
        <v>251.6</v>
      </c>
      <c r="O65" s="64">
        <v>0</v>
      </c>
      <c r="P65" s="64">
        <v>0.61</v>
      </c>
      <c r="Q65" s="64">
        <v>8.3000000000000007</v>
      </c>
      <c r="R65" s="198"/>
      <c r="S65" s="198"/>
      <c r="T65" s="198"/>
      <c r="U65" s="198"/>
    </row>
    <row r="66" spans="1:21" s="12" customFormat="1" x14ac:dyDescent="0.25">
      <c r="A66" s="215" t="s">
        <v>1553</v>
      </c>
      <c r="B66" s="64">
        <v>2.2200000000000002</v>
      </c>
      <c r="C66" s="64">
        <v>56.8</v>
      </c>
      <c r="D66" s="64">
        <v>30.08</v>
      </c>
      <c r="E66" s="64">
        <v>6.63</v>
      </c>
      <c r="F66" s="64">
        <v>5.91</v>
      </c>
      <c r="G66" s="64">
        <v>64.180000000000007</v>
      </c>
      <c r="H66" s="64">
        <v>26.53</v>
      </c>
      <c r="I66" s="64">
        <v>6.39</v>
      </c>
      <c r="J66" s="64">
        <v>1.98</v>
      </c>
      <c r="K66" s="64">
        <v>353.3</v>
      </c>
      <c r="L66" s="64">
        <v>21.84</v>
      </c>
      <c r="M66" s="64">
        <v>22.8</v>
      </c>
      <c r="N66" s="64">
        <v>229.6</v>
      </c>
      <c r="O66" s="64">
        <v>0</v>
      </c>
      <c r="P66" s="64">
        <v>0.62</v>
      </c>
      <c r="Q66" s="64">
        <v>8.2200000000000006</v>
      </c>
      <c r="R66" s="198"/>
      <c r="S66" s="198"/>
      <c r="T66" s="198"/>
      <c r="U66" s="198"/>
    </row>
    <row r="67" spans="1:21" s="12" customFormat="1" x14ac:dyDescent="0.25">
      <c r="A67" s="215" t="s">
        <v>1554</v>
      </c>
      <c r="B67" s="64">
        <v>2.5</v>
      </c>
      <c r="C67" s="64">
        <v>58.44</v>
      </c>
      <c r="D67" s="64">
        <v>31.16</v>
      </c>
      <c r="E67" s="64">
        <v>6.98</v>
      </c>
      <c r="F67" s="64">
        <v>5.72</v>
      </c>
      <c r="G67" s="64">
        <v>64.180000000000007</v>
      </c>
      <c r="H67" s="64">
        <v>26.53</v>
      </c>
      <c r="I67" s="64">
        <v>6.37</v>
      </c>
      <c r="J67" s="64">
        <v>1.1499999999999999</v>
      </c>
      <c r="K67" s="64">
        <v>340.78</v>
      </c>
      <c r="L67" s="64">
        <v>22.3</v>
      </c>
      <c r="M67" s="64">
        <v>21.8</v>
      </c>
      <c r="N67" s="64">
        <v>231.3</v>
      </c>
      <c r="O67" s="64">
        <v>0</v>
      </c>
      <c r="P67" s="64">
        <v>0.65</v>
      </c>
      <c r="Q67" s="64">
        <v>8.2200000000000006</v>
      </c>
      <c r="R67" s="198"/>
      <c r="S67" s="198"/>
      <c r="T67" s="198"/>
      <c r="U67" s="198"/>
    </row>
    <row r="68" spans="1:21" s="12" customFormat="1" x14ac:dyDescent="0.25">
      <c r="A68" s="215" t="s">
        <v>1555</v>
      </c>
      <c r="B68" s="64">
        <v>2.57</v>
      </c>
      <c r="C68" s="64">
        <v>59.22</v>
      </c>
      <c r="D68" s="64">
        <v>31.62</v>
      </c>
      <c r="E68" s="64">
        <v>6.33</v>
      </c>
      <c r="F68" s="64">
        <v>5.72</v>
      </c>
      <c r="G68" s="64">
        <v>64.180000000000007</v>
      </c>
      <c r="H68" s="64">
        <v>26.53</v>
      </c>
      <c r="I68" s="64">
        <v>6.27</v>
      </c>
      <c r="J68" s="64">
        <v>1.83</v>
      </c>
      <c r="K68" s="64">
        <v>345.54</v>
      </c>
      <c r="L68" s="64">
        <v>22.08</v>
      </c>
      <c r="M68" s="64">
        <v>22.49</v>
      </c>
      <c r="N68" s="64">
        <v>194.1</v>
      </c>
      <c r="O68" s="64">
        <v>0</v>
      </c>
      <c r="P68" s="64">
        <v>0.65</v>
      </c>
      <c r="Q68" s="64">
        <v>8.2100000000000009</v>
      </c>
      <c r="R68" s="198"/>
      <c r="S68" s="198"/>
      <c r="T68" s="198"/>
      <c r="U68" s="198"/>
    </row>
    <row r="69" spans="1:21" s="12" customFormat="1" x14ac:dyDescent="0.25">
      <c r="A69" s="215" t="s">
        <v>1556</v>
      </c>
      <c r="B69" s="64">
        <v>2.67</v>
      </c>
      <c r="C69" s="64">
        <v>59.78</v>
      </c>
      <c r="D69" s="64">
        <v>32</v>
      </c>
      <c r="E69" s="64">
        <v>6.16</v>
      </c>
      <c r="F69" s="64">
        <v>5.4</v>
      </c>
      <c r="G69" s="64">
        <v>66.97</v>
      </c>
      <c r="H69" s="64">
        <v>24.99</v>
      </c>
      <c r="I69" s="64">
        <v>4.12</v>
      </c>
      <c r="J69" s="64">
        <v>2.2599999999999998</v>
      </c>
      <c r="K69" s="64">
        <v>329.95</v>
      </c>
      <c r="L69" s="64">
        <v>21.94</v>
      </c>
      <c r="M69" s="64">
        <v>22.64</v>
      </c>
      <c r="N69" s="64">
        <v>180.3</v>
      </c>
      <c r="O69" s="64">
        <v>0</v>
      </c>
      <c r="P69" s="64">
        <v>0.69</v>
      </c>
      <c r="Q69" s="64">
        <v>8.2100000000000009</v>
      </c>
      <c r="R69" s="198"/>
      <c r="S69" s="198"/>
      <c r="T69" s="198"/>
      <c r="U69" s="198"/>
    </row>
    <row r="70" spans="1:21" s="12" customFormat="1" x14ac:dyDescent="0.25">
      <c r="A70" s="215" t="s">
        <v>1557</v>
      </c>
      <c r="B70" s="64">
        <v>2.88</v>
      </c>
      <c r="C70" s="64">
        <v>60.3</v>
      </c>
      <c r="D70" s="64">
        <v>32.44</v>
      </c>
      <c r="E70" s="64">
        <v>5.83</v>
      </c>
      <c r="F70" s="64">
        <v>5.0599999999999996</v>
      </c>
      <c r="G70" s="64">
        <v>71.790000000000006</v>
      </c>
      <c r="H70" s="64">
        <v>23.35</v>
      </c>
      <c r="I70" s="64">
        <v>4.3499999999999996</v>
      </c>
      <c r="J70" s="64">
        <v>3.08</v>
      </c>
      <c r="K70" s="64">
        <v>339.4</v>
      </c>
      <c r="L70" s="64">
        <v>21.6</v>
      </c>
      <c r="M70" s="64">
        <v>23.67</v>
      </c>
      <c r="N70" s="64">
        <v>171.1</v>
      </c>
      <c r="O70" s="64">
        <v>0</v>
      </c>
      <c r="P70" s="64">
        <v>0.69</v>
      </c>
      <c r="Q70" s="64">
        <v>8.2100000000000009</v>
      </c>
      <c r="R70" s="198"/>
      <c r="S70" s="198"/>
      <c r="T70" s="198"/>
      <c r="U70" s="198"/>
    </row>
    <row r="71" spans="1:21" s="12" customFormat="1" x14ac:dyDescent="0.25">
      <c r="A71" s="215" t="s">
        <v>1558</v>
      </c>
      <c r="B71" s="64">
        <v>3.15</v>
      </c>
      <c r="C71" s="64">
        <v>61.1</v>
      </c>
      <c r="D71" s="64">
        <v>33.07</v>
      </c>
      <c r="E71" s="64">
        <v>6.08</v>
      </c>
      <c r="F71" s="64">
        <v>5.22</v>
      </c>
      <c r="G71" s="64">
        <v>71.790000000000006</v>
      </c>
      <c r="H71" s="64">
        <v>23.35</v>
      </c>
      <c r="I71" s="64">
        <v>4.1399999999999997</v>
      </c>
      <c r="J71" s="64">
        <v>2.64</v>
      </c>
      <c r="K71" s="64">
        <v>340.65</v>
      </c>
      <c r="L71" s="64">
        <v>21.32</v>
      </c>
      <c r="M71" s="64">
        <v>23.16</v>
      </c>
      <c r="N71" s="64">
        <v>161.80000000000001</v>
      </c>
      <c r="O71" s="64">
        <v>0</v>
      </c>
      <c r="P71" s="64">
        <v>0.72</v>
      </c>
      <c r="Q71" s="64">
        <v>8.2100000000000009</v>
      </c>
      <c r="R71" s="198"/>
      <c r="S71" s="198"/>
      <c r="T71" s="198"/>
      <c r="U71" s="198"/>
    </row>
    <row r="72" spans="1:21" s="12" customFormat="1" x14ac:dyDescent="0.25">
      <c r="A72" s="215" t="s">
        <v>1559</v>
      </c>
      <c r="B72" s="64">
        <v>3.62</v>
      </c>
      <c r="C72" s="64">
        <v>62.4</v>
      </c>
      <c r="D72" s="64">
        <v>34.119999999999997</v>
      </c>
      <c r="E72" s="64">
        <v>5.58</v>
      </c>
      <c r="F72" s="64">
        <v>5.9</v>
      </c>
      <c r="G72" s="64">
        <v>71.790000000000006</v>
      </c>
      <c r="H72" s="64">
        <v>23.35</v>
      </c>
      <c r="I72" s="64">
        <v>4.32</v>
      </c>
      <c r="J72" s="64">
        <v>2.74</v>
      </c>
      <c r="K72" s="64">
        <v>339.96</v>
      </c>
      <c r="L72" s="64">
        <v>20.97</v>
      </c>
      <c r="M72" s="64">
        <v>23.83</v>
      </c>
      <c r="N72" s="64">
        <v>153.4</v>
      </c>
      <c r="O72" s="64">
        <v>0</v>
      </c>
      <c r="P72" s="64">
        <v>0.69</v>
      </c>
      <c r="Q72" s="64">
        <v>8.24</v>
      </c>
      <c r="R72" s="198"/>
      <c r="S72" s="198"/>
      <c r="T72" s="198"/>
      <c r="U72" s="198"/>
    </row>
    <row r="73" spans="1:21" s="12" customFormat="1" x14ac:dyDescent="0.25">
      <c r="A73" s="215" t="s">
        <v>1560</v>
      </c>
      <c r="B73" s="64">
        <v>3.79</v>
      </c>
      <c r="C73" s="64">
        <v>62.96</v>
      </c>
      <c r="D73" s="64">
        <v>34.56</v>
      </c>
      <c r="E73" s="64">
        <v>6.19</v>
      </c>
      <c r="F73" s="64">
        <v>5.33</v>
      </c>
      <c r="G73" s="64">
        <v>76.209999999999994</v>
      </c>
      <c r="H73" s="64">
        <v>18.57</v>
      </c>
      <c r="I73" s="64">
        <v>4.37</v>
      </c>
      <c r="J73" s="64">
        <v>2.4700000000000002</v>
      </c>
      <c r="K73" s="64">
        <v>330.82</v>
      </c>
      <c r="L73" s="64">
        <v>20.59</v>
      </c>
      <c r="M73" s="64">
        <v>25.5</v>
      </c>
      <c r="N73" s="64">
        <v>144.80000000000001</v>
      </c>
      <c r="O73" s="64">
        <v>0</v>
      </c>
      <c r="P73" s="64">
        <v>0.73</v>
      </c>
      <c r="Q73" s="64">
        <v>8.2899999999999991</v>
      </c>
      <c r="R73" s="198"/>
      <c r="S73" s="198"/>
      <c r="T73" s="198"/>
      <c r="U73" s="198"/>
    </row>
    <row r="74" spans="1:21" s="12" customFormat="1" x14ac:dyDescent="0.25">
      <c r="A74" s="215" t="s">
        <v>1561</v>
      </c>
      <c r="B74" s="64">
        <v>4.04</v>
      </c>
      <c r="C74" s="64">
        <v>63.48</v>
      </c>
      <c r="D74" s="64">
        <v>35.03</v>
      </c>
      <c r="E74" s="64">
        <v>6.38</v>
      </c>
      <c r="F74" s="64">
        <v>5.08</v>
      </c>
      <c r="G74" s="64">
        <v>83.84</v>
      </c>
      <c r="H74" s="64">
        <v>2.33</v>
      </c>
      <c r="I74" s="64">
        <v>4.22</v>
      </c>
      <c r="J74" s="64">
        <v>2.62</v>
      </c>
      <c r="K74" s="64">
        <v>333.42</v>
      </c>
      <c r="L74" s="64">
        <v>20.170000000000002</v>
      </c>
      <c r="M74" s="64">
        <v>27.51</v>
      </c>
      <c r="N74" s="64">
        <v>137.4</v>
      </c>
      <c r="O74" s="64">
        <v>0</v>
      </c>
      <c r="P74" s="64">
        <v>0.75</v>
      </c>
      <c r="Q74" s="64">
        <v>8.33</v>
      </c>
      <c r="R74" s="198"/>
      <c r="S74" s="198"/>
      <c r="T74" s="198"/>
      <c r="U74" s="198"/>
    </row>
    <row r="75" spans="1:21" s="12" customFormat="1" x14ac:dyDescent="0.25">
      <c r="A75" s="215" t="s">
        <v>1562</v>
      </c>
      <c r="B75" s="64">
        <v>4.53</v>
      </c>
      <c r="C75" s="64">
        <v>63.82</v>
      </c>
      <c r="D75" s="64">
        <v>35.6</v>
      </c>
      <c r="E75" s="64">
        <v>6.67</v>
      </c>
      <c r="F75" s="64">
        <v>4.5999999999999996</v>
      </c>
      <c r="G75" s="64">
        <v>83.84</v>
      </c>
      <c r="H75" s="64">
        <v>2.33</v>
      </c>
      <c r="I75" s="64">
        <v>4.09</v>
      </c>
      <c r="J75" s="64">
        <v>2.84</v>
      </c>
      <c r="K75" s="64">
        <v>337.98</v>
      </c>
      <c r="L75" s="64">
        <v>19.649999999999999</v>
      </c>
      <c r="M75" s="64">
        <v>28.12</v>
      </c>
      <c r="N75" s="64">
        <v>128.80000000000001</v>
      </c>
      <c r="O75" s="64">
        <v>0</v>
      </c>
      <c r="P75" s="64">
        <v>0.72</v>
      </c>
      <c r="Q75" s="64">
        <v>8.44</v>
      </c>
      <c r="R75" s="198"/>
      <c r="S75" s="198"/>
      <c r="T75" s="198"/>
      <c r="U75" s="198"/>
    </row>
    <row r="76" spans="1:21" s="12" customFormat="1" x14ac:dyDescent="0.25">
      <c r="A76" s="215" t="s">
        <v>1563</v>
      </c>
      <c r="B76" s="64">
        <v>5.12</v>
      </c>
      <c r="C76" s="64">
        <v>64.989999999999995</v>
      </c>
      <c r="D76" s="64">
        <v>36.68</v>
      </c>
      <c r="E76" s="64">
        <v>6.62</v>
      </c>
      <c r="F76" s="64">
        <v>4.9000000000000004</v>
      </c>
      <c r="G76" s="64">
        <v>83.84</v>
      </c>
      <c r="H76" s="64">
        <v>2.33</v>
      </c>
      <c r="I76" s="64">
        <v>5.28</v>
      </c>
      <c r="J76" s="64">
        <v>2.34</v>
      </c>
      <c r="K76" s="64">
        <v>345.87</v>
      </c>
      <c r="L76" s="64">
        <v>19.010000000000002</v>
      </c>
      <c r="M76" s="64">
        <v>30.88</v>
      </c>
      <c r="N76" s="64">
        <v>120.4</v>
      </c>
      <c r="O76" s="64">
        <v>0</v>
      </c>
      <c r="P76" s="64">
        <v>0.75</v>
      </c>
      <c r="Q76" s="64">
        <v>8.57</v>
      </c>
      <c r="R76" s="198"/>
      <c r="S76" s="198"/>
      <c r="T76" s="198"/>
      <c r="U76" s="198"/>
    </row>
    <row r="77" spans="1:21" s="12" customFormat="1" x14ac:dyDescent="0.25">
      <c r="A77" s="215" t="s">
        <v>1564</v>
      </c>
      <c r="B77" s="64">
        <v>6.44</v>
      </c>
      <c r="C77" s="64">
        <v>66.599999999999994</v>
      </c>
      <c r="D77" s="64">
        <v>38.58</v>
      </c>
      <c r="E77" s="64">
        <v>6.8</v>
      </c>
      <c r="F77" s="64">
        <v>4.2300000000000004</v>
      </c>
      <c r="G77" s="64">
        <v>86.01</v>
      </c>
      <c r="H77" s="213" t="s">
        <v>42</v>
      </c>
      <c r="I77" s="64">
        <v>5.78</v>
      </c>
      <c r="J77" s="64">
        <v>2.35</v>
      </c>
      <c r="K77" s="64">
        <v>355.09</v>
      </c>
      <c r="L77" s="64">
        <v>18.13</v>
      </c>
      <c r="M77" s="64">
        <v>32.979999999999997</v>
      </c>
      <c r="N77" s="64">
        <v>111.7</v>
      </c>
      <c r="O77" s="64">
        <v>0</v>
      </c>
      <c r="P77" s="64">
        <v>0.8</v>
      </c>
      <c r="Q77" s="64">
        <v>8.6999999999999993</v>
      </c>
      <c r="R77" s="198"/>
      <c r="S77" s="198"/>
      <c r="T77" s="198"/>
      <c r="U77" s="198"/>
    </row>
    <row r="78" spans="1:21" s="12" customFormat="1" x14ac:dyDescent="0.25">
      <c r="A78" s="215" t="s">
        <v>1565</v>
      </c>
      <c r="B78" s="64">
        <v>9.33</v>
      </c>
      <c r="C78" s="64">
        <v>68.290000000000006</v>
      </c>
      <c r="D78" s="64">
        <v>41.78</v>
      </c>
      <c r="E78" s="64">
        <v>6.61</v>
      </c>
      <c r="F78" s="64">
        <v>4.3099999999999996</v>
      </c>
      <c r="G78" s="64">
        <v>89.74</v>
      </c>
      <c r="H78" s="213" t="s">
        <v>42</v>
      </c>
      <c r="I78" s="64">
        <v>5.77</v>
      </c>
      <c r="J78" s="64">
        <v>2.02</v>
      </c>
      <c r="K78" s="64">
        <v>35.49</v>
      </c>
      <c r="L78" s="64">
        <v>17.16</v>
      </c>
      <c r="M78" s="64">
        <v>34.21</v>
      </c>
      <c r="N78" s="64">
        <v>104.7</v>
      </c>
      <c r="O78" s="64">
        <v>0</v>
      </c>
      <c r="P78" s="64">
        <v>0.85</v>
      </c>
      <c r="Q78" s="64">
        <v>8.9499999999999993</v>
      </c>
      <c r="R78" s="198"/>
      <c r="S78" s="198"/>
      <c r="T78" s="198"/>
      <c r="U78" s="198"/>
    </row>
    <row r="79" spans="1:21" s="12" customFormat="1" x14ac:dyDescent="0.25">
      <c r="A79" s="215" t="s">
        <v>1566</v>
      </c>
      <c r="B79" s="64">
        <v>12.42</v>
      </c>
      <c r="C79" s="64">
        <v>70.13</v>
      </c>
      <c r="D79" s="64">
        <v>45.23</v>
      </c>
      <c r="E79" s="64">
        <v>6.65</v>
      </c>
      <c r="F79" s="64">
        <v>4.01</v>
      </c>
      <c r="G79" s="64">
        <v>89.74</v>
      </c>
      <c r="H79" s="213" t="s">
        <v>42</v>
      </c>
      <c r="I79" s="64">
        <v>5.81</v>
      </c>
      <c r="J79" s="64">
        <v>1.39</v>
      </c>
      <c r="K79" s="64">
        <v>345.31</v>
      </c>
      <c r="L79" s="64">
        <v>16.399999999999999</v>
      </c>
      <c r="M79" s="64">
        <v>35.6</v>
      </c>
      <c r="N79" s="64">
        <v>102.6</v>
      </c>
      <c r="O79" s="64">
        <v>0</v>
      </c>
      <c r="P79" s="64">
        <v>0.89</v>
      </c>
      <c r="Q79" s="64">
        <v>9.2799999999999994</v>
      </c>
      <c r="R79" s="198"/>
      <c r="S79" s="198"/>
      <c r="T79" s="198"/>
      <c r="U79" s="198"/>
    </row>
    <row r="80" spans="1:21" s="12" customFormat="1" x14ac:dyDescent="0.25">
      <c r="A80" s="215" t="s">
        <v>1567</v>
      </c>
      <c r="B80" s="64">
        <v>14.86</v>
      </c>
      <c r="C80" s="64">
        <v>71.819999999999993</v>
      </c>
      <c r="D80" s="64">
        <v>48.06</v>
      </c>
      <c r="E80" s="64">
        <v>6.77</v>
      </c>
      <c r="F80" s="64">
        <v>3.93</v>
      </c>
      <c r="G80" s="64">
        <v>89.74</v>
      </c>
      <c r="H80" s="213" t="s">
        <v>42</v>
      </c>
      <c r="I80" s="64">
        <v>6.13</v>
      </c>
      <c r="J80" s="64">
        <v>0.83</v>
      </c>
      <c r="K80" s="64">
        <v>304.44</v>
      </c>
      <c r="L80" s="64">
        <v>15.63</v>
      </c>
      <c r="M80" s="64">
        <v>39.869999999999997</v>
      </c>
      <c r="N80" s="64">
        <v>102.8</v>
      </c>
      <c r="O80" s="64">
        <v>0</v>
      </c>
      <c r="P80" s="64">
        <v>0.94</v>
      </c>
      <c r="Q80" s="64">
        <v>9.3699999999999992</v>
      </c>
      <c r="R80" s="198"/>
      <c r="S80" s="198"/>
      <c r="T80" s="198"/>
      <c r="U80" s="198"/>
    </row>
    <row r="81" spans="1:26" s="12" customFormat="1" x14ac:dyDescent="0.25">
      <c r="A81" s="215" t="s">
        <v>1568</v>
      </c>
      <c r="B81" s="64">
        <v>16.97</v>
      </c>
      <c r="C81" s="64">
        <v>73.069999999999993</v>
      </c>
      <c r="D81" s="64">
        <v>50.41</v>
      </c>
      <c r="E81" s="64">
        <v>6.63</v>
      </c>
      <c r="F81" s="64">
        <v>4.1500000000000004</v>
      </c>
      <c r="G81" s="64">
        <v>94.8</v>
      </c>
      <c r="H81" s="213" t="s">
        <v>42</v>
      </c>
      <c r="I81" s="64">
        <v>6.22</v>
      </c>
      <c r="J81" s="64">
        <v>1.67</v>
      </c>
      <c r="K81" s="64">
        <v>319.08999999999997</v>
      </c>
      <c r="L81" s="64">
        <v>14.93</v>
      </c>
      <c r="M81" s="64">
        <v>47.41</v>
      </c>
      <c r="N81" s="64">
        <v>102.9</v>
      </c>
      <c r="O81" s="64">
        <v>0</v>
      </c>
      <c r="P81" s="64">
        <v>1</v>
      </c>
      <c r="Q81" s="64">
        <v>9.41</v>
      </c>
      <c r="R81" s="198"/>
      <c r="S81" s="198"/>
      <c r="T81" s="198"/>
      <c r="U81" s="198"/>
    </row>
    <row r="82" spans="1:26" s="12" customFormat="1" x14ac:dyDescent="0.25">
      <c r="A82" s="215" t="s">
        <v>1569</v>
      </c>
      <c r="B82" s="64">
        <v>23.01</v>
      </c>
      <c r="C82" s="64">
        <v>73.72</v>
      </c>
      <c r="D82" s="64">
        <v>55.59</v>
      </c>
      <c r="E82" s="64">
        <v>6.86</v>
      </c>
      <c r="F82" s="64">
        <v>4.1100000000000003</v>
      </c>
      <c r="G82" s="64">
        <v>103.54</v>
      </c>
      <c r="H82" s="64">
        <v>51.76</v>
      </c>
      <c r="I82" s="64">
        <v>6.29</v>
      </c>
      <c r="J82" s="64">
        <v>2.13</v>
      </c>
      <c r="K82" s="64">
        <v>293.75</v>
      </c>
      <c r="L82" s="64">
        <v>14.17</v>
      </c>
      <c r="M82" s="64">
        <v>52.06</v>
      </c>
      <c r="N82" s="64">
        <v>102.7</v>
      </c>
      <c r="O82" s="64">
        <v>0</v>
      </c>
      <c r="P82" s="64">
        <v>1.1000000000000001</v>
      </c>
      <c r="Q82" s="64">
        <v>9.5</v>
      </c>
      <c r="R82" s="198"/>
      <c r="S82" s="198"/>
      <c r="T82" s="198"/>
      <c r="U82" s="198"/>
    </row>
    <row r="83" spans="1:26" s="12" customFormat="1" x14ac:dyDescent="0.25">
      <c r="A83" s="215" t="s">
        <v>1570</v>
      </c>
      <c r="B83" s="64">
        <v>31.45</v>
      </c>
      <c r="C83" s="64">
        <v>74.38</v>
      </c>
      <c r="D83" s="64">
        <v>62.71</v>
      </c>
      <c r="E83" s="64">
        <v>7.6</v>
      </c>
      <c r="F83" s="64">
        <v>4.17</v>
      </c>
      <c r="G83" s="64">
        <v>103.54</v>
      </c>
      <c r="H83" s="64">
        <v>51.76</v>
      </c>
      <c r="I83" s="64">
        <v>6.45</v>
      </c>
      <c r="J83" s="64">
        <v>2.09</v>
      </c>
      <c r="K83" s="64">
        <v>290.02999999999997</v>
      </c>
      <c r="L83" s="64">
        <v>13.78</v>
      </c>
      <c r="M83" s="64">
        <v>52.77</v>
      </c>
      <c r="N83" s="64">
        <v>102.4</v>
      </c>
      <c r="O83" s="64">
        <v>0</v>
      </c>
      <c r="P83" s="64">
        <v>1.22</v>
      </c>
      <c r="Q83" s="64">
        <v>9.59</v>
      </c>
      <c r="R83" s="198"/>
      <c r="S83" s="198"/>
      <c r="T83" s="198"/>
      <c r="U83" s="198"/>
    </row>
    <row r="84" spans="1:26" s="12" customFormat="1" x14ac:dyDescent="0.25">
      <c r="A84" s="215" t="s">
        <v>1571</v>
      </c>
      <c r="B84" s="64">
        <v>40.5</v>
      </c>
      <c r="C84" s="64">
        <v>74.58</v>
      </c>
      <c r="D84" s="64">
        <v>70.069999999999993</v>
      </c>
      <c r="E84" s="64">
        <v>7.93</v>
      </c>
      <c r="F84" s="64">
        <v>4.4400000000000004</v>
      </c>
      <c r="G84" s="64">
        <v>103.54</v>
      </c>
      <c r="H84" s="64">
        <v>51.76</v>
      </c>
      <c r="I84" s="64">
        <v>6.7</v>
      </c>
      <c r="J84" s="64">
        <v>0.5</v>
      </c>
      <c r="K84" s="64">
        <v>265.27</v>
      </c>
      <c r="L84" s="64">
        <v>13.49</v>
      </c>
      <c r="M84" s="64">
        <v>54.38</v>
      </c>
      <c r="N84" s="64">
        <v>102.3</v>
      </c>
      <c r="O84" s="64">
        <v>0</v>
      </c>
      <c r="P84" s="64">
        <v>1.61</v>
      </c>
      <c r="Q84" s="64">
        <v>9.61</v>
      </c>
      <c r="R84" s="198"/>
      <c r="S84" s="198"/>
      <c r="T84" s="198"/>
      <c r="U84" s="198"/>
    </row>
    <row r="85" spans="1:26" s="12" customFormat="1" x14ac:dyDescent="0.25">
      <c r="A85" s="215" t="s">
        <v>1572</v>
      </c>
      <c r="B85" s="64">
        <v>57.37</v>
      </c>
      <c r="C85" s="64">
        <v>74.900000000000006</v>
      </c>
      <c r="D85" s="64">
        <v>83.76</v>
      </c>
      <c r="E85" s="64">
        <v>8.94</v>
      </c>
      <c r="F85" s="64">
        <v>3.57</v>
      </c>
      <c r="G85" s="64">
        <v>118.69</v>
      </c>
      <c r="H85" s="64">
        <v>84.61</v>
      </c>
      <c r="I85" s="64">
        <v>6.96</v>
      </c>
      <c r="J85" s="64">
        <v>0.72</v>
      </c>
      <c r="K85" s="64">
        <v>256.70999999999998</v>
      </c>
      <c r="L85" s="64">
        <v>13.08</v>
      </c>
      <c r="M85" s="64">
        <v>57.61</v>
      </c>
      <c r="N85" s="64">
        <v>102.5</v>
      </c>
      <c r="O85" s="64">
        <v>0</v>
      </c>
      <c r="P85" s="64">
        <v>1.54</v>
      </c>
      <c r="Q85" s="64">
        <v>9.67</v>
      </c>
      <c r="R85" s="198"/>
      <c r="S85" s="198"/>
      <c r="T85" s="198"/>
      <c r="U85" s="198"/>
    </row>
    <row r="86" spans="1:26" s="12" customFormat="1" x14ac:dyDescent="0.25">
      <c r="A86" s="215" t="s">
        <v>1573</v>
      </c>
      <c r="B86" s="64">
        <v>71.72</v>
      </c>
      <c r="C86" s="64">
        <v>74.989999999999995</v>
      </c>
      <c r="D86" s="64">
        <v>95.31</v>
      </c>
      <c r="E86" s="64">
        <v>10.039999999999999</v>
      </c>
      <c r="F86" s="64">
        <v>4</v>
      </c>
      <c r="G86" s="64">
        <v>144.87</v>
      </c>
      <c r="H86" s="64">
        <v>119.51</v>
      </c>
      <c r="I86" s="64">
        <v>9.4600000000000009</v>
      </c>
      <c r="J86" s="64">
        <v>1.56</v>
      </c>
      <c r="K86" s="64">
        <v>132</v>
      </c>
      <c r="L86" s="64">
        <v>12.73</v>
      </c>
      <c r="M86" s="64">
        <v>61.72</v>
      </c>
      <c r="N86" s="64">
        <v>102.3</v>
      </c>
      <c r="O86" s="64">
        <v>0</v>
      </c>
      <c r="P86" s="64">
        <v>1.79</v>
      </c>
      <c r="Q86" s="64">
        <v>9.81</v>
      </c>
      <c r="R86" s="198"/>
      <c r="S86" s="198"/>
      <c r="T86" s="198"/>
      <c r="U86" s="198"/>
    </row>
    <row r="87" spans="1:26" s="12" customFormat="1" x14ac:dyDescent="0.25">
      <c r="A87" s="215" t="s">
        <v>1574</v>
      </c>
      <c r="B87" s="64">
        <v>83.02</v>
      </c>
      <c r="C87" s="64">
        <v>76.209999999999994</v>
      </c>
      <c r="D87" s="64">
        <v>105.02</v>
      </c>
      <c r="E87" s="64">
        <v>10.26</v>
      </c>
      <c r="F87" s="64">
        <v>4.37</v>
      </c>
      <c r="G87" s="64">
        <v>144.87</v>
      </c>
      <c r="H87" s="64">
        <v>119.51</v>
      </c>
      <c r="I87" s="64">
        <v>9.4</v>
      </c>
      <c r="J87" s="64">
        <v>1.55</v>
      </c>
      <c r="K87" s="64">
        <v>121.64</v>
      </c>
      <c r="L87" s="64">
        <v>12.57</v>
      </c>
      <c r="M87" s="64">
        <v>69.87</v>
      </c>
      <c r="N87" s="64">
        <v>102</v>
      </c>
      <c r="O87" s="64">
        <v>0</v>
      </c>
      <c r="P87" s="64">
        <v>1.69</v>
      </c>
      <c r="Q87" s="64">
        <v>9.9600000000000009</v>
      </c>
      <c r="R87" s="198"/>
      <c r="S87" s="198"/>
      <c r="T87" s="198"/>
      <c r="U87" s="198"/>
    </row>
    <row r="88" spans="1:26" s="12" customFormat="1" x14ac:dyDescent="0.25">
      <c r="A88" s="215" t="s">
        <v>1575</v>
      </c>
      <c r="B88" s="64">
        <v>94.3</v>
      </c>
      <c r="C88" s="64">
        <v>76.78</v>
      </c>
      <c r="D88" s="64">
        <v>114.36</v>
      </c>
      <c r="E88" s="64">
        <v>10.63</v>
      </c>
      <c r="F88" s="64">
        <v>4.29</v>
      </c>
      <c r="G88" s="64">
        <v>144.87</v>
      </c>
      <c r="H88" s="64">
        <v>119.51</v>
      </c>
      <c r="I88" s="64">
        <v>9.76</v>
      </c>
      <c r="J88" s="64">
        <v>1.7</v>
      </c>
      <c r="K88" s="64">
        <v>268.98</v>
      </c>
      <c r="L88" s="64">
        <v>12.56</v>
      </c>
      <c r="M88" s="64">
        <v>71.47</v>
      </c>
      <c r="N88" s="64">
        <v>101.8</v>
      </c>
      <c r="O88" s="64">
        <v>0</v>
      </c>
      <c r="P88" s="64">
        <v>2.0499999999999998</v>
      </c>
      <c r="Q88" s="64">
        <v>10.1</v>
      </c>
      <c r="R88" s="198"/>
      <c r="S88" s="198"/>
      <c r="T88" s="198"/>
      <c r="U88" s="198"/>
    </row>
    <row r="89" spans="1:26" s="12" customFormat="1" x14ac:dyDescent="0.25">
      <c r="A89" s="215" t="s">
        <v>1576</v>
      </c>
      <c r="B89" s="64">
        <v>102.29</v>
      </c>
      <c r="C89" s="64">
        <v>76.400000000000006</v>
      </c>
      <c r="D89" s="64">
        <v>120.57</v>
      </c>
      <c r="E89" s="64">
        <v>11.24</v>
      </c>
      <c r="F89" s="64">
        <v>4.78</v>
      </c>
      <c r="G89" s="64">
        <v>160.30000000000001</v>
      </c>
      <c r="H89" s="64">
        <v>119.52</v>
      </c>
      <c r="I89" s="64">
        <v>10.31</v>
      </c>
      <c r="J89" s="64">
        <v>2.19</v>
      </c>
      <c r="K89" s="64">
        <v>309.70999999999998</v>
      </c>
      <c r="L89" s="64">
        <v>12.45</v>
      </c>
      <c r="M89" s="64">
        <v>66.02</v>
      </c>
      <c r="N89" s="64">
        <v>101.3</v>
      </c>
      <c r="O89" s="64">
        <v>0</v>
      </c>
      <c r="P89" s="64">
        <v>1.99</v>
      </c>
      <c r="Q89" s="64">
        <v>10.25</v>
      </c>
      <c r="R89" s="198"/>
      <c r="S89" s="198"/>
      <c r="T89" s="198"/>
      <c r="U89" s="198"/>
    </row>
    <row r="90" spans="1:26" s="12" customFormat="1" x14ac:dyDescent="0.25">
      <c r="A90" s="215" t="s">
        <v>1577</v>
      </c>
      <c r="B90" s="64">
        <v>109.26</v>
      </c>
      <c r="C90" s="64">
        <v>75.41</v>
      </c>
      <c r="D90" s="64">
        <v>125.64</v>
      </c>
      <c r="E90" s="64">
        <v>11.9</v>
      </c>
      <c r="F90" s="64">
        <v>4.4800000000000004</v>
      </c>
      <c r="G90" s="64">
        <v>186.96</v>
      </c>
      <c r="H90" s="64">
        <v>119.56</v>
      </c>
      <c r="I90" s="64">
        <v>10.43</v>
      </c>
      <c r="J90" s="64">
        <v>2.0499999999999998</v>
      </c>
      <c r="K90" s="64">
        <v>342.78</v>
      </c>
      <c r="L90" s="64">
        <v>12.18</v>
      </c>
      <c r="M90" s="64">
        <v>70.16</v>
      </c>
      <c r="N90" s="64">
        <v>101.4</v>
      </c>
      <c r="O90" s="64">
        <v>0</v>
      </c>
      <c r="P90" s="64">
        <v>2.39</v>
      </c>
      <c r="Q90" s="64">
        <v>10.34</v>
      </c>
      <c r="R90" s="198"/>
      <c r="S90" s="198"/>
      <c r="T90" s="198"/>
      <c r="U90" s="198"/>
    </row>
    <row r="91" spans="1:26" s="12" customFormat="1" x14ac:dyDescent="0.25">
      <c r="A91" s="215" t="s">
        <v>1578</v>
      </c>
      <c r="B91" s="64">
        <v>118.2</v>
      </c>
      <c r="C91" s="64">
        <v>74.88</v>
      </c>
      <c r="D91" s="64">
        <v>132.54</v>
      </c>
      <c r="E91" s="64">
        <v>12.66</v>
      </c>
      <c r="F91" s="64">
        <v>4.9000000000000004</v>
      </c>
      <c r="G91" s="64">
        <v>186.96</v>
      </c>
      <c r="H91" s="64">
        <v>119.56</v>
      </c>
      <c r="I91" s="64">
        <v>11.17</v>
      </c>
      <c r="J91" s="64">
        <v>2.2599999999999998</v>
      </c>
      <c r="K91" s="64">
        <v>301.13</v>
      </c>
      <c r="L91" s="64">
        <v>11.94</v>
      </c>
      <c r="M91" s="64">
        <v>70.260000000000005</v>
      </c>
      <c r="N91" s="64">
        <v>101</v>
      </c>
      <c r="O91" s="64">
        <v>0</v>
      </c>
      <c r="P91" s="64">
        <v>2.15</v>
      </c>
      <c r="Q91" s="64">
        <v>10.41</v>
      </c>
      <c r="R91" s="198"/>
      <c r="S91" s="198"/>
      <c r="T91" s="198"/>
      <c r="U91" s="198"/>
    </row>
    <row r="92" spans="1:26" s="12" customFormat="1" x14ac:dyDescent="0.25">
      <c r="A92" s="215" t="s">
        <v>1579</v>
      </c>
      <c r="B92" s="64">
        <v>127.93</v>
      </c>
      <c r="C92" s="64">
        <v>74.98</v>
      </c>
      <c r="D92" s="64">
        <v>140.38999999999999</v>
      </c>
      <c r="E92" s="64">
        <v>13.32</v>
      </c>
      <c r="F92" s="64">
        <v>5.1100000000000003</v>
      </c>
      <c r="G92" s="64">
        <v>186.96</v>
      </c>
      <c r="H92" s="64">
        <v>119.56</v>
      </c>
      <c r="I92" s="64">
        <v>11.58</v>
      </c>
      <c r="J92" s="64">
        <v>1.9</v>
      </c>
      <c r="K92" s="64">
        <v>321.36</v>
      </c>
      <c r="L92" s="64">
        <v>11.97</v>
      </c>
      <c r="M92" s="64">
        <v>66.2</v>
      </c>
      <c r="N92" s="64">
        <v>100.8</v>
      </c>
      <c r="O92" s="64">
        <v>0</v>
      </c>
      <c r="P92" s="64">
        <v>2.2200000000000002</v>
      </c>
      <c r="Q92" s="64">
        <v>10.61</v>
      </c>
      <c r="R92" s="198"/>
      <c r="S92" s="198"/>
      <c r="T92" s="198"/>
      <c r="U92" s="198"/>
    </row>
    <row r="93" spans="1:26" s="12" customFormat="1" x14ac:dyDescent="0.25">
      <c r="A93" s="215" t="s">
        <v>1580</v>
      </c>
      <c r="B93" s="64">
        <v>136.9</v>
      </c>
      <c r="C93" s="64">
        <v>75.12</v>
      </c>
      <c r="D93" s="64">
        <v>147.65</v>
      </c>
      <c r="E93" s="64">
        <v>13.93</v>
      </c>
      <c r="F93" s="64">
        <v>5.16</v>
      </c>
      <c r="G93" s="64">
        <v>201.99</v>
      </c>
      <c r="H93" s="64">
        <v>128.97</v>
      </c>
      <c r="I93" s="64">
        <v>11.17</v>
      </c>
      <c r="J93" s="64">
        <v>1.82</v>
      </c>
      <c r="K93" s="64">
        <v>329.41</v>
      </c>
      <c r="L93" s="64">
        <v>11.89</v>
      </c>
      <c r="M93" s="64">
        <v>62.66</v>
      </c>
      <c r="N93" s="64">
        <v>100.7</v>
      </c>
      <c r="O93" s="64">
        <v>0</v>
      </c>
      <c r="P93" s="64">
        <v>2.46</v>
      </c>
      <c r="Q93" s="64">
        <v>10.75</v>
      </c>
      <c r="R93" s="198"/>
      <c r="S93" s="198"/>
      <c r="T93" s="198"/>
      <c r="U93" s="198"/>
    </row>
    <row r="94" spans="1:26" s="12" customFormat="1" x14ac:dyDescent="0.25">
      <c r="A94" s="215" t="s">
        <v>1581</v>
      </c>
      <c r="B94" s="64">
        <v>143.61000000000001</v>
      </c>
      <c r="C94" s="64">
        <v>75.400000000000006</v>
      </c>
      <c r="D94" s="64">
        <v>153.18</v>
      </c>
      <c r="E94" s="64">
        <v>14.59</v>
      </c>
      <c r="F94" s="64">
        <v>5.97</v>
      </c>
      <c r="G94" s="64">
        <v>227.95</v>
      </c>
      <c r="H94" s="64">
        <v>138.96</v>
      </c>
      <c r="I94" s="64">
        <v>10.96</v>
      </c>
      <c r="J94" s="64">
        <v>1.59</v>
      </c>
      <c r="K94" s="64">
        <v>5.75</v>
      </c>
      <c r="L94" s="64">
        <v>11.61</v>
      </c>
      <c r="M94" s="64">
        <v>64.89</v>
      </c>
      <c r="N94" s="64">
        <v>100.4</v>
      </c>
      <c r="O94" s="64">
        <v>0</v>
      </c>
      <c r="P94" s="64">
        <v>2.5499999999999998</v>
      </c>
      <c r="Q94" s="64">
        <v>10.82</v>
      </c>
      <c r="R94" s="198"/>
      <c r="S94" s="198"/>
      <c r="T94" s="198"/>
      <c r="U94" s="198"/>
    </row>
    <row r="95" spans="1:26" s="12" customFormat="1" x14ac:dyDescent="0.25">
      <c r="A95" s="215" t="s">
        <v>1582</v>
      </c>
      <c r="B95" s="64">
        <v>159.13999999999999</v>
      </c>
      <c r="C95" s="64">
        <v>76.12</v>
      </c>
      <c r="D95" s="64">
        <v>166.01</v>
      </c>
      <c r="E95" s="64">
        <v>14.84</v>
      </c>
      <c r="F95" s="64">
        <v>5.71</v>
      </c>
      <c r="G95" s="64">
        <v>227.95</v>
      </c>
      <c r="H95" s="64">
        <v>138.96</v>
      </c>
      <c r="I95" s="64">
        <v>11.7</v>
      </c>
      <c r="J95" s="64">
        <v>2.2400000000000002</v>
      </c>
      <c r="K95" s="64">
        <v>96.86</v>
      </c>
      <c r="L95" s="64">
        <v>11.51</v>
      </c>
      <c r="M95" s="64">
        <v>69.38</v>
      </c>
      <c r="N95" s="64">
        <v>99.9</v>
      </c>
      <c r="O95" s="64">
        <v>0</v>
      </c>
      <c r="P95" s="64">
        <v>2.72</v>
      </c>
      <c r="Q95" s="64">
        <v>10.98</v>
      </c>
      <c r="R95" s="198"/>
      <c r="S95" s="198"/>
      <c r="T95" s="198"/>
      <c r="U95" s="198"/>
    </row>
    <row r="96" spans="1:26" s="12" customFormat="1" x14ac:dyDescent="0.25">
      <c r="A96" s="215" t="s">
        <v>1583</v>
      </c>
      <c r="B96" s="64">
        <v>179.94</v>
      </c>
      <c r="C96" s="64">
        <v>77.53</v>
      </c>
      <c r="D96" s="64">
        <v>183.43</v>
      </c>
      <c r="E96" s="64">
        <v>16.09</v>
      </c>
      <c r="F96" s="64">
        <v>5.28</v>
      </c>
      <c r="G96" s="64">
        <v>227.95</v>
      </c>
      <c r="H96" s="64">
        <v>138.96</v>
      </c>
      <c r="I96" s="64">
        <v>11.88</v>
      </c>
      <c r="J96" s="64">
        <v>0.83</v>
      </c>
      <c r="K96" s="64">
        <v>94.46</v>
      </c>
      <c r="L96" s="64">
        <v>11.23</v>
      </c>
      <c r="M96" s="64">
        <v>70.930000000000007</v>
      </c>
      <c r="N96" s="64">
        <v>99.8</v>
      </c>
      <c r="O96" s="64">
        <v>0</v>
      </c>
      <c r="P96" s="64">
        <v>2.87</v>
      </c>
      <c r="Q96" s="64">
        <v>11.13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1584</v>
      </c>
      <c r="B97" s="64">
        <v>199.96</v>
      </c>
      <c r="C97" s="64">
        <v>78.64</v>
      </c>
      <c r="D97" s="64">
        <v>200.07</v>
      </c>
      <c r="E97" s="64">
        <v>16.260000000000002</v>
      </c>
      <c r="F97" s="64">
        <v>5.76</v>
      </c>
      <c r="G97" s="64">
        <v>241.25</v>
      </c>
      <c r="H97" s="64">
        <v>151.05000000000001</v>
      </c>
      <c r="I97" s="64">
        <v>12.27</v>
      </c>
      <c r="J97" s="64">
        <v>1.98</v>
      </c>
      <c r="K97" s="64">
        <v>274.83999999999997</v>
      </c>
      <c r="L97" s="64">
        <v>11.12</v>
      </c>
      <c r="M97" s="64">
        <v>69.89</v>
      </c>
      <c r="N97" s="64">
        <v>99.3</v>
      </c>
      <c r="O97" s="64">
        <v>0</v>
      </c>
      <c r="P97" s="64">
        <v>2.97</v>
      </c>
      <c r="Q97" s="64">
        <v>11.28</v>
      </c>
      <c r="R97" s="198"/>
      <c r="S97" s="198"/>
      <c r="T97" s="198"/>
      <c r="U97" s="198"/>
    </row>
    <row r="98" spans="1:33" s="12" customFormat="1" x14ac:dyDescent="0.25">
      <c r="A98" s="215" t="s">
        <v>1585</v>
      </c>
      <c r="B98" s="64">
        <v>212.07</v>
      </c>
      <c r="C98" s="64">
        <v>79.319999999999993</v>
      </c>
      <c r="D98" s="64">
        <v>210.13</v>
      </c>
      <c r="E98" s="64">
        <v>15.64</v>
      </c>
      <c r="F98" s="64">
        <v>5.54</v>
      </c>
      <c r="G98" s="64">
        <v>264.20999999999998</v>
      </c>
      <c r="H98" s="64">
        <v>163.5</v>
      </c>
      <c r="I98" s="64">
        <v>12.68</v>
      </c>
      <c r="J98" s="64">
        <v>2.31</v>
      </c>
      <c r="K98" s="64">
        <v>279.26</v>
      </c>
      <c r="L98" s="64">
        <v>10.87</v>
      </c>
      <c r="M98" s="64">
        <v>70.73</v>
      </c>
      <c r="N98" s="64">
        <v>98.9</v>
      </c>
      <c r="O98" s="64">
        <v>0</v>
      </c>
      <c r="P98" s="64">
        <v>3.05</v>
      </c>
      <c r="Q98" s="64">
        <v>11.36</v>
      </c>
      <c r="R98" s="198"/>
      <c r="S98" s="198"/>
      <c r="T98" s="198"/>
      <c r="U98" s="198"/>
    </row>
    <row r="99" spans="1:33" s="12" customFormat="1" x14ac:dyDescent="0.25">
      <c r="A99" s="215" t="s">
        <v>1586</v>
      </c>
      <c r="B99" s="64">
        <v>217.31</v>
      </c>
      <c r="C99" s="64">
        <v>79.05</v>
      </c>
      <c r="D99" s="64">
        <v>214.19</v>
      </c>
      <c r="E99" s="64">
        <v>15.75</v>
      </c>
      <c r="F99" s="64">
        <v>5.42</v>
      </c>
      <c r="G99" s="64">
        <v>264.20999999999998</v>
      </c>
      <c r="H99" s="64">
        <v>163.5</v>
      </c>
      <c r="I99" s="64">
        <v>13</v>
      </c>
      <c r="J99" s="64">
        <v>2.11</v>
      </c>
      <c r="K99" s="64">
        <v>290.55</v>
      </c>
      <c r="L99" s="64">
        <v>11.1</v>
      </c>
      <c r="M99" s="64">
        <v>70.83</v>
      </c>
      <c r="N99" s="64">
        <v>98.8</v>
      </c>
      <c r="O99" s="64">
        <v>0</v>
      </c>
      <c r="P99" s="64">
        <v>3.12</v>
      </c>
      <c r="Q99" s="64">
        <v>11.46</v>
      </c>
      <c r="R99" s="198"/>
      <c r="S99" s="198"/>
      <c r="T99" s="198"/>
      <c r="U99" s="198"/>
    </row>
    <row r="100" spans="1:33" s="12" customFormat="1" x14ac:dyDescent="0.25">
      <c r="A100" s="215" t="s">
        <v>1587</v>
      </c>
      <c r="B100" s="64">
        <v>220.36</v>
      </c>
      <c r="C100" s="64">
        <v>78.63</v>
      </c>
      <c r="D100" s="64">
        <v>216.41</v>
      </c>
      <c r="E100" s="64">
        <v>15.56</v>
      </c>
      <c r="F100" s="64">
        <v>5.64</v>
      </c>
      <c r="G100" s="64">
        <v>264.20999999999998</v>
      </c>
      <c r="H100" s="64">
        <v>163.5</v>
      </c>
      <c r="I100" s="64">
        <v>13.19</v>
      </c>
      <c r="J100" s="64">
        <v>2.12</v>
      </c>
      <c r="K100" s="64">
        <v>287.12</v>
      </c>
      <c r="L100" s="64">
        <v>10.79</v>
      </c>
      <c r="M100" s="64">
        <v>73.16</v>
      </c>
      <c r="N100" s="64">
        <v>99.1</v>
      </c>
      <c r="O100" s="64">
        <v>0</v>
      </c>
      <c r="P100" s="64">
        <v>3.2</v>
      </c>
      <c r="Q100" s="64">
        <v>11.5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1588</v>
      </c>
      <c r="B101" s="64">
        <v>218.85</v>
      </c>
      <c r="C101" s="64">
        <v>76.88</v>
      </c>
      <c r="D101" s="64">
        <v>214.29</v>
      </c>
      <c r="E101" s="64">
        <v>15.27</v>
      </c>
      <c r="F101" s="64">
        <v>5.88</v>
      </c>
      <c r="G101" s="64">
        <v>264.08999999999997</v>
      </c>
      <c r="H101" s="64">
        <v>154.03</v>
      </c>
      <c r="I101" s="64">
        <v>13.34</v>
      </c>
      <c r="J101" s="64">
        <v>1.67</v>
      </c>
      <c r="K101" s="64">
        <v>259.32</v>
      </c>
      <c r="L101" s="64">
        <v>10.68</v>
      </c>
      <c r="M101" s="64">
        <v>71.930000000000007</v>
      </c>
      <c r="N101" s="64">
        <v>98.9</v>
      </c>
      <c r="O101" s="64">
        <v>0</v>
      </c>
      <c r="P101" s="64">
        <v>3.22</v>
      </c>
      <c r="Q101" s="64">
        <v>11.49</v>
      </c>
      <c r="R101" s="198"/>
      <c r="S101" s="198"/>
      <c r="T101" s="198"/>
      <c r="U101" s="198"/>
    </row>
    <row r="102" spans="1:33" s="12" customFormat="1" x14ac:dyDescent="0.25">
      <c r="A102" s="215" t="s">
        <v>1589</v>
      </c>
      <c r="B102" s="64">
        <v>215.43</v>
      </c>
      <c r="C102" s="64">
        <v>75.41</v>
      </c>
      <c r="D102" s="64">
        <v>210.78</v>
      </c>
      <c r="E102" s="64">
        <v>15.24</v>
      </c>
      <c r="F102" s="64">
        <v>5.34</v>
      </c>
      <c r="G102" s="64">
        <v>263.88</v>
      </c>
      <c r="H102" s="64">
        <v>143.97999999999999</v>
      </c>
      <c r="I102" s="64">
        <v>13.5</v>
      </c>
      <c r="J102" s="64">
        <v>2.2599999999999998</v>
      </c>
      <c r="K102" s="64">
        <v>289.58</v>
      </c>
      <c r="L102" s="64">
        <v>10.44</v>
      </c>
      <c r="M102" s="64">
        <v>75.63</v>
      </c>
      <c r="N102" s="64">
        <v>98.9</v>
      </c>
      <c r="O102" s="64">
        <v>0</v>
      </c>
      <c r="P102" s="64">
        <v>3.21</v>
      </c>
      <c r="Q102" s="64">
        <v>11.48</v>
      </c>
      <c r="R102" s="198"/>
      <c r="S102" s="198"/>
      <c r="T102" s="198"/>
      <c r="U102" s="198"/>
    </row>
    <row r="103" spans="1:33" s="12" customFormat="1" x14ac:dyDescent="0.25">
      <c r="A103" s="215" t="s">
        <v>1590</v>
      </c>
      <c r="B103" s="64">
        <v>212.06</v>
      </c>
      <c r="C103" s="64">
        <v>73.650000000000006</v>
      </c>
      <c r="D103" s="64">
        <v>207.16</v>
      </c>
      <c r="E103" s="64">
        <v>14.43</v>
      </c>
      <c r="F103" s="64">
        <v>5.22</v>
      </c>
      <c r="G103" s="64">
        <v>263.88</v>
      </c>
      <c r="H103" s="64">
        <v>143.97999999999999</v>
      </c>
      <c r="I103" s="64">
        <v>13.55</v>
      </c>
      <c r="J103" s="64">
        <v>0.52</v>
      </c>
      <c r="K103" s="64">
        <v>55.51</v>
      </c>
      <c r="L103" s="64">
        <v>10.27</v>
      </c>
      <c r="M103" s="64">
        <v>79.58</v>
      </c>
      <c r="N103" s="64">
        <v>98.6</v>
      </c>
      <c r="O103" s="64">
        <v>0</v>
      </c>
      <c r="P103" s="64">
        <v>3.18</v>
      </c>
      <c r="Q103" s="64">
        <v>11.48</v>
      </c>
      <c r="R103" s="198"/>
      <c r="S103" s="198"/>
      <c r="T103" s="198"/>
      <c r="U103" s="198"/>
    </row>
    <row r="104" spans="1:33" s="12" customFormat="1" x14ac:dyDescent="0.25">
      <c r="A104" s="215" t="s">
        <v>1591</v>
      </c>
      <c r="B104" s="64">
        <v>208.75</v>
      </c>
      <c r="C104" s="64">
        <v>71.33</v>
      </c>
      <c r="D104" s="64">
        <v>203.29</v>
      </c>
      <c r="E104" s="64">
        <v>13.06</v>
      </c>
      <c r="F104" s="64">
        <v>5.63</v>
      </c>
      <c r="G104" s="64">
        <v>263.88</v>
      </c>
      <c r="H104" s="64">
        <v>143.97999999999999</v>
      </c>
      <c r="I104" s="64">
        <v>13.49</v>
      </c>
      <c r="J104" s="64">
        <v>1.1399999999999999</v>
      </c>
      <c r="K104" s="64">
        <v>144.61000000000001</v>
      </c>
      <c r="L104" s="64">
        <v>10.28</v>
      </c>
      <c r="M104" s="64">
        <v>78.41</v>
      </c>
      <c r="N104" s="64">
        <v>98.6</v>
      </c>
      <c r="O104" s="64">
        <v>0</v>
      </c>
      <c r="P104" s="64">
        <v>3.16</v>
      </c>
      <c r="Q104" s="64">
        <v>11.52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2.2200000000000002</v>
      </c>
      <c r="C106" s="67">
        <f>MIN(C9:C104)</f>
        <v>52.96</v>
      </c>
      <c r="D106" s="67">
        <f t="shared" ref="D106:Q106" si="0">MIN(D9:D104)</f>
        <v>30.01</v>
      </c>
      <c r="E106" s="67">
        <f t="shared" si="0"/>
        <v>5.07</v>
      </c>
      <c r="F106" s="67">
        <f t="shared" si="0"/>
        <v>3.43</v>
      </c>
      <c r="G106" s="67">
        <f t="shared" si="0"/>
        <v>60.04</v>
      </c>
      <c r="H106" s="67">
        <f t="shared" si="0"/>
        <v>2.33</v>
      </c>
      <c r="I106" s="67">
        <f t="shared" si="0"/>
        <v>3.78</v>
      </c>
      <c r="J106" s="67">
        <f t="shared" si="0"/>
        <v>0.48</v>
      </c>
      <c r="K106" s="67">
        <f t="shared" si="0"/>
        <v>0.28000000000000003</v>
      </c>
      <c r="L106" s="67">
        <f t="shared" si="0"/>
        <v>9.32</v>
      </c>
      <c r="M106" s="67">
        <f t="shared" si="0"/>
        <v>17.440000000000001</v>
      </c>
      <c r="N106" s="67">
        <f t="shared" si="0"/>
        <v>84</v>
      </c>
      <c r="O106" s="67">
        <f t="shared" si="0"/>
        <v>0</v>
      </c>
      <c r="P106" s="67">
        <f t="shared" si="0"/>
        <v>0.61</v>
      </c>
      <c r="Q106" s="67">
        <f t="shared" si="0"/>
        <v>8.2100000000000009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220.36</v>
      </c>
      <c r="C107" s="66">
        <f t="shared" ref="C107:Q107" si="1">MAX(C9:C104)</f>
        <v>79.319999999999993</v>
      </c>
      <c r="D107" s="66">
        <f t="shared" si="1"/>
        <v>216.41</v>
      </c>
      <c r="E107" s="66">
        <f t="shared" si="1"/>
        <v>16.260000000000002</v>
      </c>
      <c r="F107" s="66">
        <f t="shared" si="1"/>
        <v>5.97</v>
      </c>
      <c r="G107" s="66">
        <f t="shared" si="1"/>
        <v>264.20999999999998</v>
      </c>
      <c r="H107" s="66">
        <f t="shared" si="1"/>
        <v>163.5</v>
      </c>
      <c r="I107" s="66">
        <f t="shared" si="1"/>
        <v>13.55</v>
      </c>
      <c r="J107" s="66">
        <f t="shared" si="1"/>
        <v>3.22</v>
      </c>
      <c r="K107" s="66">
        <f t="shared" si="1"/>
        <v>357.98</v>
      </c>
      <c r="L107" s="66">
        <f t="shared" si="1"/>
        <v>25.46</v>
      </c>
      <c r="M107" s="66">
        <f t="shared" si="1"/>
        <v>79.58</v>
      </c>
      <c r="N107" s="66">
        <f t="shared" si="1"/>
        <v>845.3</v>
      </c>
      <c r="O107" s="66">
        <f t="shared" si="1"/>
        <v>0</v>
      </c>
      <c r="P107" s="66">
        <f t="shared" si="1"/>
        <v>3.22</v>
      </c>
      <c r="Q107" s="66">
        <f t="shared" si="1"/>
        <v>12.04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45.986041666666665</v>
      </c>
      <c r="C108" s="67">
        <f t="shared" ref="C108:Q108" si="2">AVERAGE(C9:C104)</f>
        <v>62.487291666666643</v>
      </c>
      <c r="D108" s="67">
        <f t="shared" si="2"/>
        <v>68.147812500000001</v>
      </c>
      <c r="E108" s="67">
        <f t="shared" si="2"/>
        <v>7.8949999999999996</v>
      </c>
      <c r="F108" s="67">
        <f t="shared" si="2"/>
        <v>4.5194791666666667</v>
      </c>
      <c r="G108" s="67">
        <f t="shared" si="2"/>
        <v>105.68833333333328</v>
      </c>
      <c r="H108" s="67">
        <f t="shared" si="2"/>
        <v>68.04440000000001</v>
      </c>
      <c r="I108" s="67">
        <f t="shared" si="2"/>
        <v>6.8354166666666645</v>
      </c>
      <c r="J108" s="67">
        <f t="shared" si="2"/>
        <v>1.9494791666666667</v>
      </c>
      <c r="K108" s="67">
        <f t="shared" si="2"/>
        <v>266.24593749999991</v>
      </c>
      <c r="L108" s="67">
        <f t="shared" si="2"/>
        <v>15.083333333333341</v>
      </c>
      <c r="M108" s="67">
        <f t="shared" si="2"/>
        <v>43.673541666666644</v>
      </c>
      <c r="N108" s="67">
        <f t="shared" si="2"/>
        <v>259.44270833333331</v>
      </c>
      <c r="O108" s="67">
        <f t="shared" si="2"/>
        <v>0</v>
      </c>
      <c r="P108" s="67">
        <f t="shared" si="2"/>
        <v>1.2547916666666663</v>
      </c>
      <c r="Q108" s="67">
        <f t="shared" si="2"/>
        <v>9.8210416666666696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63.741213693449836</v>
      </c>
      <c r="C109" s="67">
        <f t="shared" ref="C109:Q109" si="3">STDEV(C9:C104)</f>
        <v>8.5267970761122172</v>
      </c>
      <c r="D109" s="67">
        <f t="shared" si="3"/>
        <v>54.59904965826351</v>
      </c>
      <c r="E109" s="67">
        <f t="shared" si="3"/>
        <v>3.1045501411552969</v>
      </c>
      <c r="F109" s="67">
        <f t="shared" si="3"/>
        <v>0.67844771708995077</v>
      </c>
      <c r="G109" s="67">
        <f t="shared" si="3"/>
        <v>62.161077323636327</v>
      </c>
      <c r="H109" s="67">
        <f t="shared" si="3"/>
        <v>58.093448510453676</v>
      </c>
      <c r="I109" s="67">
        <f t="shared" si="3"/>
        <v>2.8619746281072849</v>
      </c>
      <c r="J109" s="67">
        <f t="shared" si="3"/>
        <v>0.69384871670030968</v>
      </c>
      <c r="K109" s="67">
        <f t="shared" si="3"/>
        <v>115.93922142387794</v>
      </c>
      <c r="L109" s="67">
        <f t="shared" si="3"/>
        <v>4.8798573462036883</v>
      </c>
      <c r="M109" s="67">
        <f t="shared" si="3"/>
        <v>17.41079683047079</v>
      </c>
      <c r="N109" s="67">
        <f t="shared" si="3"/>
        <v>265.72465675851362</v>
      </c>
      <c r="O109" s="67">
        <f t="shared" si="3"/>
        <v>0</v>
      </c>
      <c r="P109" s="67">
        <f t="shared" si="3"/>
        <v>0.79865805760817166</v>
      </c>
      <c r="Q109" s="67">
        <f t="shared" si="3"/>
        <v>1.1505865590317432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COUNT(H9:H104)+46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247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15/12/2024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231</v>
      </c>
      <c r="C7" s="198" t="s">
        <v>232</v>
      </c>
      <c r="D7" s="198" t="s">
        <v>233</v>
      </c>
      <c r="E7" s="198" t="s">
        <v>234</v>
      </c>
      <c r="F7" s="198" t="s">
        <v>235</v>
      </c>
      <c r="G7" s="198" t="s">
        <v>236</v>
      </c>
      <c r="H7" s="198" t="s">
        <v>237</v>
      </c>
      <c r="I7" s="198" t="s">
        <v>238</v>
      </c>
      <c r="J7" s="198" t="s">
        <v>239</v>
      </c>
      <c r="K7" s="198" t="s">
        <v>240</v>
      </c>
      <c r="L7" s="198" t="s">
        <v>241</v>
      </c>
      <c r="M7" s="198" t="s">
        <v>242</v>
      </c>
      <c r="N7" s="198" t="s">
        <v>243</v>
      </c>
      <c r="O7" s="198" t="s">
        <v>244</v>
      </c>
      <c r="P7" s="198" t="s">
        <v>245</v>
      </c>
      <c r="Q7" s="198" t="s">
        <v>246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1592</v>
      </c>
      <c r="B9" s="64">
        <v>203.8</v>
      </c>
      <c r="C9" s="64">
        <v>69.5</v>
      </c>
      <c r="D9" s="64">
        <v>198.36</v>
      </c>
      <c r="E9" s="64">
        <v>13.5</v>
      </c>
      <c r="F9" s="64">
        <v>5.23</v>
      </c>
      <c r="G9" s="64">
        <v>249.63</v>
      </c>
      <c r="H9" s="64">
        <v>134.05000000000001</v>
      </c>
      <c r="I9" s="64">
        <v>13.38</v>
      </c>
      <c r="J9" s="64">
        <v>0.75</v>
      </c>
      <c r="K9" s="64">
        <v>81.7</v>
      </c>
      <c r="L9" s="64">
        <v>10.27</v>
      </c>
      <c r="M9" s="64">
        <v>71.42</v>
      </c>
      <c r="N9" s="64">
        <v>98.4</v>
      </c>
      <c r="O9" s="64">
        <v>0</v>
      </c>
      <c r="P9" s="64">
        <v>3.12</v>
      </c>
      <c r="Q9" s="64">
        <v>11.5</v>
      </c>
      <c r="R9" s="198"/>
      <c r="S9" s="198"/>
      <c r="T9" s="198"/>
      <c r="U9" s="198"/>
    </row>
    <row r="10" spans="1:21" s="12" customFormat="1" x14ac:dyDescent="0.25">
      <c r="A10" s="215" t="s">
        <v>1593</v>
      </c>
      <c r="B10" s="64">
        <v>199.09</v>
      </c>
      <c r="C10" s="64">
        <v>67.83</v>
      </c>
      <c r="D10" s="64">
        <v>193.71</v>
      </c>
      <c r="E10" s="64">
        <v>13.18</v>
      </c>
      <c r="F10" s="64">
        <v>5.38</v>
      </c>
      <c r="G10" s="64">
        <v>225.03</v>
      </c>
      <c r="H10" s="64">
        <v>103.37</v>
      </c>
      <c r="I10" s="64">
        <v>13.29</v>
      </c>
      <c r="J10" s="64">
        <v>1.59</v>
      </c>
      <c r="K10" s="64">
        <v>65.13</v>
      </c>
      <c r="L10" s="64">
        <v>10.56</v>
      </c>
      <c r="M10" s="64">
        <v>59.99</v>
      </c>
      <c r="N10" s="64">
        <v>98.1</v>
      </c>
      <c r="O10" s="64">
        <v>0</v>
      </c>
      <c r="P10" s="64">
        <v>3.07</v>
      </c>
      <c r="Q10" s="64">
        <v>11.43</v>
      </c>
      <c r="R10" s="198"/>
      <c r="S10" s="198"/>
      <c r="T10" s="198"/>
      <c r="U10" s="198"/>
    </row>
    <row r="11" spans="1:21" s="12" customFormat="1" x14ac:dyDescent="0.25">
      <c r="A11" s="215" t="s">
        <v>1594</v>
      </c>
      <c r="B11" s="64">
        <v>191.41</v>
      </c>
      <c r="C11" s="64">
        <v>66.94</v>
      </c>
      <c r="D11" s="64">
        <v>187.1</v>
      </c>
      <c r="E11" s="64">
        <v>13.13</v>
      </c>
      <c r="F11" s="64">
        <v>5.17</v>
      </c>
      <c r="G11" s="64">
        <v>225.03</v>
      </c>
      <c r="H11" s="64">
        <v>103.37</v>
      </c>
      <c r="I11" s="64">
        <v>13.11</v>
      </c>
      <c r="J11" s="64">
        <v>0.82</v>
      </c>
      <c r="K11" s="64">
        <v>357.13</v>
      </c>
      <c r="L11" s="64">
        <v>11.26</v>
      </c>
      <c r="M11" s="64">
        <v>49.98</v>
      </c>
      <c r="N11" s="64">
        <v>97.6</v>
      </c>
      <c r="O11" s="64">
        <v>0</v>
      </c>
      <c r="P11" s="64">
        <v>2.99</v>
      </c>
      <c r="Q11" s="64">
        <v>11.38</v>
      </c>
      <c r="R11" s="198"/>
      <c r="S11" s="198"/>
      <c r="T11" s="198"/>
      <c r="U11" s="198"/>
    </row>
    <row r="12" spans="1:21" s="12" customFormat="1" x14ac:dyDescent="0.25">
      <c r="A12" s="215" t="s">
        <v>1595</v>
      </c>
      <c r="B12" s="64">
        <v>181.69</v>
      </c>
      <c r="C12" s="64">
        <v>66.27</v>
      </c>
      <c r="D12" s="64">
        <v>178.95</v>
      </c>
      <c r="E12" s="64">
        <v>11.7</v>
      </c>
      <c r="F12" s="64">
        <v>5</v>
      </c>
      <c r="G12" s="64">
        <v>225.03</v>
      </c>
      <c r="H12" s="64">
        <v>103.37</v>
      </c>
      <c r="I12" s="64">
        <v>12.88</v>
      </c>
      <c r="J12" s="64">
        <v>1.74</v>
      </c>
      <c r="K12" s="64">
        <v>302.10000000000002</v>
      </c>
      <c r="L12" s="64">
        <v>11.38</v>
      </c>
      <c r="M12" s="64">
        <v>47.36</v>
      </c>
      <c r="N12" s="64">
        <v>97.7</v>
      </c>
      <c r="O12" s="64">
        <v>0</v>
      </c>
      <c r="P12" s="64">
        <v>2.95</v>
      </c>
      <c r="Q12" s="64">
        <v>11.27</v>
      </c>
      <c r="R12" s="198"/>
      <c r="S12" s="198"/>
      <c r="T12" s="198"/>
      <c r="U12" s="198"/>
    </row>
    <row r="13" spans="1:21" s="12" customFormat="1" x14ac:dyDescent="0.25">
      <c r="A13" s="215" t="s">
        <v>1596</v>
      </c>
      <c r="B13" s="64">
        <v>170.92</v>
      </c>
      <c r="C13" s="64">
        <v>65.239999999999995</v>
      </c>
      <c r="D13" s="64">
        <v>169.78</v>
      </c>
      <c r="E13" s="64">
        <v>11.26</v>
      </c>
      <c r="F13" s="64">
        <v>4.93</v>
      </c>
      <c r="G13" s="64">
        <v>200.69</v>
      </c>
      <c r="H13" s="64">
        <v>54</v>
      </c>
      <c r="I13" s="64">
        <v>12.53</v>
      </c>
      <c r="J13" s="64">
        <v>1.22</v>
      </c>
      <c r="K13" s="64">
        <v>359.38</v>
      </c>
      <c r="L13" s="64">
        <v>11.44</v>
      </c>
      <c r="M13" s="64">
        <v>45.68</v>
      </c>
      <c r="N13" s="64">
        <v>97.8</v>
      </c>
      <c r="O13" s="64">
        <v>0</v>
      </c>
      <c r="P13" s="64">
        <v>2.52</v>
      </c>
      <c r="Q13" s="64">
        <v>11.11</v>
      </c>
      <c r="R13" s="198"/>
      <c r="S13" s="198"/>
      <c r="T13" s="198"/>
      <c r="U13" s="198"/>
    </row>
    <row r="14" spans="1:21" s="12" customFormat="1" x14ac:dyDescent="0.25">
      <c r="A14" s="215" t="s">
        <v>1597</v>
      </c>
      <c r="B14" s="64">
        <v>159.72</v>
      </c>
      <c r="C14" s="64">
        <v>64.06</v>
      </c>
      <c r="D14" s="64">
        <v>160.16999999999999</v>
      </c>
      <c r="E14" s="64">
        <v>10.47</v>
      </c>
      <c r="F14" s="64">
        <v>4.74</v>
      </c>
      <c r="G14" s="64">
        <v>158.66</v>
      </c>
      <c r="H14" s="213" t="s">
        <v>42</v>
      </c>
      <c r="I14" s="64">
        <v>12.56</v>
      </c>
      <c r="J14" s="64">
        <v>1.27</v>
      </c>
      <c r="K14" s="64">
        <v>350.24</v>
      </c>
      <c r="L14" s="64">
        <v>11.49</v>
      </c>
      <c r="M14" s="64">
        <v>44.94</v>
      </c>
      <c r="N14" s="64">
        <v>98.2</v>
      </c>
      <c r="O14" s="64">
        <v>0</v>
      </c>
      <c r="P14" s="64">
        <v>2.5</v>
      </c>
      <c r="Q14" s="64">
        <v>11.01</v>
      </c>
      <c r="R14" s="198"/>
      <c r="S14" s="198"/>
      <c r="T14" s="198"/>
      <c r="U14" s="198"/>
    </row>
    <row r="15" spans="1:21" s="12" customFormat="1" x14ac:dyDescent="0.25">
      <c r="A15" s="215" t="s">
        <v>1598</v>
      </c>
      <c r="B15" s="64">
        <v>148.52000000000001</v>
      </c>
      <c r="C15" s="64">
        <v>62.73</v>
      </c>
      <c r="D15" s="64">
        <v>150.5</v>
      </c>
      <c r="E15" s="64">
        <v>9.6300000000000008</v>
      </c>
      <c r="F15" s="64">
        <v>4.84</v>
      </c>
      <c r="G15" s="64">
        <v>158.66</v>
      </c>
      <c r="H15" s="213" t="s">
        <v>42</v>
      </c>
      <c r="I15" s="64">
        <v>12.2</v>
      </c>
      <c r="J15" s="64">
        <v>0.95</v>
      </c>
      <c r="K15" s="64">
        <v>302.45</v>
      </c>
      <c r="L15" s="64">
        <v>11.34</v>
      </c>
      <c r="M15" s="64">
        <v>46.27</v>
      </c>
      <c r="N15" s="64">
        <v>98.5</v>
      </c>
      <c r="O15" s="64">
        <v>0</v>
      </c>
      <c r="P15" s="64">
        <v>2.39</v>
      </c>
      <c r="Q15" s="64">
        <v>10.88</v>
      </c>
      <c r="R15" s="198"/>
      <c r="S15" s="198"/>
      <c r="T15" s="198"/>
      <c r="U15" s="198"/>
    </row>
    <row r="16" spans="1:21" s="12" customFormat="1" x14ac:dyDescent="0.25">
      <c r="A16" s="215" t="s">
        <v>1599</v>
      </c>
      <c r="B16" s="64">
        <v>138.54</v>
      </c>
      <c r="C16" s="64">
        <v>60.59</v>
      </c>
      <c r="D16" s="64">
        <v>141.38</v>
      </c>
      <c r="E16" s="64">
        <v>9.14</v>
      </c>
      <c r="F16" s="64">
        <v>4.29</v>
      </c>
      <c r="G16" s="64">
        <v>158.66</v>
      </c>
      <c r="H16" s="213" t="s">
        <v>42</v>
      </c>
      <c r="I16" s="64">
        <v>11.61</v>
      </c>
      <c r="J16" s="64">
        <v>1.24</v>
      </c>
      <c r="K16" s="64">
        <v>328.93</v>
      </c>
      <c r="L16" s="64">
        <v>11.33</v>
      </c>
      <c r="M16" s="64">
        <v>44.32</v>
      </c>
      <c r="N16" s="64">
        <v>97.9</v>
      </c>
      <c r="O16" s="64">
        <v>0</v>
      </c>
      <c r="P16" s="64">
        <v>2.2599999999999998</v>
      </c>
      <c r="Q16" s="64">
        <v>10.76</v>
      </c>
      <c r="R16" s="198"/>
      <c r="S16" s="198"/>
      <c r="T16" s="198"/>
      <c r="U16" s="198"/>
    </row>
    <row r="17" spans="1:21" s="12" customFormat="1" x14ac:dyDescent="0.25">
      <c r="A17" s="215" t="s">
        <v>1600</v>
      </c>
      <c r="B17" s="64">
        <v>128.04</v>
      </c>
      <c r="C17" s="64">
        <v>59.62</v>
      </c>
      <c r="D17" s="64">
        <v>132.44999999999999</v>
      </c>
      <c r="E17" s="64">
        <v>8.81</v>
      </c>
      <c r="F17" s="64">
        <v>4.26</v>
      </c>
      <c r="G17" s="64">
        <v>145.65</v>
      </c>
      <c r="H17" s="213" t="s">
        <v>42</v>
      </c>
      <c r="I17" s="64">
        <v>11.22</v>
      </c>
      <c r="J17" s="64">
        <v>1.41</v>
      </c>
      <c r="K17" s="64">
        <v>322.47000000000003</v>
      </c>
      <c r="L17" s="64">
        <v>11.3</v>
      </c>
      <c r="M17" s="64">
        <v>43.44</v>
      </c>
      <c r="N17" s="64">
        <v>98.1</v>
      </c>
      <c r="O17" s="64">
        <v>0</v>
      </c>
      <c r="P17" s="64">
        <v>2.14</v>
      </c>
      <c r="Q17" s="64">
        <v>10.67</v>
      </c>
      <c r="R17" s="198"/>
      <c r="S17" s="198"/>
      <c r="T17" s="198"/>
      <c r="U17" s="198"/>
    </row>
    <row r="18" spans="1:21" s="12" customFormat="1" x14ac:dyDescent="0.25">
      <c r="A18" s="215" t="s">
        <v>1601</v>
      </c>
      <c r="B18" s="64">
        <v>118.24</v>
      </c>
      <c r="C18" s="64">
        <v>59.26</v>
      </c>
      <c r="D18" s="64">
        <v>124.41</v>
      </c>
      <c r="E18" s="64">
        <v>7.89</v>
      </c>
      <c r="F18" s="64">
        <v>4.37</v>
      </c>
      <c r="G18" s="64">
        <v>132.1</v>
      </c>
      <c r="H18" s="213" t="s">
        <v>42</v>
      </c>
      <c r="I18" s="64">
        <v>10.78</v>
      </c>
      <c r="J18" s="64">
        <v>1.59</v>
      </c>
      <c r="K18" s="64">
        <v>312.04000000000002</v>
      </c>
      <c r="L18" s="64">
        <v>11.02</v>
      </c>
      <c r="M18" s="64">
        <v>43.91</v>
      </c>
      <c r="N18" s="64">
        <v>98.4</v>
      </c>
      <c r="O18" s="64">
        <v>0</v>
      </c>
      <c r="P18" s="64">
        <v>2.02</v>
      </c>
      <c r="Q18" s="64">
        <v>10.59</v>
      </c>
      <c r="R18" s="198"/>
      <c r="S18" s="198"/>
      <c r="T18" s="198"/>
      <c r="U18" s="198"/>
    </row>
    <row r="19" spans="1:21" s="12" customFormat="1" x14ac:dyDescent="0.25">
      <c r="A19" s="215" t="s">
        <v>1602</v>
      </c>
      <c r="B19" s="64">
        <v>109.15</v>
      </c>
      <c r="C19" s="64">
        <v>58.78</v>
      </c>
      <c r="D19" s="64">
        <v>116.87</v>
      </c>
      <c r="E19" s="64">
        <v>7.76</v>
      </c>
      <c r="F19" s="64">
        <v>3.68</v>
      </c>
      <c r="G19" s="64">
        <v>132.1</v>
      </c>
      <c r="H19" s="213" t="s">
        <v>42</v>
      </c>
      <c r="I19" s="64">
        <v>10.34</v>
      </c>
      <c r="J19" s="64">
        <v>0.38</v>
      </c>
      <c r="K19" s="64">
        <v>91.99</v>
      </c>
      <c r="L19" s="64">
        <v>10.71</v>
      </c>
      <c r="M19" s="64">
        <v>44.68</v>
      </c>
      <c r="N19" s="64">
        <v>98.3</v>
      </c>
      <c r="O19" s="64">
        <v>0</v>
      </c>
      <c r="P19" s="64">
        <v>1.9</v>
      </c>
      <c r="Q19" s="64">
        <v>10.48</v>
      </c>
      <c r="R19" s="198"/>
      <c r="S19" s="198"/>
      <c r="T19" s="198"/>
      <c r="U19" s="198"/>
    </row>
    <row r="20" spans="1:21" s="12" customFormat="1" x14ac:dyDescent="0.25">
      <c r="A20" s="215" t="s">
        <v>1603</v>
      </c>
      <c r="B20" s="64">
        <v>100.74</v>
      </c>
      <c r="C20" s="64">
        <v>58.31</v>
      </c>
      <c r="D20" s="64">
        <v>109.87</v>
      </c>
      <c r="E20" s="64">
        <v>7.35</v>
      </c>
      <c r="F20" s="64">
        <v>3.75</v>
      </c>
      <c r="G20" s="64">
        <v>132.1</v>
      </c>
      <c r="H20" s="213" t="s">
        <v>42</v>
      </c>
      <c r="I20" s="64">
        <v>9.9</v>
      </c>
      <c r="J20" s="64">
        <v>1.21</v>
      </c>
      <c r="K20" s="64">
        <v>80.819999999999993</v>
      </c>
      <c r="L20" s="64">
        <v>10.54</v>
      </c>
      <c r="M20" s="64">
        <v>45.2</v>
      </c>
      <c r="N20" s="64">
        <v>98.3</v>
      </c>
      <c r="O20" s="64">
        <v>0</v>
      </c>
      <c r="P20" s="64">
        <v>1.79</v>
      </c>
      <c r="Q20" s="64">
        <v>10.4</v>
      </c>
      <c r="R20" s="198"/>
      <c r="S20" s="198"/>
      <c r="T20" s="198"/>
      <c r="U20" s="198"/>
    </row>
    <row r="21" spans="1:21" s="12" customFormat="1" x14ac:dyDescent="0.25">
      <c r="A21" s="215" t="s">
        <v>1604</v>
      </c>
      <c r="B21" s="64">
        <v>92.87</v>
      </c>
      <c r="C21" s="64">
        <v>57.67</v>
      </c>
      <c r="D21" s="64">
        <v>103.23</v>
      </c>
      <c r="E21" s="64">
        <v>6.69</v>
      </c>
      <c r="F21" s="64">
        <v>4.41</v>
      </c>
      <c r="G21" s="64">
        <v>106.31</v>
      </c>
      <c r="H21" s="213" t="s">
        <v>42</v>
      </c>
      <c r="I21" s="64">
        <v>9.4700000000000006</v>
      </c>
      <c r="J21" s="64">
        <v>1.27</v>
      </c>
      <c r="K21" s="64">
        <v>62.39</v>
      </c>
      <c r="L21" s="64">
        <v>10.26</v>
      </c>
      <c r="M21" s="64">
        <v>46.34</v>
      </c>
      <c r="N21" s="64">
        <v>98</v>
      </c>
      <c r="O21" s="64">
        <v>0</v>
      </c>
      <c r="P21" s="64">
        <v>1.64</v>
      </c>
      <c r="Q21" s="64">
        <v>10.35</v>
      </c>
      <c r="R21" s="198"/>
      <c r="S21" s="198"/>
      <c r="T21" s="198"/>
      <c r="U21" s="198"/>
    </row>
    <row r="22" spans="1:21" s="12" customFormat="1" x14ac:dyDescent="0.25">
      <c r="A22" s="215" t="s">
        <v>1605</v>
      </c>
      <c r="B22" s="64">
        <v>85.8</v>
      </c>
      <c r="C22" s="64">
        <v>56.91</v>
      </c>
      <c r="D22" s="64">
        <v>97.17</v>
      </c>
      <c r="E22" s="64">
        <v>6.96</v>
      </c>
      <c r="F22" s="64">
        <v>3.75</v>
      </c>
      <c r="G22" s="64">
        <v>86.76</v>
      </c>
      <c r="H22" s="213" t="s">
        <v>42</v>
      </c>
      <c r="I22" s="64">
        <v>9.07</v>
      </c>
      <c r="J22" s="64">
        <v>0.83</v>
      </c>
      <c r="K22" s="64">
        <v>59.04</v>
      </c>
      <c r="L22" s="64">
        <v>10.07</v>
      </c>
      <c r="M22" s="64">
        <v>47.07</v>
      </c>
      <c r="N22" s="64">
        <v>96.6</v>
      </c>
      <c r="O22" s="64">
        <v>0</v>
      </c>
      <c r="P22" s="64">
        <v>1.57</v>
      </c>
      <c r="Q22" s="64">
        <v>10.29</v>
      </c>
      <c r="R22" s="198"/>
      <c r="S22" s="198"/>
      <c r="T22" s="198"/>
      <c r="U22" s="198"/>
    </row>
    <row r="23" spans="1:21" s="12" customFormat="1" x14ac:dyDescent="0.25">
      <c r="A23" s="215" t="s">
        <v>1606</v>
      </c>
      <c r="B23" s="64">
        <v>79.91</v>
      </c>
      <c r="C23" s="64">
        <v>56.45</v>
      </c>
      <c r="D23" s="64">
        <v>92.2</v>
      </c>
      <c r="E23" s="64">
        <v>7.08</v>
      </c>
      <c r="F23" s="64">
        <v>3.42</v>
      </c>
      <c r="G23" s="64">
        <v>86.76</v>
      </c>
      <c r="H23" s="213" t="s">
        <v>42</v>
      </c>
      <c r="I23" s="64">
        <v>8.3000000000000007</v>
      </c>
      <c r="J23" s="64">
        <v>1.68</v>
      </c>
      <c r="K23" s="64">
        <v>324.83</v>
      </c>
      <c r="L23" s="64">
        <v>9.93</v>
      </c>
      <c r="M23" s="64">
        <v>48.04</v>
      </c>
      <c r="N23" s="64">
        <v>96.3</v>
      </c>
      <c r="O23" s="64">
        <v>0</v>
      </c>
      <c r="P23" s="64">
        <v>1.49</v>
      </c>
      <c r="Q23" s="64">
        <v>10.25</v>
      </c>
      <c r="R23" s="198"/>
      <c r="S23" s="198"/>
      <c r="T23" s="198"/>
      <c r="U23" s="198"/>
    </row>
    <row r="24" spans="1:21" s="12" customFormat="1" x14ac:dyDescent="0.25">
      <c r="A24" s="215" t="s">
        <v>1607</v>
      </c>
      <c r="B24" s="64">
        <v>75.17</v>
      </c>
      <c r="C24" s="64">
        <v>55.89</v>
      </c>
      <c r="D24" s="64">
        <v>88.11</v>
      </c>
      <c r="E24" s="64">
        <v>6.25</v>
      </c>
      <c r="F24" s="64">
        <v>3.21</v>
      </c>
      <c r="G24" s="64">
        <v>86.76</v>
      </c>
      <c r="H24" s="213" t="s">
        <v>42</v>
      </c>
      <c r="I24" s="64">
        <v>8.16</v>
      </c>
      <c r="J24" s="64">
        <v>1.17</v>
      </c>
      <c r="K24" s="64">
        <v>56.67</v>
      </c>
      <c r="L24" s="64">
        <v>9.56</v>
      </c>
      <c r="M24" s="64">
        <v>49.98</v>
      </c>
      <c r="N24" s="64">
        <v>96</v>
      </c>
      <c r="O24" s="64">
        <v>0</v>
      </c>
      <c r="P24" s="64">
        <v>1.4</v>
      </c>
      <c r="Q24" s="64">
        <v>10.199999999999999</v>
      </c>
      <c r="R24" s="198"/>
      <c r="S24" s="198"/>
      <c r="T24" s="198"/>
      <c r="U24" s="198"/>
    </row>
    <row r="25" spans="1:21" s="12" customFormat="1" x14ac:dyDescent="0.25">
      <c r="A25" s="215" t="s">
        <v>1608</v>
      </c>
      <c r="B25" s="64">
        <v>70.930000000000007</v>
      </c>
      <c r="C25" s="64">
        <v>55.36</v>
      </c>
      <c r="D25" s="64">
        <v>84.43</v>
      </c>
      <c r="E25" s="64">
        <v>6.35</v>
      </c>
      <c r="F25" s="64">
        <v>3.16</v>
      </c>
      <c r="G25" s="64">
        <v>82.77</v>
      </c>
      <c r="H25" s="213" t="s">
        <v>42</v>
      </c>
      <c r="I25" s="64">
        <v>8.02</v>
      </c>
      <c r="J25" s="64">
        <v>1.71</v>
      </c>
      <c r="K25" s="64">
        <v>357.06</v>
      </c>
      <c r="L25" s="64">
        <v>9.39</v>
      </c>
      <c r="M25" s="64">
        <v>51.62</v>
      </c>
      <c r="N25" s="64">
        <v>95.2</v>
      </c>
      <c r="O25" s="64">
        <v>0</v>
      </c>
      <c r="P25" s="64">
        <v>1.33</v>
      </c>
      <c r="Q25" s="64">
        <v>10.17</v>
      </c>
      <c r="R25" s="198"/>
      <c r="S25" s="198"/>
      <c r="T25" s="198"/>
      <c r="U25" s="198"/>
    </row>
    <row r="26" spans="1:21" s="12" customFormat="1" x14ac:dyDescent="0.25">
      <c r="A26" s="215" t="s">
        <v>1609</v>
      </c>
      <c r="B26" s="64">
        <v>67.58</v>
      </c>
      <c r="C26" s="64">
        <v>54.56</v>
      </c>
      <c r="D26" s="64">
        <v>81.319999999999993</v>
      </c>
      <c r="E26" s="64">
        <v>6.18</v>
      </c>
      <c r="F26" s="64">
        <v>3.55</v>
      </c>
      <c r="G26" s="64">
        <v>75.87</v>
      </c>
      <c r="H26" s="213" t="s">
        <v>42</v>
      </c>
      <c r="I26" s="64">
        <v>7.45</v>
      </c>
      <c r="J26" s="64">
        <v>2.21</v>
      </c>
      <c r="K26" s="64">
        <v>337.36</v>
      </c>
      <c r="L26" s="64">
        <v>8.92</v>
      </c>
      <c r="M26" s="64">
        <v>55.14</v>
      </c>
      <c r="N26" s="64">
        <v>94.7</v>
      </c>
      <c r="O26" s="64">
        <v>0</v>
      </c>
      <c r="P26" s="64">
        <v>1.25</v>
      </c>
      <c r="Q26" s="64">
        <v>10.16</v>
      </c>
      <c r="R26" s="198"/>
      <c r="S26" s="198"/>
      <c r="T26" s="198"/>
      <c r="U26" s="198"/>
    </row>
    <row r="27" spans="1:21" s="12" customFormat="1" x14ac:dyDescent="0.25">
      <c r="A27" s="215" t="s">
        <v>1610</v>
      </c>
      <c r="B27" s="64">
        <v>64.56</v>
      </c>
      <c r="C27" s="64">
        <v>54.1</v>
      </c>
      <c r="D27" s="64">
        <v>78.67</v>
      </c>
      <c r="E27" s="64">
        <v>6.25</v>
      </c>
      <c r="F27" s="64">
        <v>4.1500000000000004</v>
      </c>
      <c r="G27" s="64">
        <v>75.87</v>
      </c>
      <c r="H27" s="213" t="s">
        <v>42</v>
      </c>
      <c r="I27" s="64">
        <v>7.37</v>
      </c>
      <c r="J27" s="64">
        <v>2.39</v>
      </c>
      <c r="K27" s="64">
        <v>350.28</v>
      </c>
      <c r="L27" s="64">
        <v>8.6199999999999992</v>
      </c>
      <c r="M27" s="64">
        <v>55.41</v>
      </c>
      <c r="N27" s="64">
        <v>94.3</v>
      </c>
      <c r="O27" s="64">
        <v>0</v>
      </c>
      <c r="P27" s="64">
        <v>1.18</v>
      </c>
      <c r="Q27" s="64">
        <v>10.130000000000001</v>
      </c>
      <c r="R27" s="198"/>
      <c r="S27" s="198"/>
      <c r="T27" s="198"/>
      <c r="U27" s="198"/>
    </row>
    <row r="28" spans="1:21" s="12" customFormat="1" x14ac:dyDescent="0.25">
      <c r="A28" s="215" t="s">
        <v>1611</v>
      </c>
      <c r="B28" s="64">
        <v>62.15</v>
      </c>
      <c r="C28" s="64">
        <v>53.54</v>
      </c>
      <c r="D28" s="64">
        <v>76.430000000000007</v>
      </c>
      <c r="E28" s="64">
        <v>6.47</v>
      </c>
      <c r="F28" s="64">
        <v>3.68</v>
      </c>
      <c r="G28" s="64">
        <v>75.87</v>
      </c>
      <c r="H28" s="213" t="s">
        <v>42</v>
      </c>
      <c r="I28" s="64">
        <v>7.08</v>
      </c>
      <c r="J28" s="64">
        <v>2.23</v>
      </c>
      <c r="K28" s="64">
        <v>354.67</v>
      </c>
      <c r="L28" s="64">
        <v>8.68</v>
      </c>
      <c r="M28" s="64">
        <v>54.15</v>
      </c>
      <c r="N28" s="64">
        <v>93.8</v>
      </c>
      <c r="O28" s="64">
        <v>0</v>
      </c>
      <c r="P28" s="64">
        <v>1.1299999999999999</v>
      </c>
      <c r="Q28" s="64">
        <v>10.1</v>
      </c>
      <c r="R28" s="198"/>
      <c r="S28" s="198"/>
      <c r="T28" s="198"/>
      <c r="U28" s="198"/>
    </row>
    <row r="29" spans="1:21" s="12" customFormat="1" x14ac:dyDescent="0.25">
      <c r="A29" s="215" t="s">
        <v>1612</v>
      </c>
      <c r="B29" s="64">
        <v>59.25</v>
      </c>
      <c r="C29" s="64">
        <v>53.1</v>
      </c>
      <c r="D29" s="64">
        <v>73.88</v>
      </c>
      <c r="E29" s="64">
        <v>6.42</v>
      </c>
      <c r="F29" s="64">
        <v>3.51</v>
      </c>
      <c r="G29" s="64">
        <v>72.739999999999995</v>
      </c>
      <c r="H29" s="213" t="s">
        <v>42</v>
      </c>
      <c r="I29" s="64">
        <v>6.89</v>
      </c>
      <c r="J29" s="64">
        <v>2.41</v>
      </c>
      <c r="K29" s="64">
        <v>348.19</v>
      </c>
      <c r="L29" s="64">
        <v>8.65</v>
      </c>
      <c r="M29" s="64">
        <v>53.31</v>
      </c>
      <c r="N29" s="64">
        <v>93.8</v>
      </c>
      <c r="O29" s="64">
        <v>0</v>
      </c>
      <c r="P29" s="64">
        <v>1.0900000000000001</v>
      </c>
      <c r="Q29" s="64">
        <v>10.06</v>
      </c>
      <c r="R29" s="198"/>
      <c r="S29" s="198"/>
      <c r="T29" s="198"/>
      <c r="U29" s="198"/>
    </row>
    <row r="30" spans="1:21" s="12" customFormat="1" x14ac:dyDescent="0.25">
      <c r="A30" s="215" t="s">
        <v>1613</v>
      </c>
      <c r="B30" s="64">
        <v>56.26</v>
      </c>
      <c r="C30" s="64">
        <v>52.34</v>
      </c>
      <c r="D30" s="64">
        <v>71.09</v>
      </c>
      <c r="E30" s="64">
        <v>6.4</v>
      </c>
      <c r="F30" s="64">
        <v>3.59</v>
      </c>
      <c r="G30" s="64">
        <v>67.349999999999994</v>
      </c>
      <c r="H30" s="213" t="s">
        <v>42</v>
      </c>
      <c r="I30" s="64">
        <v>6.68</v>
      </c>
      <c r="J30" s="64">
        <v>1.78</v>
      </c>
      <c r="K30" s="64">
        <v>7.01</v>
      </c>
      <c r="L30" s="64">
        <v>8.5399999999999991</v>
      </c>
      <c r="M30" s="64">
        <v>52.37</v>
      </c>
      <c r="N30" s="64">
        <v>93.8</v>
      </c>
      <c r="O30" s="64">
        <v>0</v>
      </c>
      <c r="P30" s="64">
        <v>1.03</v>
      </c>
      <c r="Q30" s="64">
        <v>10</v>
      </c>
      <c r="R30" s="198"/>
      <c r="S30" s="198"/>
      <c r="T30" s="198"/>
      <c r="U30" s="198"/>
    </row>
    <row r="31" spans="1:21" s="12" customFormat="1" x14ac:dyDescent="0.25">
      <c r="A31" s="215" t="s">
        <v>1614</v>
      </c>
      <c r="B31" s="64">
        <v>53.07</v>
      </c>
      <c r="C31" s="64">
        <v>52.37</v>
      </c>
      <c r="D31" s="64">
        <v>68.55</v>
      </c>
      <c r="E31" s="64">
        <v>6.12</v>
      </c>
      <c r="F31" s="64">
        <v>4.05</v>
      </c>
      <c r="G31" s="64">
        <v>67.349999999999994</v>
      </c>
      <c r="H31" s="213" t="s">
        <v>42</v>
      </c>
      <c r="I31" s="64">
        <v>6.53</v>
      </c>
      <c r="J31" s="64">
        <v>1.28</v>
      </c>
      <c r="K31" s="64">
        <v>1.59</v>
      </c>
      <c r="L31" s="64">
        <v>8.49</v>
      </c>
      <c r="M31" s="64">
        <v>52.64</v>
      </c>
      <c r="N31" s="64">
        <v>93.7</v>
      </c>
      <c r="O31" s="64">
        <v>0</v>
      </c>
      <c r="P31" s="64">
        <v>0.98</v>
      </c>
      <c r="Q31" s="64">
        <v>9.98</v>
      </c>
      <c r="R31" s="198"/>
      <c r="S31" s="198"/>
      <c r="T31" s="198"/>
      <c r="U31" s="198"/>
    </row>
    <row r="32" spans="1:21" s="12" customFormat="1" x14ac:dyDescent="0.25">
      <c r="A32" s="215" t="s">
        <v>1615</v>
      </c>
      <c r="B32" s="64">
        <v>50.4</v>
      </c>
      <c r="C32" s="64">
        <v>52.88</v>
      </c>
      <c r="D32" s="64">
        <v>66.67</v>
      </c>
      <c r="E32" s="64">
        <v>5.89</v>
      </c>
      <c r="F32" s="64">
        <v>3.8</v>
      </c>
      <c r="G32" s="64">
        <v>67.349999999999994</v>
      </c>
      <c r="H32" s="213" t="s">
        <v>42</v>
      </c>
      <c r="I32" s="64">
        <v>6.33</v>
      </c>
      <c r="J32" s="64">
        <v>0.76</v>
      </c>
      <c r="K32" s="64">
        <v>347.17</v>
      </c>
      <c r="L32" s="64">
        <v>8.5399999999999991</v>
      </c>
      <c r="M32" s="64">
        <v>51.86</v>
      </c>
      <c r="N32" s="64">
        <v>93.5</v>
      </c>
      <c r="O32" s="64">
        <v>0</v>
      </c>
      <c r="P32" s="64">
        <v>0.93</v>
      </c>
      <c r="Q32" s="64">
        <v>9.93</v>
      </c>
      <c r="R32" s="198"/>
      <c r="S32" s="198"/>
      <c r="T32" s="198"/>
      <c r="U32" s="198"/>
    </row>
    <row r="33" spans="1:21" s="12" customFormat="1" x14ac:dyDescent="0.25">
      <c r="A33" s="215" t="s">
        <v>1616</v>
      </c>
      <c r="B33" s="64">
        <v>47.47</v>
      </c>
      <c r="C33" s="64">
        <v>53.31</v>
      </c>
      <c r="D33" s="64">
        <v>64.540000000000006</v>
      </c>
      <c r="E33" s="64">
        <v>5.9</v>
      </c>
      <c r="F33" s="64">
        <v>3.86</v>
      </c>
      <c r="G33" s="64">
        <v>67.52</v>
      </c>
      <c r="H33" s="213" t="s">
        <v>42</v>
      </c>
      <c r="I33" s="64">
        <v>6.1</v>
      </c>
      <c r="J33" s="64">
        <v>1.27</v>
      </c>
      <c r="K33" s="64">
        <v>345.65</v>
      </c>
      <c r="L33" s="64">
        <v>8.56</v>
      </c>
      <c r="M33" s="64">
        <v>51.42</v>
      </c>
      <c r="N33" s="64">
        <v>93.7</v>
      </c>
      <c r="O33" s="64">
        <v>0</v>
      </c>
      <c r="P33" s="64">
        <v>0.89</v>
      </c>
      <c r="Q33" s="64">
        <v>9.9</v>
      </c>
      <c r="R33" s="198"/>
      <c r="S33" s="198"/>
      <c r="T33" s="198"/>
      <c r="U33" s="198"/>
    </row>
    <row r="34" spans="1:21" s="12" customFormat="1" x14ac:dyDescent="0.25">
      <c r="A34" s="215" t="s">
        <v>1617</v>
      </c>
      <c r="B34" s="64">
        <v>44.88</v>
      </c>
      <c r="C34" s="64">
        <v>53.47</v>
      </c>
      <c r="D34" s="64">
        <v>62.55</v>
      </c>
      <c r="E34" s="64">
        <v>5.78</v>
      </c>
      <c r="F34" s="64">
        <v>3.45</v>
      </c>
      <c r="G34" s="64">
        <v>67.819999999999993</v>
      </c>
      <c r="H34" s="213" t="s">
        <v>42</v>
      </c>
      <c r="I34" s="64">
        <v>5.9</v>
      </c>
      <c r="J34" s="64">
        <v>2.78</v>
      </c>
      <c r="K34" s="64">
        <v>350.73</v>
      </c>
      <c r="L34" s="64">
        <v>8.52</v>
      </c>
      <c r="M34" s="64">
        <v>52.75</v>
      </c>
      <c r="N34" s="64">
        <v>94.8</v>
      </c>
      <c r="O34" s="64">
        <v>0</v>
      </c>
      <c r="P34" s="64">
        <v>0.86</v>
      </c>
      <c r="Q34" s="64">
        <v>9.86</v>
      </c>
      <c r="R34" s="198"/>
      <c r="S34" s="198"/>
      <c r="T34" s="198"/>
      <c r="U34" s="198"/>
    </row>
    <row r="35" spans="1:21" s="12" customFormat="1" x14ac:dyDescent="0.25">
      <c r="A35" s="215" t="s">
        <v>1618</v>
      </c>
      <c r="B35" s="64">
        <v>43.32</v>
      </c>
      <c r="C35" s="64">
        <v>54.15</v>
      </c>
      <c r="D35" s="64">
        <v>61.66</v>
      </c>
      <c r="E35" s="64">
        <v>5.95</v>
      </c>
      <c r="F35" s="64">
        <v>3.52</v>
      </c>
      <c r="G35" s="64">
        <v>67.819999999999993</v>
      </c>
      <c r="H35" s="213" t="s">
        <v>42</v>
      </c>
      <c r="I35" s="64">
        <v>5.7</v>
      </c>
      <c r="J35" s="64">
        <v>1.8</v>
      </c>
      <c r="K35" s="64">
        <v>345.6</v>
      </c>
      <c r="L35" s="64">
        <v>8.43</v>
      </c>
      <c r="M35" s="64">
        <v>53.54</v>
      </c>
      <c r="N35" s="64">
        <v>99.5</v>
      </c>
      <c r="O35" s="64">
        <v>0</v>
      </c>
      <c r="P35" s="64">
        <v>0.83</v>
      </c>
      <c r="Q35" s="64">
        <v>9.85</v>
      </c>
      <c r="R35" s="198"/>
      <c r="S35" s="198"/>
      <c r="T35" s="198"/>
      <c r="U35" s="198"/>
    </row>
    <row r="36" spans="1:21" s="12" customFormat="1" x14ac:dyDescent="0.25">
      <c r="A36" s="215" t="s">
        <v>1619</v>
      </c>
      <c r="B36" s="64">
        <v>42.69</v>
      </c>
      <c r="C36" s="64">
        <v>54.95</v>
      </c>
      <c r="D36" s="64">
        <v>61.57</v>
      </c>
      <c r="E36" s="64">
        <v>6.17</v>
      </c>
      <c r="F36" s="64">
        <v>3.9</v>
      </c>
      <c r="G36" s="64">
        <v>67.819999999999993</v>
      </c>
      <c r="H36" s="213" t="s">
        <v>42</v>
      </c>
      <c r="I36" s="64">
        <v>5.52</v>
      </c>
      <c r="J36" s="64">
        <v>2.77</v>
      </c>
      <c r="K36" s="64">
        <v>353.69</v>
      </c>
      <c r="L36" s="64">
        <v>8.67</v>
      </c>
      <c r="M36" s="64">
        <v>52.73</v>
      </c>
      <c r="N36" s="64">
        <v>110.9</v>
      </c>
      <c r="O36" s="64">
        <v>0</v>
      </c>
      <c r="P36" s="64">
        <v>0.81</v>
      </c>
      <c r="Q36" s="64">
        <v>9.86</v>
      </c>
      <c r="R36" s="198"/>
      <c r="S36" s="198"/>
      <c r="T36" s="198"/>
      <c r="U36" s="198"/>
    </row>
    <row r="37" spans="1:21" s="12" customFormat="1" x14ac:dyDescent="0.25">
      <c r="A37" s="215" t="s">
        <v>1620</v>
      </c>
      <c r="B37" s="64">
        <v>41.4</v>
      </c>
      <c r="C37" s="64">
        <v>55.72</v>
      </c>
      <c r="D37" s="64">
        <v>60.94</v>
      </c>
      <c r="E37" s="64">
        <v>6.55</v>
      </c>
      <c r="F37" s="64">
        <v>3.29</v>
      </c>
      <c r="G37" s="64">
        <v>73.94</v>
      </c>
      <c r="H37" s="213" t="s">
        <v>42</v>
      </c>
      <c r="I37" s="64">
        <v>5.37</v>
      </c>
      <c r="J37" s="64">
        <v>1.55</v>
      </c>
      <c r="K37" s="64">
        <v>359.22</v>
      </c>
      <c r="L37" s="64">
        <v>8.8699999999999992</v>
      </c>
      <c r="M37" s="64">
        <v>52.08</v>
      </c>
      <c r="N37" s="64">
        <v>124.3</v>
      </c>
      <c r="O37" s="64">
        <v>0</v>
      </c>
      <c r="P37" s="64">
        <v>0.95</v>
      </c>
      <c r="Q37" s="64">
        <v>9.85</v>
      </c>
      <c r="R37" s="198"/>
      <c r="S37" s="198"/>
      <c r="T37" s="198"/>
      <c r="U37" s="198"/>
    </row>
    <row r="38" spans="1:21" s="12" customFormat="1" x14ac:dyDescent="0.25">
      <c r="A38" s="215" t="s">
        <v>1621</v>
      </c>
      <c r="B38" s="64">
        <v>39.44</v>
      </c>
      <c r="C38" s="64">
        <v>55.94</v>
      </c>
      <c r="D38" s="64">
        <v>59.48</v>
      </c>
      <c r="E38" s="64">
        <v>6.39</v>
      </c>
      <c r="F38" s="64">
        <v>3.88</v>
      </c>
      <c r="G38" s="64">
        <v>80.319999999999993</v>
      </c>
      <c r="H38" s="213" t="s">
        <v>42</v>
      </c>
      <c r="I38" s="64">
        <v>5.26</v>
      </c>
      <c r="J38" s="64">
        <v>0.87</v>
      </c>
      <c r="K38" s="64">
        <v>57.89</v>
      </c>
      <c r="L38" s="64">
        <v>9.1199999999999992</v>
      </c>
      <c r="M38" s="64">
        <v>51.41</v>
      </c>
      <c r="N38" s="64">
        <v>139.1</v>
      </c>
      <c r="O38" s="64">
        <v>0</v>
      </c>
      <c r="P38" s="64">
        <v>0.97</v>
      </c>
      <c r="Q38" s="64">
        <v>9.82</v>
      </c>
      <c r="R38" s="198"/>
      <c r="S38" s="198"/>
      <c r="T38" s="198"/>
      <c r="U38" s="198"/>
    </row>
    <row r="39" spans="1:21" s="12" customFormat="1" x14ac:dyDescent="0.25">
      <c r="A39" s="215" t="s">
        <v>1622</v>
      </c>
      <c r="B39" s="64">
        <v>37.57</v>
      </c>
      <c r="C39" s="64">
        <v>55.98</v>
      </c>
      <c r="D39" s="64">
        <v>58</v>
      </c>
      <c r="E39" s="64">
        <v>6.12</v>
      </c>
      <c r="F39" s="64">
        <v>3.46</v>
      </c>
      <c r="G39" s="64">
        <v>80.319999999999993</v>
      </c>
      <c r="H39" s="213" t="s">
        <v>42</v>
      </c>
      <c r="I39" s="64">
        <v>5.19</v>
      </c>
      <c r="J39" s="64">
        <v>1.05</v>
      </c>
      <c r="K39" s="64">
        <v>97.72</v>
      </c>
      <c r="L39" s="64">
        <v>9.64</v>
      </c>
      <c r="M39" s="64">
        <v>49.94</v>
      </c>
      <c r="N39" s="64">
        <v>211.8</v>
      </c>
      <c r="O39" s="64">
        <v>0</v>
      </c>
      <c r="P39" s="64">
        <v>0.95</v>
      </c>
      <c r="Q39" s="64">
        <v>9.8000000000000007</v>
      </c>
      <c r="R39" s="198"/>
      <c r="S39" s="198"/>
      <c r="T39" s="198"/>
      <c r="U39" s="198"/>
    </row>
    <row r="40" spans="1:21" s="12" customFormat="1" x14ac:dyDescent="0.25">
      <c r="A40" s="215" t="s">
        <v>1623</v>
      </c>
      <c r="B40" s="64">
        <v>35.590000000000003</v>
      </c>
      <c r="C40" s="64">
        <v>55.62</v>
      </c>
      <c r="D40" s="64">
        <v>56.22</v>
      </c>
      <c r="E40" s="64">
        <v>6.9</v>
      </c>
      <c r="F40" s="64">
        <v>4.4400000000000004</v>
      </c>
      <c r="G40" s="64">
        <v>80.319999999999993</v>
      </c>
      <c r="H40" s="213" t="s">
        <v>42</v>
      </c>
      <c r="I40" s="64">
        <v>5.12</v>
      </c>
      <c r="J40" s="64">
        <v>1.68</v>
      </c>
      <c r="K40" s="64">
        <v>92.46</v>
      </c>
      <c r="L40" s="64">
        <v>11.35</v>
      </c>
      <c r="M40" s="64">
        <v>45.49</v>
      </c>
      <c r="N40" s="64">
        <v>367.1</v>
      </c>
      <c r="O40" s="64">
        <v>0</v>
      </c>
      <c r="P40" s="64">
        <v>0.92</v>
      </c>
      <c r="Q40" s="64">
        <v>9.8000000000000007</v>
      </c>
      <c r="R40" s="198"/>
      <c r="S40" s="198"/>
      <c r="T40" s="198"/>
      <c r="U40" s="198"/>
    </row>
    <row r="41" spans="1:21" s="12" customFormat="1" x14ac:dyDescent="0.25">
      <c r="A41" s="215" t="s">
        <v>1624</v>
      </c>
      <c r="B41" s="64">
        <v>33.74</v>
      </c>
      <c r="C41" s="64">
        <v>55.53</v>
      </c>
      <c r="D41" s="64">
        <v>54.7</v>
      </c>
      <c r="E41" s="64">
        <v>6.57</v>
      </c>
      <c r="F41" s="64">
        <v>3.27</v>
      </c>
      <c r="G41" s="64">
        <v>78.95</v>
      </c>
      <c r="H41" s="213" t="s">
        <v>42</v>
      </c>
      <c r="I41" s="64">
        <v>5.0999999999999996</v>
      </c>
      <c r="J41" s="64">
        <v>2.46</v>
      </c>
      <c r="K41" s="64">
        <v>336.72</v>
      </c>
      <c r="L41" s="64">
        <v>14.57</v>
      </c>
      <c r="M41" s="64">
        <v>37.93</v>
      </c>
      <c r="N41" s="64">
        <v>433.6</v>
      </c>
      <c r="O41" s="64">
        <v>0</v>
      </c>
      <c r="P41" s="64">
        <v>0.9</v>
      </c>
      <c r="Q41" s="64">
        <v>9.7200000000000006</v>
      </c>
      <c r="R41" s="198"/>
      <c r="S41" s="198"/>
      <c r="T41" s="198"/>
      <c r="U41" s="198"/>
    </row>
    <row r="42" spans="1:21" s="12" customFormat="1" x14ac:dyDescent="0.25">
      <c r="A42" s="215" t="s">
        <v>1625</v>
      </c>
      <c r="B42" s="64">
        <v>32.54</v>
      </c>
      <c r="C42" s="64">
        <v>55.9</v>
      </c>
      <c r="D42" s="64">
        <v>53.93</v>
      </c>
      <c r="E42" s="64">
        <v>7.06</v>
      </c>
      <c r="F42" s="64">
        <v>3.61</v>
      </c>
      <c r="G42" s="64">
        <v>76.599999999999994</v>
      </c>
      <c r="H42" s="213" t="s">
        <v>42</v>
      </c>
      <c r="I42" s="64">
        <v>5.15</v>
      </c>
      <c r="J42" s="64">
        <v>1.08</v>
      </c>
      <c r="K42" s="64">
        <v>79.11</v>
      </c>
      <c r="L42" s="64">
        <v>16.16</v>
      </c>
      <c r="M42" s="64">
        <v>34.82</v>
      </c>
      <c r="N42" s="64">
        <v>488.8</v>
      </c>
      <c r="O42" s="64">
        <v>0</v>
      </c>
      <c r="P42" s="64">
        <v>0.87</v>
      </c>
      <c r="Q42" s="64">
        <v>9.75</v>
      </c>
      <c r="R42" s="198"/>
      <c r="S42" s="198"/>
      <c r="T42" s="198"/>
      <c r="U42" s="198"/>
    </row>
    <row r="43" spans="1:21" s="12" customFormat="1" x14ac:dyDescent="0.25">
      <c r="A43" s="215" t="s">
        <v>1626</v>
      </c>
      <c r="B43" s="64">
        <v>30.85</v>
      </c>
      <c r="C43" s="64">
        <v>56.03</v>
      </c>
      <c r="D43" s="64">
        <v>52.64</v>
      </c>
      <c r="E43" s="64">
        <v>7.03</v>
      </c>
      <c r="F43" s="64">
        <v>3.95</v>
      </c>
      <c r="G43" s="64">
        <v>76.599999999999994</v>
      </c>
      <c r="H43" s="213" t="s">
        <v>42</v>
      </c>
      <c r="I43" s="64">
        <v>5.0999999999999996</v>
      </c>
      <c r="J43" s="64">
        <v>2.83</v>
      </c>
      <c r="K43" s="64">
        <v>112.45</v>
      </c>
      <c r="L43" s="64">
        <v>14.5</v>
      </c>
      <c r="M43" s="64">
        <v>38.729999999999997</v>
      </c>
      <c r="N43" s="64">
        <v>540.20000000000005</v>
      </c>
      <c r="O43" s="64">
        <v>0</v>
      </c>
      <c r="P43" s="64">
        <v>0.86</v>
      </c>
      <c r="Q43" s="64">
        <v>9.7799999999999994</v>
      </c>
      <c r="R43" s="198"/>
      <c r="S43" s="198"/>
      <c r="T43" s="198"/>
      <c r="U43" s="198"/>
    </row>
    <row r="44" spans="1:21" s="12" customFormat="1" x14ac:dyDescent="0.25">
      <c r="A44" s="215" t="s">
        <v>1627</v>
      </c>
      <c r="B44" s="64">
        <v>28.93</v>
      </c>
      <c r="C44" s="64">
        <v>56.07</v>
      </c>
      <c r="D44" s="64">
        <v>51.12</v>
      </c>
      <c r="E44" s="64">
        <v>6.66</v>
      </c>
      <c r="F44" s="64">
        <v>3.52</v>
      </c>
      <c r="G44" s="64">
        <v>76.599999999999994</v>
      </c>
      <c r="H44" s="213" t="s">
        <v>42</v>
      </c>
      <c r="I44" s="64">
        <v>5.13</v>
      </c>
      <c r="J44" s="64">
        <v>3.14</v>
      </c>
      <c r="K44" s="64">
        <v>114.87</v>
      </c>
      <c r="L44" s="64">
        <v>15.12</v>
      </c>
      <c r="M44" s="64">
        <v>37.67</v>
      </c>
      <c r="N44" s="64">
        <v>587.70000000000005</v>
      </c>
      <c r="O44" s="64">
        <v>0</v>
      </c>
      <c r="P44" s="64">
        <v>0.83</v>
      </c>
      <c r="Q44" s="64">
        <v>9.77</v>
      </c>
      <c r="R44" s="198"/>
      <c r="S44" s="198"/>
      <c r="T44" s="198"/>
      <c r="U44" s="198"/>
    </row>
    <row r="45" spans="1:21" s="12" customFormat="1" x14ac:dyDescent="0.25">
      <c r="A45" s="215" t="s">
        <v>1628</v>
      </c>
      <c r="B45" s="64">
        <v>27.16</v>
      </c>
      <c r="C45" s="64">
        <v>56.03</v>
      </c>
      <c r="D45" s="64">
        <v>49.68</v>
      </c>
      <c r="E45" s="64">
        <v>6.46</v>
      </c>
      <c r="F45" s="64">
        <v>3.38</v>
      </c>
      <c r="G45" s="64">
        <v>76.81</v>
      </c>
      <c r="H45" s="64">
        <v>39.29</v>
      </c>
      <c r="I45" s="64">
        <v>5.41</v>
      </c>
      <c r="J45" s="64">
        <v>1.91</v>
      </c>
      <c r="K45" s="64">
        <v>101.75</v>
      </c>
      <c r="L45" s="64">
        <v>15.53</v>
      </c>
      <c r="M45" s="64">
        <v>37.32</v>
      </c>
      <c r="N45" s="64">
        <v>629.5</v>
      </c>
      <c r="O45" s="64">
        <v>0</v>
      </c>
      <c r="P45" s="64">
        <v>0.81</v>
      </c>
      <c r="Q45" s="64">
        <v>9.68</v>
      </c>
      <c r="R45" s="198"/>
      <c r="S45" s="198"/>
      <c r="T45" s="198"/>
      <c r="U45" s="198"/>
    </row>
    <row r="46" spans="1:21" s="12" customFormat="1" x14ac:dyDescent="0.25">
      <c r="A46" s="215" t="s">
        <v>1629</v>
      </c>
      <c r="B46" s="64">
        <v>25.47</v>
      </c>
      <c r="C46" s="64">
        <v>56.04</v>
      </c>
      <c r="D46" s="64">
        <v>48.33</v>
      </c>
      <c r="E46" s="64">
        <v>6.7</v>
      </c>
      <c r="F46" s="64">
        <v>3.37</v>
      </c>
      <c r="G46" s="64">
        <v>77.16</v>
      </c>
      <c r="H46" s="64">
        <v>82.26</v>
      </c>
      <c r="I46" s="64">
        <v>6.03</v>
      </c>
      <c r="J46" s="64">
        <v>2.34</v>
      </c>
      <c r="K46" s="64">
        <v>103.16</v>
      </c>
      <c r="L46" s="64">
        <v>16.21</v>
      </c>
      <c r="M46" s="64">
        <v>35.909999999999997</v>
      </c>
      <c r="N46" s="64">
        <v>675.3</v>
      </c>
      <c r="O46" s="64">
        <v>0</v>
      </c>
      <c r="P46" s="64">
        <v>0.79</v>
      </c>
      <c r="Q46" s="64">
        <v>9.5299999999999994</v>
      </c>
      <c r="R46" s="198"/>
      <c r="S46" s="198"/>
      <c r="T46" s="198"/>
      <c r="U46" s="198"/>
    </row>
    <row r="47" spans="1:21" s="12" customFormat="1" x14ac:dyDescent="0.25">
      <c r="A47" s="215" t="s">
        <v>1630</v>
      </c>
      <c r="B47" s="64">
        <v>23.19</v>
      </c>
      <c r="C47" s="64">
        <v>56.52</v>
      </c>
      <c r="D47" s="64">
        <v>46.75</v>
      </c>
      <c r="E47" s="64">
        <v>6.58</v>
      </c>
      <c r="F47" s="64">
        <v>3.85</v>
      </c>
      <c r="G47" s="64">
        <v>77.16</v>
      </c>
      <c r="H47" s="64">
        <v>82.26</v>
      </c>
      <c r="I47" s="64">
        <v>6.43</v>
      </c>
      <c r="J47" s="64">
        <v>2.36</v>
      </c>
      <c r="K47" s="64">
        <v>109.36</v>
      </c>
      <c r="L47" s="64">
        <v>16.579999999999998</v>
      </c>
      <c r="M47" s="64">
        <v>34.81</v>
      </c>
      <c r="N47" s="64">
        <v>707.7</v>
      </c>
      <c r="O47" s="64">
        <v>0</v>
      </c>
      <c r="P47" s="64">
        <v>0.78</v>
      </c>
      <c r="Q47" s="64">
        <v>9.3800000000000008</v>
      </c>
      <c r="R47" s="198"/>
      <c r="S47" s="198"/>
      <c r="T47" s="198"/>
      <c r="U47" s="198"/>
    </row>
    <row r="48" spans="1:21" s="12" customFormat="1" x14ac:dyDescent="0.25">
      <c r="A48" s="215" t="s">
        <v>1631</v>
      </c>
      <c r="B48" s="64">
        <v>21.05</v>
      </c>
      <c r="C48" s="64">
        <v>57.28</v>
      </c>
      <c r="D48" s="64">
        <v>45.43</v>
      </c>
      <c r="E48" s="64">
        <v>7</v>
      </c>
      <c r="F48" s="64">
        <v>4.3600000000000003</v>
      </c>
      <c r="G48" s="64">
        <v>77.16</v>
      </c>
      <c r="H48" s="64">
        <v>82.26</v>
      </c>
      <c r="I48" s="64">
        <v>6.73</v>
      </c>
      <c r="J48" s="64">
        <v>1.03</v>
      </c>
      <c r="K48" s="64">
        <v>336.29</v>
      </c>
      <c r="L48" s="64">
        <v>19.420000000000002</v>
      </c>
      <c r="M48" s="64">
        <v>29.85</v>
      </c>
      <c r="N48" s="64">
        <v>730.5</v>
      </c>
      <c r="O48" s="64">
        <v>0</v>
      </c>
      <c r="P48" s="64">
        <v>0.76</v>
      </c>
      <c r="Q48" s="64">
        <v>9.17</v>
      </c>
      <c r="R48" s="198"/>
      <c r="S48" s="198"/>
      <c r="T48" s="198"/>
      <c r="U48" s="198"/>
    </row>
    <row r="49" spans="1:21" s="12" customFormat="1" x14ac:dyDescent="0.25">
      <c r="A49" s="215" t="s">
        <v>1632</v>
      </c>
      <c r="B49" s="64">
        <v>19.62</v>
      </c>
      <c r="C49" s="64">
        <v>58.72</v>
      </c>
      <c r="D49" s="64">
        <v>45.04</v>
      </c>
      <c r="E49" s="64">
        <v>6.46</v>
      </c>
      <c r="F49" s="64">
        <v>4.24</v>
      </c>
      <c r="G49" s="64">
        <v>77.67</v>
      </c>
      <c r="H49" s="64">
        <v>57.47</v>
      </c>
      <c r="I49" s="64">
        <v>6.64</v>
      </c>
      <c r="J49" s="64">
        <v>1.08</v>
      </c>
      <c r="K49" s="64">
        <v>54.18</v>
      </c>
      <c r="L49" s="64">
        <v>21.18</v>
      </c>
      <c r="M49" s="64">
        <v>27.62</v>
      </c>
      <c r="N49" s="64">
        <v>760.6</v>
      </c>
      <c r="O49" s="64">
        <v>0</v>
      </c>
      <c r="P49" s="64">
        <v>0.75</v>
      </c>
      <c r="Q49" s="64">
        <v>9.02</v>
      </c>
      <c r="R49" s="198"/>
      <c r="S49" s="198"/>
      <c r="T49" s="198"/>
      <c r="U49" s="198"/>
    </row>
    <row r="50" spans="1:21" s="12" customFormat="1" x14ac:dyDescent="0.25">
      <c r="A50" s="215" t="s">
        <v>1633</v>
      </c>
      <c r="B50" s="64">
        <v>18.440000000000001</v>
      </c>
      <c r="C50" s="64">
        <v>59.85</v>
      </c>
      <c r="D50" s="64">
        <v>44.68</v>
      </c>
      <c r="E50" s="64">
        <v>7.03</v>
      </c>
      <c r="F50" s="64">
        <v>3.7</v>
      </c>
      <c r="G50" s="64">
        <v>78.56</v>
      </c>
      <c r="H50" s="64">
        <v>31.14</v>
      </c>
      <c r="I50" s="64">
        <v>6.59</v>
      </c>
      <c r="J50" s="64">
        <v>1.41</v>
      </c>
      <c r="K50" s="64">
        <v>75.510000000000005</v>
      </c>
      <c r="L50" s="64">
        <v>19.37</v>
      </c>
      <c r="M50" s="64">
        <v>30.03</v>
      </c>
      <c r="N50" s="64">
        <v>775.1</v>
      </c>
      <c r="O50" s="64">
        <v>0</v>
      </c>
      <c r="P50" s="64">
        <v>0.73</v>
      </c>
      <c r="Q50" s="64">
        <v>8.91</v>
      </c>
      <c r="R50" s="198"/>
      <c r="S50" s="198"/>
      <c r="T50" s="198"/>
      <c r="U50" s="198"/>
    </row>
    <row r="51" spans="1:21" s="12" customFormat="1" x14ac:dyDescent="0.25">
      <c r="A51" s="215" t="s">
        <v>1634</v>
      </c>
      <c r="B51" s="64">
        <v>17.079999999999998</v>
      </c>
      <c r="C51" s="64">
        <v>60.64</v>
      </c>
      <c r="D51" s="64">
        <v>44</v>
      </c>
      <c r="E51" s="64">
        <v>6.68</v>
      </c>
      <c r="F51" s="64">
        <v>4.08</v>
      </c>
      <c r="G51" s="64">
        <v>78.56</v>
      </c>
      <c r="H51" s="64">
        <v>31.14</v>
      </c>
      <c r="I51" s="64">
        <v>6.55</v>
      </c>
      <c r="J51" s="64">
        <v>1.51</v>
      </c>
      <c r="K51" s="64">
        <v>59.98</v>
      </c>
      <c r="L51" s="64">
        <v>19.760000000000002</v>
      </c>
      <c r="M51" s="64">
        <v>29.13</v>
      </c>
      <c r="N51" s="64">
        <v>802.2</v>
      </c>
      <c r="O51" s="64">
        <v>0</v>
      </c>
      <c r="P51" s="64">
        <v>0.72</v>
      </c>
      <c r="Q51" s="64">
        <v>8.7899999999999991</v>
      </c>
      <c r="R51" s="198"/>
      <c r="S51" s="198"/>
      <c r="T51" s="198"/>
      <c r="U51" s="198"/>
    </row>
    <row r="52" spans="1:21" s="12" customFormat="1" x14ac:dyDescent="0.25">
      <c r="A52" s="215" t="s">
        <v>1635</v>
      </c>
      <c r="B52" s="64">
        <v>15.57</v>
      </c>
      <c r="C52" s="64">
        <v>61.79</v>
      </c>
      <c r="D52" s="64">
        <v>43.39</v>
      </c>
      <c r="E52" s="64">
        <v>6.62</v>
      </c>
      <c r="F52" s="64">
        <v>4.45</v>
      </c>
      <c r="G52" s="64">
        <v>78.56</v>
      </c>
      <c r="H52" s="64">
        <v>31.14</v>
      </c>
      <c r="I52" s="64">
        <v>6.67</v>
      </c>
      <c r="J52" s="64">
        <v>1.75</v>
      </c>
      <c r="K52" s="64">
        <v>359.18</v>
      </c>
      <c r="L52" s="64">
        <v>20.55</v>
      </c>
      <c r="M52" s="64">
        <v>27.67</v>
      </c>
      <c r="N52" s="64">
        <v>795.9</v>
      </c>
      <c r="O52" s="64">
        <v>0</v>
      </c>
      <c r="P52" s="64">
        <v>0.71</v>
      </c>
      <c r="Q52" s="64">
        <v>8.68</v>
      </c>
      <c r="R52" s="198"/>
      <c r="S52" s="198"/>
      <c r="T52" s="198"/>
      <c r="U52" s="198"/>
    </row>
    <row r="53" spans="1:21" s="12" customFormat="1" x14ac:dyDescent="0.25">
      <c r="A53" s="215" t="s">
        <v>1636</v>
      </c>
      <c r="B53" s="64">
        <v>14.12</v>
      </c>
      <c r="C53" s="64">
        <v>63.36</v>
      </c>
      <c r="D53" s="64">
        <v>43.05</v>
      </c>
      <c r="E53" s="64">
        <v>6.59</v>
      </c>
      <c r="F53" s="64">
        <v>4.4400000000000004</v>
      </c>
      <c r="G53" s="64">
        <v>78.8</v>
      </c>
      <c r="H53" s="64">
        <v>51.46</v>
      </c>
      <c r="I53" s="64">
        <v>6.8</v>
      </c>
      <c r="J53" s="64">
        <v>1.27</v>
      </c>
      <c r="K53" s="64">
        <v>2.67</v>
      </c>
      <c r="L53" s="64">
        <v>22.6</v>
      </c>
      <c r="M53" s="64">
        <v>24.5</v>
      </c>
      <c r="N53" s="64">
        <v>816.7</v>
      </c>
      <c r="O53" s="64">
        <v>0</v>
      </c>
      <c r="P53" s="64">
        <v>0.71</v>
      </c>
      <c r="Q53" s="64">
        <v>8.56</v>
      </c>
      <c r="R53" s="198"/>
      <c r="S53" s="198"/>
      <c r="T53" s="198"/>
      <c r="U53" s="198"/>
    </row>
    <row r="54" spans="1:21" s="12" customFormat="1" x14ac:dyDescent="0.25">
      <c r="A54" s="215" t="s">
        <v>1637</v>
      </c>
      <c r="B54" s="64">
        <v>12.8</v>
      </c>
      <c r="C54" s="64">
        <v>64.5</v>
      </c>
      <c r="D54" s="64">
        <v>42.59</v>
      </c>
      <c r="E54" s="64">
        <v>6.5</v>
      </c>
      <c r="F54" s="64">
        <v>3.52</v>
      </c>
      <c r="G54" s="64">
        <v>79.209999999999994</v>
      </c>
      <c r="H54" s="64">
        <v>73.7</v>
      </c>
      <c r="I54" s="64">
        <v>7.25</v>
      </c>
      <c r="J54" s="64">
        <v>2.4300000000000002</v>
      </c>
      <c r="K54" s="64">
        <v>99.05</v>
      </c>
      <c r="L54" s="64">
        <v>19.87</v>
      </c>
      <c r="M54" s="64">
        <v>29.03</v>
      </c>
      <c r="N54" s="64">
        <v>836.7</v>
      </c>
      <c r="O54" s="64">
        <v>0</v>
      </c>
      <c r="P54" s="64">
        <v>0.7</v>
      </c>
      <c r="Q54" s="64">
        <v>8.4700000000000006</v>
      </c>
      <c r="R54" s="198"/>
      <c r="S54" s="198"/>
      <c r="T54" s="198"/>
      <c r="U54" s="198"/>
    </row>
    <row r="55" spans="1:21" s="12" customFormat="1" x14ac:dyDescent="0.25">
      <c r="A55" s="215" t="s">
        <v>1638</v>
      </c>
      <c r="B55" s="64">
        <v>11.23</v>
      </c>
      <c r="C55" s="64">
        <v>64.98</v>
      </c>
      <c r="D55" s="64">
        <v>41.58</v>
      </c>
      <c r="E55" s="64">
        <v>6.43</v>
      </c>
      <c r="F55" s="64">
        <v>3.8</v>
      </c>
      <c r="G55" s="64">
        <v>79.209999999999994</v>
      </c>
      <c r="H55" s="64">
        <v>73.7</v>
      </c>
      <c r="I55" s="64">
        <v>7.29</v>
      </c>
      <c r="J55" s="64">
        <v>1.17</v>
      </c>
      <c r="K55" s="64">
        <v>9.84</v>
      </c>
      <c r="L55" s="64">
        <v>21.68</v>
      </c>
      <c r="M55" s="64">
        <v>25.01</v>
      </c>
      <c r="N55" s="64">
        <v>856.3</v>
      </c>
      <c r="O55" s="64">
        <v>0</v>
      </c>
      <c r="P55" s="64">
        <v>0.68</v>
      </c>
      <c r="Q55" s="64">
        <v>8.23</v>
      </c>
      <c r="R55" s="198"/>
      <c r="S55" s="198"/>
      <c r="T55" s="198"/>
      <c r="U55" s="198"/>
    </row>
    <row r="56" spans="1:21" s="12" customFormat="1" x14ac:dyDescent="0.25">
      <c r="A56" s="215" t="s">
        <v>1639</v>
      </c>
      <c r="B56" s="64">
        <v>9.9499999999999993</v>
      </c>
      <c r="C56" s="64">
        <v>64.62</v>
      </c>
      <c r="D56" s="64">
        <v>40.36</v>
      </c>
      <c r="E56" s="64">
        <v>6.2</v>
      </c>
      <c r="F56" s="64">
        <v>4.26</v>
      </c>
      <c r="G56" s="64">
        <v>79.209999999999994</v>
      </c>
      <c r="H56" s="64">
        <v>73.7</v>
      </c>
      <c r="I56" s="64">
        <v>7.59</v>
      </c>
      <c r="J56" s="64">
        <v>1.7</v>
      </c>
      <c r="K56" s="64">
        <v>110.32</v>
      </c>
      <c r="L56" s="64">
        <v>20.67</v>
      </c>
      <c r="M56" s="64">
        <v>25.54</v>
      </c>
      <c r="N56" s="64">
        <v>858.8</v>
      </c>
      <c r="O56" s="64">
        <v>0</v>
      </c>
      <c r="P56" s="64">
        <v>0.66</v>
      </c>
      <c r="Q56" s="64">
        <v>8.2100000000000009</v>
      </c>
      <c r="R56" s="198"/>
      <c r="S56" s="198"/>
      <c r="T56" s="198"/>
      <c r="U56" s="198"/>
    </row>
    <row r="57" spans="1:21" s="12" customFormat="1" x14ac:dyDescent="0.25">
      <c r="A57" s="215" t="s">
        <v>1640</v>
      </c>
      <c r="B57" s="64">
        <v>8.73</v>
      </c>
      <c r="C57" s="64">
        <v>63.77</v>
      </c>
      <c r="D57" s="64">
        <v>38.94</v>
      </c>
      <c r="E57" s="64">
        <v>6.33</v>
      </c>
      <c r="F57" s="64">
        <v>4.4000000000000004</v>
      </c>
      <c r="G57" s="64">
        <v>76.37</v>
      </c>
      <c r="H57" s="64">
        <v>61.17</v>
      </c>
      <c r="I57" s="64">
        <v>7.78</v>
      </c>
      <c r="J57" s="64">
        <v>1.21</v>
      </c>
      <c r="K57" s="64">
        <v>13.44</v>
      </c>
      <c r="L57" s="64">
        <v>21.58</v>
      </c>
      <c r="M57" s="64">
        <v>25.14</v>
      </c>
      <c r="N57" s="64">
        <v>821.7</v>
      </c>
      <c r="O57" s="64">
        <v>0</v>
      </c>
      <c r="P57" s="64">
        <v>0.64</v>
      </c>
      <c r="Q57" s="64">
        <v>8.2100000000000009</v>
      </c>
      <c r="R57" s="198"/>
      <c r="S57" s="198"/>
      <c r="T57" s="198"/>
      <c r="U57" s="198"/>
    </row>
    <row r="58" spans="1:21" s="12" customFormat="1" x14ac:dyDescent="0.25">
      <c r="A58" s="215" t="s">
        <v>1641</v>
      </c>
      <c r="B58" s="64">
        <v>7.92</v>
      </c>
      <c r="C58" s="64">
        <v>63.06</v>
      </c>
      <c r="D58" s="64">
        <v>37.92</v>
      </c>
      <c r="E58" s="64">
        <v>6.08</v>
      </c>
      <c r="F58" s="64">
        <v>4.04</v>
      </c>
      <c r="G58" s="64">
        <v>71.459999999999994</v>
      </c>
      <c r="H58" s="64">
        <v>18.579999999999998</v>
      </c>
      <c r="I58" s="64">
        <v>7.98</v>
      </c>
      <c r="J58" s="64">
        <v>0.7</v>
      </c>
      <c r="K58" s="64">
        <v>59.67</v>
      </c>
      <c r="L58" s="64">
        <v>22.28</v>
      </c>
      <c r="M58" s="64">
        <v>22.98</v>
      </c>
      <c r="N58" s="64">
        <v>809.5</v>
      </c>
      <c r="O58" s="64">
        <v>0</v>
      </c>
      <c r="P58" s="64">
        <v>0.63</v>
      </c>
      <c r="Q58" s="64">
        <v>8.2100000000000009</v>
      </c>
      <c r="R58" s="198"/>
      <c r="S58" s="198"/>
      <c r="T58" s="198"/>
      <c r="U58" s="198"/>
    </row>
    <row r="59" spans="1:21" s="12" customFormat="1" x14ac:dyDescent="0.25">
      <c r="A59" s="215" t="s">
        <v>1642</v>
      </c>
      <c r="B59" s="64">
        <v>7.26</v>
      </c>
      <c r="C59" s="64">
        <v>62.22</v>
      </c>
      <c r="D59" s="64">
        <v>36.950000000000003</v>
      </c>
      <c r="E59" s="64">
        <v>6.03</v>
      </c>
      <c r="F59" s="64">
        <v>4.16</v>
      </c>
      <c r="G59" s="64">
        <v>71.459999999999994</v>
      </c>
      <c r="H59" s="64">
        <v>18.579999999999998</v>
      </c>
      <c r="I59" s="64">
        <v>8.1</v>
      </c>
      <c r="J59" s="64">
        <v>2.58</v>
      </c>
      <c r="K59" s="64">
        <v>116.13</v>
      </c>
      <c r="L59" s="64">
        <v>20.67</v>
      </c>
      <c r="M59" s="64">
        <v>23.96</v>
      </c>
      <c r="N59" s="64">
        <v>802.6</v>
      </c>
      <c r="O59" s="64">
        <v>0</v>
      </c>
      <c r="P59" s="64">
        <v>0.62</v>
      </c>
      <c r="Q59" s="64">
        <v>8.2100000000000009</v>
      </c>
      <c r="R59" s="198"/>
      <c r="S59" s="198"/>
      <c r="T59" s="198"/>
      <c r="U59" s="198"/>
    </row>
    <row r="60" spans="1:21" s="12" customFormat="1" x14ac:dyDescent="0.25">
      <c r="A60" s="215" t="s">
        <v>1643</v>
      </c>
      <c r="B60" s="64">
        <v>6.43</v>
      </c>
      <c r="C60" s="64">
        <v>61.11</v>
      </c>
      <c r="D60" s="64">
        <v>35.71</v>
      </c>
      <c r="E60" s="64">
        <v>6.38</v>
      </c>
      <c r="F60" s="64">
        <v>4.3</v>
      </c>
      <c r="G60" s="64">
        <v>71.459999999999994</v>
      </c>
      <c r="H60" s="64">
        <v>18.579999999999998</v>
      </c>
      <c r="I60" s="64">
        <v>8</v>
      </c>
      <c r="J60" s="64">
        <v>2.4700000000000002</v>
      </c>
      <c r="K60" s="64">
        <v>336.93</v>
      </c>
      <c r="L60" s="64">
        <v>23.14</v>
      </c>
      <c r="M60" s="64">
        <v>21.21</v>
      </c>
      <c r="N60" s="64">
        <v>763.2</v>
      </c>
      <c r="O60" s="64">
        <v>0</v>
      </c>
      <c r="P60" s="64">
        <v>0.6</v>
      </c>
      <c r="Q60" s="64">
        <v>8.2100000000000009</v>
      </c>
      <c r="R60" s="198"/>
      <c r="S60" s="198"/>
      <c r="T60" s="198"/>
      <c r="U60" s="198"/>
    </row>
    <row r="61" spans="1:21" s="12" customFormat="1" x14ac:dyDescent="0.25">
      <c r="A61" s="215" t="s">
        <v>1644</v>
      </c>
      <c r="B61" s="64">
        <v>5.91</v>
      </c>
      <c r="C61" s="64">
        <v>61.15</v>
      </c>
      <c r="D61" s="64">
        <v>35.31</v>
      </c>
      <c r="E61" s="64">
        <v>6.06</v>
      </c>
      <c r="F61" s="64">
        <v>6.33</v>
      </c>
      <c r="G61" s="64">
        <v>66.61</v>
      </c>
      <c r="H61" s="64">
        <v>10.42</v>
      </c>
      <c r="I61" s="64">
        <v>8.2899999999999991</v>
      </c>
      <c r="J61" s="64">
        <v>1.65</v>
      </c>
      <c r="K61" s="64">
        <v>351.93</v>
      </c>
      <c r="L61" s="64">
        <v>23.61</v>
      </c>
      <c r="M61" s="64">
        <v>21.4</v>
      </c>
      <c r="N61" s="64">
        <v>733.5</v>
      </c>
      <c r="O61" s="64">
        <v>0</v>
      </c>
      <c r="P61" s="64">
        <v>0.64</v>
      </c>
      <c r="Q61" s="64">
        <v>8.2100000000000009</v>
      </c>
      <c r="R61" s="198"/>
      <c r="S61" s="198"/>
      <c r="T61" s="198"/>
      <c r="U61" s="198"/>
    </row>
    <row r="62" spans="1:21" s="12" customFormat="1" x14ac:dyDescent="0.25">
      <c r="A62" s="215" t="s">
        <v>1645</v>
      </c>
      <c r="B62" s="64">
        <v>5.54</v>
      </c>
      <c r="C62" s="64">
        <v>61.24</v>
      </c>
      <c r="D62" s="64">
        <v>35.06</v>
      </c>
      <c r="E62" s="64">
        <v>6.54</v>
      </c>
      <c r="F62" s="64">
        <v>4.4800000000000004</v>
      </c>
      <c r="G62" s="64">
        <v>58.24</v>
      </c>
      <c r="H62" s="64">
        <v>1.49</v>
      </c>
      <c r="I62" s="64">
        <v>7.73</v>
      </c>
      <c r="J62" s="64">
        <v>2.71</v>
      </c>
      <c r="K62" s="64">
        <v>341.83</v>
      </c>
      <c r="L62" s="64">
        <v>22.74</v>
      </c>
      <c r="M62" s="64">
        <v>21.76</v>
      </c>
      <c r="N62" s="64">
        <v>703.8</v>
      </c>
      <c r="O62" s="64">
        <v>0</v>
      </c>
      <c r="P62" s="64">
        <v>0.68</v>
      </c>
      <c r="Q62" s="64">
        <v>8.2100000000000009</v>
      </c>
      <c r="R62" s="198"/>
      <c r="S62" s="198"/>
      <c r="T62" s="198"/>
      <c r="U62" s="198"/>
    </row>
    <row r="63" spans="1:21" s="12" customFormat="1" x14ac:dyDescent="0.25">
      <c r="A63" s="215" t="s">
        <v>1646</v>
      </c>
      <c r="B63" s="64">
        <v>5.04</v>
      </c>
      <c r="C63" s="64">
        <v>61.64</v>
      </c>
      <c r="D63" s="64">
        <v>34.869999999999997</v>
      </c>
      <c r="E63" s="64">
        <v>7.94</v>
      </c>
      <c r="F63" s="64">
        <v>4.6500000000000004</v>
      </c>
      <c r="G63" s="64">
        <v>58.24</v>
      </c>
      <c r="H63" s="64">
        <v>1.49</v>
      </c>
      <c r="I63" s="64">
        <v>7.8</v>
      </c>
      <c r="J63" s="64">
        <v>2.2999999999999998</v>
      </c>
      <c r="K63" s="64">
        <v>349.43</v>
      </c>
      <c r="L63" s="64">
        <v>23.31</v>
      </c>
      <c r="M63" s="64">
        <v>21.44</v>
      </c>
      <c r="N63" s="64">
        <v>658.7</v>
      </c>
      <c r="O63" s="64">
        <v>0</v>
      </c>
      <c r="P63" s="64">
        <v>0.67</v>
      </c>
      <c r="Q63" s="64">
        <v>8.2100000000000009</v>
      </c>
      <c r="R63" s="198"/>
      <c r="S63" s="198"/>
      <c r="T63" s="198"/>
      <c r="U63" s="198"/>
    </row>
    <row r="64" spans="1:21" s="12" customFormat="1" x14ac:dyDescent="0.25">
      <c r="A64" s="215" t="s">
        <v>1647</v>
      </c>
      <c r="B64" s="64">
        <v>4.41</v>
      </c>
      <c r="C64" s="64">
        <v>62.5</v>
      </c>
      <c r="D64" s="64">
        <v>34.82</v>
      </c>
      <c r="E64" s="64">
        <v>7.15</v>
      </c>
      <c r="F64" s="64">
        <v>4.63</v>
      </c>
      <c r="G64" s="64">
        <v>58.24</v>
      </c>
      <c r="H64" s="64">
        <v>1.49</v>
      </c>
      <c r="I64" s="64">
        <v>7.94</v>
      </c>
      <c r="J64" s="64">
        <v>0.46</v>
      </c>
      <c r="K64" s="64">
        <v>22.39</v>
      </c>
      <c r="L64" s="64">
        <v>22.38</v>
      </c>
      <c r="M64" s="64">
        <v>21.72</v>
      </c>
      <c r="N64" s="64">
        <v>556.4</v>
      </c>
      <c r="O64" s="64">
        <v>0</v>
      </c>
      <c r="P64" s="64">
        <v>0.67</v>
      </c>
      <c r="Q64" s="64">
        <v>8.2100000000000009</v>
      </c>
      <c r="R64" s="198"/>
      <c r="S64" s="198"/>
      <c r="T64" s="198"/>
      <c r="U64" s="198"/>
    </row>
    <row r="65" spans="1:21" s="12" customFormat="1" x14ac:dyDescent="0.25">
      <c r="A65" s="215" t="s">
        <v>1648</v>
      </c>
      <c r="B65" s="64">
        <v>3.87</v>
      </c>
      <c r="C65" s="64">
        <v>63.07</v>
      </c>
      <c r="D65" s="64">
        <v>34.68</v>
      </c>
      <c r="E65" s="64">
        <v>6.77</v>
      </c>
      <c r="F65" s="64">
        <v>4.71</v>
      </c>
      <c r="G65" s="64">
        <v>63.51</v>
      </c>
      <c r="H65" s="64">
        <v>0.84</v>
      </c>
      <c r="I65" s="64">
        <v>7.76</v>
      </c>
      <c r="J65" s="64">
        <v>1.19</v>
      </c>
      <c r="K65" s="64">
        <v>85.31</v>
      </c>
      <c r="L65" s="64">
        <v>21.48</v>
      </c>
      <c r="M65" s="64">
        <v>23.46</v>
      </c>
      <c r="N65" s="64">
        <v>246.3</v>
      </c>
      <c r="O65" s="64">
        <v>0</v>
      </c>
      <c r="P65" s="64">
        <v>0.67</v>
      </c>
      <c r="Q65" s="64">
        <v>8.2100000000000009</v>
      </c>
      <c r="R65" s="198"/>
      <c r="S65" s="198"/>
      <c r="T65" s="198"/>
      <c r="U65" s="198"/>
    </row>
    <row r="66" spans="1:21" s="12" customFormat="1" x14ac:dyDescent="0.25">
      <c r="A66" s="215" t="s">
        <v>1649</v>
      </c>
      <c r="B66" s="64">
        <v>3.35</v>
      </c>
      <c r="C66" s="64">
        <v>63.19</v>
      </c>
      <c r="D66" s="64">
        <v>34.33</v>
      </c>
      <c r="E66" s="64">
        <v>6.95</v>
      </c>
      <c r="F66" s="64">
        <v>5.27</v>
      </c>
      <c r="G66" s="64">
        <v>72.61</v>
      </c>
      <c r="H66" s="64">
        <v>0.15</v>
      </c>
      <c r="I66" s="64">
        <v>7.47</v>
      </c>
      <c r="J66" s="64">
        <v>3.13</v>
      </c>
      <c r="K66" s="64">
        <v>113.03</v>
      </c>
      <c r="L66" s="64">
        <v>20.95</v>
      </c>
      <c r="M66" s="64">
        <v>24.22</v>
      </c>
      <c r="N66" s="64">
        <v>222.4</v>
      </c>
      <c r="O66" s="64">
        <v>0</v>
      </c>
      <c r="P66" s="64">
        <v>0.67</v>
      </c>
      <c r="Q66" s="64">
        <v>8.2100000000000009</v>
      </c>
      <c r="R66" s="198"/>
      <c r="S66" s="198"/>
      <c r="T66" s="198"/>
      <c r="U66" s="198"/>
    </row>
    <row r="67" spans="1:21" s="12" customFormat="1" x14ac:dyDescent="0.25">
      <c r="A67" s="215" t="s">
        <v>1650</v>
      </c>
      <c r="B67" s="64">
        <v>2.9</v>
      </c>
      <c r="C67" s="64">
        <v>62.71</v>
      </c>
      <c r="D67" s="64">
        <v>33.72</v>
      </c>
      <c r="E67" s="64">
        <v>7.03</v>
      </c>
      <c r="F67" s="64">
        <v>5.01</v>
      </c>
      <c r="G67" s="64">
        <v>72.61</v>
      </c>
      <c r="H67" s="64">
        <v>0.15</v>
      </c>
      <c r="I67" s="64">
        <v>7.48</v>
      </c>
      <c r="J67" s="64">
        <v>2.12</v>
      </c>
      <c r="K67" s="64">
        <v>120.23</v>
      </c>
      <c r="L67" s="64">
        <v>20.89</v>
      </c>
      <c r="M67" s="64">
        <v>23.8</v>
      </c>
      <c r="N67" s="64">
        <v>223.5</v>
      </c>
      <c r="O67" s="64">
        <v>0</v>
      </c>
      <c r="P67" s="64">
        <v>0.66</v>
      </c>
      <c r="Q67" s="64">
        <v>8.2100000000000009</v>
      </c>
      <c r="R67" s="198"/>
      <c r="S67" s="198"/>
      <c r="T67" s="198"/>
      <c r="U67" s="198"/>
    </row>
    <row r="68" spans="1:21" s="12" customFormat="1" x14ac:dyDescent="0.25">
      <c r="A68" s="215" t="s">
        <v>1651</v>
      </c>
      <c r="B68" s="64">
        <v>2.52</v>
      </c>
      <c r="C68" s="64">
        <v>62.37</v>
      </c>
      <c r="D68" s="64">
        <v>33.229999999999997</v>
      </c>
      <c r="E68" s="64">
        <v>7.25</v>
      </c>
      <c r="F68" s="64">
        <v>5.21</v>
      </c>
      <c r="G68" s="64">
        <v>72.61</v>
      </c>
      <c r="H68" s="64">
        <v>0.15</v>
      </c>
      <c r="I68" s="64">
        <v>7.17</v>
      </c>
      <c r="J68" s="64">
        <v>3.87</v>
      </c>
      <c r="K68" s="64">
        <v>112.23</v>
      </c>
      <c r="L68" s="64">
        <v>20.52</v>
      </c>
      <c r="M68" s="64">
        <v>23.83</v>
      </c>
      <c r="N68" s="64">
        <v>191.5</v>
      </c>
      <c r="O68" s="64">
        <v>0</v>
      </c>
      <c r="P68" s="64">
        <v>0.65</v>
      </c>
      <c r="Q68" s="64">
        <v>8.2100000000000009</v>
      </c>
      <c r="R68" s="198"/>
      <c r="S68" s="198"/>
      <c r="T68" s="198"/>
      <c r="U68" s="198"/>
    </row>
    <row r="69" spans="1:21" s="12" customFormat="1" x14ac:dyDescent="0.25">
      <c r="A69" s="215" t="s">
        <v>1652</v>
      </c>
      <c r="B69" s="64">
        <v>2.2799999999999998</v>
      </c>
      <c r="C69" s="64">
        <v>61.58</v>
      </c>
      <c r="D69" s="64">
        <v>32.619999999999997</v>
      </c>
      <c r="E69" s="64">
        <v>7.02</v>
      </c>
      <c r="F69" s="64">
        <v>5.37</v>
      </c>
      <c r="G69" s="64">
        <v>71.680000000000007</v>
      </c>
      <c r="H69" s="64">
        <v>48.19</v>
      </c>
      <c r="I69" s="64">
        <v>7.03</v>
      </c>
      <c r="J69" s="64">
        <v>1.81</v>
      </c>
      <c r="K69" s="64">
        <v>115.33</v>
      </c>
      <c r="L69" s="64">
        <v>20.239999999999998</v>
      </c>
      <c r="M69" s="64">
        <v>24.67</v>
      </c>
      <c r="N69" s="64">
        <v>174.1</v>
      </c>
      <c r="O69" s="64">
        <v>0</v>
      </c>
      <c r="P69" s="64">
        <v>0.65</v>
      </c>
      <c r="Q69" s="64">
        <v>8.2100000000000009</v>
      </c>
      <c r="R69" s="198"/>
      <c r="S69" s="198"/>
      <c r="T69" s="198"/>
      <c r="U69" s="198"/>
    </row>
    <row r="70" spans="1:21" s="12" customFormat="1" x14ac:dyDescent="0.25">
      <c r="A70" s="215" t="s">
        <v>1653</v>
      </c>
      <c r="B70" s="64">
        <v>2.29</v>
      </c>
      <c r="C70" s="64">
        <v>61.52</v>
      </c>
      <c r="D70" s="64">
        <v>32.6</v>
      </c>
      <c r="E70" s="64">
        <v>7.12</v>
      </c>
      <c r="F70" s="64">
        <v>5.05</v>
      </c>
      <c r="G70" s="64">
        <v>70.08</v>
      </c>
      <c r="H70" s="213" t="s">
        <v>42</v>
      </c>
      <c r="I70" s="64">
        <v>7.15</v>
      </c>
      <c r="J70" s="64">
        <v>2.5099999999999998</v>
      </c>
      <c r="K70" s="64">
        <v>108.09</v>
      </c>
      <c r="L70" s="64">
        <v>20.170000000000002</v>
      </c>
      <c r="M70" s="64">
        <v>24.72</v>
      </c>
      <c r="N70" s="64">
        <v>165</v>
      </c>
      <c r="O70" s="64">
        <v>0</v>
      </c>
      <c r="P70" s="64">
        <v>0.64</v>
      </c>
      <c r="Q70" s="64">
        <v>8.2100000000000009</v>
      </c>
      <c r="R70" s="198"/>
      <c r="S70" s="198"/>
      <c r="T70" s="198"/>
      <c r="U70" s="198"/>
    </row>
    <row r="71" spans="1:21" s="12" customFormat="1" x14ac:dyDescent="0.25">
      <c r="A71" s="215" t="s">
        <v>1654</v>
      </c>
      <c r="B71" s="64">
        <v>2.31</v>
      </c>
      <c r="C71" s="64">
        <v>61.29</v>
      </c>
      <c r="D71" s="64">
        <v>32.5</v>
      </c>
      <c r="E71" s="64">
        <v>6.54</v>
      </c>
      <c r="F71" s="64">
        <v>5.47</v>
      </c>
      <c r="G71" s="64">
        <v>70.08</v>
      </c>
      <c r="H71" s="213" t="s">
        <v>42</v>
      </c>
      <c r="I71" s="64">
        <v>7.27</v>
      </c>
      <c r="J71" s="64">
        <v>2.4300000000000002</v>
      </c>
      <c r="K71" s="64">
        <v>120.82</v>
      </c>
      <c r="L71" s="64">
        <v>19.920000000000002</v>
      </c>
      <c r="M71" s="64">
        <v>25.58</v>
      </c>
      <c r="N71" s="64">
        <v>155.5</v>
      </c>
      <c r="O71" s="64">
        <v>0</v>
      </c>
      <c r="P71" s="64">
        <v>0.62</v>
      </c>
      <c r="Q71" s="64">
        <v>8.2100000000000009</v>
      </c>
      <c r="R71" s="198"/>
      <c r="S71" s="198"/>
      <c r="T71" s="198"/>
      <c r="U71" s="198"/>
    </row>
    <row r="72" spans="1:21" s="12" customFormat="1" x14ac:dyDescent="0.25">
      <c r="A72" s="215" t="s">
        <v>1655</v>
      </c>
      <c r="B72" s="64">
        <v>2.2200000000000002</v>
      </c>
      <c r="C72" s="64">
        <v>60.59</v>
      </c>
      <c r="D72" s="64">
        <v>32.06</v>
      </c>
      <c r="E72" s="64">
        <v>6.35</v>
      </c>
      <c r="F72" s="64">
        <v>5.65</v>
      </c>
      <c r="G72" s="64">
        <v>70.08</v>
      </c>
      <c r="H72" s="213" t="s">
        <v>42</v>
      </c>
      <c r="I72" s="64">
        <v>6.99</v>
      </c>
      <c r="J72" s="64">
        <v>2.06</v>
      </c>
      <c r="K72" s="64">
        <v>110.12</v>
      </c>
      <c r="L72" s="64">
        <v>19.829999999999998</v>
      </c>
      <c r="M72" s="64">
        <v>26.46</v>
      </c>
      <c r="N72" s="64">
        <v>147.4</v>
      </c>
      <c r="O72" s="64">
        <v>0</v>
      </c>
      <c r="P72" s="64">
        <v>0.65</v>
      </c>
      <c r="Q72" s="64">
        <v>8.2100000000000009</v>
      </c>
      <c r="R72" s="198"/>
      <c r="S72" s="198"/>
      <c r="T72" s="198"/>
      <c r="U72" s="198"/>
    </row>
    <row r="73" spans="1:21" s="12" customFormat="1" x14ac:dyDescent="0.25">
      <c r="A73" s="215" t="s">
        <v>1656</v>
      </c>
      <c r="B73" s="64">
        <v>2.21</v>
      </c>
      <c r="C73" s="64">
        <v>59.85</v>
      </c>
      <c r="D73" s="64">
        <v>31.67</v>
      </c>
      <c r="E73" s="64">
        <v>6.78</v>
      </c>
      <c r="F73" s="64">
        <v>6.08</v>
      </c>
      <c r="G73" s="64">
        <v>73.489999999999995</v>
      </c>
      <c r="H73" s="213" t="s">
        <v>42</v>
      </c>
      <c r="I73" s="64">
        <v>5.09</v>
      </c>
      <c r="J73" s="64">
        <v>1.44</v>
      </c>
      <c r="K73" s="64">
        <v>104.58</v>
      </c>
      <c r="L73" s="64">
        <v>19.649999999999999</v>
      </c>
      <c r="M73" s="64">
        <v>25.24</v>
      </c>
      <c r="N73" s="64">
        <v>138.80000000000001</v>
      </c>
      <c r="O73" s="64">
        <v>0</v>
      </c>
      <c r="P73" s="64">
        <v>0.65</v>
      </c>
      <c r="Q73" s="64">
        <v>8.2100000000000009</v>
      </c>
      <c r="R73" s="198"/>
      <c r="S73" s="198"/>
      <c r="T73" s="198"/>
      <c r="U73" s="198"/>
    </row>
    <row r="74" spans="1:21" s="12" customFormat="1" x14ac:dyDescent="0.25">
      <c r="A74" s="215" t="s">
        <v>1657</v>
      </c>
      <c r="B74" s="64">
        <v>2.25</v>
      </c>
      <c r="C74" s="64">
        <v>59</v>
      </c>
      <c r="D74" s="64">
        <v>31.25</v>
      </c>
      <c r="E74" s="64">
        <v>6.65</v>
      </c>
      <c r="F74" s="64">
        <v>6.29</v>
      </c>
      <c r="G74" s="64">
        <v>79.37</v>
      </c>
      <c r="H74" s="213" t="s">
        <v>42</v>
      </c>
      <c r="I74" s="64">
        <v>4.5999999999999996</v>
      </c>
      <c r="J74" s="64">
        <v>2.29</v>
      </c>
      <c r="K74" s="64">
        <v>106.97</v>
      </c>
      <c r="L74" s="64">
        <v>19.420000000000002</v>
      </c>
      <c r="M74" s="64">
        <v>25.66</v>
      </c>
      <c r="N74" s="64">
        <v>130.19999999999999</v>
      </c>
      <c r="O74" s="64">
        <v>0</v>
      </c>
      <c r="P74" s="64">
        <v>0.62</v>
      </c>
      <c r="Q74" s="64">
        <v>8.2100000000000009</v>
      </c>
      <c r="R74" s="198"/>
      <c r="S74" s="198"/>
      <c r="T74" s="198"/>
      <c r="U74" s="198"/>
    </row>
    <row r="75" spans="1:21" s="12" customFormat="1" x14ac:dyDescent="0.25">
      <c r="A75" s="215" t="s">
        <v>1658</v>
      </c>
      <c r="B75" s="64">
        <v>2.2200000000000002</v>
      </c>
      <c r="C75" s="64">
        <v>57.96</v>
      </c>
      <c r="D75" s="64">
        <v>30.69</v>
      </c>
      <c r="E75" s="64">
        <v>6.93</v>
      </c>
      <c r="F75" s="64">
        <v>6.15</v>
      </c>
      <c r="G75" s="64">
        <v>79.37</v>
      </c>
      <c r="H75" s="213" t="s">
        <v>42</v>
      </c>
      <c r="I75" s="64">
        <v>4.5</v>
      </c>
      <c r="J75" s="64">
        <v>1.87</v>
      </c>
      <c r="K75" s="64">
        <v>76.819999999999993</v>
      </c>
      <c r="L75" s="64">
        <v>19.04</v>
      </c>
      <c r="M75" s="64">
        <v>27.09</v>
      </c>
      <c r="N75" s="64">
        <v>121.1</v>
      </c>
      <c r="O75" s="64">
        <v>0</v>
      </c>
      <c r="P75" s="64">
        <v>0.62</v>
      </c>
      <c r="Q75" s="64">
        <v>8.2100000000000009</v>
      </c>
      <c r="R75" s="198"/>
      <c r="S75" s="198"/>
      <c r="T75" s="198"/>
      <c r="U75" s="198"/>
    </row>
    <row r="76" spans="1:21" s="12" customFormat="1" x14ac:dyDescent="0.25">
      <c r="A76" s="215" t="s">
        <v>1659</v>
      </c>
      <c r="B76" s="64">
        <v>2.17</v>
      </c>
      <c r="C76" s="64">
        <v>57.29</v>
      </c>
      <c r="D76" s="64">
        <v>30.3</v>
      </c>
      <c r="E76" s="64">
        <v>6.7</v>
      </c>
      <c r="F76" s="64">
        <v>6.46</v>
      </c>
      <c r="G76" s="64">
        <v>79.37</v>
      </c>
      <c r="H76" s="213" t="s">
        <v>42</v>
      </c>
      <c r="I76" s="64">
        <v>4.9400000000000004</v>
      </c>
      <c r="J76" s="64">
        <v>0.8</v>
      </c>
      <c r="K76" s="64">
        <v>355.19</v>
      </c>
      <c r="L76" s="64">
        <v>18.55</v>
      </c>
      <c r="M76" s="64">
        <v>28.66</v>
      </c>
      <c r="N76" s="64">
        <v>111.8</v>
      </c>
      <c r="O76" s="64">
        <v>0</v>
      </c>
      <c r="P76" s="64">
        <v>0.72</v>
      </c>
      <c r="Q76" s="64">
        <v>8.2100000000000009</v>
      </c>
      <c r="R76" s="198"/>
      <c r="S76" s="198"/>
      <c r="T76" s="198"/>
      <c r="U76" s="198"/>
    </row>
    <row r="77" spans="1:21" s="12" customFormat="1" x14ac:dyDescent="0.25">
      <c r="A77" s="215" t="s">
        <v>1660</v>
      </c>
      <c r="B77" s="64">
        <v>2.59</v>
      </c>
      <c r="C77" s="64">
        <v>57.97</v>
      </c>
      <c r="D77" s="64">
        <v>30.99</v>
      </c>
      <c r="E77" s="64">
        <v>6.69</v>
      </c>
      <c r="F77" s="64">
        <v>4.9000000000000004</v>
      </c>
      <c r="G77" s="64">
        <v>81.03</v>
      </c>
      <c r="H77" s="213" t="s">
        <v>42</v>
      </c>
      <c r="I77" s="64">
        <v>4.93</v>
      </c>
      <c r="J77" s="64">
        <v>2.16</v>
      </c>
      <c r="K77" s="64">
        <v>327.36</v>
      </c>
      <c r="L77" s="64">
        <v>17.64</v>
      </c>
      <c r="M77" s="64">
        <v>38.46</v>
      </c>
      <c r="N77" s="64">
        <v>103.9</v>
      </c>
      <c r="O77" s="64">
        <v>0</v>
      </c>
      <c r="P77" s="64">
        <v>1.07</v>
      </c>
      <c r="Q77" s="64">
        <v>8.2100000000000009</v>
      </c>
      <c r="R77" s="198"/>
      <c r="S77" s="198"/>
      <c r="T77" s="198"/>
      <c r="U77" s="198"/>
    </row>
    <row r="78" spans="1:21" s="12" customFormat="1" x14ac:dyDescent="0.25">
      <c r="A78" s="215" t="s">
        <v>1661</v>
      </c>
      <c r="B78" s="64">
        <v>4.96</v>
      </c>
      <c r="C78" s="64">
        <v>60.6</v>
      </c>
      <c r="D78" s="64">
        <v>34.270000000000003</v>
      </c>
      <c r="E78" s="64">
        <v>7.73</v>
      </c>
      <c r="F78" s="64">
        <v>3.9</v>
      </c>
      <c r="G78" s="64">
        <v>83.91</v>
      </c>
      <c r="H78" s="213" t="s">
        <v>42</v>
      </c>
      <c r="I78" s="64">
        <v>5.83</v>
      </c>
      <c r="J78" s="64">
        <v>2.13</v>
      </c>
      <c r="K78" s="64">
        <v>312.14</v>
      </c>
      <c r="L78" s="64">
        <v>16.52</v>
      </c>
      <c r="M78" s="64">
        <v>41.2</v>
      </c>
      <c r="N78" s="64">
        <v>98.2</v>
      </c>
      <c r="O78" s="64">
        <v>0</v>
      </c>
      <c r="P78" s="64">
        <v>1.19</v>
      </c>
      <c r="Q78" s="64">
        <v>8.2100000000000009</v>
      </c>
      <c r="R78" s="198"/>
      <c r="S78" s="198"/>
      <c r="T78" s="198"/>
      <c r="U78" s="198"/>
    </row>
    <row r="79" spans="1:21" s="12" customFormat="1" x14ac:dyDescent="0.25">
      <c r="A79" s="215" t="s">
        <v>1662</v>
      </c>
      <c r="B79" s="64">
        <v>9.5299999999999994</v>
      </c>
      <c r="C79" s="64">
        <v>63.5</v>
      </c>
      <c r="D79" s="64">
        <v>39.44</v>
      </c>
      <c r="E79" s="64">
        <v>7.74</v>
      </c>
      <c r="F79" s="64">
        <v>3.53</v>
      </c>
      <c r="G79" s="64">
        <v>83.91</v>
      </c>
      <c r="H79" s="213" t="s">
        <v>42</v>
      </c>
      <c r="I79" s="64">
        <v>7.22</v>
      </c>
      <c r="J79" s="64">
        <v>1.88</v>
      </c>
      <c r="K79" s="64">
        <v>292.18</v>
      </c>
      <c r="L79" s="64">
        <v>15.51</v>
      </c>
      <c r="M79" s="64">
        <v>44.72</v>
      </c>
      <c r="N79" s="64">
        <v>96</v>
      </c>
      <c r="O79" s="64">
        <v>0</v>
      </c>
      <c r="P79" s="64">
        <v>0.81</v>
      </c>
      <c r="Q79" s="64">
        <v>8.2100000000000009</v>
      </c>
      <c r="R79" s="198"/>
      <c r="S79" s="198"/>
      <c r="T79" s="198"/>
      <c r="U79" s="198"/>
    </row>
    <row r="80" spans="1:21" s="12" customFormat="1" x14ac:dyDescent="0.25">
      <c r="A80" s="215" t="s">
        <v>1663</v>
      </c>
      <c r="B80" s="64">
        <v>14.1</v>
      </c>
      <c r="C80" s="64">
        <v>67.42</v>
      </c>
      <c r="D80" s="64">
        <v>45.16</v>
      </c>
      <c r="E80" s="64">
        <v>8.5500000000000007</v>
      </c>
      <c r="F80" s="64">
        <v>3.44</v>
      </c>
      <c r="G80" s="64">
        <v>83.91</v>
      </c>
      <c r="H80" s="213" t="s">
        <v>42</v>
      </c>
      <c r="I80" s="64">
        <v>8.1199999999999992</v>
      </c>
      <c r="J80" s="64">
        <v>1.98</v>
      </c>
      <c r="K80" s="64">
        <v>292.87</v>
      </c>
      <c r="L80" s="64">
        <v>14.76</v>
      </c>
      <c r="M80" s="64">
        <v>46.19</v>
      </c>
      <c r="N80" s="64">
        <v>95.7</v>
      </c>
      <c r="O80" s="64">
        <v>0</v>
      </c>
      <c r="P80" s="64">
        <v>0.9</v>
      </c>
      <c r="Q80" s="64">
        <v>8.4600000000000009</v>
      </c>
      <c r="R80" s="198"/>
      <c r="S80" s="198"/>
      <c r="T80" s="198"/>
      <c r="U80" s="198"/>
    </row>
    <row r="81" spans="1:26" s="12" customFormat="1" x14ac:dyDescent="0.25">
      <c r="A81" s="215" t="s">
        <v>1664</v>
      </c>
      <c r="B81" s="64">
        <v>21.7</v>
      </c>
      <c r="C81" s="64">
        <v>72.09</v>
      </c>
      <c r="D81" s="64">
        <v>53.69</v>
      </c>
      <c r="E81" s="64">
        <v>8.64</v>
      </c>
      <c r="F81" s="64">
        <v>3.58</v>
      </c>
      <c r="G81" s="64">
        <v>94.15</v>
      </c>
      <c r="H81" s="213" t="s">
        <v>42</v>
      </c>
      <c r="I81" s="64">
        <v>8.16</v>
      </c>
      <c r="J81" s="64">
        <v>1.84</v>
      </c>
      <c r="K81" s="64">
        <v>329.37</v>
      </c>
      <c r="L81" s="64">
        <v>14.1</v>
      </c>
      <c r="M81" s="64">
        <v>52.03</v>
      </c>
      <c r="N81" s="64">
        <v>95.8</v>
      </c>
      <c r="O81" s="64">
        <v>0</v>
      </c>
      <c r="P81" s="64">
        <v>0.98</v>
      </c>
      <c r="Q81" s="64">
        <v>9.17</v>
      </c>
      <c r="R81" s="198"/>
      <c r="S81" s="198"/>
      <c r="T81" s="198"/>
      <c r="U81" s="198"/>
    </row>
    <row r="82" spans="1:26" s="12" customFormat="1" x14ac:dyDescent="0.25">
      <c r="A82" s="215" t="s">
        <v>1665</v>
      </c>
      <c r="B82" s="64">
        <v>33.6</v>
      </c>
      <c r="C82" s="64">
        <v>76.19</v>
      </c>
      <c r="D82" s="64">
        <v>65.38</v>
      </c>
      <c r="E82" s="64">
        <v>9.43</v>
      </c>
      <c r="F82" s="64">
        <v>4.53</v>
      </c>
      <c r="G82" s="64">
        <v>111.82</v>
      </c>
      <c r="H82" s="213" t="s">
        <v>42</v>
      </c>
      <c r="I82" s="64">
        <v>8.17</v>
      </c>
      <c r="J82" s="64">
        <v>1.99</v>
      </c>
      <c r="K82" s="64">
        <v>326.04000000000002</v>
      </c>
      <c r="L82" s="64">
        <v>13.59</v>
      </c>
      <c r="M82" s="64">
        <v>56.13</v>
      </c>
      <c r="N82" s="64">
        <v>95.8</v>
      </c>
      <c r="O82" s="64">
        <v>0</v>
      </c>
      <c r="P82" s="64">
        <v>1.0900000000000001</v>
      </c>
      <c r="Q82" s="64">
        <v>9.8699999999999992</v>
      </c>
      <c r="R82" s="198"/>
      <c r="S82" s="198"/>
      <c r="T82" s="198"/>
      <c r="U82" s="198"/>
    </row>
    <row r="83" spans="1:26" s="12" customFormat="1" x14ac:dyDescent="0.25">
      <c r="A83" s="215" t="s">
        <v>1666</v>
      </c>
      <c r="B83" s="64">
        <v>40.54</v>
      </c>
      <c r="C83" s="64">
        <v>78.489999999999995</v>
      </c>
      <c r="D83" s="64">
        <v>72.14</v>
      </c>
      <c r="E83" s="64">
        <v>9.52</v>
      </c>
      <c r="F83" s="64">
        <v>3.98</v>
      </c>
      <c r="G83" s="64">
        <v>111.82</v>
      </c>
      <c r="H83" s="213" t="s">
        <v>42</v>
      </c>
      <c r="I83" s="64">
        <v>8.32</v>
      </c>
      <c r="J83" s="64">
        <v>1.82</v>
      </c>
      <c r="K83" s="64">
        <v>294.3</v>
      </c>
      <c r="L83" s="64">
        <v>13.37</v>
      </c>
      <c r="M83" s="64">
        <v>58.88</v>
      </c>
      <c r="N83" s="64">
        <v>96.1</v>
      </c>
      <c r="O83" s="64">
        <v>0</v>
      </c>
      <c r="P83" s="64">
        <v>1.19</v>
      </c>
      <c r="Q83" s="64">
        <v>9.9499999999999993</v>
      </c>
      <c r="R83" s="198"/>
      <c r="S83" s="198"/>
      <c r="T83" s="198"/>
      <c r="U83" s="198"/>
    </row>
    <row r="84" spans="1:26" s="12" customFormat="1" x14ac:dyDescent="0.25">
      <c r="A84" s="215" t="s">
        <v>1667</v>
      </c>
      <c r="B84" s="64">
        <v>47.19</v>
      </c>
      <c r="C84" s="64">
        <v>80.510000000000005</v>
      </c>
      <c r="D84" s="64">
        <v>78.53</v>
      </c>
      <c r="E84" s="64">
        <v>9.4</v>
      </c>
      <c r="F84" s="64">
        <v>4.3099999999999996</v>
      </c>
      <c r="G84" s="64">
        <v>111.82</v>
      </c>
      <c r="H84" s="213" t="s">
        <v>42</v>
      </c>
      <c r="I84" s="64">
        <v>8.5399999999999991</v>
      </c>
      <c r="J84" s="64">
        <v>1.57</v>
      </c>
      <c r="K84" s="64">
        <v>329.7</v>
      </c>
      <c r="L84" s="64">
        <v>13.02</v>
      </c>
      <c r="M84" s="64">
        <v>61.62</v>
      </c>
      <c r="N84" s="64">
        <v>96.5</v>
      </c>
      <c r="O84" s="64">
        <v>0</v>
      </c>
      <c r="P84" s="64">
        <v>1.3</v>
      </c>
      <c r="Q84" s="64">
        <v>10.039999999999999</v>
      </c>
      <c r="R84" s="198"/>
      <c r="S84" s="198"/>
      <c r="T84" s="198"/>
      <c r="U84" s="198"/>
    </row>
    <row r="85" spans="1:26" s="12" customFormat="1" x14ac:dyDescent="0.25">
      <c r="A85" s="215" t="s">
        <v>1668</v>
      </c>
      <c r="B85" s="64">
        <v>55.17</v>
      </c>
      <c r="C85" s="64">
        <v>81.900000000000006</v>
      </c>
      <c r="D85" s="64">
        <v>85.66</v>
      </c>
      <c r="E85" s="64">
        <v>9.9700000000000006</v>
      </c>
      <c r="F85" s="64">
        <v>4.42</v>
      </c>
      <c r="G85" s="64">
        <v>123.54</v>
      </c>
      <c r="H85" s="213" t="s">
        <v>42</v>
      </c>
      <c r="I85" s="64">
        <v>8.6999999999999993</v>
      </c>
      <c r="J85" s="64">
        <v>2.12</v>
      </c>
      <c r="K85" s="64">
        <v>290.8</v>
      </c>
      <c r="L85" s="64">
        <v>12.84</v>
      </c>
      <c r="M85" s="64">
        <v>62.43</v>
      </c>
      <c r="N85" s="64">
        <v>96.4</v>
      </c>
      <c r="O85" s="64">
        <v>0</v>
      </c>
      <c r="P85" s="64">
        <v>1.27</v>
      </c>
      <c r="Q85" s="64">
        <v>10.14</v>
      </c>
      <c r="R85" s="198"/>
      <c r="S85" s="198"/>
      <c r="T85" s="198"/>
      <c r="U85" s="198"/>
    </row>
    <row r="86" spans="1:26" s="12" customFormat="1" x14ac:dyDescent="0.25">
      <c r="A86" s="215" t="s">
        <v>1669</v>
      </c>
      <c r="B86" s="64">
        <v>62.09</v>
      </c>
      <c r="C86" s="64">
        <v>82.78</v>
      </c>
      <c r="D86" s="64">
        <v>91.66</v>
      </c>
      <c r="E86" s="64">
        <v>10.210000000000001</v>
      </c>
      <c r="F86" s="64">
        <v>4.37</v>
      </c>
      <c r="G86" s="64">
        <v>143.78</v>
      </c>
      <c r="H86" s="213" t="s">
        <v>42</v>
      </c>
      <c r="I86" s="64">
        <v>8.9</v>
      </c>
      <c r="J86" s="64">
        <v>1.78</v>
      </c>
      <c r="K86" s="64">
        <v>262.41000000000003</v>
      </c>
      <c r="L86" s="64">
        <v>12.65</v>
      </c>
      <c r="M86" s="64">
        <v>62.93</v>
      </c>
      <c r="N86" s="64">
        <v>96.6</v>
      </c>
      <c r="O86" s="64">
        <v>0</v>
      </c>
      <c r="P86" s="64">
        <v>1.42</v>
      </c>
      <c r="Q86" s="64">
        <v>10.24</v>
      </c>
      <c r="R86" s="198"/>
      <c r="S86" s="198"/>
      <c r="T86" s="198"/>
      <c r="U86" s="198"/>
    </row>
    <row r="87" spans="1:26" s="12" customFormat="1" x14ac:dyDescent="0.25">
      <c r="A87" s="215" t="s">
        <v>1670</v>
      </c>
      <c r="B87" s="64">
        <v>70.2</v>
      </c>
      <c r="C87" s="64">
        <v>83.48</v>
      </c>
      <c r="D87" s="64">
        <v>98.53</v>
      </c>
      <c r="E87" s="64">
        <v>11.05</v>
      </c>
      <c r="F87" s="64">
        <v>5.0599999999999996</v>
      </c>
      <c r="G87" s="64">
        <v>143.78</v>
      </c>
      <c r="H87" s="213" t="s">
        <v>42</v>
      </c>
      <c r="I87" s="64">
        <v>9.1300000000000008</v>
      </c>
      <c r="J87" s="64">
        <v>2.04</v>
      </c>
      <c r="K87" s="64">
        <v>311.12</v>
      </c>
      <c r="L87" s="64">
        <v>12.37</v>
      </c>
      <c r="M87" s="64">
        <v>66</v>
      </c>
      <c r="N87" s="64">
        <v>96.7</v>
      </c>
      <c r="O87" s="64">
        <v>0</v>
      </c>
      <c r="P87" s="64">
        <v>1.55</v>
      </c>
      <c r="Q87" s="64">
        <v>10.32</v>
      </c>
      <c r="R87" s="198"/>
      <c r="S87" s="198"/>
      <c r="T87" s="198"/>
      <c r="U87" s="198"/>
    </row>
    <row r="88" spans="1:26" s="12" customFormat="1" x14ac:dyDescent="0.25">
      <c r="A88" s="215" t="s">
        <v>1671</v>
      </c>
      <c r="B88" s="64">
        <v>79.91</v>
      </c>
      <c r="C88" s="64">
        <v>83.32</v>
      </c>
      <c r="D88" s="64">
        <v>106.24</v>
      </c>
      <c r="E88" s="64">
        <v>12.25</v>
      </c>
      <c r="F88" s="64">
        <v>4.55</v>
      </c>
      <c r="G88" s="64">
        <v>143.78</v>
      </c>
      <c r="H88" s="213" t="s">
        <v>42</v>
      </c>
      <c r="I88" s="64">
        <v>9.39</v>
      </c>
      <c r="J88" s="64">
        <v>1.37</v>
      </c>
      <c r="K88" s="64">
        <v>243.23</v>
      </c>
      <c r="L88" s="64">
        <v>12.16</v>
      </c>
      <c r="M88" s="64">
        <v>64.44</v>
      </c>
      <c r="N88" s="64">
        <v>96.8</v>
      </c>
      <c r="O88" s="64">
        <v>0</v>
      </c>
      <c r="P88" s="64">
        <v>1.81</v>
      </c>
      <c r="Q88" s="64">
        <v>10.35</v>
      </c>
      <c r="R88" s="198"/>
      <c r="S88" s="198"/>
      <c r="T88" s="198"/>
      <c r="U88" s="198"/>
    </row>
    <row r="89" spans="1:26" s="12" customFormat="1" x14ac:dyDescent="0.25">
      <c r="A89" s="215" t="s">
        <v>1672</v>
      </c>
      <c r="B89" s="64">
        <v>86.91</v>
      </c>
      <c r="C89" s="64">
        <v>81.99</v>
      </c>
      <c r="D89" s="64">
        <v>111.15</v>
      </c>
      <c r="E89" s="64">
        <v>12.95</v>
      </c>
      <c r="F89" s="64">
        <v>4.55</v>
      </c>
      <c r="G89" s="64">
        <v>161.94999999999999</v>
      </c>
      <c r="H89" s="64">
        <v>20.2</v>
      </c>
      <c r="I89" s="64">
        <v>9.86</v>
      </c>
      <c r="J89" s="64">
        <v>1.64</v>
      </c>
      <c r="K89" s="64">
        <v>271.36</v>
      </c>
      <c r="L89" s="64">
        <v>11.98</v>
      </c>
      <c r="M89" s="64">
        <v>65.260000000000005</v>
      </c>
      <c r="N89" s="64">
        <v>96.8</v>
      </c>
      <c r="O89" s="64">
        <v>0</v>
      </c>
      <c r="P89" s="64">
        <v>2.08</v>
      </c>
      <c r="Q89" s="64">
        <v>10.33</v>
      </c>
      <c r="R89" s="198"/>
      <c r="S89" s="198"/>
      <c r="T89" s="198"/>
      <c r="U89" s="198"/>
    </row>
    <row r="90" spans="1:26" s="12" customFormat="1" x14ac:dyDescent="0.25">
      <c r="A90" s="215" t="s">
        <v>1673</v>
      </c>
      <c r="B90" s="64">
        <v>91.65</v>
      </c>
      <c r="C90" s="64">
        <v>80.78</v>
      </c>
      <c r="D90" s="64">
        <v>114.32</v>
      </c>
      <c r="E90" s="64">
        <v>13.25</v>
      </c>
      <c r="F90" s="64">
        <v>4.6100000000000003</v>
      </c>
      <c r="G90" s="64">
        <v>193.34</v>
      </c>
      <c r="H90" s="64">
        <v>90.92</v>
      </c>
      <c r="I90" s="64">
        <v>10.35</v>
      </c>
      <c r="J90" s="64">
        <v>1.79</v>
      </c>
      <c r="K90" s="64">
        <v>282.41000000000003</v>
      </c>
      <c r="L90" s="64">
        <v>11.93</v>
      </c>
      <c r="M90" s="64">
        <v>64.59</v>
      </c>
      <c r="N90" s="64">
        <v>97.1</v>
      </c>
      <c r="O90" s="64">
        <v>0</v>
      </c>
      <c r="P90" s="64">
        <v>1.98</v>
      </c>
      <c r="Q90" s="64">
        <v>10.41</v>
      </c>
      <c r="R90" s="198"/>
      <c r="S90" s="198"/>
      <c r="T90" s="198"/>
      <c r="U90" s="198"/>
    </row>
    <row r="91" spans="1:26" s="12" customFormat="1" x14ac:dyDescent="0.25">
      <c r="A91" s="215" t="s">
        <v>1674</v>
      </c>
      <c r="B91" s="64">
        <v>96.77</v>
      </c>
      <c r="C91" s="64">
        <v>80.010000000000005</v>
      </c>
      <c r="D91" s="64">
        <v>118.02</v>
      </c>
      <c r="E91" s="64">
        <v>14.06</v>
      </c>
      <c r="F91" s="64">
        <v>5.19</v>
      </c>
      <c r="G91" s="64">
        <v>193.34</v>
      </c>
      <c r="H91" s="64">
        <v>90.92</v>
      </c>
      <c r="I91" s="64">
        <v>11.56</v>
      </c>
      <c r="J91" s="64">
        <v>2.0699999999999998</v>
      </c>
      <c r="K91" s="64">
        <v>268.55</v>
      </c>
      <c r="L91" s="64">
        <v>11.71</v>
      </c>
      <c r="M91" s="64">
        <v>65.38</v>
      </c>
      <c r="N91" s="64">
        <v>97.3</v>
      </c>
      <c r="O91" s="64">
        <v>0</v>
      </c>
      <c r="P91" s="64">
        <v>2.2000000000000002</v>
      </c>
      <c r="Q91" s="64">
        <v>10.46</v>
      </c>
      <c r="R91" s="198"/>
      <c r="S91" s="198"/>
      <c r="T91" s="198"/>
      <c r="U91" s="198"/>
    </row>
    <row r="92" spans="1:26" s="12" customFormat="1" x14ac:dyDescent="0.25">
      <c r="A92" s="215" t="s">
        <v>1675</v>
      </c>
      <c r="B92" s="64">
        <v>103.5</v>
      </c>
      <c r="C92" s="64">
        <v>79.5</v>
      </c>
      <c r="D92" s="64">
        <v>123.15</v>
      </c>
      <c r="E92" s="64">
        <v>14.5</v>
      </c>
      <c r="F92" s="64">
        <v>4.9400000000000004</v>
      </c>
      <c r="G92" s="64">
        <v>193.34</v>
      </c>
      <c r="H92" s="64">
        <v>90.92</v>
      </c>
      <c r="I92" s="64">
        <v>11.6</v>
      </c>
      <c r="J92" s="64">
        <v>2.1</v>
      </c>
      <c r="K92" s="64">
        <v>294.25</v>
      </c>
      <c r="L92" s="64">
        <v>11.6</v>
      </c>
      <c r="M92" s="64">
        <v>66.930000000000007</v>
      </c>
      <c r="N92" s="64">
        <v>97.3</v>
      </c>
      <c r="O92" s="64">
        <v>0</v>
      </c>
      <c r="P92" s="64">
        <v>2.2200000000000002</v>
      </c>
      <c r="Q92" s="64">
        <v>10.54</v>
      </c>
      <c r="R92" s="198"/>
      <c r="S92" s="198"/>
      <c r="T92" s="198"/>
      <c r="U92" s="198"/>
    </row>
    <row r="93" spans="1:26" s="12" customFormat="1" x14ac:dyDescent="0.25">
      <c r="A93" s="215" t="s">
        <v>1676</v>
      </c>
      <c r="B93" s="64">
        <v>113.41</v>
      </c>
      <c r="C93" s="64">
        <v>78.680000000000007</v>
      </c>
      <c r="D93" s="64">
        <v>130.68</v>
      </c>
      <c r="E93" s="64">
        <v>14.72</v>
      </c>
      <c r="F93" s="64">
        <v>4.47</v>
      </c>
      <c r="G93" s="64">
        <v>204.98</v>
      </c>
      <c r="H93" s="64">
        <v>46.84</v>
      </c>
      <c r="I93" s="64">
        <v>11.44</v>
      </c>
      <c r="J93" s="64">
        <v>2.14</v>
      </c>
      <c r="K93" s="64">
        <v>302.43</v>
      </c>
      <c r="L93" s="64">
        <v>11.46</v>
      </c>
      <c r="M93" s="64">
        <v>67.930000000000007</v>
      </c>
      <c r="N93" s="64">
        <v>97.2</v>
      </c>
      <c r="O93" s="64">
        <v>0</v>
      </c>
      <c r="P93" s="64">
        <v>2.34</v>
      </c>
      <c r="Q93" s="64">
        <v>10.59</v>
      </c>
      <c r="R93" s="198"/>
      <c r="S93" s="198"/>
      <c r="T93" s="198"/>
      <c r="U93" s="198"/>
    </row>
    <row r="94" spans="1:26" s="12" customFormat="1" x14ac:dyDescent="0.25">
      <c r="A94" s="215" t="s">
        <v>1677</v>
      </c>
      <c r="B94" s="64">
        <v>126.17</v>
      </c>
      <c r="C94" s="64">
        <v>78</v>
      </c>
      <c r="D94" s="64">
        <v>140.55000000000001</v>
      </c>
      <c r="E94" s="64">
        <v>14.72</v>
      </c>
      <c r="F94" s="64">
        <v>5.6</v>
      </c>
      <c r="G94" s="64">
        <v>225.1</v>
      </c>
      <c r="H94" s="213" t="s">
        <v>42</v>
      </c>
      <c r="I94" s="64">
        <v>11.73</v>
      </c>
      <c r="J94" s="64">
        <v>2.11</v>
      </c>
      <c r="K94" s="64">
        <v>336.19</v>
      </c>
      <c r="L94" s="64">
        <v>11.29</v>
      </c>
      <c r="M94" s="64">
        <v>74.92</v>
      </c>
      <c r="N94" s="64">
        <v>97.3</v>
      </c>
      <c r="O94" s="64">
        <v>0</v>
      </c>
      <c r="P94" s="64">
        <v>2.4300000000000002</v>
      </c>
      <c r="Q94" s="64">
        <v>10.7</v>
      </c>
      <c r="R94" s="198"/>
      <c r="S94" s="198"/>
      <c r="T94" s="198"/>
      <c r="U94" s="198"/>
    </row>
    <row r="95" spans="1:26" s="12" customFormat="1" x14ac:dyDescent="0.25">
      <c r="A95" s="215" t="s">
        <v>1678</v>
      </c>
      <c r="B95" s="64">
        <v>136.07</v>
      </c>
      <c r="C95" s="64">
        <v>77.36</v>
      </c>
      <c r="D95" s="64">
        <v>148.16</v>
      </c>
      <c r="E95" s="64">
        <v>14.74</v>
      </c>
      <c r="F95" s="64">
        <v>5.56</v>
      </c>
      <c r="G95" s="64">
        <v>225.1</v>
      </c>
      <c r="H95" s="213" t="s">
        <v>42</v>
      </c>
      <c r="I95" s="64">
        <v>11.87</v>
      </c>
      <c r="J95" s="64">
        <v>1.03</v>
      </c>
      <c r="K95" s="64">
        <v>341.05</v>
      </c>
      <c r="L95" s="64">
        <v>11.1</v>
      </c>
      <c r="M95" s="64">
        <v>70.69</v>
      </c>
      <c r="N95" s="64">
        <v>97.2</v>
      </c>
      <c r="O95" s="64">
        <v>0</v>
      </c>
      <c r="P95" s="64">
        <v>2.4700000000000002</v>
      </c>
      <c r="Q95" s="64">
        <v>10.75</v>
      </c>
      <c r="R95" s="198"/>
      <c r="S95" s="198"/>
      <c r="T95" s="198"/>
      <c r="U95" s="198"/>
    </row>
    <row r="96" spans="1:26" s="12" customFormat="1" x14ac:dyDescent="0.25">
      <c r="A96" s="215" t="s">
        <v>1679</v>
      </c>
      <c r="B96" s="64">
        <v>143.04</v>
      </c>
      <c r="C96" s="64">
        <v>77</v>
      </c>
      <c r="D96" s="64">
        <v>153.56</v>
      </c>
      <c r="E96" s="64">
        <v>14.51</v>
      </c>
      <c r="F96" s="64">
        <v>5.57</v>
      </c>
      <c r="G96" s="64">
        <v>225.1</v>
      </c>
      <c r="H96" s="213" t="s">
        <v>42</v>
      </c>
      <c r="I96" s="64">
        <v>12.2</v>
      </c>
      <c r="J96" s="64">
        <v>1.58</v>
      </c>
      <c r="K96" s="64">
        <v>145.59</v>
      </c>
      <c r="L96" s="64">
        <v>11</v>
      </c>
      <c r="M96" s="64">
        <v>69.400000000000006</v>
      </c>
      <c r="N96" s="64">
        <v>97.6</v>
      </c>
      <c r="O96" s="64">
        <v>0</v>
      </c>
      <c r="P96" s="64">
        <v>2.5099999999999998</v>
      </c>
      <c r="Q96" s="64">
        <v>10.96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1680</v>
      </c>
      <c r="B97" s="64">
        <v>147.61000000000001</v>
      </c>
      <c r="C97" s="64">
        <v>76.28</v>
      </c>
      <c r="D97" s="64">
        <v>156.85</v>
      </c>
      <c r="E97" s="64">
        <v>14.79</v>
      </c>
      <c r="F97" s="64">
        <v>5.56</v>
      </c>
      <c r="G97" s="64">
        <v>228.02</v>
      </c>
      <c r="H97" s="213" t="s">
        <v>42</v>
      </c>
      <c r="I97" s="64">
        <v>11.97</v>
      </c>
      <c r="J97" s="64">
        <v>1.06</v>
      </c>
      <c r="K97" s="64">
        <v>356.03</v>
      </c>
      <c r="L97" s="64">
        <v>11.02</v>
      </c>
      <c r="M97" s="64">
        <v>70.959999999999994</v>
      </c>
      <c r="N97" s="64">
        <v>97.7</v>
      </c>
      <c r="O97" s="64">
        <v>0</v>
      </c>
      <c r="P97" s="64">
        <v>2.59</v>
      </c>
      <c r="Q97" s="64">
        <v>11.05</v>
      </c>
      <c r="R97" s="198"/>
      <c r="S97" s="198"/>
      <c r="T97" s="198"/>
      <c r="U97" s="198"/>
    </row>
    <row r="98" spans="1:33" s="12" customFormat="1" x14ac:dyDescent="0.25">
      <c r="A98" s="215" t="s">
        <v>1681</v>
      </c>
      <c r="B98" s="64">
        <v>150.94</v>
      </c>
      <c r="C98" s="64">
        <v>75.87</v>
      </c>
      <c r="D98" s="64">
        <v>159.31</v>
      </c>
      <c r="E98" s="64">
        <v>14.68</v>
      </c>
      <c r="F98" s="64">
        <v>5.59</v>
      </c>
      <c r="G98" s="64">
        <v>233.07</v>
      </c>
      <c r="H98" s="213" t="s">
        <v>42</v>
      </c>
      <c r="I98" s="64">
        <v>11.99</v>
      </c>
      <c r="J98" s="64">
        <v>2.1800000000000002</v>
      </c>
      <c r="K98" s="64">
        <v>299.01</v>
      </c>
      <c r="L98" s="64">
        <v>10.67</v>
      </c>
      <c r="M98" s="64">
        <v>77.680000000000007</v>
      </c>
      <c r="N98" s="64">
        <v>97.8</v>
      </c>
      <c r="O98" s="64">
        <v>0</v>
      </c>
      <c r="P98" s="64">
        <v>2.63</v>
      </c>
      <c r="Q98" s="64">
        <v>11.06</v>
      </c>
      <c r="R98" s="198"/>
      <c r="S98" s="198"/>
      <c r="T98" s="198"/>
      <c r="U98" s="198"/>
    </row>
    <row r="99" spans="1:33" s="12" customFormat="1" x14ac:dyDescent="0.25">
      <c r="A99" s="215" t="s">
        <v>1682</v>
      </c>
      <c r="B99" s="64">
        <v>157.37</v>
      </c>
      <c r="C99" s="64">
        <v>75.91</v>
      </c>
      <c r="D99" s="64">
        <v>164.49</v>
      </c>
      <c r="E99" s="64">
        <v>14.38</v>
      </c>
      <c r="F99" s="64">
        <v>5.28</v>
      </c>
      <c r="G99" s="64">
        <v>233.07</v>
      </c>
      <c r="H99" s="213" t="s">
        <v>42</v>
      </c>
      <c r="I99" s="64">
        <v>12.09</v>
      </c>
      <c r="J99" s="64">
        <v>1.56</v>
      </c>
      <c r="K99" s="64">
        <v>276.12</v>
      </c>
      <c r="L99" s="64">
        <v>10.48</v>
      </c>
      <c r="M99" s="64">
        <v>81.52</v>
      </c>
      <c r="N99" s="64">
        <v>97.9</v>
      </c>
      <c r="O99" s="64">
        <v>0</v>
      </c>
      <c r="P99" s="64">
        <v>2.71</v>
      </c>
      <c r="Q99" s="64">
        <v>11.15</v>
      </c>
      <c r="R99" s="198"/>
      <c r="S99" s="198"/>
      <c r="T99" s="198"/>
      <c r="U99" s="198"/>
    </row>
    <row r="100" spans="1:33" s="12" customFormat="1" x14ac:dyDescent="0.25">
      <c r="A100" s="215" t="s">
        <v>1683</v>
      </c>
      <c r="B100" s="64">
        <v>163.09</v>
      </c>
      <c r="C100" s="64">
        <v>75.959999999999994</v>
      </c>
      <c r="D100" s="64">
        <v>169.1</v>
      </c>
      <c r="E100" s="64">
        <v>14.38</v>
      </c>
      <c r="F100" s="64">
        <v>4.9400000000000004</v>
      </c>
      <c r="G100" s="64">
        <v>233.07</v>
      </c>
      <c r="H100" s="213" t="s">
        <v>42</v>
      </c>
      <c r="I100" s="64">
        <v>12.17</v>
      </c>
      <c r="J100" s="64">
        <v>0.71</v>
      </c>
      <c r="K100" s="64">
        <v>227.53</v>
      </c>
      <c r="L100" s="64">
        <v>10.33</v>
      </c>
      <c r="M100" s="64">
        <v>81.069999999999993</v>
      </c>
      <c r="N100" s="64">
        <v>98</v>
      </c>
      <c r="O100" s="64">
        <v>0</v>
      </c>
      <c r="P100" s="64">
        <v>2.78</v>
      </c>
      <c r="Q100" s="64">
        <v>11.13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1684</v>
      </c>
      <c r="B101" s="64">
        <v>165.67</v>
      </c>
      <c r="C101" s="64">
        <v>75.19</v>
      </c>
      <c r="D101" s="64">
        <v>170.76</v>
      </c>
      <c r="E101" s="64">
        <v>14.22</v>
      </c>
      <c r="F101" s="64">
        <v>5.51</v>
      </c>
      <c r="G101" s="64">
        <v>237.82</v>
      </c>
      <c r="H101" s="64">
        <v>67.23</v>
      </c>
      <c r="I101" s="64">
        <v>12.33</v>
      </c>
      <c r="J101" s="64">
        <v>1.55</v>
      </c>
      <c r="K101" s="64">
        <v>305.48</v>
      </c>
      <c r="L101" s="64">
        <v>10.11</v>
      </c>
      <c r="M101" s="64">
        <v>85.88</v>
      </c>
      <c r="N101" s="64">
        <v>98.3</v>
      </c>
      <c r="O101" s="64">
        <v>0</v>
      </c>
      <c r="P101" s="64">
        <v>2.84</v>
      </c>
      <c r="Q101" s="64">
        <v>11.18</v>
      </c>
      <c r="R101" s="198"/>
      <c r="S101" s="198"/>
      <c r="T101" s="198"/>
      <c r="U101" s="198"/>
    </row>
    <row r="102" spans="1:33" s="12" customFormat="1" x14ac:dyDescent="0.25">
      <c r="A102" s="215" t="s">
        <v>1685</v>
      </c>
      <c r="B102" s="64">
        <v>170.81</v>
      </c>
      <c r="C102" s="64">
        <v>74.81</v>
      </c>
      <c r="D102" s="64">
        <v>174.68</v>
      </c>
      <c r="E102" s="64">
        <v>14.64</v>
      </c>
      <c r="F102" s="64">
        <v>5.24</v>
      </c>
      <c r="G102" s="64">
        <v>246.01</v>
      </c>
      <c r="H102" s="64">
        <v>138.66999999999999</v>
      </c>
      <c r="I102" s="64">
        <v>12.5</v>
      </c>
      <c r="J102" s="64">
        <v>1.88</v>
      </c>
      <c r="K102" s="64">
        <v>277.26</v>
      </c>
      <c r="L102" s="64">
        <v>9.8000000000000007</v>
      </c>
      <c r="M102" s="64">
        <v>87.63</v>
      </c>
      <c r="N102" s="64">
        <v>98.3</v>
      </c>
      <c r="O102" s="64">
        <v>0</v>
      </c>
      <c r="P102" s="64">
        <v>2.89</v>
      </c>
      <c r="Q102" s="64">
        <v>11.19</v>
      </c>
      <c r="R102" s="198"/>
      <c r="S102" s="198"/>
      <c r="T102" s="198"/>
      <c r="U102" s="198"/>
    </row>
    <row r="103" spans="1:33" s="12" customFormat="1" x14ac:dyDescent="0.25">
      <c r="A103" s="215" t="s">
        <v>1686</v>
      </c>
      <c r="B103" s="64">
        <v>173.59</v>
      </c>
      <c r="C103" s="64">
        <v>73.900000000000006</v>
      </c>
      <c r="D103" s="64">
        <v>176.44</v>
      </c>
      <c r="E103" s="64">
        <v>14.7</v>
      </c>
      <c r="F103" s="64">
        <v>5.43</v>
      </c>
      <c r="G103" s="64">
        <v>246.01</v>
      </c>
      <c r="H103" s="64">
        <v>138.66999999999999</v>
      </c>
      <c r="I103" s="64">
        <v>12.61</v>
      </c>
      <c r="J103" s="64">
        <v>2.15</v>
      </c>
      <c r="K103" s="64">
        <v>307.33999999999997</v>
      </c>
      <c r="L103" s="64">
        <v>9.57</v>
      </c>
      <c r="M103" s="64">
        <v>89.95</v>
      </c>
      <c r="N103" s="64">
        <v>98.4</v>
      </c>
      <c r="O103" s="64">
        <v>0</v>
      </c>
      <c r="P103" s="64">
        <v>2.93</v>
      </c>
      <c r="Q103" s="64">
        <v>11.23</v>
      </c>
      <c r="R103" s="198"/>
      <c r="S103" s="198"/>
      <c r="T103" s="198"/>
      <c r="U103" s="198"/>
    </row>
    <row r="104" spans="1:33" s="12" customFormat="1" x14ac:dyDescent="0.25">
      <c r="A104" s="215" t="s">
        <v>1687</v>
      </c>
      <c r="B104" s="64">
        <v>175.51</v>
      </c>
      <c r="C104" s="64">
        <v>72.709999999999994</v>
      </c>
      <c r="D104" s="64">
        <v>177.36</v>
      </c>
      <c r="E104" s="64">
        <v>11.66</v>
      </c>
      <c r="F104" s="64">
        <v>5.4</v>
      </c>
      <c r="G104" s="64">
        <v>246.01</v>
      </c>
      <c r="H104" s="64">
        <v>138.66999999999999</v>
      </c>
      <c r="I104" s="64">
        <v>12.78</v>
      </c>
      <c r="J104" s="64">
        <v>1.35</v>
      </c>
      <c r="K104" s="64">
        <v>277.77</v>
      </c>
      <c r="L104" s="64">
        <v>9.4</v>
      </c>
      <c r="M104" s="64">
        <v>95.59</v>
      </c>
      <c r="N104" s="64">
        <v>98.3</v>
      </c>
      <c r="O104" s="64">
        <v>0</v>
      </c>
      <c r="P104" s="64">
        <v>2.98</v>
      </c>
      <c r="Q104" s="64">
        <v>11.26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2.17</v>
      </c>
      <c r="C106" s="67">
        <f>MIN(C9:C104)</f>
        <v>52.34</v>
      </c>
      <c r="D106" s="67">
        <f t="shared" ref="D106:Q106" si="0">MIN(D9:D104)</f>
        <v>30.3</v>
      </c>
      <c r="E106" s="67">
        <f t="shared" si="0"/>
        <v>5.78</v>
      </c>
      <c r="F106" s="67">
        <f t="shared" si="0"/>
        <v>3.16</v>
      </c>
      <c r="G106" s="67">
        <f t="shared" si="0"/>
        <v>58.24</v>
      </c>
      <c r="H106" s="67">
        <f t="shared" si="0"/>
        <v>0.15</v>
      </c>
      <c r="I106" s="67">
        <f t="shared" si="0"/>
        <v>4.5</v>
      </c>
      <c r="J106" s="67">
        <f t="shared" si="0"/>
        <v>0.38</v>
      </c>
      <c r="K106" s="67">
        <f t="shared" si="0"/>
        <v>1.59</v>
      </c>
      <c r="L106" s="67">
        <f t="shared" si="0"/>
        <v>8.43</v>
      </c>
      <c r="M106" s="67">
        <f t="shared" si="0"/>
        <v>21.21</v>
      </c>
      <c r="N106" s="67">
        <f t="shared" si="0"/>
        <v>93.5</v>
      </c>
      <c r="O106" s="67">
        <f t="shared" si="0"/>
        <v>0</v>
      </c>
      <c r="P106" s="67">
        <f t="shared" si="0"/>
        <v>0.6</v>
      </c>
      <c r="Q106" s="67">
        <f t="shared" si="0"/>
        <v>8.2100000000000009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203.8</v>
      </c>
      <c r="C107" s="66">
        <f t="shared" ref="C107:Q107" si="1">MAX(C9:C104)</f>
        <v>83.48</v>
      </c>
      <c r="D107" s="66">
        <f t="shared" si="1"/>
        <v>198.36</v>
      </c>
      <c r="E107" s="66">
        <f t="shared" si="1"/>
        <v>14.79</v>
      </c>
      <c r="F107" s="66">
        <f t="shared" si="1"/>
        <v>6.46</v>
      </c>
      <c r="G107" s="66">
        <f t="shared" si="1"/>
        <v>249.63</v>
      </c>
      <c r="H107" s="66">
        <f t="shared" si="1"/>
        <v>138.66999999999999</v>
      </c>
      <c r="I107" s="66">
        <f t="shared" si="1"/>
        <v>13.38</v>
      </c>
      <c r="J107" s="66">
        <f t="shared" si="1"/>
        <v>3.87</v>
      </c>
      <c r="K107" s="66">
        <f t="shared" si="1"/>
        <v>359.38</v>
      </c>
      <c r="L107" s="66">
        <f t="shared" si="1"/>
        <v>23.61</v>
      </c>
      <c r="M107" s="66">
        <f t="shared" si="1"/>
        <v>95.59</v>
      </c>
      <c r="N107" s="66">
        <f t="shared" si="1"/>
        <v>858.8</v>
      </c>
      <c r="O107" s="66">
        <f t="shared" si="1"/>
        <v>0</v>
      </c>
      <c r="P107" s="66">
        <f t="shared" si="1"/>
        <v>3.12</v>
      </c>
      <c r="Q107" s="66">
        <f t="shared" si="1"/>
        <v>11.5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63.202395833333327</v>
      </c>
      <c r="C108" s="67">
        <f t="shared" ref="C108:Q108" si="2">AVERAGE(C9:C104)</f>
        <v>64.06885416666664</v>
      </c>
      <c r="D108" s="67">
        <f t="shared" si="2"/>
        <v>82.781562499999993</v>
      </c>
      <c r="E108" s="67">
        <f t="shared" si="2"/>
        <v>8.6446874999999963</v>
      </c>
      <c r="F108" s="67">
        <f t="shared" si="2"/>
        <v>4.4712499999999995</v>
      </c>
      <c r="G108" s="67">
        <f t="shared" si="2"/>
        <v>116.43041666666664</v>
      </c>
      <c r="H108" s="67">
        <f t="shared" si="2"/>
        <v>56.71794871794873</v>
      </c>
      <c r="I108" s="67">
        <f t="shared" si="2"/>
        <v>8.3885416666666703</v>
      </c>
      <c r="J108" s="67">
        <f t="shared" si="2"/>
        <v>1.7323958333333334</v>
      </c>
      <c r="K108" s="67">
        <f t="shared" si="2"/>
        <v>218.00416666666661</v>
      </c>
      <c r="L108" s="67">
        <f t="shared" si="2"/>
        <v>14.287187499999993</v>
      </c>
      <c r="M108" s="67">
        <f t="shared" si="2"/>
        <v>46.598541666666669</v>
      </c>
      <c r="N108" s="67">
        <f t="shared" si="2"/>
        <v>265.18541666666664</v>
      </c>
      <c r="O108" s="67">
        <f t="shared" si="2"/>
        <v>0</v>
      </c>
      <c r="P108" s="67">
        <f t="shared" si="2"/>
        <v>1.3775000000000004</v>
      </c>
      <c r="Q108" s="67">
        <f t="shared" si="2"/>
        <v>9.6755208333333407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59.583215540952146</v>
      </c>
      <c r="C109" s="67">
        <f t="shared" ref="C109:Q109" si="3">STDEV(C9:C104)</f>
        <v>9.0213890714519156</v>
      </c>
      <c r="D109" s="67">
        <f t="shared" si="3"/>
        <v>49.97733468026702</v>
      </c>
      <c r="E109" s="67">
        <f t="shared" si="3"/>
        <v>3.0262295293770722</v>
      </c>
      <c r="F109" s="67">
        <f t="shared" si="3"/>
        <v>0.81493331984247841</v>
      </c>
      <c r="G109" s="67">
        <f t="shared" si="3"/>
        <v>61.22207446607657</v>
      </c>
      <c r="H109" s="67">
        <f t="shared" si="3"/>
        <v>43.318085209388336</v>
      </c>
      <c r="I109" s="67">
        <f t="shared" si="3"/>
        <v>2.5561784713108211</v>
      </c>
      <c r="J109" s="67">
        <f t="shared" si="3"/>
        <v>0.64049116809172979</v>
      </c>
      <c r="K109" s="67">
        <f t="shared" si="3"/>
        <v>123.87445924820453</v>
      </c>
      <c r="L109" s="67">
        <f t="shared" si="3"/>
        <v>4.8457325127917086</v>
      </c>
      <c r="M109" s="67">
        <f t="shared" si="3"/>
        <v>18.540192071858467</v>
      </c>
      <c r="N109" s="67">
        <f t="shared" si="3"/>
        <v>270.19157452256445</v>
      </c>
      <c r="O109" s="67">
        <f t="shared" si="3"/>
        <v>0</v>
      </c>
      <c r="P109" s="67">
        <f t="shared" si="3"/>
        <v>0.79655706505857782</v>
      </c>
      <c r="Q109" s="67">
        <f t="shared" si="3"/>
        <v>1.0846409736251186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COUNT(H9:H104)+57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5" sqref="G125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247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16/12/2024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231</v>
      </c>
      <c r="C7" s="198" t="s">
        <v>232</v>
      </c>
      <c r="D7" s="198" t="s">
        <v>233</v>
      </c>
      <c r="E7" s="198" t="s">
        <v>234</v>
      </c>
      <c r="F7" s="198" t="s">
        <v>235</v>
      </c>
      <c r="G7" s="198" t="s">
        <v>236</v>
      </c>
      <c r="H7" s="198" t="s">
        <v>237</v>
      </c>
      <c r="I7" s="198" t="s">
        <v>238</v>
      </c>
      <c r="J7" s="198" t="s">
        <v>239</v>
      </c>
      <c r="K7" s="198" t="s">
        <v>240</v>
      </c>
      <c r="L7" s="198" t="s">
        <v>241</v>
      </c>
      <c r="M7" s="198" t="s">
        <v>242</v>
      </c>
      <c r="N7" s="198" t="s">
        <v>243</v>
      </c>
      <c r="O7" s="198" t="s">
        <v>244</v>
      </c>
      <c r="P7" s="198" t="s">
        <v>245</v>
      </c>
      <c r="Q7" s="198" t="s">
        <v>246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1688</v>
      </c>
      <c r="B9" s="60">
        <v>179.04</v>
      </c>
      <c r="C9" s="60">
        <v>70.790000000000006</v>
      </c>
      <c r="D9" s="60">
        <v>179.19</v>
      </c>
      <c r="E9" s="60">
        <v>13.75</v>
      </c>
      <c r="F9" s="60">
        <v>5.67</v>
      </c>
      <c r="G9" s="60">
        <v>248.16</v>
      </c>
      <c r="H9" s="213" t="s">
        <v>42</v>
      </c>
      <c r="I9" s="60">
        <v>12.92</v>
      </c>
      <c r="J9" s="60">
        <v>0.28999999999999998</v>
      </c>
      <c r="K9" s="60">
        <v>315.39</v>
      </c>
      <c r="L9" s="60">
        <v>9.32</v>
      </c>
      <c r="M9" s="60">
        <v>96.13</v>
      </c>
      <c r="N9" s="60">
        <v>98.5</v>
      </c>
      <c r="O9" s="60">
        <v>0</v>
      </c>
      <c r="P9" s="60">
        <v>3.04</v>
      </c>
      <c r="Q9" s="60">
        <v>11.19</v>
      </c>
      <c r="R9" s="198"/>
      <c r="S9" s="198"/>
      <c r="T9" s="198"/>
      <c r="U9" s="198"/>
    </row>
    <row r="10" spans="1:21" s="12" customFormat="1" x14ac:dyDescent="0.25">
      <c r="A10" s="201" t="s">
        <v>1689</v>
      </c>
      <c r="B10" s="60">
        <v>180.67</v>
      </c>
      <c r="C10" s="60">
        <v>69.06</v>
      </c>
      <c r="D10" s="60">
        <v>179.59</v>
      </c>
      <c r="E10" s="60">
        <v>14.26</v>
      </c>
      <c r="F10" s="60">
        <v>5.68</v>
      </c>
      <c r="G10" s="60">
        <v>251.88</v>
      </c>
      <c r="H10" s="213" t="s">
        <v>42</v>
      </c>
      <c r="I10" s="60">
        <v>13.15</v>
      </c>
      <c r="J10" s="60">
        <v>2.21</v>
      </c>
      <c r="K10" s="60">
        <v>314.08999999999997</v>
      </c>
      <c r="L10" s="60">
        <v>9.18</v>
      </c>
      <c r="M10" s="60">
        <v>95.57</v>
      </c>
      <c r="N10" s="60">
        <v>98.6</v>
      </c>
      <c r="O10" s="60">
        <v>0</v>
      </c>
      <c r="P10" s="60">
        <v>3.08</v>
      </c>
      <c r="Q10" s="60">
        <v>11.18</v>
      </c>
      <c r="R10" s="198"/>
      <c r="S10" s="198"/>
      <c r="T10" s="198"/>
      <c r="U10" s="198"/>
    </row>
    <row r="11" spans="1:21" s="12" customFormat="1" x14ac:dyDescent="0.25">
      <c r="A11" s="201" t="s">
        <v>1690</v>
      </c>
      <c r="B11" s="60">
        <v>180.78</v>
      </c>
      <c r="C11" s="60">
        <v>67.69</v>
      </c>
      <c r="D11" s="60">
        <v>178.96</v>
      </c>
      <c r="E11" s="60">
        <v>13.97</v>
      </c>
      <c r="F11" s="60">
        <v>5.42</v>
      </c>
      <c r="G11" s="60">
        <v>251.88</v>
      </c>
      <c r="H11" s="213" t="s">
        <v>42</v>
      </c>
      <c r="I11" s="60">
        <v>13.35</v>
      </c>
      <c r="J11" s="60">
        <v>2.2400000000000002</v>
      </c>
      <c r="K11" s="60">
        <v>317.08</v>
      </c>
      <c r="L11" s="60">
        <v>9.0299999999999994</v>
      </c>
      <c r="M11" s="60">
        <v>96.52</v>
      </c>
      <c r="N11" s="60">
        <v>98.6</v>
      </c>
      <c r="O11" s="60">
        <v>0</v>
      </c>
      <c r="P11" s="60">
        <v>3.1</v>
      </c>
      <c r="Q11" s="60">
        <v>11.23</v>
      </c>
      <c r="R11" s="198"/>
      <c r="S11" s="198"/>
      <c r="T11" s="198"/>
      <c r="U11" s="198"/>
    </row>
    <row r="12" spans="1:21" s="12" customFormat="1" x14ac:dyDescent="0.25">
      <c r="A12" s="201" t="s">
        <v>1691</v>
      </c>
      <c r="B12" s="60">
        <v>181.07</v>
      </c>
      <c r="C12" s="60">
        <v>66.150000000000006</v>
      </c>
      <c r="D12" s="60">
        <v>178.39</v>
      </c>
      <c r="E12" s="60">
        <v>14.37</v>
      </c>
      <c r="F12" s="60">
        <v>5.05</v>
      </c>
      <c r="G12" s="60">
        <v>251.88</v>
      </c>
      <c r="H12" s="213" t="s">
        <v>42</v>
      </c>
      <c r="I12" s="60">
        <v>13.38</v>
      </c>
      <c r="J12" s="60">
        <v>0.37</v>
      </c>
      <c r="K12" s="60">
        <v>0.56000000000000005</v>
      </c>
      <c r="L12" s="60">
        <v>8.98</v>
      </c>
      <c r="M12" s="60">
        <v>98.05</v>
      </c>
      <c r="N12" s="60">
        <v>98.4</v>
      </c>
      <c r="O12" s="60">
        <v>0</v>
      </c>
      <c r="P12" s="60">
        <v>3.15</v>
      </c>
      <c r="Q12" s="60">
        <v>11.24</v>
      </c>
      <c r="R12" s="198"/>
      <c r="S12" s="198"/>
      <c r="T12" s="198"/>
      <c r="U12" s="198"/>
    </row>
    <row r="13" spans="1:21" s="12" customFormat="1" x14ac:dyDescent="0.25">
      <c r="A13" s="201" t="s">
        <v>1692</v>
      </c>
      <c r="B13" s="60">
        <v>180.32</v>
      </c>
      <c r="C13" s="60">
        <v>64.62</v>
      </c>
      <c r="D13" s="60">
        <v>176.99</v>
      </c>
      <c r="E13" s="60">
        <v>14.22</v>
      </c>
      <c r="F13" s="60">
        <v>5.42</v>
      </c>
      <c r="G13" s="60">
        <v>252.37</v>
      </c>
      <c r="H13" s="213" t="s">
        <v>42</v>
      </c>
      <c r="I13" s="60">
        <v>13.5</v>
      </c>
      <c r="J13" s="60">
        <v>1.37</v>
      </c>
      <c r="K13" s="60">
        <v>278.93</v>
      </c>
      <c r="L13" s="60">
        <v>9.4600000000000009</v>
      </c>
      <c r="M13" s="60">
        <v>85.28</v>
      </c>
      <c r="N13" s="60">
        <v>98.1</v>
      </c>
      <c r="O13" s="60">
        <v>0</v>
      </c>
      <c r="P13" s="60">
        <v>2.78</v>
      </c>
      <c r="Q13" s="60">
        <v>11.23</v>
      </c>
      <c r="R13" s="198"/>
      <c r="S13" s="198"/>
      <c r="T13" s="198"/>
      <c r="U13" s="198"/>
    </row>
    <row r="14" spans="1:21" s="12" customFormat="1" x14ac:dyDescent="0.25">
      <c r="A14" s="201" t="s">
        <v>1693</v>
      </c>
      <c r="B14" s="60">
        <v>177.11</v>
      </c>
      <c r="C14" s="60">
        <v>62.95</v>
      </c>
      <c r="D14" s="60">
        <v>173.54</v>
      </c>
      <c r="E14" s="60">
        <v>14.13</v>
      </c>
      <c r="F14" s="60">
        <v>5.72</v>
      </c>
      <c r="G14" s="60">
        <v>253.21</v>
      </c>
      <c r="H14" s="213" t="s">
        <v>42</v>
      </c>
      <c r="I14" s="60">
        <v>13.59</v>
      </c>
      <c r="J14" s="60">
        <v>1.97</v>
      </c>
      <c r="K14" s="60">
        <v>262.33</v>
      </c>
      <c r="L14" s="60">
        <v>9.74</v>
      </c>
      <c r="M14" s="60">
        <v>78.61</v>
      </c>
      <c r="N14" s="60">
        <v>98.9</v>
      </c>
      <c r="O14" s="60">
        <v>0</v>
      </c>
      <c r="P14" s="60">
        <v>2.9</v>
      </c>
      <c r="Q14" s="60">
        <v>11.24</v>
      </c>
      <c r="R14" s="198"/>
      <c r="S14" s="198"/>
      <c r="T14" s="198"/>
      <c r="U14" s="198"/>
    </row>
    <row r="15" spans="1:21" s="12" customFormat="1" x14ac:dyDescent="0.25">
      <c r="A15" s="201" t="s">
        <v>1694</v>
      </c>
      <c r="B15" s="60">
        <v>172.24</v>
      </c>
      <c r="C15" s="60">
        <v>62.21</v>
      </c>
      <c r="D15" s="60">
        <v>169.25</v>
      </c>
      <c r="E15" s="60">
        <v>13.65</v>
      </c>
      <c r="F15" s="60">
        <v>5.33</v>
      </c>
      <c r="G15" s="60">
        <v>253.21</v>
      </c>
      <c r="H15" s="213" t="s">
        <v>42</v>
      </c>
      <c r="I15" s="60">
        <v>13.63</v>
      </c>
      <c r="J15" s="60">
        <v>1.81</v>
      </c>
      <c r="K15" s="60">
        <v>326.99</v>
      </c>
      <c r="L15" s="60">
        <v>9.3000000000000007</v>
      </c>
      <c r="M15" s="60">
        <v>82</v>
      </c>
      <c r="N15" s="60">
        <v>99.2</v>
      </c>
      <c r="O15" s="60">
        <v>0</v>
      </c>
      <c r="P15" s="60">
        <v>2.88</v>
      </c>
      <c r="Q15" s="60">
        <v>11.17</v>
      </c>
      <c r="R15" s="198"/>
      <c r="S15" s="198"/>
      <c r="T15" s="198"/>
      <c r="U15" s="198"/>
    </row>
    <row r="16" spans="1:21" s="12" customFormat="1" x14ac:dyDescent="0.25">
      <c r="A16" s="201" t="s">
        <v>1695</v>
      </c>
      <c r="B16" s="60">
        <v>166.93</v>
      </c>
      <c r="C16" s="60">
        <v>61.66</v>
      </c>
      <c r="D16" s="60">
        <v>164.71</v>
      </c>
      <c r="E16" s="60">
        <v>13.28</v>
      </c>
      <c r="F16" s="60">
        <v>5.56</v>
      </c>
      <c r="G16" s="60">
        <v>253.21</v>
      </c>
      <c r="H16" s="213" t="s">
        <v>42</v>
      </c>
      <c r="I16" s="60">
        <v>13.48</v>
      </c>
      <c r="J16" s="60">
        <v>1.18</v>
      </c>
      <c r="K16" s="60">
        <v>278</v>
      </c>
      <c r="L16" s="60">
        <v>9.06</v>
      </c>
      <c r="M16" s="60">
        <v>82.17</v>
      </c>
      <c r="N16" s="60">
        <v>99.1</v>
      </c>
      <c r="O16" s="60">
        <v>0</v>
      </c>
      <c r="P16" s="60">
        <v>2.85</v>
      </c>
      <c r="Q16" s="60">
        <v>11.14</v>
      </c>
      <c r="R16" s="198"/>
      <c r="S16" s="198"/>
      <c r="T16" s="198"/>
      <c r="U16" s="198"/>
    </row>
    <row r="17" spans="1:21" s="12" customFormat="1" x14ac:dyDescent="0.25">
      <c r="A17" s="201" t="s">
        <v>1696</v>
      </c>
      <c r="B17" s="60">
        <v>161.71</v>
      </c>
      <c r="C17" s="60">
        <v>61.47</v>
      </c>
      <c r="D17" s="60">
        <v>160.41999999999999</v>
      </c>
      <c r="E17" s="60">
        <v>13.16</v>
      </c>
      <c r="F17" s="60">
        <v>5.35</v>
      </c>
      <c r="G17" s="60">
        <v>242.99</v>
      </c>
      <c r="H17" s="213" t="s">
        <v>42</v>
      </c>
      <c r="I17" s="60">
        <v>13.53</v>
      </c>
      <c r="J17" s="60">
        <v>1.1499999999999999</v>
      </c>
      <c r="K17" s="60">
        <v>242.69</v>
      </c>
      <c r="L17" s="60">
        <v>8.82</v>
      </c>
      <c r="M17" s="60">
        <v>81.99</v>
      </c>
      <c r="N17" s="60">
        <v>98.9</v>
      </c>
      <c r="O17" s="60">
        <v>0</v>
      </c>
      <c r="P17" s="60">
        <v>2.81</v>
      </c>
      <c r="Q17" s="60">
        <v>11.08</v>
      </c>
      <c r="R17" s="198"/>
      <c r="S17" s="198"/>
      <c r="T17" s="198"/>
      <c r="U17" s="198"/>
    </row>
    <row r="18" spans="1:21" s="12" customFormat="1" x14ac:dyDescent="0.25">
      <c r="A18" s="201" t="s">
        <v>1697</v>
      </c>
      <c r="B18" s="60">
        <v>154.97</v>
      </c>
      <c r="C18" s="60">
        <v>61.93</v>
      </c>
      <c r="D18" s="60">
        <v>155.26</v>
      </c>
      <c r="E18" s="60">
        <v>12.3</v>
      </c>
      <c r="F18" s="60">
        <v>5.22</v>
      </c>
      <c r="G18" s="60">
        <v>225.35</v>
      </c>
      <c r="H18" s="213" t="s">
        <v>42</v>
      </c>
      <c r="I18" s="60">
        <v>13.45</v>
      </c>
      <c r="J18" s="60">
        <v>1.72</v>
      </c>
      <c r="K18" s="60">
        <v>244.88</v>
      </c>
      <c r="L18" s="60">
        <v>8.8699999999999992</v>
      </c>
      <c r="M18" s="60">
        <v>86.97</v>
      </c>
      <c r="N18" s="60">
        <v>99.2</v>
      </c>
      <c r="O18" s="60">
        <v>0</v>
      </c>
      <c r="P18" s="60">
        <v>2.75</v>
      </c>
      <c r="Q18" s="60">
        <v>10.97</v>
      </c>
      <c r="R18" s="198"/>
      <c r="S18" s="198"/>
      <c r="T18" s="198"/>
      <c r="U18" s="198"/>
    </row>
    <row r="19" spans="1:21" s="12" customFormat="1" x14ac:dyDescent="0.25">
      <c r="A19" s="201" t="s">
        <v>1698</v>
      </c>
      <c r="B19" s="60">
        <v>147.63999999999999</v>
      </c>
      <c r="C19" s="60">
        <v>61.72</v>
      </c>
      <c r="D19" s="60">
        <v>149.27000000000001</v>
      </c>
      <c r="E19" s="60">
        <v>12.07</v>
      </c>
      <c r="F19" s="60">
        <v>4.99</v>
      </c>
      <c r="G19" s="60">
        <v>225.35</v>
      </c>
      <c r="H19" s="213" t="s">
        <v>42</v>
      </c>
      <c r="I19" s="60">
        <v>13.3</v>
      </c>
      <c r="J19" s="60">
        <v>2.0299999999999998</v>
      </c>
      <c r="K19" s="60">
        <v>292.94</v>
      </c>
      <c r="L19" s="60">
        <v>8.5299999999999994</v>
      </c>
      <c r="M19" s="60">
        <v>92.61</v>
      </c>
      <c r="N19" s="60">
        <v>99.6</v>
      </c>
      <c r="O19" s="60">
        <v>0</v>
      </c>
      <c r="P19" s="60">
        <v>2.68</v>
      </c>
      <c r="Q19" s="60">
        <v>10.92</v>
      </c>
      <c r="R19" s="198"/>
      <c r="S19" s="198"/>
      <c r="T19" s="198"/>
      <c r="U19" s="198"/>
    </row>
    <row r="20" spans="1:21" s="12" customFormat="1" x14ac:dyDescent="0.25">
      <c r="A20" s="201" t="s">
        <v>1699</v>
      </c>
      <c r="B20" s="60">
        <v>141.94999999999999</v>
      </c>
      <c r="C20" s="60">
        <v>60.66</v>
      </c>
      <c r="D20" s="60">
        <v>144.15</v>
      </c>
      <c r="E20" s="60">
        <v>11.59</v>
      </c>
      <c r="F20" s="60">
        <v>5</v>
      </c>
      <c r="G20" s="60">
        <v>225.35</v>
      </c>
      <c r="H20" s="213" t="s">
        <v>42</v>
      </c>
      <c r="I20" s="60">
        <v>13.04</v>
      </c>
      <c r="J20" s="60">
        <v>0.93</v>
      </c>
      <c r="K20" s="60">
        <v>154</v>
      </c>
      <c r="L20" s="60">
        <v>8.09</v>
      </c>
      <c r="M20" s="60">
        <v>96.52</v>
      </c>
      <c r="N20" s="60">
        <v>99.5</v>
      </c>
      <c r="O20" s="60">
        <v>0</v>
      </c>
      <c r="P20" s="60">
        <v>2.62</v>
      </c>
      <c r="Q20" s="60">
        <v>10.8</v>
      </c>
      <c r="R20" s="198"/>
      <c r="S20" s="198"/>
      <c r="T20" s="198"/>
      <c r="U20" s="198"/>
    </row>
    <row r="21" spans="1:21" s="12" customFormat="1" x14ac:dyDescent="0.25">
      <c r="A21" s="201" t="s">
        <v>1700</v>
      </c>
      <c r="B21" s="60">
        <v>136.22</v>
      </c>
      <c r="C21" s="60">
        <v>59.79</v>
      </c>
      <c r="D21" s="60">
        <v>139.1</v>
      </c>
      <c r="E21" s="60">
        <v>11.18</v>
      </c>
      <c r="F21" s="60">
        <v>5.52</v>
      </c>
      <c r="G21" s="60">
        <v>220.17</v>
      </c>
      <c r="H21" s="60">
        <v>54.4</v>
      </c>
      <c r="I21" s="60">
        <v>12.8</v>
      </c>
      <c r="J21" s="60">
        <v>0.95</v>
      </c>
      <c r="K21" s="60">
        <v>213.9</v>
      </c>
      <c r="L21" s="60">
        <v>7.89</v>
      </c>
      <c r="M21" s="60">
        <v>98.51</v>
      </c>
      <c r="N21" s="60">
        <v>99.4</v>
      </c>
      <c r="O21" s="60">
        <v>0</v>
      </c>
      <c r="P21" s="60">
        <v>2.56</v>
      </c>
      <c r="Q21" s="60">
        <v>10.75</v>
      </c>
      <c r="R21" s="198"/>
      <c r="S21" s="198"/>
      <c r="T21" s="198"/>
      <c r="U21" s="198"/>
    </row>
    <row r="22" spans="1:21" s="12" customFormat="1" x14ac:dyDescent="0.25">
      <c r="A22" s="201" t="s">
        <v>1701</v>
      </c>
      <c r="B22" s="60">
        <v>130.37</v>
      </c>
      <c r="C22" s="60">
        <v>59.07</v>
      </c>
      <c r="D22" s="60">
        <v>134.03</v>
      </c>
      <c r="E22" s="60">
        <v>10.29</v>
      </c>
      <c r="F22" s="60">
        <v>4.8099999999999996</v>
      </c>
      <c r="G22" s="60">
        <v>211.22</v>
      </c>
      <c r="H22" s="60">
        <v>113.9</v>
      </c>
      <c r="I22" s="60">
        <v>12.62</v>
      </c>
      <c r="J22" s="60">
        <v>1.76</v>
      </c>
      <c r="K22" s="60">
        <v>330.01</v>
      </c>
      <c r="L22" s="60">
        <v>7.97</v>
      </c>
      <c r="M22" s="60">
        <v>98.12</v>
      </c>
      <c r="N22" s="60">
        <v>99.4</v>
      </c>
      <c r="O22" s="60">
        <v>0</v>
      </c>
      <c r="P22" s="60">
        <v>2.5</v>
      </c>
      <c r="Q22" s="60">
        <v>10.75</v>
      </c>
      <c r="R22" s="198"/>
      <c r="S22" s="198"/>
      <c r="T22" s="198"/>
      <c r="U22" s="198"/>
    </row>
    <row r="23" spans="1:21" s="12" customFormat="1" x14ac:dyDescent="0.25">
      <c r="A23" s="201" t="s">
        <v>1702</v>
      </c>
      <c r="B23" s="60">
        <v>125.09</v>
      </c>
      <c r="C23" s="60">
        <v>58.68</v>
      </c>
      <c r="D23" s="60">
        <v>129.59</v>
      </c>
      <c r="E23" s="60">
        <v>10.56</v>
      </c>
      <c r="F23" s="60">
        <v>5</v>
      </c>
      <c r="G23" s="60">
        <v>211.22</v>
      </c>
      <c r="H23" s="60">
        <v>113.9</v>
      </c>
      <c r="I23" s="60">
        <v>12.44</v>
      </c>
      <c r="J23" s="60">
        <v>1.22</v>
      </c>
      <c r="K23" s="60">
        <v>270.83</v>
      </c>
      <c r="L23" s="60">
        <v>7.85</v>
      </c>
      <c r="M23" s="60">
        <v>96.94</v>
      </c>
      <c r="N23" s="60">
        <v>99.3</v>
      </c>
      <c r="O23" s="60">
        <v>0</v>
      </c>
      <c r="P23" s="60">
        <v>2.44</v>
      </c>
      <c r="Q23" s="60">
        <v>10.71</v>
      </c>
      <c r="R23" s="198"/>
      <c r="S23" s="198"/>
      <c r="T23" s="198"/>
      <c r="U23" s="198"/>
    </row>
    <row r="24" spans="1:21" s="12" customFormat="1" x14ac:dyDescent="0.25">
      <c r="A24" s="201" t="s">
        <v>1703</v>
      </c>
      <c r="B24" s="60">
        <v>119.95</v>
      </c>
      <c r="C24" s="60">
        <v>58.3</v>
      </c>
      <c r="D24" s="60">
        <v>125.27</v>
      </c>
      <c r="E24" s="60">
        <v>10.27</v>
      </c>
      <c r="F24" s="60">
        <v>4.6500000000000004</v>
      </c>
      <c r="G24" s="60">
        <v>211.22</v>
      </c>
      <c r="H24" s="60">
        <v>113.9</v>
      </c>
      <c r="I24" s="60">
        <v>12.25</v>
      </c>
      <c r="J24" s="60">
        <v>2.39</v>
      </c>
      <c r="K24" s="60">
        <v>345.37</v>
      </c>
      <c r="L24" s="60">
        <v>7.68</v>
      </c>
      <c r="M24" s="60">
        <v>96.75</v>
      </c>
      <c r="N24" s="60">
        <v>99.3</v>
      </c>
      <c r="O24" s="60">
        <v>0</v>
      </c>
      <c r="P24" s="60">
        <v>2.38</v>
      </c>
      <c r="Q24" s="60">
        <v>10.66</v>
      </c>
      <c r="R24" s="198"/>
      <c r="S24" s="198"/>
      <c r="T24" s="198"/>
      <c r="U24" s="198"/>
    </row>
    <row r="25" spans="1:21" s="12" customFormat="1" x14ac:dyDescent="0.25">
      <c r="A25" s="201" t="s">
        <v>1704</v>
      </c>
      <c r="B25" s="60">
        <v>115.36</v>
      </c>
      <c r="C25" s="60">
        <v>57.91</v>
      </c>
      <c r="D25" s="60">
        <v>121.39</v>
      </c>
      <c r="E25" s="60">
        <v>10.1</v>
      </c>
      <c r="F25" s="60">
        <v>4.21</v>
      </c>
      <c r="G25" s="60">
        <v>204.09</v>
      </c>
      <c r="H25" s="60">
        <v>93.87</v>
      </c>
      <c r="I25" s="60">
        <v>12.06</v>
      </c>
      <c r="J25" s="60">
        <v>1.83</v>
      </c>
      <c r="K25" s="60">
        <v>234.12</v>
      </c>
      <c r="L25" s="60">
        <v>7.65</v>
      </c>
      <c r="M25" s="60">
        <v>93.71</v>
      </c>
      <c r="N25" s="60">
        <v>99.2</v>
      </c>
      <c r="O25" s="60">
        <v>0</v>
      </c>
      <c r="P25" s="60">
        <v>2.31</v>
      </c>
      <c r="Q25" s="60">
        <v>10.63</v>
      </c>
      <c r="R25" s="198"/>
      <c r="S25" s="198"/>
      <c r="T25" s="198"/>
      <c r="U25" s="198"/>
    </row>
    <row r="26" spans="1:21" s="12" customFormat="1" x14ac:dyDescent="0.25">
      <c r="A26" s="201" t="s">
        <v>1705</v>
      </c>
      <c r="B26" s="60">
        <v>109.78</v>
      </c>
      <c r="C26" s="60">
        <v>57.4</v>
      </c>
      <c r="D26" s="60">
        <v>116.65</v>
      </c>
      <c r="E26" s="60">
        <v>9.9</v>
      </c>
      <c r="F26" s="60">
        <v>5.1100000000000003</v>
      </c>
      <c r="G26" s="60">
        <v>191.78</v>
      </c>
      <c r="H26" s="60">
        <v>23.74</v>
      </c>
      <c r="I26" s="60">
        <v>11.86</v>
      </c>
      <c r="J26" s="60">
        <v>1.91</v>
      </c>
      <c r="K26" s="60">
        <v>289.60000000000002</v>
      </c>
      <c r="L26" s="60">
        <v>8.2899999999999991</v>
      </c>
      <c r="M26" s="60">
        <v>80.260000000000005</v>
      </c>
      <c r="N26" s="60">
        <v>99.3</v>
      </c>
      <c r="O26" s="60">
        <v>0</v>
      </c>
      <c r="P26" s="60">
        <v>2.2400000000000002</v>
      </c>
      <c r="Q26" s="60">
        <v>10.53</v>
      </c>
      <c r="R26" s="198"/>
      <c r="S26" s="198"/>
      <c r="T26" s="198"/>
      <c r="U26" s="198"/>
    </row>
    <row r="27" spans="1:21" s="12" customFormat="1" x14ac:dyDescent="0.25">
      <c r="A27" s="201" t="s">
        <v>1706</v>
      </c>
      <c r="B27" s="60">
        <v>104.5</v>
      </c>
      <c r="C27" s="60">
        <v>57.84</v>
      </c>
      <c r="D27" s="60">
        <v>112.65</v>
      </c>
      <c r="E27" s="60">
        <v>9.8800000000000008</v>
      </c>
      <c r="F27" s="60">
        <v>4.22</v>
      </c>
      <c r="G27" s="60">
        <v>191.78</v>
      </c>
      <c r="H27" s="60">
        <v>23.74</v>
      </c>
      <c r="I27" s="60">
        <v>11.51</v>
      </c>
      <c r="J27" s="60">
        <v>1.22</v>
      </c>
      <c r="K27" s="60">
        <v>283.02</v>
      </c>
      <c r="L27" s="60">
        <v>8.3000000000000007</v>
      </c>
      <c r="M27" s="60">
        <v>78.63</v>
      </c>
      <c r="N27" s="60">
        <v>99.2</v>
      </c>
      <c r="O27" s="60">
        <v>0</v>
      </c>
      <c r="P27" s="60">
        <v>2.17</v>
      </c>
      <c r="Q27" s="60">
        <v>10.35</v>
      </c>
      <c r="R27" s="198"/>
      <c r="S27" s="198"/>
      <c r="T27" s="198"/>
      <c r="U27" s="198"/>
    </row>
    <row r="28" spans="1:21" s="12" customFormat="1" x14ac:dyDescent="0.25">
      <c r="A28" s="201" t="s">
        <v>1707</v>
      </c>
      <c r="B28" s="60">
        <v>99.71</v>
      </c>
      <c r="C28" s="60">
        <v>58.35</v>
      </c>
      <c r="D28" s="60">
        <v>109.07</v>
      </c>
      <c r="E28" s="60">
        <v>9.76</v>
      </c>
      <c r="F28" s="60">
        <v>4.55</v>
      </c>
      <c r="G28" s="60">
        <v>191.78</v>
      </c>
      <c r="H28" s="60">
        <v>23.74</v>
      </c>
      <c r="I28" s="60">
        <v>11.35</v>
      </c>
      <c r="J28" s="60">
        <v>2.2599999999999998</v>
      </c>
      <c r="K28" s="60">
        <v>342.24</v>
      </c>
      <c r="L28" s="60">
        <v>8.0500000000000007</v>
      </c>
      <c r="M28" s="60">
        <v>79.33</v>
      </c>
      <c r="N28" s="60">
        <v>99.3</v>
      </c>
      <c r="O28" s="60">
        <v>0</v>
      </c>
      <c r="P28" s="60">
        <v>2.08</v>
      </c>
      <c r="Q28" s="60">
        <v>10.37</v>
      </c>
      <c r="R28" s="198"/>
      <c r="S28" s="198"/>
      <c r="T28" s="198"/>
      <c r="U28" s="198"/>
    </row>
    <row r="29" spans="1:21" s="12" customFormat="1" x14ac:dyDescent="0.25">
      <c r="A29" s="201" t="s">
        <v>1708</v>
      </c>
      <c r="B29" s="60">
        <v>95.42</v>
      </c>
      <c r="C29" s="60">
        <v>57.76</v>
      </c>
      <c r="D29" s="60">
        <v>105.32</v>
      </c>
      <c r="E29" s="60">
        <v>9.4499999999999993</v>
      </c>
      <c r="F29" s="60">
        <v>4.68</v>
      </c>
      <c r="G29" s="60">
        <v>179.75</v>
      </c>
      <c r="H29" s="60">
        <v>12.63</v>
      </c>
      <c r="I29" s="60">
        <v>11.04</v>
      </c>
      <c r="J29" s="60">
        <v>1.22</v>
      </c>
      <c r="K29" s="60">
        <v>33.78</v>
      </c>
      <c r="L29" s="60">
        <v>8.31</v>
      </c>
      <c r="M29" s="60">
        <v>67.069999999999993</v>
      </c>
      <c r="N29" s="60">
        <v>99.3</v>
      </c>
      <c r="O29" s="60">
        <v>0</v>
      </c>
      <c r="P29" s="60">
        <v>1.96</v>
      </c>
      <c r="Q29" s="60">
        <v>10.4</v>
      </c>
      <c r="R29" s="198"/>
      <c r="S29" s="198"/>
      <c r="T29" s="198"/>
      <c r="U29" s="198"/>
    </row>
    <row r="30" spans="1:21" s="12" customFormat="1" x14ac:dyDescent="0.25">
      <c r="A30" s="201" t="s">
        <v>1709</v>
      </c>
      <c r="B30" s="60">
        <v>90.39</v>
      </c>
      <c r="C30" s="60">
        <v>57.01</v>
      </c>
      <c r="D30" s="60">
        <v>100.89</v>
      </c>
      <c r="E30" s="60">
        <v>8.9</v>
      </c>
      <c r="F30" s="60">
        <v>4.3099999999999996</v>
      </c>
      <c r="G30" s="60">
        <v>158.97999999999999</v>
      </c>
      <c r="H30" s="60">
        <v>0.47</v>
      </c>
      <c r="I30" s="60">
        <v>10.63</v>
      </c>
      <c r="J30" s="60">
        <v>1.25</v>
      </c>
      <c r="K30" s="60">
        <v>330.8</v>
      </c>
      <c r="L30" s="60">
        <v>8.51</v>
      </c>
      <c r="M30" s="60">
        <v>66.599999999999994</v>
      </c>
      <c r="N30" s="60">
        <v>99.8</v>
      </c>
      <c r="O30" s="60">
        <v>0</v>
      </c>
      <c r="P30" s="60">
        <v>1.88</v>
      </c>
      <c r="Q30" s="60">
        <v>10.42</v>
      </c>
      <c r="R30" s="198"/>
      <c r="S30" s="198"/>
      <c r="T30" s="198"/>
      <c r="U30" s="198"/>
    </row>
    <row r="31" spans="1:21" s="12" customFormat="1" x14ac:dyDescent="0.25">
      <c r="A31" s="201" t="s">
        <v>1710</v>
      </c>
      <c r="B31" s="60">
        <v>85.42</v>
      </c>
      <c r="C31" s="60">
        <v>56.7</v>
      </c>
      <c r="D31" s="60">
        <v>96.74</v>
      </c>
      <c r="E31" s="60">
        <v>8.7200000000000006</v>
      </c>
      <c r="F31" s="60">
        <v>4.4800000000000004</v>
      </c>
      <c r="G31" s="60">
        <v>158.97999999999999</v>
      </c>
      <c r="H31" s="60">
        <v>0.47</v>
      </c>
      <c r="I31" s="60">
        <v>10.050000000000001</v>
      </c>
      <c r="J31" s="60">
        <v>0.42</v>
      </c>
      <c r="K31" s="60">
        <v>310.20999999999998</v>
      </c>
      <c r="L31" s="60">
        <v>8.2100000000000009</v>
      </c>
      <c r="M31" s="60">
        <v>69.06</v>
      </c>
      <c r="N31" s="60">
        <v>99.6</v>
      </c>
      <c r="O31" s="60">
        <v>0</v>
      </c>
      <c r="P31" s="60">
        <v>1.79</v>
      </c>
      <c r="Q31" s="60">
        <v>10.39</v>
      </c>
      <c r="R31" s="198"/>
      <c r="S31" s="198"/>
      <c r="T31" s="198"/>
      <c r="U31" s="198"/>
    </row>
    <row r="32" spans="1:21" s="12" customFormat="1" x14ac:dyDescent="0.25">
      <c r="A32" s="201" t="s">
        <v>1711</v>
      </c>
      <c r="B32" s="60">
        <v>80.650000000000006</v>
      </c>
      <c r="C32" s="60">
        <v>56.13</v>
      </c>
      <c r="D32" s="60">
        <v>92.62</v>
      </c>
      <c r="E32" s="60">
        <v>8.19</v>
      </c>
      <c r="F32" s="60">
        <v>3.69</v>
      </c>
      <c r="G32" s="60">
        <v>158.97999999999999</v>
      </c>
      <c r="H32" s="60">
        <v>0.47</v>
      </c>
      <c r="I32" s="60">
        <v>9.82</v>
      </c>
      <c r="J32" s="60">
        <v>1.52</v>
      </c>
      <c r="K32" s="60">
        <v>350.39</v>
      </c>
      <c r="L32" s="60">
        <v>8.26</v>
      </c>
      <c r="M32" s="60">
        <v>68.38</v>
      </c>
      <c r="N32" s="60">
        <v>99.4</v>
      </c>
      <c r="O32" s="60">
        <v>0</v>
      </c>
      <c r="P32" s="60">
        <v>1.69</v>
      </c>
      <c r="Q32" s="60">
        <v>10.33</v>
      </c>
      <c r="R32" s="198"/>
      <c r="S32" s="198"/>
      <c r="T32" s="198"/>
      <c r="U32" s="198"/>
    </row>
    <row r="33" spans="1:21" s="12" customFormat="1" x14ac:dyDescent="0.25">
      <c r="A33" s="201" t="s">
        <v>1712</v>
      </c>
      <c r="B33" s="60">
        <v>77.290000000000006</v>
      </c>
      <c r="C33" s="60">
        <v>55</v>
      </c>
      <c r="D33" s="60">
        <v>89.34</v>
      </c>
      <c r="E33" s="60">
        <v>7.5</v>
      </c>
      <c r="F33" s="60">
        <v>3.53</v>
      </c>
      <c r="G33" s="60">
        <v>137.61000000000001</v>
      </c>
      <c r="H33" s="60">
        <v>10.26</v>
      </c>
      <c r="I33" s="60">
        <v>9.4499999999999993</v>
      </c>
      <c r="J33" s="60">
        <v>2.08</v>
      </c>
      <c r="K33" s="60">
        <v>6.34</v>
      </c>
      <c r="L33" s="60">
        <v>8.27</v>
      </c>
      <c r="M33" s="60">
        <v>67.02</v>
      </c>
      <c r="N33" s="60">
        <v>99.6</v>
      </c>
      <c r="O33" s="60">
        <v>0</v>
      </c>
      <c r="P33" s="60">
        <v>1.61</v>
      </c>
      <c r="Q33" s="60">
        <v>10.27</v>
      </c>
      <c r="R33" s="198"/>
      <c r="S33" s="198"/>
      <c r="T33" s="198"/>
      <c r="U33" s="198"/>
    </row>
    <row r="34" spans="1:21" s="12" customFormat="1" x14ac:dyDescent="0.25">
      <c r="A34" s="201" t="s">
        <v>1713</v>
      </c>
      <c r="B34" s="60">
        <v>74.569999999999993</v>
      </c>
      <c r="C34" s="60">
        <v>54.53</v>
      </c>
      <c r="D34" s="60">
        <v>86.92</v>
      </c>
      <c r="E34" s="60">
        <v>7.98</v>
      </c>
      <c r="F34" s="60">
        <v>3.74</v>
      </c>
      <c r="G34" s="60">
        <v>100.7</v>
      </c>
      <c r="H34" s="60">
        <v>20.96</v>
      </c>
      <c r="I34" s="60">
        <v>9.17</v>
      </c>
      <c r="J34" s="60">
        <v>1.19</v>
      </c>
      <c r="K34" s="60">
        <v>25.8</v>
      </c>
      <c r="L34" s="60">
        <v>8.26</v>
      </c>
      <c r="M34" s="60">
        <v>65.790000000000006</v>
      </c>
      <c r="N34" s="60">
        <v>100.9</v>
      </c>
      <c r="O34" s="60">
        <v>0</v>
      </c>
      <c r="P34" s="60">
        <v>1.53</v>
      </c>
      <c r="Q34" s="60">
        <v>10.220000000000001</v>
      </c>
      <c r="R34" s="198"/>
      <c r="S34" s="198"/>
      <c r="T34" s="198"/>
      <c r="U34" s="198"/>
    </row>
    <row r="35" spans="1:21" s="12" customFormat="1" x14ac:dyDescent="0.25">
      <c r="A35" s="201" t="s">
        <v>1714</v>
      </c>
      <c r="B35" s="60">
        <v>71.98</v>
      </c>
      <c r="C35" s="60">
        <v>53.84</v>
      </c>
      <c r="D35" s="60">
        <v>84.47</v>
      </c>
      <c r="E35" s="60">
        <v>7.82</v>
      </c>
      <c r="F35" s="60">
        <v>4.24</v>
      </c>
      <c r="G35" s="60">
        <v>100.7</v>
      </c>
      <c r="H35" s="60">
        <v>20.96</v>
      </c>
      <c r="I35" s="60">
        <v>8.8800000000000008</v>
      </c>
      <c r="J35" s="60">
        <v>1.64</v>
      </c>
      <c r="K35" s="60">
        <v>41.35</v>
      </c>
      <c r="L35" s="60">
        <v>8.2200000000000006</v>
      </c>
      <c r="M35" s="60">
        <v>66.45</v>
      </c>
      <c r="N35" s="60">
        <v>106.3</v>
      </c>
      <c r="O35" s="60">
        <v>0</v>
      </c>
      <c r="P35" s="60">
        <v>1.45</v>
      </c>
      <c r="Q35" s="60">
        <v>10.210000000000001</v>
      </c>
      <c r="R35" s="198"/>
      <c r="S35" s="198"/>
      <c r="T35" s="198"/>
      <c r="U35" s="198"/>
    </row>
    <row r="36" spans="1:21" s="12" customFormat="1" x14ac:dyDescent="0.25">
      <c r="A36" s="201" t="s">
        <v>1715</v>
      </c>
      <c r="B36" s="60">
        <v>69.14</v>
      </c>
      <c r="C36" s="60">
        <v>54.33</v>
      </c>
      <c r="D36" s="60">
        <v>82.46</v>
      </c>
      <c r="E36" s="60">
        <v>7.51</v>
      </c>
      <c r="F36" s="60">
        <v>4</v>
      </c>
      <c r="G36" s="60">
        <v>100.7</v>
      </c>
      <c r="H36" s="60">
        <v>20.96</v>
      </c>
      <c r="I36" s="60">
        <v>8.5500000000000007</v>
      </c>
      <c r="J36" s="60">
        <v>1.1499999999999999</v>
      </c>
      <c r="K36" s="60">
        <v>10.17</v>
      </c>
      <c r="L36" s="60">
        <v>8.27</v>
      </c>
      <c r="M36" s="60">
        <v>66.92</v>
      </c>
      <c r="N36" s="60">
        <v>118.2</v>
      </c>
      <c r="O36" s="60">
        <v>0</v>
      </c>
      <c r="P36" s="60">
        <v>1.39</v>
      </c>
      <c r="Q36" s="60">
        <v>10.130000000000001</v>
      </c>
      <c r="R36" s="198"/>
      <c r="S36" s="198"/>
      <c r="T36" s="198"/>
      <c r="U36" s="198"/>
    </row>
    <row r="37" spans="1:21" s="12" customFormat="1" x14ac:dyDescent="0.25">
      <c r="A37" s="201" t="s">
        <v>1716</v>
      </c>
      <c r="B37" s="60">
        <v>66.650000000000006</v>
      </c>
      <c r="C37" s="60">
        <v>54.52</v>
      </c>
      <c r="D37" s="60">
        <v>80.56</v>
      </c>
      <c r="E37" s="60">
        <v>7.04</v>
      </c>
      <c r="F37" s="60">
        <v>4.03</v>
      </c>
      <c r="G37" s="60">
        <v>95.49</v>
      </c>
      <c r="H37" s="60">
        <v>11.4</v>
      </c>
      <c r="I37" s="60">
        <v>8.24</v>
      </c>
      <c r="J37" s="60">
        <v>1.39</v>
      </c>
      <c r="K37" s="60">
        <v>117.57</v>
      </c>
      <c r="L37" s="60">
        <v>8.5500000000000007</v>
      </c>
      <c r="M37" s="60">
        <v>65.73</v>
      </c>
      <c r="N37" s="60">
        <v>131.19999999999999</v>
      </c>
      <c r="O37" s="60">
        <v>0</v>
      </c>
      <c r="P37" s="60">
        <v>1.45</v>
      </c>
      <c r="Q37" s="60">
        <v>10.1</v>
      </c>
      <c r="R37" s="198"/>
      <c r="S37" s="198"/>
      <c r="T37" s="198"/>
      <c r="U37" s="198"/>
    </row>
    <row r="38" spans="1:21" s="12" customFormat="1" x14ac:dyDescent="0.25">
      <c r="A38" s="201" t="s">
        <v>1717</v>
      </c>
      <c r="B38" s="60">
        <v>63.05</v>
      </c>
      <c r="C38" s="60">
        <v>54.51</v>
      </c>
      <c r="D38" s="60">
        <v>77.66</v>
      </c>
      <c r="E38" s="60">
        <v>6.77</v>
      </c>
      <c r="F38" s="60">
        <v>3.29</v>
      </c>
      <c r="G38" s="60">
        <v>89.64</v>
      </c>
      <c r="H38" s="213" t="s">
        <v>42</v>
      </c>
      <c r="I38" s="60">
        <v>7.94</v>
      </c>
      <c r="J38" s="60">
        <v>1</v>
      </c>
      <c r="K38" s="60">
        <v>80.95</v>
      </c>
      <c r="L38" s="60">
        <v>9.11</v>
      </c>
      <c r="M38" s="60">
        <v>64.34</v>
      </c>
      <c r="N38" s="60">
        <v>146.30000000000001</v>
      </c>
      <c r="O38" s="60">
        <v>0</v>
      </c>
      <c r="P38" s="60">
        <v>1.47</v>
      </c>
      <c r="Q38" s="60">
        <v>10.06</v>
      </c>
      <c r="R38" s="198"/>
      <c r="S38" s="198"/>
      <c r="T38" s="198"/>
      <c r="U38" s="198"/>
    </row>
    <row r="39" spans="1:21" s="12" customFormat="1" x14ac:dyDescent="0.25">
      <c r="A39" s="201" t="s">
        <v>1718</v>
      </c>
      <c r="B39" s="60">
        <v>59.86</v>
      </c>
      <c r="C39" s="60">
        <v>54.88</v>
      </c>
      <c r="D39" s="60">
        <v>75.3</v>
      </c>
      <c r="E39" s="60">
        <v>6.76</v>
      </c>
      <c r="F39" s="60">
        <v>3.33</v>
      </c>
      <c r="G39" s="60">
        <v>89.64</v>
      </c>
      <c r="H39" s="213" t="s">
        <v>42</v>
      </c>
      <c r="I39" s="60">
        <v>7.67</v>
      </c>
      <c r="J39" s="60">
        <v>1.38</v>
      </c>
      <c r="K39" s="60">
        <v>85.06</v>
      </c>
      <c r="L39" s="60">
        <v>9.75</v>
      </c>
      <c r="M39" s="60">
        <v>62.58</v>
      </c>
      <c r="N39" s="60">
        <v>206.2</v>
      </c>
      <c r="O39" s="60">
        <v>0</v>
      </c>
      <c r="P39" s="60">
        <v>1.41</v>
      </c>
      <c r="Q39" s="60">
        <v>9.9499999999999993</v>
      </c>
      <c r="R39" s="198"/>
      <c r="S39" s="198"/>
      <c r="T39" s="198"/>
      <c r="U39" s="198"/>
    </row>
    <row r="40" spans="1:21" s="12" customFormat="1" x14ac:dyDescent="0.25">
      <c r="A40" s="201" t="s">
        <v>1719</v>
      </c>
      <c r="B40" s="60">
        <v>58.08</v>
      </c>
      <c r="C40" s="60">
        <v>55.48</v>
      </c>
      <c r="D40" s="60">
        <v>74.19</v>
      </c>
      <c r="E40" s="60">
        <v>6.94</v>
      </c>
      <c r="F40" s="60">
        <v>3.47</v>
      </c>
      <c r="G40" s="60">
        <v>89.64</v>
      </c>
      <c r="H40" s="213" t="s">
        <v>42</v>
      </c>
      <c r="I40" s="60">
        <v>7.43</v>
      </c>
      <c r="J40" s="60">
        <v>1.66</v>
      </c>
      <c r="K40" s="60">
        <v>352.53</v>
      </c>
      <c r="L40" s="60">
        <v>12.09</v>
      </c>
      <c r="M40" s="60">
        <v>54.13</v>
      </c>
      <c r="N40" s="60">
        <v>338.3</v>
      </c>
      <c r="O40" s="60">
        <v>0</v>
      </c>
      <c r="P40" s="60">
        <v>1.36</v>
      </c>
      <c r="Q40" s="60">
        <v>9.98</v>
      </c>
      <c r="R40" s="198"/>
      <c r="S40" s="198"/>
      <c r="T40" s="198"/>
      <c r="U40" s="198"/>
    </row>
    <row r="41" spans="1:21" s="12" customFormat="1" x14ac:dyDescent="0.25">
      <c r="A41" s="201" t="s">
        <v>1720</v>
      </c>
      <c r="B41" s="60">
        <v>56.7</v>
      </c>
      <c r="C41" s="60">
        <v>56.11</v>
      </c>
      <c r="D41" s="60">
        <v>73.41</v>
      </c>
      <c r="E41" s="60">
        <v>6.66</v>
      </c>
      <c r="F41" s="60">
        <v>3.56</v>
      </c>
      <c r="G41" s="60">
        <v>87.34</v>
      </c>
      <c r="H41" s="213" t="s">
        <v>42</v>
      </c>
      <c r="I41" s="60">
        <v>7.21</v>
      </c>
      <c r="J41" s="60">
        <v>2.68</v>
      </c>
      <c r="K41" s="60">
        <v>107.74</v>
      </c>
      <c r="L41" s="60">
        <v>13.03</v>
      </c>
      <c r="M41" s="60">
        <v>51.09</v>
      </c>
      <c r="N41" s="60">
        <v>397.3</v>
      </c>
      <c r="O41" s="60">
        <v>0</v>
      </c>
      <c r="P41" s="60">
        <v>1.33</v>
      </c>
      <c r="Q41" s="60">
        <v>9.9</v>
      </c>
      <c r="R41" s="198"/>
      <c r="S41" s="198"/>
      <c r="T41" s="198"/>
      <c r="U41" s="198"/>
    </row>
    <row r="42" spans="1:21" s="12" customFormat="1" x14ac:dyDescent="0.25">
      <c r="A42" s="201" t="s">
        <v>1721</v>
      </c>
      <c r="B42" s="60">
        <v>54.56</v>
      </c>
      <c r="C42" s="60">
        <v>56.31</v>
      </c>
      <c r="D42" s="60">
        <v>71.8</v>
      </c>
      <c r="E42" s="60">
        <v>6.64</v>
      </c>
      <c r="F42" s="60">
        <v>3.71</v>
      </c>
      <c r="G42" s="60">
        <v>83.35</v>
      </c>
      <c r="H42" s="213" t="s">
        <v>42</v>
      </c>
      <c r="I42" s="60">
        <v>7.03</v>
      </c>
      <c r="J42" s="60">
        <v>3.42</v>
      </c>
      <c r="K42" s="60">
        <v>117.52</v>
      </c>
      <c r="L42" s="60">
        <v>13.58</v>
      </c>
      <c r="M42" s="60">
        <v>48.91</v>
      </c>
      <c r="N42" s="60">
        <v>456.8</v>
      </c>
      <c r="O42" s="60">
        <v>0</v>
      </c>
      <c r="P42" s="60">
        <v>1.29</v>
      </c>
      <c r="Q42" s="60">
        <v>9.86</v>
      </c>
      <c r="R42" s="198"/>
      <c r="S42" s="198"/>
      <c r="T42" s="198"/>
      <c r="U42" s="198"/>
    </row>
    <row r="43" spans="1:21" s="12" customFormat="1" x14ac:dyDescent="0.25">
      <c r="A43" s="201" t="s">
        <v>1722</v>
      </c>
      <c r="B43" s="60">
        <v>51.92</v>
      </c>
      <c r="C43" s="60">
        <v>56.36</v>
      </c>
      <c r="D43" s="60">
        <v>69.709999999999994</v>
      </c>
      <c r="E43" s="60">
        <v>6.52</v>
      </c>
      <c r="F43" s="60">
        <v>3.62</v>
      </c>
      <c r="G43" s="60">
        <v>83.35</v>
      </c>
      <c r="H43" s="213" t="s">
        <v>42</v>
      </c>
      <c r="I43" s="60">
        <v>6.96</v>
      </c>
      <c r="J43" s="60">
        <v>2.02</v>
      </c>
      <c r="K43" s="60">
        <v>106.28</v>
      </c>
      <c r="L43" s="60">
        <v>14.58</v>
      </c>
      <c r="M43" s="60">
        <v>46.33</v>
      </c>
      <c r="N43" s="60">
        <v>502.1</v>
      </c>
      <c r="O43" s="60">
        <v>0</v>
      </c>
      <c r="P43" s="60">
        <v>1.24</v>
      </c>
      <c r="Q43" s="60">
        <v>9.86</v>
      </c>
      <c r="R43" s="198"/>
      <c r="S43" s="198"/>
      <c r="T43" s="198"/>
      <c r="U43" s="198"/>
    </row>
    <row r="44" spans="1:21" s="12" customFormat="1" x14ac:dyDescent="0.25">
      <c r="A44" s="201" t="s">
        <v>1723</v>
      </c>
      <c r="B44" s="60">
        <v>49.68</v>
      </c>
      <c r="C44" s="60">
        <v>56.92</v>
      </c>
      <c r="D44" s="60">
        <v>68.2</v>
      </c>
      <c r="E44" s="60">
        <v>6.39</v>
      </c>
      <c r="F44" s="60">
        <v>3.81</v>
      </c>
      <c r="G44" s="60">
        <v>83.35</v>
      </c>
      <c r="H44" s="213" t="s">
        <v>42</v>
      </c>
      <c r="I44" s="60">
        <v>6.93</v>
      </c>
      <c r="J44" s="60">
        <v>1.35</v>
      </c>
      <c r="K44" s="60">
        <v>97.99</v>
      </c>
      <c r="L44" s="60">
        <v>16.28</v>
      </c>
      <c r="M44" s="60">
        <v>41.82</v>
      </c>
      <c r="N44" s="60">
        <v>548.70000000000005</v>
      </c>
      <c r="O44" s="60">
        <v>0</v>
      </c>
      <c r="P44" s="60">
        <v>1.19</v>
      </c>
      <c r="Q44" s="60">
        <v>9.92</v>
      </c>
      <c r="R44" s="198"/>
      <c r="S44" s="198"/>
      <c r="T44" s="198"/>
      <c r="U44" s="198"/>
    </row>
    <row r="45" spans="1:21" s="12" customFormat="1" x14ac:dyDescent="0.25">
      <c r="A45" s="201" t="s">
        <v>1724</v>
      </c>
      <c r="B45" s="60">
        <v>47.65</v>
      </c>
      <c r="C45" s="60">
        <v>57.39</v>
      </c>
      <c r="D45" s="60">
        <v>66.819999999999993</v>
      </c>
      <c r="E45" s="60">
        <v>6.41</v>
      </c>
      <c r="F45" s="60">
        <v>3.31</v>
      </c>
      <c r="G45" s="60">
        <v>84.12</v>
      </c>
      <c r="H45" s="213" t="s">
        <v>42</v>
      </c>
      <c r="I45" s="60">
        <v>7</v>
      </c>
      <c r="J45" s="60">
        <v>4.22</v>
      </c>
      <c r="K45" s="60">
        <v>115.34</v>
      </c>
      <c r="L45" s="60">
        <v>15.06</v>
      </c>
      <c r="M45" s="60">
        <v>43.34</v>
      </c>
      <c r="N45" s="60">
        <v>601.4</v>
      </c>
      <c r="O45" s="60">
        <v>0</v>
      </c>
      <c r="P45" s="60">
        <v>1.1499999999999999</v>
      </c>
      <c r="Q45" s="60">
        <v>9.9499999999999993</v>
      </c>
      <c r="R45" s="198"/>
      <c r="S45" s="198"/>
      <c r="T45" s="198"/>
      <c r="U45" s="198"/>
    </row>
    <row r="46" spans="1:21" s="12" customFormat="1" x14ac:dyDescent="0.25">
      <c r="A46" s="201" t="s">
        <v>1725</v>
      </c>
      <c r="B46" s="60">
        <v>44.69</v>
      </c>
      <c r="C46" s="60">
        <v>57.32</v>
      </c>
      <c r="D46" s="60">
        <v>64.41</v>
      </c>
      <c r="E46" s="60">
        <v>6.31</v>
      </c>
      <c r="F46" s="60">
        <v>3.6</v>
      </c>
      <c r="G46" s="60">
        <v>85.46</v>
      </c>
      <c r="H46" s="213" t="s">
        <v>42</v>
      </c>
      <c r="I46" s="60">
        <v>7.04</v>
      </c>
      <c r="J46" s="60">
        <v>3.83</v>
      </c>
      <c r="K46" s="60">
        <v>116.15</v>
      </c>
      <c r="L46" s="60">
        <v>15.32</v>
      </c>
      <c r="M46" s="60">
        <v>43.28</v>
      </c>
      <c r="N46" s="60">
        <v>637.20000000000005</v>
      </c>
      <c r="O46" s="60">
        <v>0</v>
      </c>
      <c r="P46" s="60">
        <v>1.1100000000000001</v>
      </c>
      <c r="Q46" s="60">
        <v>9.93</v>
      </c>
      <c r="R46" s="198"/>
      <c r="S46" s="198"/>
      <c r="T46" s="198"/>
      <c r="U46" s="198"/>
    </row>
    <row r="47" spans="1:21" s="12" customFormat="1" x14ac:dyDescent="0.25">
      <c r="A47" s="201" t="s">
        <v>1726</v>
      </c>
      <c r="B47" s="60">
        <v>41.39</v>
      </c>
      <c r="C47" s="60">
        <v>57.7</v>
      </c>
      <c r="D47" s="60">
        <v>61.96</v>
      </c>
      <c r="E47" s="60">
        <v>6.13</v>
      </c>
      <c r="F47" s="60">
        <v>3.81</v>
      </c>
      <c r="G47" s="60">
        <v>85.46</v>
      </c>
      <c r="H47" s="213" t="s">
        <v>42</v>
      </c>
      <c r="I47" s="60">
        <v>7.35</v>
      </c>
      <c r="J47" s="60">
        <v>1.91</v>
      </c>
      <c r="K47" s="60">
        <v>98.76</v>
      </c>
      <c r="L47" s="60">
        <v>16.940000000000001</v>
      </c>
      <c r="M47" s="60">
        <v>41.21</v>
      </c>
      <c r="N47" s="60">
        <v>666.4</v>
      </c>
      <c r="O47" s="60">
        <v>0</v>
      </c>
      <c r="P47" s="60">
        <v>1.06</v>
      </c>
      <c r="Q47" s="60">
        <v>9.8800000000000008</v>
      </c>
      <c r="R47" s="198"/>
      <c r="S47" s="198"/>
      <c r="T47" s="198"/>
      <c r="U47" s="198"/>
    </row>
    <row r="48" spans="1:21" s="12" customFormat="1" x14ac:dyDescent="0.25">
      <c r="A48" s="201" t="s">
        <v>1727</v>
      </c>
      <c r="B48" s="60">
        <v>38.93</v>
      </c>
      <c r="C48" s="60">
        <v>58.19</v>
      </c>
      <c r="D48" s="60">
        <v>60.24</v>
      </c>
      <c r="E48" s="60">
        <v>6.47</v>
      </c>
      <c r="F48" s="60">
        <v>3.14</v>
      </c>
      <c r="G48" s="60">
        <v>85.46</v>
      </c>
      <c r="H48" s="213" t="s">
        <v>42</v>
      </c>
      <c r="I48" s="60">
        <v>7.8</v>
      </c>
      <c r="J48" s="60">
        <v>2.19</v>
      </c>
      <c r="K48" s="60">
        <v>351.08</v>
      </c>
      <c r="L48" s="60">
        <v>19.62</v>
      </c>
      <c r="M48" s="60">
        <v>35.47</v>
      </c>
      <c r="N48" s="60">
        <v>698.1</v>
      </c>
      <c r="O48" s="60">
        <v>0</v>
      </c>
      <c r="P48" s="60">
        <v>1.04</v>
      </c>
      <c r="Q48" s="60">
        <v>9.8800000000000008</v>
      </c>
      <c r="R48" s="198"/>
      <c r="S48" s="198"/>
      <c r="T48" s="198"/>
      <c r="U48" s="198"/>
    </row>
    <row r="49" spans="1:21" s="12" customFormat="1" x14ac:dyDescent="0.25">
      <c r="A49" s="201" t="s">
        <v>1728</v>
      </c>
      <c r="B49" s="60">
        <v>37.18</v>
      </c>
      <c r="C49" s="60">
        <v>59.57</v>
      </c>
      <c r="D49" s="60">
        <v>59.56</v>
      </c>
      <c r="E49" s="60">
        <v>6.68</v>
      </c>
      <c r="F49" s="60">
        <v>3.68</v>
      </c>
      <c r="G49" s="60">
        <v>86.92</v>
      </c>
      <c r="H49" s="213" t="s">
        <v>42</v>
      </c>
      <c r="I49" s="60">
        <v>8.4700000000000006</v>
      </c>
      <c r="J49" s="60">
        <v>1.28</v>
      </c>
      <c r="K49" s="60">
        <v>24.88</v>
      </c>
      <c r="L49" s="60">
        <v>21.42</v>
      </c>
      <c r="M49" s="60">
        <v>31.55</v>
      </c>
      <c r="N49" s="60">
        <v>740.6</v>
      </c>
      <c r="O49" s="60">
        <v>0</v>
      </c>
      <c r="P49" s="60">
        <v>1.02</v>
      </c>
      <c r="Q49" s="60">
        <v>9.86</v>
      </c>
      <c r="R49" s="198"/>
      <c r="S49" s="198"/>
      <c r="T49" s="198"/>
      <c r="U49" s="198"/>
    </row>
    <row r="50" spans="1:21" s="12" customFormat="1" x14ac:dyDescent="0.25">
      <c r="A50" s="201" t="s">
        <v>1729</v>
      </c>
      <c r="B50" s="60">
        <v>35.69</v>
      </c>
      <c r="C50" s="60">
        <v>60.6</v>
      </c>
      <c r="D50" s="60">
        <v>58.9</v>
      </c>
      <c r="E50" s="60">
        <v>6.83</v>
      </c>
      <c r="F50" s="60">
        <v>3.82</v>
      </c>
      <c r="G50" s="60">
        <v>89.43</v>
      </c>
      <c r="H50" s="213" t="s">
        <v>42</v>
      </c>
      <c r="I50" s="60">
        <v>8.56</v>
      </c>
      <c r="J50" s="60">
        <v>3.13</v>
      </c>
      <c r="K50" s="60">
        <v>337.13</v>
      </c>
      <c r="L50" s="60">
        <v>22.2</v>
      </c>
      <c r="M50" s="60">
        <v>31.06</v>
      </c>
      <c r="N50" s="60">
        <v>750.7</v>
      </c>
      <c r="O50" s="60">
        <v>0</v>
      </c>
      <c r="P50" s="60">
        <v>1</v>
      </c>
      <c r="Q50" s="60">
        <v>9.89</v>
      </c>
      <c r="R50" s="198"/>
      <c r="S50" s="198"/>
      <c r="T50" s="198"/>
      <c r="U50" s="198"/>
    </row>
    <row r="51" spans="1:21" s="12" customFormat="1" x14ac:dyDescent="0.25">
      <c r="A51" s="201" t="s">
        <v>1730</v>
      </c>
      <c r="B51" s="60">
        <v>34.17</v>
      </c>
      <c r="C51" s="60">
        <v>62.29</v>
      </c>
      <c r="D51" s="60">
        <v>58.57</v>
      </c>
      <c r="E51" s="60">
        <v>7.05</v>
      </c>
      <c r="F51" s="60">
        <v>3.36</v>
      </c>
      <c r="G51" s="60">
        <v>89.43</v>
      </c>
      <c r="H51" s="213" t="s">
        <v>42</v>
      </c>
      <c r="I51" s="60">
        <v>8.4600000000000009</v>
      </c>
      <c r="J51" s="60">
        <v>3.68</v>
      </c>
      <c r="K51" s="60">
        <v>342.21</v>
      </c>
      <c r="L51" s="60">
        <v>23.85</v>
      </c>
      <c r="M51" s="60">
        <v>27.99</v>
      </c>
      <c r="N51" s="60">
        <v>770.7</v>
      </c>
      <c r="O51" s="60">
        <v>0</v>
      </c>
      <c r="P51" s="60">
        <v>0.99</v>
      </c>
      <c r="Q51" s="60">
        <v>9.91</v>
      </c>
      <c r="R51" s="198"/>
      <c r="S51" s="198"/>
      <c r="T51" s="198"/>
      <c r="U51" s="198"/>
    </row>
    <row r="52" spans="1:21" s="12" customFormat="1" x14ac:dyDescent="0.25">
      <c r="A52" s="201" t="s">
        <v>1731</v>
      </c>
      <c r="B52" s="60">
        <v>32.42</v>
      </c>
      <c r="C52" s="60">
        <v>64.38</v>
      </c>
      <c r="D52" s="60">
        <v>58.26</v>
      </c>
      <c r="E52" s="60">
        <v>6.74</v>
      </c>
      <c r="F52" s="60">
        <v>4.3099999999999996</v>
      </c>
      <c r="G52" s="60">
        <v>89.43</v>
      </c>
      <c r="H52" s="213" t="s">
        <v>42</v>
      </c>
      <c r="I52" s="60">
        <v>8.31</v>
      </c>
      <c r="J52" s="60">
        <v>3.08</v>
      </c>
      <c r="K52" s="60">
        <v>339.03</v>
      </c>
      <c r="L52" s="60">
        <v>24.66</v>
      </c>
      <c r="M52" s="60">
        <v>26.03</v>
      </c>
      <c r="N52" s="60">
        <v>811.3</v>
      </c>
      <c r="O52" s="60">
        <v>0</v>
      </c>
      <c r="P52" s="60">
        <v>0.97</v>
      </c>
      <c r="Q52" s="60">
        <v>9.86</v>
      </c>
      <c r="R52" s="198"/>
      <c r="S52" s="198"/>
      <c r="T52" s="198"/>
      <c r="U52" s="198"/>
    </row>
    <row r="53" spans="1:21" s="12" customFormat="1" x14ac:dyDescent="0.25">
      <c r="A53" s="201" t="s">
        <v>1732</v>
      </c>
      <c r="B53" s="60">
        <v>30.13</v>
      </c>
      <c r="C53" s="60">
        <v>66.31</v>
      </c>
      <c r="D53" s="60">
        <v>57.43</v>
      </c>
      <c r="E53" s="60">
        <v>6.87</v>
      </c>
      <c r="F53" s="60">
        <v>4.3</v>
      </c>
      <c r="G53" s="60">
        <v>89.57</v>
      </c>
      <c r="H53" s="213" t="s">
        <v>42</v>
      </c>
      <c r="I53" s="60">
        <v>8.07</v>
      </c>
      <c r="J53" s="60">
        <v>1.26</v>
      </c>
      <c r="K53" s="60">
        <v>51.26</v>
      </c>
      <c r="L53" s="60">
        <v>22.31</v>
      </c>
      <c r="M53" s="60">
        <v>30.7</v>
      </c>
      <c r="N53" s="60">
        <v>829</v>
      </c>
      <c r="O53" s="60">
        <v>0</v>
      </c>
      <c r="P53" s="60">
        <v>0.96</v>
      </c>
      <c r="Q53" s="60">
        <v>9.84</v>
      </c>
      <c r="R53" s="198"/>
      <c r="S53" s="198"/>
      <c r="T53" s="198"/>
      <c r="U53" s="198"/>
    </row>
    <row r="54" spans="1:21" s="12" customFormat="1" x14ac:dyDescent="0.25">
      <c r="A54" s="201" t="s">
        <v>1733</v>
      </c>
      <c r="B54" s="60">
        <v>27.65</v>
      </c>
      <c r="C54" s="60">
        <v>67.42</v>
      </c>
      <c r="D54" s="60">
        <v>56.02</v>
      </c>
      <c r="E54" s="60">
        <v>6.55</v>
      </c>
      <c r="F54" s="60">
        <v>4.75</v>
      </c>
      <c r="G54" s="60">
        <v>89.82</v>
      </c>
      <c r="H54" s="213" t="s">
        <v>42</v>
      </c>
      <c r="I54" s="60">
        <v>7.81</v>
      </c>
      <c r="J54" s="60">
        <v>1.25</v>
      </c>
      <c r="K54" s="60">
        <v>4.41</v>
      </c>
      <c r="L54" s="60">
        <v>21.42</v>
      </c>
      <c r="M54" s="60">
        <v>32.31</v>
      </c>
      <c r="N54" s="60">
        <v>825.1</v>
      </c>
      <c r="O54" s="60">
        <v>0</v>
      </c>
      <c r="P54" s="60">
        <v>0.94</v>
      </c>
      <c r="Q54" s="60">
        <v>9.42</v>
      </c>
      <c r="R54" s="198"/>
      <c r="S54" s="198"/>
      <c r="T54" s="198"/>
      <c r="U54" s="198"/>
    </row>
    <row r="55" spans="1:21" s="12" customFormat="1" x14ac:dyDescent="0.25">
      <c r="A55" s="201" t="s">
        <v>1734</v>
      </c>
      <c r="B55" s="60">
        <v>25.39</v>
      </c>
      <c r="C55" s="60">
        <v>68.599999999999994</v>
      </c>
      <c r="D55" s="60">
        <v>54.83</v>
      </c>
      <c r="E55" s="60">
        <v>6.79</v>
      </c>
      <c r="F55" s="60">
        <v>3.63</v>
      </c>
      <c r="G55" s="60">
        <v>89.82</v>
      </c>
      <c r="H55" s="213" t="s">
        <v>42</v>
      </c>
      <c r="I55" s="60">
        <v>7.77</v>
      </c>
      <c r="J55" s="60">
        <v>2.11</v>
      </c>
      <c r="K55" s="60">
        <v>111.66</v>
      </c>
      <c r="L55" s="60">
        <v>21.37</v>
      </c>
      <c r="M55" s="60">
        <v>32.659999999999997</v>
      </c>
      <c r="N55" s="60">
        <v>816.7</v>
      </c>
      <c r="O55" s="60">
        <v>0</v>
      </c>
      <c r="P55" s="60">
        <v>0.92</v>
      </c>
      <c r="Q55" s="60">
        <v>9.4700000000000006</v>
      </c>
      <c r="R55" s="198"/>
      <c r="S55" s="198"/>
      <c r="T55" s="198"/>
      <c r="U55" s="198"/>
    </row>
    <row r="56" spans="1:21" s="12" customFormat="1" x14ac:dyDescent="0.25">
      <c r="A56" s="201" t="s">
        <v>1735</v>
      </c>
      <c r="B56" s="60">
        <v>22.89</v>
      </c>
      <c r="C56" s="60">
        <v>69.36</v>
      </c>
      <c r="D56" s="60">
        <v>53.22</v>
      </c>
      <c r="E56" s="60">
        <v>6.63</v>
      </c>
      <c r="F56" s="60">
        <v>3.55</v>
      </c>
      <c r="G56" s="60">
        <v>89.82</v>
      </c>
      <c r="H56" s="213" t="s">
        <v>42</v>
      </c>
      <c r="I56" s="60">
        <v>7.94</v>
      </c>
      <c r="J56" s="60">
        <v>4</v>
      </c>
      <c r="K56" s="60">
        <v>118.8</v>
      </c>
      <c r="L56" s="60">
        <v>19.690000000000001</v>
      </c>
      <c r="M56" s="60">
        <v>34.200000000000003</v>
      </c>
      <c r="N56" s="60">
        <v>810.1</v>
      </c>
      <c r="O56" s="60">
        <v>0</v>
      </c>
      <c r="P56" s="60">
        <v>0.9</v>
      </c>
      <c r="Q56" s="60">
        <v>9.32</v>
      </c>
      <c r="R56" s="198"/>
      <c r="S56" s="198"/>
      <c r="T56" s="198"/>
      <c r="U56" s="198"/>
    </row>
    <row r="57" spans="1:21" s="12" customFormat="1" x14ac:dyDescent="0.25">
      <c r="A57" s="201" t="s">
        <v>1736</v>
      </c>
      <c r="B57" s="60">
        <v>20.5</v>
      </c>
      <c r="C57" s="60">
        <v>70.02</v>
      </c>
      <c r="D57" s="60">
        <v>51.64</v>
      </c>
      <c r="E57" s="60">
        <v>7.36</v>
      </c>
      <c r="F57" s="60">
        <v>4.08</v>
      </c>
      <c r="G57" s="60">
        <v>89.68</v>
      </c>
      <c r="H57" s="213" t="s">
        <v>42</v>
      </c>
      <c r="I57" s="60">
        <v>8.0299999999999994</v>
      </c>
      <c r="J57" s="60">
        <v>1.01</v>
      </c>
      <c r="K57" s="60">
        <v>58.58</v>
      </c>
      <c r="L57" s="60">
        <v>20.94</v>
      </c>
      <c r="M57" s="60">
        <v>31.19</v>
      </c>
      <c r="N57" s="60">
        <v>791.1</v>
      </c>
      <c r="O57" s="60">
        <v>0</v>
      </c>
      <c r="P57" s="60">
        <v>0.87</v>
      </c>
      <c r="Q57" s="60">
        <v>8.69</v>
      </c>
      <c r="R57" s="198"/>
      <c r="S57" s="198"/>
      <c r="T57" s="198"/>
      <c r="U57" s="198"/>
    </row>
    <row r="58" spans="1:21" s="12" customFormat="1" x14ac:dyDescent="0.25">
      <c r="A58" s="201" t="s">
        <v>1737</v>
      </c>
      <c r="B58" s="60">
        <v>19.07</v>
      </c>
      <c r="C58" s="60">
        <v>70.760000000000005</v>
      </c>
      <c r="D58" s="60">
        <v>50.88</v>
      </c>
      <c r="E58" s="60">
        <v>7.37</v>
      </c>
      <c r="F58" s="60">
        <v>4.4400000000000004</v>
      </c>
      <c r="G58" s="60">
        <v>89.45</v>
      </c>
      <c r="H58" s="213" t="s">
        <v>42</v>
      </c>
      <c r="I58" s="60">
        <v>8.07</v>
      </c>
      <c r="J58" s="60">
        <v>3.08</v>
      </c>
      <c r="K58" s="60">
        <v>337.32</v>
      </c>
      <c r="L58" s="60">
        <v>24.43</v>
      </c>
      <c r="M58" s="60">
        <v>24.26</v>
      </c>
      <c r="N58" s="60">
        <v>777.4</v>
      </c>
      <c r="O58" s="60">
        <v>0</v>
      </c>
      <c r="P58" s="60">
        <v>0.85</v>
      </c>
      <c r="Q58" s="60">
        <v>8.9600000000000009</v>
      </c>
      <c r="R58" s="198"/>
      <c r="S58" s="198"/>
      <c r="T58" s="198"/>
      <c r="U58" s="198"/>
    </row>
    <row r="59" spans="1:21" s="12" customFormat="1" x14ac:dyDescent="0.25">
      <c r="A59" s="201" t="s">
        <v>1738</v>
      </c>
      <c r="B59" s="60">
        <v>18.21</v>
      </c>
      <c r="C59" s="60">
        <v>71.73</v>
      </c>
      <c r="D59" s="60">
        <v>50.71</v>
      </c>
      <c r="E59" s="60">
        <v>7.21</v>
      </c>
      <c r="F59" s="60">
        <v>4.1100000000000003</v>
      </c>
      <c r="G59" s="60">
        <v>89.45</v>
      </c>
      <c r="H59" s="213" t="s">
        <v>42</v>
      </c>
      <c r="I59" s="60">
        <v>8.25</v>
      </c>
      <c r="J59" s="60">
        <v>2.17</v>
      </c>
      <c r="K59" s="60">
        <v>353.31</v>
      </c>
      <c r="L59" s="60">
        <v>24.67</v>
      </c>
      <c r="M59" s="60">
        <v>23.55</v>
      </c>
      <c r="N59" s="60">
        <v>778</v>
      </c>
      <c r="O59" s="60">
        <v>0</v>
      </c>
      <c r="P59" s="60">
        <v>0.82</v>
      </c>
      <c r="Q59" s="60">
        <v>8.5500000000000007</v>
      </c>
      <c r="R59" s="198"/>
      <c r="S59" s="198"/>
      <c r="T59" s="198"/>
      <c r="U59" s="198"/>
    </row>
    <row r="60" spans="1:21" s="12" customFormat="1" x14ac:dyDescent="0.25">
      <c r="A60" s="201" t="s">
        <v>1739</v>
      </c>
      <c r="B60" s="60">
        <v>16.739999999999998</v>
      </c>
      <c r="C60" s="60">
        <v>72.16</v>
      </c>
      <c r="D60" s="60">
        <v>49.75</v>
      </c>
      <c r="E60" s="60">
        <v>5.9</v>
      </c>
      <c r="F60" s="60">
        <v>3.95</v>
      </c>
      <c r="G60" s="60">
        <v>89.45</v>
      </c>
      <c r="H60" s="213" t="s">
        <v>42</v>
      </c>
      <c r="I60" s="60">
        <v>7.85</v>
      </c>
      <c r="J60" s="60">
        <v>2.89</v>
      </c>
      <c r="K60" s="60">
        <v>113.33</v>
      </c>
      <c r="L60" s="60">
        <v>21.58</v>
      </c>
      <c r="M60" s="60">
        <v>27.47</v>
      </c>
      <c r="N60" s="60">
        <v>750.4</v>
      </c>
      <c r="O60" s="60">
        <v>0</v>
      </c>
      <c r="P60" s="60">
        <v>0.8</v>
      </c>
      <c r="Q60" s="60">
        <v>8.5399999999999991</v>
      </c>
      <c r="R60" s="198"/>
      <c r="S60" s="198"/>
      <c r="T60" s="198"/>
      <c r="U60" s="198"/>
    </row>
    <row r="61" spans="1:21" s="12" customFormat="1" x14ac:dyDescent="0.25">
      <c r="A61" s="201" t="s">
        <v>1740</v>
      </c>
      <c r="B61" s="60">
        <v>14.79</v>
      </c>
      <c r="C61" s="60">
        <v>71.28</v>
      </c>
      <c r="D61" s="60">
        <v>47.73</v>
      </c>
      <c r="E61" s="60">
        <v>5.73</v>
      </c>
      <c r="F61" s="60">
        <v>4.6399999999999997</v>
      </c>
      <c r="G61" s="60">
        <v>88.49</v>
      </c>
      <c r="H61" s="213" t="s">
        <v>42</v>
      </c>
      <c r="I61" s="60">
        <v>7.32</v>
      </c>
      <c r="J61" s="60">
        <v>1.92</v>
      </c>
      <c r="K61" s="60">
        <v>118.97</v>
      </c>
      <c r="L61" s="60">
        <v>21.04</v>
      </c>
      <c r="M61" s="60">
        <v>27.98</v>
      </c>
      <c r="N61" s="60">
        <v>719.1</v>
      </c>
      <c r="O61" s="60">
        <v>0</v>
      </c>
      <c r="P61" s="60">
        <v>0.78</v>
      </c>
      <c r="Q61" s="60">
        <v>8.39</v>
      </c>
      <c r="R61" s="198"/>
      <c r="S61" s="198"/>
      <c r="T61" s="198"/>
      <c r="U61" s="198"/>
    </row>
    <row r="62" spans="1:21" s="12" customFormat="1" x14ac:dyDescent="0.25">
      <c r="A62" s="201" t="s">
        <v>1741</v>
      </c>
      <c r="B62" s="60">
        <v>13</v>
      </c>
      <c r="C62" s="60">
        <v>70.239999999999995</v>
      </c>
      <c r="D62" s="60">
        <v>45.75</v>
      </c>
      <c r="E62" s="60">
        <v>5.63</v>
      </c>
      <c r="F62" s="60">
        <v>4.01</v>
      </c>
      <c r="G62" s="60">
        <v>86.84</v>
      </c>
      <c r="H62" s="213" t="s">
        <v>42</v>
      </c>
      <c r="I62" s="60">
        <v>7.53</v>
      </c>
      <c r="J62" s="60">
        <v>1.66</v>
      </c>
      <c r="K62" s="60">
        <v>328.87</v>
      </c>
      <c r="L62" s="60">
        <v>22.19</v>
      </c>
      <c r="M62" s="60">
        <v>26.25</v>
      </c>
      <c r="N62" s="60">
        <v>697.7</v>
      </c>
      <c r="O62" s="60">
        <v>0</v>
      </c>
      <c r="P62" s="60">
        <v>0.82</v>
      </c>
      <c r="Q62" s="60">
        <v>8.52</v>
      </c>
      <c r="R62" s="198"/>
      <c r="S62" s="198"/>
      <c r="T62" s="198"/>
      <c r="U62" s="198"/>
    </row>
    <row r="63" spans="1:21" s="12" customFormat="1" x14ac:dyDescent="0.25">
      <c r="A63" s="201" t="s">
        <v>1742</v>
      </c>
      <c r="B63" s="60">
        <v>11.5</v>
      </c>
      <c r="C63" s="60">
        <v>70.05</v>
      </c>
      <c r="D63" s="60">
        <v>44.44</v>
      </c>
      <c r="E63" s="60">
        <v>5.53</v>
      </c>
      <c r="F63" s="60">
        <v>4.05</v>
      </c>
      <c r="G63" s="60">
        <v>86.84</v>
      </c>
      <c r="H63" s="213" t="s">
        <v>42</v>
      </c>
      <c r="I63" s="60">
        <v>6.8</v>
      </c>
      <c r="J63" s="60">
        <v>1.97</v>
      </c>
      <c r="K63" s="60">
        <v>326.56</v>
      </c>
      <c r="L63" s="60">
        <v>23.36</v>
      </c>
      <c r="M63" s="60">
        <v>24.38</v>
      </c>
      <c r="N63" s="60">
        <v>651.70000000000005</v>
      </c>
      <c r="O63" s="60">
        <v>0</v>
      </c>
      <c r="P63" s="60">
        <v>0.8</v>
      </c>
      <c r="Q63" s="60">
        <v>8.44</v>
      </c>
      <c r="R63" s="198"/>
      <c r="S63" s="198"/>
      <c r="T63" s="198"/>
      <c r="U63" s="198"/>
    </row>
    <row r="64" spans="1:21" s="12" customFormat="1" x14ac:dyDescent="0.25">
      <c r="A64" s="201" t="s">
        <v>1743</v>
      </c>
      <c r="B64" s="60">
        <v>10.54</v>
      </c>
      <c r="C64" s="60">
        <v>69.8</v>
      </c>
      <c r="D64" s="60">
        <v>43.55</v>
      </c>
      <c r="E64" s="60">
        <v>5.8</v>
      </c>
      <c r="F64" s="60">
        <v>4.5199999999999996</v>
      </c>
      <c r="G64" s="60">
        <v>86.84</v>
      </c>
      <c r="H64" s="213" t="s">
        <v>42</v>
      </c>
      <c r="I64" s="60">
        <v>7.23</v>
      </c>
      <c r="J64" s="60">
        <v>2.5299999999999998</v>
      </c>
      <c r="K64" s="60">
        <v>109.13</v>
      </c>
      <c r="L64" s="60">
        <v>22.37</v>
      </c>
      <c r="M64" s="60">
        <v>24.94</v>
      </c>
      <c r="N64" s="60">
        <v>616.5</v>
      </c>
      <c r="O64" s="60">
        <v>0</v>
      </c>
      <c r="P64" s="60">
        <v>0.8</v>
      </c>
      <c r="Q64" s="60">
        <v>8.35</v>
      </c>
      <c r="R64" s="198"/>
      <c r="S64" s="198"/>
      <c r="T64" s="198"/>
      <c r="U64" s="198"/>
    </row>
    <row r="65" spans="1:21" s="12" customFormat="1" x14ac:dyDescent="0.25">
      <c r="A65" s="201" t="s">
        <v>1744</v>
      </c>
      <c r="B65" s="60">
        <v>9.35</v>
      </c>
      <c r="C65" s="60">
        <v>68.7</v>
      </c>
      <c r="D65" s="60">
        <v>42.01</v>
      </c>
      <c r="E65" s="60">
        <v>5.63</v>
      </c>
      <c r="F65" s="60">
        <v>4.82</v>
      </c>
      <c r="G65" s="60">
        <v>85.75</v>
      </c>
      <c r="H65" s="213" t="s">
        <v>42</v>
      </c>
      <c r="I65" s="60">
        <v>5.95</v>
      </c>
      <c r="J65" s="60">
        <v>1.36</v>
      </c>
      <c r="K65" s="60">
        <v>345.98</v>
      </c>
      <c r="L65" s="60">
        <v>22.14</v>
      </c>
      <c r="M65" s="60">
        <v>24.4</v>
      </c>
      <c r="N65" s="60">
        <v>263.10000000000002</v>
      </c>
      <c r="O65" s="60">
        <v>0</v>
      </c>
      <c r="P65" s="60">
        <v>0.8</v>
      </c>
      <c r="Q65" s="60">
        <v>8.25</v>
      </c>
      <c r="R65" s="198"/>
      <c r="S65" s="198"/>
      <c r="T65" s="198"/>
      <c r="U65" s="198"/>
    </row>
    <row r="66" spans="1:21" s="12" customFormat="1" x14ac:dyDescent="0.25">
      <c r="A66" s="201" t="s">
        <v>1745</v>
      </c>
      <c r="B66" s="60">
        <v>8.44</v>
      </c>
      <c r="C66" s="60">
        <v>68.239999999999995</v>
      </c>
      <c r="D66" s="60">
        <v>41.05</v>
      </c>
      <c r="E66" s="60">
        <v>5.7</v>
      </c>
      <c r="F66" s="60">
        <v>3.91</v>
      </c>
      <c r="G66" s="60">
        <v>83.76</v>
      </c>
      <c r="H66" s="213" t="s">
        <v>42</v>
      </c>
      <c r="I66" s="60">
        <v>6.73</v>
      </c>
      <c r="J66" s="60">
        <v>1.77</v>
      </c>
      <c r="K66" s="60">
        <v>345.86</v>
      </c>
      <c r="L66" s="60">
        <v>23.07</v>
      </c>
      <c r="M66" s="60">
        <v>23.55</v>
      </c>
      <c r="N66" s="60">
        <v>237.7</v>
      </c>
      <c r="O66" s="60">
        <v>0</v>
      </c>
      <c r="P66" s="60">
        <v>0.79</v>
      </c>
      <c r="Q66" s="60">
        <v>8.2100000000000009</v>
      </c>
      <c r="R66" s="198"/>
      <c r="S66" s="198"/>
      <c r="T66" s="198"/>
      <c r="U66" s="198"/>
    </row>
    <row r="67" spans="1:21" s="12" customFormat="1" x14ac:dyDescent="0.25">
      <c r="A67" s="201" t="s">
        <v>1746</v>
      </c>
      <c r="B67" s="60">
        <v>8.35</v>
      </c>
      <c r="C67" s="60">
        <v>68.540000000000006</v>
      </c>
      <c r="D67" s="60">
        <v>41.13</v>
      </c>
      <c r="E67" s="60">
        <v>6.47</v>
      </c>
      <c r="F67" s="60">
        <v>3.71</v>
      </c>
      <c r="G67" s="60">
        <v>83.76</v>
      </c>
      <c r="H67" s="213" t="s">
        <v>42</v>
      </c>
      <c r="I67" s="60">
        <v>6.23</v>
      </c>
      <c r="J67" s="60">
        <v>0.98</v>
      </c>
      <c r="K67" s="60">
        <v>17.2</v>
      </c>
      <c r="L67" s="60">
        <v>22.89</v>
      </c>
      <c r="M67" s="60">
        <v>24.1</v>
      </c>
      <c r="N67" s="60">
        <v>235.8</v>
      </c>
      <c r="O67" s="60">
        <v>0</v>
      </c>
      <c r="P67" s="60">
        <v>0.81</v>
      </c>
      <c r="Q67" s="60">
        <v>8.2100000000000009</v>
      </c>
      <c r="R67" s="198"/>
      <c r="S67" s="198"/>
      <c r="T67" s="198"/>
      <c r="U67" s="198"/>
    </row>
    <row r="68" spans="1:21" s="12" customFormat="1" x14ac:dyDescent="0.25">
      <c r="A68" s="201" t="s">
        <v>1747</v>
      </c>
      <c r="B68" s="60">
        <v>7.77</v>
      </c>
      <c r="C68" s="60">
        <v>69.12</v>
      </c>
      <c r="D68" s="60">
        <v>40.97</v>
      </c>
      <c r="E68" s="60">
        <v>6.41</v>
      </c>
      <c r="F68" s="60">
        <v>4.41</v>
      </c>
      <c r="G68" s="60">
        <v>83.76</v>
      </c>
      <c r="H68" s="213" t="s">
        <v>42</v>
      </c>
      <c r="I68" s="60">
        <v>6.65</v>
      </c>
      <c r="J68" s="60">
        <v>1.43</v>
      </c>
      <c r="K68" s="60">
        <v>352.54</v>
      </c>
      <c r="L68" s="60">
        <v>22.49</v>
      </c>
      <c r="M68" s="60">
        <v>24.29</v>
      </c>
      <c r="N68" s="60">
        <v>204.6</v>
      </c>
      <c r="O68" s="60">
        <v>0</v>
      </c>
      <c r="P68" s="60">
        <v>0.79</v>
      </c>
      <c r="Q68" s="60">
        <v>8.2100000000000009</v>
      </c>
      <c r="R68" s="198"/>
      <c r="S68" s="198"/>
      <c r="T68" s="198"/>
      <c r="U68" s="198"/>
    </row>
    <row r="69" spans="1:21" s="12" customFormat="1" x14ac:dyDescent="0.25">
      <c r="A69" s="201" t="s">
        <v>1748</v>
      </c>
      <c r="B69" s="60">
        <v>6.8</v>
      </c>
      <c r="C69" s="60">
        <v>69.67</v>
      </c>
      <c r="D69" s="60">
        <v>40.47</v>
      </c>
      <c r="E69" s="60">
        <v>6.16</v>
      </c>
      <c r="F69" s="60">
        <v>5.39</v>
      </c>
      <c r="G69" s="60">
        <v>83.17</v>
      </c>
      <c r="H69" s="213" t="s">
        <v>42</v>
      </c>
      <c r="I69" s="60">
        <v>7.76</v>
      </c>
      <c r="J69" s="60">
        <v>0.81</v>
      </c>
      <c r="K69" s="60">
        <v>4.6100000000000003</v>
      </c>
      <c r="L69" s="60">
        <v>22.06</v>
      </c>
      <c r="M69" s="60">
        <v>24.92</v>
      </c>
      <c r="N69" s="60">
        <v>187.2</v>
      </c>
      <c r="O69" s="60">
        <v>0</v>
      </c>
      <c r="P69" s="60">
        <v>0.81</v>
      </c>
      <c r="Q69" s="60">
        <v>8.2100000000000009</v>
      </c>
      <c r="R69" s="198"/>
      <c r="S69" s="198"/>
      <c r="T69" s="198"/>
      <c r="U69" s="198"/>
    </row>
    <row r="70" spans="1:21" s="12" customFormat="1" x14ac:dyDescent="0.25">
      <c r="A70" s="201" t="s">
        <v>1749</v>
      </c>
      <c r="B70" s="60">
        <v>6.18</v>
      </c>
      <c r="C70" s="60">
        <v>70.02</v>
      </c>
      <c r="D70" s="60">
        <v>40.159999999999997</v>
      </c>
      <c r="E70" s="60">
        <v>6.25</v>
      </c>
      <c r="F70" s="60">
        <v>4.5</v>
      </c>
      <c r="G70" s="60">
        <v>82.14</v>
      </c>
      <c r="H70" s="213" t="s">
        <v>42</v>
      </c>
      <c r="I70" s="60">
        <v>7.53</v>
      </c>
      <c r="J70" s="60">
        <v>2.0699999999999998</v>
      </c>
      <c r="K70" s="60">
        <v>356.59</v>
      </c>
      <c r="L70" s="60">
        <v>21.43</v>
      </c>
      <c r="M70" s="60">
        <v>25.63</v>
      </c>
      <c r="N70" s="60">
        <v>182.8</v>
      </c>
      <c r="O70" s="60">
        <v>0</v>
      </c>
      <c r="P70" s="60">
        <v>0.82</v>
      </c>
      <c r="Q70" s="60">
        <v>8.2100000000000009</v>
      </c>
      <c r="R70" s="198"/>
      <c r="S70" s="198"/>
      <c r="T70" s="198"/>
      <c r="U70" s="198"/>
    </row>
    <row r="71" spans="1:21" s="12" customFormat="1" x14ac:dyDescent="0.25">
      <c r="A71" s="201" t="s">
        <v>1750</v>
      </c>
      <c r="B71" s="60">
        <v>6.03</v>
      </c>
      <c r="C71" s="60">
        <v>71.12</v>
      </c>
      <c r="D71" s="60">
        <v>40.619999999999997</v>
      </c>
      <c r="E71" s="60">
        <v>6.96</v>
      </c>
      <c r="F71" s="60">
        <v>5.03</v>
      </c>
      <c r="G71" s="60">
        <v>82.14</v>
      </c>
      <c r="H71" s="213" t="s">
        <v>42</v>
      </c>
      <c r="I71" s="60">
        <v>7.34</v>
      </c>
      <c r="J71" s="60">
        <v>3.14</v>
      </c>
      <c r="K71" s="60">
        <v>343.71</v>
      </c>
      <c r="L71" s="60">
        <v>21.56</v>
      </c>
      <c r="M71" s="60">
        <v>25.89</v>
      </c>
      <c r="N71" s="60">
        <v>173.2</v>
      </c>
      <c r="O71" s="60">
        <v>0</v>
      </c>
      <c r="P71" s="60">
        <v>0.84</v>
      </c>
      <c r="Q71" s="60">
        <v>8.2100000000000009</v>
      </c>
      <c r="R71" s="198"/>
      <c r="S71" s="198"/>
      <c r="T71" s="198"/>
      <c r="U71" s="198"/>
    </row>
    <row r="72" spans="1:21" s="12" customFormat="1" x14ac:dyDescent="0.25">
      <c r="A72" s="201" t="s">
        <v>1751</v>
      </c>
      <c r="B72" s="60">
        <v>6.27</v>
      </c>
      <c r="C72" s="60">
        <v>72.709999999999994</v>
      </c>
      <c r="D72" s="60">
        <v>41.64</v>
      </c>
      <c r="E72" s="60">
        <v>6.33</v>
      </c>
      <c r="F72" s="60">
        <v>3.64</v>
      </c>
      <c r="G72" s="60">
        <v>82.14</v>
      </c>
      <c r="H72" s="213" t="s">
        <v>42</v>
      </c>
      <c r="I72" s="60">
        <v>7.17</v>
      </c>
      <c r="J72" s="60">
        <v>0.82</v>
      </c>
      <c r="K72" s="60">
        <v>15.08</v>
      </c>
      <c r="L72" s="60">
        <v>21.05</v>
      </c>
      <c r="M72" s="60">
        <v>26.12</v>
      </c>
      <c r="N72" s="60">
        <v>165.2</v>
      </c>
      <c r="O72" s="60">
        <v>0</v>
      </c>
      <c r="P72" s="60">
        <v>0.85</v>
      </c>
      <c r="Q72" s="60">
        <v>8.2100000000000009</v>
      </c>
      <c r="R72" s="198"/>
      <c r="S72" s="198"/>
      <c r="T72" s="198"/>
      <c r="U72" s="198"/>
    </row>
    <row r="73" spans="1:21" s="12" customFormat="1" x14ac:dyDescent="0.25">
      <c r="A73" s="201" t="s">
        <v>1752</v>
      </c>
      <c r="B73" s="60">
        <v>6.53</v>
      </c>
      <c r="C73" s="60">
        <v>73.930000000000007</v>
      </c>
      <c r="D73" s="60">
        <v>42.49</v>
      </c>
      <c r="E73" s="60">
        <v>7.49</v>
      </c>
      <c r="F73" s="60">
        <v>3.79</v>
      </c>
      <c r="G73" s="60">
        <v>85.75</v>
      </c>
      <c r="H73" s="213" t="s">
        <v>42</v>
      </c>
      <c r="I73" s="60">
        <v>7.08</v>
      </c>
      <c r="J73" s="60">
        <v>2.66</v>
      </c>
      <c r="K73" s="60">
        <v>343.88</v>
      </c>
      <c r="L73" s="60">
        <v>20.7</v>
      </c>
      <c r="M73" s="60">
        <v>28.59</v>
      </c>
      <c r="N73" s="60">
        <v>159.30000000000001</v>
      </c>
      <c r="O73" s="60">
        <v>0</v>
      </c>
      <c r="P73" s="60">
        <v>0.86</v>
      </c>
      <c r="Q73" s="60">
        <v>8.2100000000000009</v>
      </c>
      <c r="R73" s="198"/>
      <c r="S73" s="198"/>
      <c r="T73" s="198"/>
      <c r="U73" s="198"/>
    </row>
    <row r="74" spans="1:21" s="12" customFormat="1" x14ac:dyDescent="0.25">
      <c r="A74" s="201" t="s">
        <v>1753</v>
      </c>
      <c r="B74" s="60">
        <v>6.86</v>
      </c>
      <c r="C74" s="60">
        <v>75.19</v>
      </c>
      <c r="D74" s="60">
        <v>43.41</v>
      </c>
      <c r="E74" s="60">
        <v>7.79</v>
      </c>
      <c r="F74" s="60">
        <v>4.37</v>
      </c>
      <c r="G74" s="60">
        <v>92</v>
      </c>
      <c r="H74" s="213" t="s">
        <v>42</v>
      </c>
      <c r="I74" s="60">
        <v>7.15</v>
      </c>
      <c r="J74" s="60">
        <v>3.56</v>
      </c>
      <c r="K74" s="60">
        <v>329.9</v>
      </c>
      <c r="L74" s="60">
        <v>20.39</v>
      </c>
      <c r="M74" s="60">
        <v>29.77</v>
      </c>
      <c r="N74" s="60">
        <v>151.69999999999999</v>
      </c>
      <c r="O74" s="60">
        <v>0</v>
      </c>
      <c r="P74" s="60">
        <v>0.88</v>
      </c>
      <c r="Q74" s="60">
        <v>8.2100000000000009</v>
      </c>
      <c r="R74" s="198"/>
      <c r="S74" s="198"/>
      <c r="T74" s="198"/>
      <c r="U74" s="198"/>
    </row>
    <row r="75" spans="1:21" s="12" customFormat="1" x14ac:dyDescent="0.25">
      <c r="A75" s="201" t="s">
        <v>1754</v>
      </c>
      <c r="B75" s="60">
        <v>6.68</v>
      </c>
      <c r="C75" s="60">
        <v>76.61</v>
      </c>
      <c r="D75" s="60">
        <v>44.01</v>
      </c>
      <c r="E75" s="60">
        <v>7.99</v>
      </c>
      <c r="F75" s="60">
        <v>5.99</v>
      </c>
      <c r="G75" s="60">
        <v>92</v>
      </c>
      <c r="H75" s="213" t="s">
        <v>42</v>
      </c>
      <c r="I75" s="60">
        <v>7.12</v>
      </c>
      <c r="J75" s="60">
        <v>3.46</v>
      </c>
      <c r="K75" s="60">
        <v>336.29</v>
      </c>
      <c r="L75" s="60">
        <v>19.940000000000001</v>
      </c>
      <c r="M75" s="60">
        <v>31.24</v>
      </c>
      <c r="N75" s="60">
        <v>143</v>
      </c>
      <c r="O75" s="60">
        <v>0</v>
      </c>
      <c r="P75" s="60">
        <v>0.93</v>
      </c>
      <c r="Q75" s="60">
        <v>8.2100000000000009</v>
      </c>
      <c r="R75" s="198"/>
      <c r="S75" s="198"/>
      <c r="T75" s="198"/>
      <c r="U75" s="198"/>
    </row>
    <row r="76" spans="1:21" s="12" customFormat="1" x14ac:dyDescent="0.25">
      <c r="A76" s="201" t="s">
        <v>1755</v>
      </c>
      <c r="B76" s="60">
        <v>6.67</v>
      </c>
      <c r="C76" s="60">
        <v>78.040000000000006</v>
      </c>
      <c r="D76" s="60">
        <v>44.74</v>
      </c>
      <c r="E76" s="60">
        <v>7.37</v>
      </c>
      <c r="F76" s="60">
        <v>4.71</v>
      </c>
      <c r="G76" s="60">
        <v>92</v>
      </c>
      <c r="H76" s="213" t="s">
        <v>42</v>
      </c>
      <c r="I76" s="60">
        <v>6.99</v>
      </c>
      <c r="J76" s="60">
        <v>3.66</v>
      </c>
      <c r="K76" s="60">
        <v>338.17</v>
      </c>
      <c r="L76" s="60">
        <v>19.37</v>
      </c>
      <c r="M76" s="60">
        <v>32.19</v>
      </c>
      <c r="N76" s="60">
        <v>134.6</v>
      </c>
      <c r="O76" s="60">
        <v>0</v>
      </c>
      <c r="P76" s="60">
        <v>0.96</v>
      </c>
      <c r="Q76" s="60">
        <v>8.2100000000000009</v>
      </c>
      <c r="R76" s="198"/>
      <c r="S76" s="198"/>
      <c r="T76" s="198"/>
      <c r="U76" s="198"/>
    </row>
    <row r="77" spans="1:21" s="12" customFormat="1" x14ac:dyDescent="0.25">
      <c r="A77" s="201" t="s">
        <v>1756</v>
      </c>
      <c r="B77" s="60">
        <v>6.85</v>
      </c>
      <c r="C77" s="60">
        <v>78.52</v>
      </c>
      <c r="D77" s="60">
        <v>45.13</v>
      </c>
      <c r="E77" s="60">
        <v>7.37</v>
      </c>
      <c r="F77" s="60">
        <v>4.21</v>
      </c>
      <c r="G77" s="60">
        <v>96.62</v>
      </c>
      <c r="H77" s="213" t="s">
        <v>42</v>
      </c>
      <c r="I77" s="60">
        <v>6.29</v>
      </c>
      <c r="J77" s="60">
        <v>3.38</v>
      </c>
      <c r="K77" s="60">
        <v>339.11</v>
      </c>
      <c r="L77" s="60">
        <v>18.7</v>
      </c>
      <c r="M77" s="60">
        <v>33.090000000000003</v>
      </c>
      <c r="N77" s="60">
        <v>126.8</v>
      </c>
      <c r="O77" s="60">
        <v>0</v>
      </c>
      <c r="P77" s="60">
        <v>1</v>
      </c>
      <c r="Q77" s="60">
        <v>8.2100000000000009</v>
      </c>
      <c r="R77" s="198"/>
      <c r="S77" s="198"/>
      <c r="T77" s="198"/>
      <c r="U77" s="198"/>
    </row>
    <row r="78" spans="1:21" s="12" customFormat="1" x14ac:dyDescent="0.25">
      <c r="A78" s="201" t="s">
        <v>1757</v>
      </c>
      <c r="B78" s="60">
        <v>7.81</v>
      </c>
      <c r="C78" s="60">
        <v>78.92</v>
      </c>
      <c r="D78" s="60">
        <v>46.12</v>
      </c>
      <c r="E78" s="60">
        <v>6.73</v>
      </c>
      <c r="F78" s="60">
        <v>3.83</v>
      </c>
      <c r="G78" s="60">
        <v>104.62</v>
      </c>
      <c r="H78" s="213" t="s">
        <v>42</v>
      </c>
      <c r="I78" s="60">
        <v>6.05</v>
      </c>
      <c r="J78" s="60">
        <v>2.88</v>
      </c>
      <c r="K78" s="60">
        <v>347.29</v>
      </c>
      <c r="L78" s="60">
        <v>17.87</v>
      </c>
      <c r="M78" s="60">
        <v>35.71</v>
      </c>
      <c r="N78" s="60">
        <v>121.3</v>
      </c>
      <c r="O78" s="60">
        <v>0</v>
      </c>
      <c r="P78" s="60">
        <v>1.0900000000000001</v>
      </c>
      <c r="Q78" s="60">
        <v>8.2100000000000009</v>
      </c>
      <c r="R78" s="198"/>
      <c r="S78" s="198"/>
      <c r="T78" s="198"/>
      <c r="U78" s="198"/>
    </row>
    <row r="79" spans="1:21" s="12" customFormat="1" x14ac:dyDescent="0.25">
      <c r="A79" s="201" t="s">
        <v>1758</v>
      </c>
      <c r="B79" s="60">
        <v>9.69</v>
      </c>
      <c r="C79" s="60">
        <v>79.37</v>
      </c>
      <c r="D79" s="60">
        <v>47.86</v>
      </c>
      <c r="E79" s="60">
        <v>7</v>
      </c>
      <c r="F79" s="60">
        <v>4.1100000000000003</v>
      </c>
      <c r="G79" s="60">
        <v>104.62</v>
      </c>
      <c r="H79" s="213" t="s">
        <v>42</v>
      </c>
      <c r="I79" s="60">
        <v>5.65</v>
      </c>
      <c r="J79" s="60">
        <v>2.63</v>
      </c>
      <c r="K79" s="60">
        <v>351.13</v>
      </c>
      <c r="L79" s="60">
        <v>16.98</v>
      </c>
      <c r="M79" s="60">
        <v>38.46</v>
      </c>
      <c r="N79" s="60">
        <v>119.9</v>
      </c>
      <c r="O79" s="60">
        <v>0</v>
      </c>
      <c r="P79" s="60">
        <v>1.25</v>
      </c>
      <c r="Q79" s="60">
        <v>8.2200000000000006</v>
      </c>
      <c r="R79" s="198"/>
      <c r="S79" s="198"/>
      <c r="T79" s="198"/>
      <c r="U79" s="198"/>
    </row>
    <row r="80" spans="1:21" s="12" customFormat="1" x14ac:dyDescent="0.25">
      <c r="A80" s="201" t="s">
        <v>1759</v>
      </c>
      <c r="B80" s="60">
        <v>11.52</v>
      </c>
      <c r="C80" s="60">
        <v>79.78</v>
      </c>
      <c r="D80" s="60">
        <v>49.54</v>
      </c>
      <c r="E80" s="60">
        <v>6.66</v>
      </c>
      <c r="F80" s="60">
        <v>4</v>
      </c>
      <c r="G80" s="60">
        <v>104.62</v>
      </c>
      <c r="H80" s="213" t="s">
        <v>42</v>
      </c>
      <c r="I80" s="60">
        <v>5.9</v>
      </c>
      <c r="J80" s="60">
        <v>1.92</v>
      </c>
      <c r="K80" s="60">
        <v>41.16</v>
      </c>
      <c r="L80" s="60">
        <v>16.5</v>
      </c>
      <c r="M80" s="60">
        <v>38.229999999999997</v>
      </c>
      <c r="N80" s="60">
        <v>119.7</v>
      </c>
      <c r="O80" s="60">
        <v>0</v>
      </c>
      <c r="P80" s="60">
        <v>1.24</v>
      </c>
      <c r="Q80" s="60">
        <v>8.49</v>
      </c>
      <c r="R80" s="198"/>
      <c r="S80" s="198"/>
      <c r="T80" s="198"/>
      <c r="U80" s="198"/>
    </row>
    <row r="81" spans="1:26" s="12" customFormat="1" x14ac:dyDescent="0.25">
      <c r="A81" s="201" t="s">
        <v>1760</v>
      </c>
      <c r="B81" s="60">
        <v>12.26</v>
      </c>
      <c r="C81" s="60">
        <v>79.66</v>
      </c>
      <c r="D81" s="60">
        <v>50.08</v>
      </c>
      <c r="E81" s="60">
        <v>6.48</v>
      </c>
      <c r="F81" s="60">
        <v>4.33</v>
      </c>
      <c r="G81" s="60">
        <v>111.5</v>
      </c>
      <c r="H81" s="213" t="s">
        <v>42</v>
      </c>
      <c r="I81" s="60">
        <v>6.51</v>
      </c>
      <c r="J81" s="60">
        <v>1.99</v>
      </c>
      <c r="K81" s="60">
        <v>56.95</v>
      </c>
      <c r="L81" s="60">
        <v>16.47</v>
      </c>
      <c r="M81" s="60">
        <v>38.06</v>
      </c>
      <c r="N81" s="60">
        <v>119.8</v>
      </c>
      <c r="O81" s="60">
        <v>0</v>
      </c>
      <c r="P81" s="60">
        <v>1.28</v>
      </c>
      <c r="Q81" s="60">
        <v>8.7200000000000006</v>
      </c>
      <c r="R81" s="198"/>
      <c r="S81" s="198"/>
      <c r="T81" s="198"/>
      <c r="U81" s="198"/>
    </row>
    <row r="82" spans="1:26" s="12" customFormat="1" x14ac:dyDescent="0.25">
      <c r="A82" s="201" t="s">
        <v>1761</v>
      </c>
      <c r="B82" s="60">
        <v>14.01</v>
      </c>
      <c r="C82" s="60">
        <v>79.53</v>
      </c>
      <c r="D82" s="60">
        <v>51.41</v>
      </c>
      <c r="E82" s="60">
        <v>6.78</v>
      </c>
      <c r="F82" s="60">
        <v>3.79</v>
      </c>
      <c r="G82" s="60">
        <v>123.38</v>
      </c>
      <c r="H82" s="213" t="s">
        <v>42</v>
      </c>
      <c r="I82" s="60">
        <v>6.71</v>
      </c>
      <c r="J82" s="60">
        <v>1.82</v>
      </c>
      <c r="K82" s="60">
        <v>54.77</v>
      </c>
      <c r="L82" s="60">
        <v>15.9</v>
      </c>
      <c r="M82" s="60">
        <v>40.86</v>
      </c>
      <c r="N82" s="60">
        <v>120</v>
      </c>
      <c r="O82" s="60">
        <v>0</v>
      </c>
      <c r="P82" s="60">
        <v>1.44</v>
      </c>
      <c r="Q82" s="60">
        <v>8.84</v>
      </c>
      <c r="R82" s="198"/>
      <c r="S82" s="198"/>
      <c r="T82" s="198"/>
      <c r="U82" s="198"/>
    </row>
    <row r="83" spans="1:26" s="12" customFormat="1" x14ac:dyDescent="0.25">
      <c r="A83" s="201" t="s">
        <v>1762</v>
      </c>
      <c r="B83" s="60">
        <v>15.14</v>
      </c>
      <c r="C83" s="60">
        <v>79.709999999999994</v>
      </c>
      <c r="D83" s="60">
        <v>52.41</v>
      </c>
      <c r="E83" s="60">
        <v>7.38</v>
      </c>
      <c r="F83" s="60">
        <v>3.49</v>
      </c>
      <c r="G83" s="60">
        <v>0</v>
      </c>
      <c r="H83" s="213" t="s">
        <v>42</v>
      </c>
      <c r="I83" s="60">
        <v>6.73</v>
      </c>
      <c r="J83" s="60">
        <v>2.74</v>
      </c>
      <c r="K83" s="60">
        <v>335.82</v>
      </c>
      <c r="L83" s="60">
        <v>4.4000000000000004</v>
      </c>
      <c r="M83" s="60">
        <v>40.85</v>
      </c>
      <c r="N83" s="60">
        <v>119.8</v>
      </c>
      <c r="O83" s="60">
        <v>0</v>
      </c>
      <c r="P83" s="60">
        <v>2.09</v>
      </c>
      <c r="Q83" s="60">
        <v>0</v>
      </c>
      <c r="R83" s="198"/>
      <c r="S83" s="198"/>
      <c r="T83" s="198"/>
      <c r="U83" s="198"/>
    </row>
    <row r="84" spans="1:26" s="12" customFormat="1" x14ac:dyDescent="0.25">
      <c r="A84" s="201" t="s">
        <v>1763</v>
      </c>
      <c r="B84" s="60">
        <v>19.28</v>
      </c>
      <c r="C84" s="60">
        <v>80.33</v>
      </c>
      <c r="D84" s="60">
        <v>56.06</v>
      </c>
      <c r="E84" s="60">
        <v>7.79</v>
      </c>
      <c r="F84" s="60">
        <v>4.37</v>
      </c>
      <c r="G84" s="60">
        <v>123.38</v>
      </c>
      <c r="H84" s="213" t="s">
        <v>42</v>
      </c>
      <c r="I84" s="60">
        <v>8.2100000000000009</v>
      </c>
      <c r="J84" s="60">
        <v>2.38</v>
      </c>
      <c r="K84" s="60">
        <v>64.77</v>
      </c>
      <c r="L84" s="60">
        <v>14.44</v>
      </c>
      <c r="M84" s="60">
        <v>45.3</v>
      </c>
      <c r="N84" s="60">
        <v>119.9</v>
      </c>
      <c r="O84" s="60">
        <v>0</v>
      </c>
      <c r="P84" s="60">
        <v>1.28</v>
      </c>
      <c r="Q84" s="60">
        <v>9.4700000000000006</v>
      </c>
      <c r="R84" s="198"/>
      <c r="S84" s="198"/>
      <c r="T84" s="198"/>
      <c r="U84" s="198"/>
    </row>
    <row r="85" spans="1:26" s="12" customFormat="1" x14ac:dyDescent="0.25">
      <c r="A85" s="201" t="s">
        <v>1764</v>
      </c>
      <c r="B85" s="60">
        <v>20.77</v>
      </c>
      <c r="C85" s="60">
        <v>81.16</v>
      </c>
      <c r="D85" s="60">
        <v>57.69</v>
      </c>
      <c r="E85" s="60">
        <v>8.16</v>
      </c>
      <c r="F85" s="60">
        <v>4.46</v>
      </c>
      <c r="G85" s="60">
        <v>132.30000000000001</v>
      </c>
      <c r="H85" s="213" t="s">
        <v>42</v>
      </c>
      <c r="I85" s="60">
        <v>8.3699999999999992</v>
      </c>
      <c r="J85" s="60">
        <v>1.31</v>
      </c>
      <c r="K85" s="60">
        <v>33.33</v>
      </c>
      <c r="L85" s="60">
        <v>14.15</v>
      </c>
      <c r="M85" s="60">
        <v>47.05</v>
      </c>
      <c r="N85" s="60">
        <v>119.2</v>
      </c>
      <c r="O85" s="60">
        <v>0</v>
      </c>
      <c r="P85" s="60">
        <v>1.24</v>
      </c>
      <c r="Q85" s="60">
        <v>9.65</v>
      </c>
      <c r="R85" s="198"/>
      <c r="S85" s="198"/>
      <c r="T85" s="198"/>
      <c r="U85" s="198"/>
    </row>
    <row r="86" spans="1:26" s="12" customFormat="1" x14ac:dyDescent="0.25">
      <c r="A86" s="201" t="s">
        <v>1765</v>
      </c>
      <c r="B86" s="60">
        <v>21.44</v>
      </c>
      <c r="C86" s="60">
        <v>81.59</v>
      </c>
      <c r="D86" s="60">
        <v>58.45</v>
      </c>
      <c r="E86" s="60">
        <v>8.1999999999999993</v>
      </c>
      <c r="F86" s="60">
        <v>4.82</v>
      </c>
      <c r="G86" s="60">
        <v>147.69999999999999</v>
      </c>
      <c r="H86" s="213" t="s">
        <v>42</v>
      </c>
      <c r="I86" s="60">
        <v>8.48</v>
      </c>
      <c r="J86" s="60">
        <v>2.54</v>
      </c>
      <c r="K86" s="60">
        <v>352.34</v>
      </c>
      <c r="L86" s="60">
        <v>14.07</v>
      </c>
      <c r="M86" s="60">
        <v>59.45</v>
      </c>
      <c r="N86" s="60">
        <v>119.6</v>
      </c>
      <c r="O86" s="60">
        <v>0</v>
      </c>
      <c r="P86" s="60">
        <v>1.33</v>
      </c>
      <c r="Q86" s="60">
        <v>9.73</v>
      </c>
      <c r="R86" s="198"/>
      <c r="S86" s="198"/>
      <c r="T86" s="198"/>
      <c r="U86" s="198"/>
    </row>
    <row r="87" spans="1:26" s="12" customFormat="1" x14ac:dyDescent="0.25">
      <c r="A87" s="201" t="s">
        <v>1766</v>
      </c>
      <c r="B87" s="60">
        <v>23.91</v>
      </c>
      <c r="C87" s="60">
        <v>81.8</v>
      </c>
      <c r="D87" s="60">
        <v>60.54</v>
      </c>
      <c r="E87" s="60">
        <v>8.2100000000000009</v>
      </c>
      <c r="F87" s="60">
        <v>4.51</v>
      </c>
      <c r="G87" s="60">
        <v>147.69999999999999</v>
      </c>
      <c r="H87" s="213" t="s">
        <v>42</v>
      </c>
      <c r="I87" s="60">
        <v>8.61</v>
      </c>
      <c r="J87" s="60">
        <v>2.2999999999999998</v>
      </c>
      <c r="K87" s="60">
        <v>314.99</v>
      </c>
      <c r="L87" s="60">
        <v>13.36</v>
      </c>
      <c r="M87" s="60">
        <v>57.28</v>
      </c>
      <c r="N87" s="60">
        <v>120.4</v>
      </c>
      <c r="O87" s="60">
        <v>0</v>
      </c>
      <c r="P87" s="60">
        <v>1.42</v>
      </c>
      <c r="Q87" s="60">
        <v>9.6</v>
      </c>
      <c r="R87" s="198"/>
      <c r="S87" s="198"/>
      <c r="T87" s="198"/>
      <c r="U87" s="198"/>
    </row>
    <row r="88" spans="1:26" s="12" customFormat="1" x14ac:dyDescent="0.25">
      <c r="A88" s="201" t="s">
        <v>1767</v>
      </c>
      <c r="B88" s="60">
        <v>26</v>
      </c>
      <c r="C88" s="60">
        <v>82.54</v>
      </c>
      <c r="D88" s="60">
        <v>62.59</v>
      </c>
      <c r="E88" s="60">
        <v>8.3800000000000008</v>
      </c>
      <c r="F88" s="60">
        <v>4.29</v>
      </c>
      <c r="G88" s="60">
        <v>147.69999999999999</v>
      </c>
      <c r="H88" s="213" t="s">
        <v>42</v>
      </c>
      <c r="I88" s="60">
        <v>8.6999999999999993</v>
      </c>
      <c r="J88" s="60">
        <v>2.6</v>
      </c>
      <c r="K88" s="60">
        <v>294.45999999999998</v>
      </c>
      <c r="L88" s="60">
        <v>13.22</v>
      </c>
      <c r="M88" s="60">
        <v>53.64</v>
      </c>
      <c r="N88" s="60">
        <v>120.3</v>
      </c>
      <c r="O88" s="60">
        <v>0</v>
      </c>
      <c r="P88" s="60">
        <v>1.48</v>
      </c>
      <c r="Q88" s="60">
        <v>9.85</v>
      </c>
      <c r="R88" s="198"/>
      <c r="S88" s="198"/>
      <c r="T88" s="198"/>
      <c r="U88" s="198"/>
    </row>
    <row r="89" spans="1:26" s="12" customFormat="1" x14ac:dyDescent="0.25">
      <c r="A89" s="201" t="s">
        <v>1768</v>
      </c>
      <c r="B89" s="60">
        <v>28.22</v>
      </c>
      <c r="C89" s="60">
        <v>83.31</v>
      </c>
      <c r="D89" s="60">
        <v>64.78</v>
      </c>
      <c r="E89" s="60">
        <v>8.6199999999999992</v>
      </c>
      <c r="F89" s="60">
        <v>4.21</v>
      </c>
      <c r="G89" s="60">
        <v>151.99</v>
      </c>
      <c r="H89" s="213" t="s">
        <v>42</v>
      </c>
      <c r="I89" s="60">
        <v>8.83</v>
      </c>
      <c r="J89" s="60">
        <v>2.46</v>
      </c>
      <c r="K89" s="60">
        <v>263.98</v>
      </c>
      <c r="L89" s="60">
        <v>13.03</v>
      </c>
      <c r="M89" s="60">
        <v>56.39</v>
      </c>
      <c r="N89" s="60">
        <v>119.8</v>
      </c>
      <c r="O89" s="60">
        <v>0</v>
      </c>
      <c r="P89" s="60">
        <v>1.52</v>
      </c>
      <c r="Q89" s="60">
        <v>9.8800000000000008</v>
      </c>
      <c r="R89" s="198"/>
      <c r="S89" s="198"/>
      <c r="T89" s="198"/>
      <c r="U89" s="198"/>
    </row>
    <row r="90" spans="1:26" s="12" customFormat="1" x14ac:dyDescent="0.25">
      <c r="A90" s="201" t="s">
        <v>1769</v>
      </c>
      <c r="B90" s="60">
        <v>33.380000000000003</v>
      </c>
      <c r="C90" s="60">
        <v>83.84</v>
      </c>
      <c r="D90" s="60">
        <v>69.19</v>
      </c>
      <c r="E90" s="60">
        <v>8.64</v>
      </c>
      <c r="F90" s="60">
        <v>4.5199999999999996</v>
      </c>
      <c r="G90" s="60">
        <v>159.41999999999999</v>
      </c>
      <c r="H90" s="213" t="s">
        <v>42</v>
      </c>
      <c r="I90" s="60">
        <v>8.41</v>
      </c>
      <c r="J90" s="60">
        <v>2.38</v>
      </c>
      <c r="K90" s="60">
        <v>232.46</v>
      </c>
      <c r="L90" s="60">
        <v>12.76</v>
      </c>
      <c r="M90" s="60">
        <v>58.37</v>
      </c>
      <c r="N90" s="60">
        <v>119.7</v>
      </c>
      <c r="O90" s="60">
        <v>0</v>
      </c>
      <c r="P90" s="60">
        <v>1.61</v>
      </c>
      <c r="Q90" s="60">
        <v>9.93</v>
      </c>
      <c r="R90" s="198"/>
      <c r="S90" s="198"/>
      <c r="T90" s="198"/>
      <c r="U90" s="198"/>
    </row>
    <row r="91" spans="1:26" s="12" customFormat="1" x14ac:dyDescent="0.25">
      <c r="A91" s="201" t="s">
        <v>1770</v>
      </c>
      <c r="B91" s="60">
        <v>40.19</v>
      </c>
      <c r="C91" s="60">
        <v>84.59</v>
      </c>
      <c r="D91" s="60">
        <v>75.05</v>
      </c>
      <c r="E91" s="60">
        <v>9.0500000000000007</v>
      </c>
      <c r="F91" s="60">
        <v>4.51</v>
      </c>
      <c r="G91" s="60">
        <v>159.41999999999999</v>
      </c>
      <c r="H91" s="213" t="s">
        <v>42</v>
      </c>
      <c r="I91" s="60">
        <v>8.33</v>
      </c>
      <c r="J91" s="60">
        <v>2.56</v>
      </c>
      <c r="K91" s="60">
        <v>197.39</v>
      </c>
      <c r="L91" s="60">
        <v>12.77</v>
      </c>
      <c r="M91" s="60">
        <v>57.86</v>
      </c>
      <c r="N91" s="60">
        <v>120.4</v>
      </c>
      <c r="O91" s="60">
        <v>0</v>
      </c>
      <c r="P91" s="60">
        <v>1.68</v>
      </c>
      <c r="Q91" s="60">
        <v>9.94</v>
      </c>
      <c r="R91" s="198"/>
      <c r="S91" s="198"/>
      <c r="T91" s="198"/>
      <c r="U91" s="198"/>
    </row>
    <row r="92" spans="1:26" s="12" customFormat="1" x14ac:dyDescent="0.25">
      <c r="A92" s="201" t="s">
        <v>1771</v>
      </c>
      <c r="B92" s="60">
        <v>44.66</v>
      </c>
      <c r="C92" s="60">
        <v>85.04</v>
      </c>
      <c r="D92" s="60">
        <v>78.87</v>
      </c>
      <c r="E92" s="60">
        <v>8.56</v>
      </c>
      <c r="F92" s="60">
        <v>3.46</v>
      </c>
      <c r="G92" s="60">
        <v>159.41999999999999</v>
      </c>
      <c r="H92" s="213" t="s">
        <v>42</v>
      </c>
      <c r="I92" s="60">
        <v>8.49</v>
      </c>
      <c r="J92" s="60">
        <v>2.5299999999999998</v>
      </c>
      <c r="K92" s="60">
        <v>294.38</v>
      </c>
      <c r="L92" s="60">
        <v>12.27</v>
      </c>
      <c r="M92" s="60">
        <v>62.08</v>
      </c>
      <c r="N92" s="60">
        <v>121.1</v>
      </c>
      <c r="O92" s="60">
        <v>0</v>
      </c>
      <c r="P92" s="60">
        <v>1.76</v>
      </c>
      <c r="Q92" s="60">
        <v>9.98</v>
      </c>
      <c r="R92" s="198"/>
      <c r="S92" s="198"/>
      <c r="T92" s="198"/>
      <c r="U92" s="198"/>
    </row>
    <row r="93" spans="1:26" s="12" customFormat="1" x14ac:dyDescent="0.25">
      <c r="A93" s="201" t="s">
        <v>1772</v>
      </c>
      <c r="B93" s="60">
        <v>51.82</v>
      </c>
      <c r="C93" s="60">
        <v>85.14</v>
      </c>
      <c r="D93" s="60">
        <v>84.66</v>
      </c>
      <c r="E93" s="60">
        <v>8.66</v>
      </c>
      <c r="F93" s="60">
        <v>3.99</v>
      </c>
      <c r="G93" s="60">
        <v>169.5</v>
      </c>
      <c r="H93" s="213" t="s">
        <v>42</v>
      </c>
      <c r="I93" s="60">
        <v>8.58</v>
      </c>
      <c r="J93" s="60">
        <v>1.55</v>
      </c>
      <c r="K93" s="60">
        <v>280.54000000000002</v>
      </c>
      <c r="L93" s="60">
        <v>11.91</v>
      </c>
      <c r="M93" s="60">
        <v>64.739999999999995</v>
      </c>
      <c r="N93" s="60">
        <v>121.5</v>
      </c>
      <c r="O93" s="60">
        <v>0</v>
      </c>
      <c r="P93" s="60">
        <v>1.9</v>
      </c>
      <c r="Q93" s="60">
        <v>9.9600000000000009</v>
      </c>
      <c r="R93" s="198"/>
      <c r="S93" s="198"/>
      <c r="T93" s="198"/>
      <c r="U93" s="198"/>
    </row>
    <row r="94" spans="1:26" s="12" customFormat="1" x14ac:dyDescent="0.25">
      <c r="A94" s="201" t="s">
        <v>1773</v>
      </c>
      <c r="B94" s="60">
        <v>61.32</v>
      </c>
      <c r="C94" s="60">
        <v>84.6</v>
      </c>
      <c r="D94" s="60">
        <v>92</v>
      </c>
      <c r="E94" s="60">
        <v>9.17</v>
      </c>
      <c r="F94" s="60">
        <v>4.29</v>
      </c>
      <c r="G94" s="60">
        <v>186.92</v>
      </c>
      <c r="H94" s="213" t="s">
        <v>42</v>
      </c>
      <c r="I94" s="60">
        <v>8.8000000000000007</v>
      </c>
      <c r="J94" s="60">
        <v>2.65</v>
      </c>
      <c r="K94" s="60">
        <v>335.03</v>
      </c>
      <c r="L94" s="60">
        <v>11.54</v>
      </c>
      <c r="M94" s="60">
        <v>71.760000000000005</v>
      </c>
      <c r="N94" s="60">
        <v>122.2</v>
      </c>
      <c r="O94" s="60">
        <v>0</v>
      </c>
      <c r="P94" s="60">
        <v>1.99</v>
      </c>
      <c r="Q94" s="60">
        <v>10.029999999999999</v>
      </c>
      <c r="R94" s="198"/>
      <c r="S94" s="198"/>
      <c r="T94" s="198"/>
      <c r="U94" s="198"/>
    </row>
    <row r="95" spans="1:26" s="12" customFormat="1" x14ac:dyDescent="0.25">
      <c r="A95" s="201" t="s">
        <v>1774</v>
      </c>
      <c r="B95" s="60">
        <v>76.56</v>
      </c>
      <c r="C95" s="60">
        <v>84.14</v>
      </c>
      <c r="D95" s="60">
        <v>103.97</v>
      </c>
      <c r="E95" s="60">
        <v>10.27</v>
      </c>
      <c r="F95" s="60">
        <v>5.04</v>
      </c>
      <c r="G95" s="60">
        <v>186.92</v>
      </c>
      <c r="H95" s="213" t="s">
        <v>42</v>
      </c>
      <c r="I95" s="60">
        <v>9.31</v>
      </c>
      <c r="J95" s="60">
        <v>1.36</v>
      </c>
      <c r="K95" s="60">
        <v>249.38</v>
      </c>
      <c r="L95" s="60">
        <v>11.48</v>
      </c>
      <c r="M95" s="60">
        <v>70.06</v>
      </c>
      <c r="N95" s="60">
        <v>121.5</v>
      </c>
      <c r="O95" s="60">
        <v>0</v>
      </c>
      <c r="P95" s="60">
        <v>2.2200000000000002</v>
      </c>
      <c r="Q95" s="60">
        <v>10.130000000000001</v>
      </c>
      <c r="R95" s="198"/>
      <c r="S95" s="198"/>
      <c r="T95" s="198"/>
      <c r="U95" s="198"/>
    </row>
    <row r="96" spans="1:26" s="12" customFormat="1" x14ac:dyDescent="0.25">
      <c r="A96" s="201" t="s">
        <v>1775</v>
      </c>
      <c r="B96" s="60">
        <v>87.23</v>
      </c>
      <c r="C96" s="60">
        <v>83.08</v>
      </c>
      <c r="D96" s="60">
        <v>111.98</v>
      </c>
      <c r="E96" s="60">
        <v>10.9</v>
      </c>
      <c r="F96" s="60">
        <v>4.51</v>
      </c>
      <c r="G96" s="60">
        <v>186.92</v>
      </c>
      <c r="H96" s="213" t="s">
        <v>42</v>
      </c>
      <c r="I96" s="60">
        <v>9.75</v>
      </c>
      <c r="J96" s="60">
        <v>1.73</v>
      </c>
      <c r="K96" s="60">
        <v>293.05</v>
      </c>
      <c r="L96" s="60">
        <v>11.54</v>
      </c>
      <c r="M96" s="60">
        <v>68.16</v>
      </c>
      <c r="N96" s="60">
        <v>121.8</v>
      </c>
      <c r="O96" s="60">
        <v>0</v>
      </c>
      <c r="P96" s="60">
        <v>2.2200000000000002</v>
      </c>
      <c r="Q96" s="60">
        <v>10.26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1776</v>
      </c>
      <c r="B97" s="60">
        <v>125.88</v>
      </c>
      <c r="C97" s="60">
        <v>87.99</v>
      </c>
      <c r="D97" s="60">
        <v>145.54</v>
      </c>
      <c r="E97" s="60">
        <v>14.54</v>
      </c>
      <c r="F97" s="60">
        <v>6.72</v>
      </c>
      <c r="G97" s="60">
        <v>204.47</v>
      </c>
      <c r="H97" s="213" t="s">
        <v>42</v>
      </c>
      <c r="I97" s="60">
        <v>10.33</v>
      </c>
      <c r="J97" s="60">
        <v>1.59</v>
      </c>
      <c r="K97" s="60">
        <v>298.93</v>
      </c>
      <c r="L97" s="60">
        <v>11.34</v>
      </c>
      <c r="M97" s="60">
        <v>69.67</v>
      </c>
      <c r="N97" s="60">
        <v>121.7</v>
      </c>
      <c r="O97" s="60">
        <v>0</v>
      </c>
      <c r="P97" s="60">
        <v>2.46</v>
      </c>
      <c r="Q97" s="60">
        <v>10.36</v>
      </c>
      <c r="R97" s="198"/>
      <c r="S97" s="198"/>
      <c r="T97" s="198"/>
      <c r="U97" s="198"/>
    </row>
    <row r="98" spans="1:33" s="12" customFormat="1" x14ac:dyDescent="0.25">
      <c r="A98" s="201" t="s">
        <v>1777</v>
      </c>
      <c r="B98" s="60">
        <v>173.49</v>
      </c>
      <c r="C98" s="60">
        <v>93.82</v>
      </c>
      <c r="D98" s="60">
        <v>186.76</v>
      </c>
      <c r="E98" s="60">
        <v>20.91</v>
      </c>
      <c r="F98" s="60">
        <v>8.2799999999999994</v>
      </c>
      <c r="G98" s="60">
        <v>234.79</v>
      </c>
      <c r="H98" s="213" t="s">
        <v>42</v>
      </c>
      <c r="I98" s="60">
        <v>10.45</v>
      </c>
      <c r="J98" s="60">
        <v>1.5</v>
      </c>
      <c r="K98" s="60">
        <v>325.22000000000003</v>
      </c>
      <c r="L98" s="60">
        <v>11.02</v>
      </c>
      <c r="M98" s="60">
        <v>75.13</v>
      </c>
      <c r="N98" s="60">
        <v>122.4</v>
      </c>
      <c r="O98" s="60">
        <v>0</v>
      </c>
      <c r="P98" s="60">
        <v>2.84</v>
      </c>
      <c r="Q98" s="60">
        <v>10.33</v>
      </c>
      <c r="R98" s="198"/>
      <c r="S98" s="198"/>
      <c r="T98" s="198"/>
      <c r="U98" s="198"/>
    </row>
    <row r="99" spans="1:33" s="12" customFormat="1" x14ac:dyDescent="0.25">
      <c r="A99" s="201" t="s">
        <v>1778</v>
      </c>
      <c r="B99" s="60">
        <v>176.48</v>
      </c>
      <c r="C99" s="60">
        <v>90.84</v>
      </c>
      <c r="D99" s="60">
        <v>187.61</v>
      </c>
      <c r="E99" s="60">
        <v>18.93</v>
      </c>
      <c r="F99" s="60">
        <v>7.17</v>
      </c>
      <c r="G99" s="60">
        <v>234.79</v>
      </c>
      <c r="H99" s="213" t="s">
        <v>42</v>
      </c>
      <c r="I99" s="60">
        <v>10.97</v>
      </c>
      <c r="J99" s="60">
        <v>2.82</v>
      </c>
      <c r="K99" s="60">
        <v>314.38</v>
      </c>
      <c r="L99" s="60">
        <v>10.63</v>
      </c>
      <c r="M99" s="60">
        <v>79.900000000000006</v>
      </c>
      <c r="N99" s="60">
        <v>122.6</v>
      </c>
      <c r="O99" s="60">
        <v>0</v>
      </c>
      <c r="P99" s="60">
        <v>2.88</v>
      </c>
      <c r="Q99" s="60">
        <v>10.86</v>
      </c>
      <c r="R99" s="198"/>
      <c r="S99" s="198"/>
      <c r="T99" s="198"/>
      <c r="U99" s="198"/>
    </row>
    <row r="100" spans="1:33" s="12" customFormat="1" x14ac:dyDescent="0.25">
      <c r="A100" s="201" t="s">
        <v>1779</v>
      </c>
      <c r="B100" s="60">
        <v>178.92</v>
      </c>
      <c r="C100" s="60">
        <v>88.35</v>
      </c>
      <c r="D100" s="60">
        <v>188.27</v>
      </c>
      <c r="E100" s="60">
        <v>17.600000000000001</v>
      </c>
      <c r="F100" s="60">
        <v>6.39</v>
      </c>
      <c r="G100" s="60">
        <v>234.79</v>
      </c>
      <c r="H100" s="213" t="s">
        <v>42</v>
      </c>
      <c r="I100" s="60">
        <v>11.65</v>
      </c>
      <c r="J100" s="60">
        <v>2.83</v>
      </c>
      <c r="K100" s="60">
        <v>307.05</v>
      </c>
      <c r="L100" s="60">
        <v>10.31</v>
      </c>
      <c r="M100" s="60">
        <v>82.57</v>
      </c>
      <c r="N100" s="60">
        <v>122.4</v>
      </c>
      <c r="O100" s="60">
        <v>0</v>
      </c>
      <c r="P100" s="60">
        <v>2.9</v>
      </c>
      <c r="Q100" s="60">
        <v>11.14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1780</v>
      </c>
      <c r="B101" s="60">
        <v>186.2</v>
      </c>
      <c r="C101" s="60">
        <v>86.14</v>
      </c>
      <c r="D101" s="60">
        <v>192.95</v>
      </c>
      <c r="E101" s="60">
        <v>16.23</v>
      </c>
      <c r="F101" s="60">
        <v>6.44</v>
      </c>
      <c r="G101" s="60">
        <v>239.48</v>
      </c>
      <c r="H101" s="213" t="s">
        <v>42</v>
      </c>
      <c r="I101" s="60">
        <v>11.87</v>
      </c>
      <c r="J101" s="60">
        <v>2.69</v>
      </c>
      <c r="K101" s="60">
        <v>303.39999999999998</v>
      </c>
      <c r="L101" s="60">
        <v>10.1</v>
      </c>
      <c r="M101" s="60">
        <v>86.22</v>
      </c>
      <c r="N101" s="60">
        <v>122.9</v>
      </c>
      <c r="O101" s="60">
        <v>0</v>
      </c>
      <c r="P101" s="60">
        <v>2.94</v>
      </c>
      <c r="Q101" s="60">
        <v>11.33</v>
      </c>
      <c r="R101" s="198"/>
      <c r="S101" s="198"/>
      <c r="T101" s="198"/>
      <c r="U101" s="198"/>
    </row>
    <row r="102" spans="1:33" s="12" customFormat="1" x14ac:dyDescent="0.25">
      <c r="A102" s="201" t="s">
        <v>1781</v>
      </c>
      <c r="B102" s="60">
        <v>198</v>
      </c>
      <c r="C102" s="60">
        <v>84.35</v>
      </c>
      <c r="D102" s="60">
        <v>201.47</v>
      </c>
      <c r="E102" s="60">
        <v>15.91</v>
      </c>
      <c r="F102" s="60">
        <v>6.37</v>
      </c>
      <c r="G102" s="60">
        <v>247.57</v>
      </c>
      <c r="H102" s="213" t="s">
        <v>42</v>
      </c>
      <c r="I102" s="60">
        <v>11.9</v>
      </c>
      <c r="J102" s="60">
        <v>2.82</v>
      </c>
      <c r="K102" s="60">
        <v>306.44</v>
      </c>
      <c r="L102" s="60">
        <v>9.9700000000000006</v>
      </c>
      <c r="M102" s="60">
        <v>86.21</v>
      </c>
      <c r="N102" s="60">
        <v>123.5</v>
      </c>
      <c r="O102" s="60">
        <v>0</v>
      </c>
      <c r="P102" s="60">
        <v>2.98</v>
      </c>
      <c r="Q102" s="60">
        <v>11.49</v>
      </c>
      <c r="R102" s="198"/>
      <c r="S102" s="198"/>
      <c r="T102" s="198"/>
      <c r="U102" s="198"/>
    </row>
    <row r="103" spans="1:33" s="12" customFormat="1" x14ac:dyDescent="0.25">
      <c r="A103" s="201" t="s">
        <v>1782</v>
      </c>
      <c r="B103" s="60">
        <v>205.72</v>
      </c>
      <c r="C103" s="60">
        <v>82.92</v>
      </c>
      <c r="D103" s="60">
        <v>206.92</v>
      </c>
      <c r="E103" s="60">
        <v>15.11</v>
      </c>
      <c r="F103" s="60">
        <v>6.42</v>
      </c>
      <c r="G103" s="60">
        <v>247.57</v>
      </c>
      <c r="H103" s="213" t="s">
        <v>42</v>
      </c>
      <c r="I103" s="60">
        <v>12.01</v>
      </c>
      <c r="J103" s="60">
        <v>2.78</v>
      </c>
      <c r="K103" s="60">
        <v>336.89</v>
      </c>
      <c r="L103" s="60">
        <v>9.99</v>
      </c>
      <c r="M103" s="60">
        <v>89.04</v>
      </c>
      <c r="N103" s="60">
        <v>122.8</v>
      </c>
      <c r="O103" s="60">
        <v>0</v>
      </c>
      <c r="P103" s="60">
        <v>3.03</v>
      </c>
      <c r="Q103" s="60">
        <v>11.51</v>
      </c>
      <c r="R103" s="198"/>
      <c r="S103" s="198"/>
      <c r="T103" s="198"/>
      <c r="U103" s="198"/>
    </row>
    <row r="104" spans="1:33" s="12" customFormat="1" x14ac:dyDescent="0.25">
      <c r="A104" s="201" t="s">
        <v>1783</v>
      </c>
      <c r="B104" s="60">
        <v>210.96</v>
      </c>
      <c r="C104" s="60">
        <v>80.900000000000006</v>
      </c>
      <c r="D104" s="60">
        <v>210.07</v>
      </c>
      <c r="E104" s="60">
        <v>12.83</v>
      </c>
      <c r="F104" s="60">
        <v>6.06</v>
      </c>
      <c r="G104" s="60">
        <v>247.57</v>
      </c>
      <c r="H104" s="213" t="s">
        <v>42</v>
      </c>
      <c r="I104" s="60">
        <v>12.12</v>
      </c>
      <c r="J104" s="60">
        <v>2.74</v>
      </c>
      <c r="K104" s="60">
        <v>267.26</v>
      </c>
      <c r="L104" s="60">
        <v>9.83</v>
      </c>
      <c r="M104" s="60">
        <v>83.23</v>
      </c>
      <c r="N104" s="60">
        <v>124.2</v>
      </c>
      <c r="O104" s="60">
        <v>0</v>
      </c>
      <c r="P104" s="60">
        <v>3.05</v>
      </c>
      <c r="Q104" s="60">
        <v>11.53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6.03</v>
      </c>
      <c r="C106" s="67">
        <f>MIN(C9:C104)</f>
        <v>53.84</v>
      </c>
      <c r="D106" s="67">
        <f t="shared" ref="D106:Q106" si="0">MIN(D9:D104)</f>
        <v>40.159999999999997</v>
      </c>
      <c r="E106" s="67">
        <f t="shared" si="0"/>
        <v>5.53</v>
      </c>
      <c r="F106" s="67">
        <f t="shared" si="0"/>
        <v>3.14</v>
      </c>
      <c r="G106" s="67">
        <f t="shared" si="0"/>
        <v>0</v>
      </c>
      <c r="H106" s="67">
        <f t="shared" si="0"/>
        <v>0.47</v>
      </c>
      <c r="I106" s="67">
        <f t="shared" si="0"/>
        <v>5.65</v>
      </c>
      <c r="J106" s="67">
        <f t="shared" si="0"/>
        <v>0.28999999999999998</v>
      </c>
      <c r="K106" s="67">
        <f t="shared" si="0"/>
        <v>0.56000000000000005</v>
      </c>
      <c r="L106" s="67">
        <f t="shared" si="0"/>
        <v>4.4000000000000004</v>
      </c>
      <c r="M106" s="67">
        <f t="shared" si="0"/>
        <v>23.55</v>
      </c>
      <c r="N106" s="67">
        <f t="shared" si="0"/>
        <v>98.1</v>
      </c>
      <c r="O106" s="67">
        <f t="shared" si="0"/>
        <v>0</v>
      </c>
      <c r="P106" s="67">
        <f t="shared" si="0"/>
        <v>0.78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210.96</v>
      </c>
      <c r="C107" s="66">
        <f t="shared" ref="C107:Q107" si="1">MAX(C9:C104)</f>
        <v>93.82</v>
      </c>
      <c r="D107" s="66">
        <f t="shared" si="1"/>
        <v>210.07</v>
      </c>
      <c r="E107" s="66">
        <f t="shared" si="1"/>
        <v>20.91</v>
      </c>
      <c r="F107" s="66">
        <f t="shared" si="1"/>
        <v>8.2799999999999994</v>
      </c>
      <c r="G107" s="66">
        <f t="shared" si="1"/>
        <v>253.21</v>
      </c>
      <c r="H107" s="66">
        <f t="shared" si="1"/>
        <v>113.9</v>
      </c>
      <c r="I107" s="66">
        <f t="shared" si="1"/>
        <v>13.63</v>
      </c>
      <c r="J107" s="66">
        <f t="shared" si="1"/>
        <v>4.22</v>
      </c>
      <c r="K107" s="66">
        <f t="shared" si="1"/>
        <v>356.59</v>
      </c>
      <c r="L107" s="66">
        <f t="shared" si="1"/>
        <v>24.67</v>
      </c>
      <c r="M107" s="66">
        <f t="shared" si="1"/>
        <v>98.51</v>
      </c>
      <c r="N107" s="66">
        <f t="shared" si="1"/>
        <v>829</v>
      </c>
      <c r="O107" s="66">
        <f t="shared" si="1"/>
        <v>0</v>
      </c>
      <c r="P107" s="66">
        <f t="shared" si="1"/>
        <v>3.15</v>
      </c>
      <c r="Q107" s="66">
        <f t="shared" si="1"/>
        <v>11.53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70.488958333333343</v>
      </c>
      <c r="C108" s="67">
        <f t="shared" ref="C108:Q108" si="2">AVERAGE(C9:C104)</f>
        <v>69.142291666666679</v>
      </c>
      <c r="D108" s="67">
        <f t="shared" si="2"/>
        <v>91.274999999999991</v>
      </c>
      <c r="E108" s="67">
        <f t="shared" si="2"/>
        <v>9.0426041666666652</v>
      </c>
      <c r="F108" s="67">
        <f t="shared" si="2"/>
        <v>4.5405208333333329</v>
      </c>
      <c r="G108" s="67">
        <f t="shared" si="2"/>
        <v>143.25135416666669</v>
      </c>
      <c r="H108" s="67">
        <f t="shared" si="2"/>
        <v>38.810000000000009</v>
      </c>
      <c r="I108" s="67">
        <f t="shared" si="2"/>
        <v>9.1831250000000022</v>
      </c>
      <c r="J108" s="67">
        <f t="shared" si="2"/>
        <v>2.0473958333333333</v>
      </c>
      <c r="K108" s="67">
        <f t="shared" si="2"/>
        <v>224.89520833333333</v>
      </c>
      <c r="L108" s="67">
        <f t="shared" si="2"/>
        <v>14.306458333333332</v>
      </c>
      <c r="M108" s="67">
        <f t="shared" si="2"/>
        <v>56.216354166666669</v>
      </c>
      <c r="N108" s="67">
        <f t="shared" si="2"/>
        <v>269.85000000000008</v>
      </c>
      <c r="O108" s="67">
        <f t="shared" si="2"/>
        <v>0</v>
      </c>
      <c r="P108" s="67">
        <f t="shared" si="2"/>
        <v>1.6689583333333333</v>
      </c>
      <c r="Q108" s="67">
        <f t="shared" si="2"/>
        <v>9.708333333333341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62.772383409454036</v>
      </c>
      <c r="C109" s="67">
        <f t="shared" ref="C109:Q109" si="3">STDEV(C9:C104)</f>
        <v>10.885125677215234</v>
      </c>
      <c r="D109" s="67">
        <f t="shared" si="3"/>
        <v>50.376209088271651</v>
      </c>
      <c r="E109" s="67">
        <f t="shared" si="3"/>
        <v>3.3150032927797208</v>
      </c>
      <c r="F109" s="67">
        <f t="shared" si="3"/>
        <v>0.94192788839158292</v>
      </c>
      <c r="G109" s="67">
        <f t="shared" si="3"/>
        <v>64.538113058055089</v>
      </c>
      <c r="H109" s="67">
        <f t="shared" si="3"/>
        <v>42.196732693420699</v>
      </c>
      <c r="I109" s="67">
        <f t="shared" si="3"/>
        <v>2.3606115677264983</v>
      </c>
      <c r="J109" s="67">
        <f t="shared" si="3"/>
        <v>0.85101950598174003</v>
      </c>
      <c r="K109" s="67">
        <f t="shared" si="3"/>
        <v>123.69145231905979</v>
      </c>
      <c r="L109" s="67">
        <f t="shared" si="3"/>
        <v>5.6952549001070176</v>
      </c>
      <c r="M109" s="67">
        <f t="shared" si="3"/>
        <v>24.676768752040179</v>
      </c>
      <c r="N109" s="67">
        <f t="shared" si="3"/>
        <v>255.79419235413698</v>
      </c>
      <c r="O109" s="67">
        <f t="shared" si="3"/>
        <v>0</v>
      </c>
      <c r="P109" s="67">
        <f t="shared" si="3"/>
        <v>0.77702601618257416</v>
      </c>
      <c r="Q109" s="67">
        <f t="shared" si="3"/>
        <v>1.4284151443334736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COUNT(H9:H104)+79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3" sqref="G12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247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17/12/2024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231</v>
      </c>
      <c r="C7" s="198" t="s">
        <v>232</v>
      </c>
      <c r="D7" s="198" t="s">
        <v>233</v>
      </c>
      <c r="E7" s="198" t="s">
        <v>234</v>
      </c>
      <c r="F7" s="198" t="s">
        <v>235</v>
      </c>
      <c r="G7" s="198" t="s">
        <v>236</v>
      </c>
      <c r="H7" s="198" t="s">
        <v>237</v>
      </c>
      <c r="I7" s="198" t="s">
        <v>238</v>
      </c>
      <c r="J7" s="198" t="s">
        <v>239</v>
      </c>
      <c r="K7" s="198" t="s">
        <v>240</v>
      </c>
      <c r="L7" s="198" t="s">
        <v>241</v>
      </c>
      <c r="M7" s="198" t="s">
        <v>242</v>
      </c>
      <c r="N7" s="198" t="s">
        <v>243</v>
      </c>
      <c r="O7" s="198" t="s">
        <v>244</v>
      </c>
      <c r="P7" s="198" t="s">
        <v>245</v>
      </c>
      <c r="Q7" s="198" t="s">
        <v>246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1784</v>
      </c>
      <c r="B9" s="64">
        <v>210.61</v>
      </c>
      <c r="C9" s="64">
        <v>79.34</v>
      </c>
      <c r="D9" s="64">
        <v>208.97</v>
      </c>
      <c r="E9" s="64">
        <v>13.68</v>
      </c>
      <c r="F9" s="64">
        <v>5.7</v>
      </c>
      <c r="G9" s="64">
        <v>248.1</v>
      </c>
      <c r="H9" s="64">
        <v>167.76</v>
      </c>
      <c r="I9" s="64">
        <v>12.22</v>
      </c>
      <c r="J9" s="64">
        <v>2.87</v>
      </c>
      <c r="K9" s="64">
        <v>295.29000000000002</v>
      </c>
      <c r="L9" s="64">
        <v>9.76</v>
      </c>
      <c r="M9" s="64">
        <v>83.03</v>
      </c>
      <c r="N9" s="64">
        <v>125.1</v>
      </c>
      <c r="O9" s="64">
        <v>0</v>
      </c>
      <c r="P9" s="64">
        <v>3.05</v>
      </c>
      <c r="Q9" s="64">
        <v>11.51</v>
      </c>
      <c r="R9" s="198"/>
      <c r="S9" s="198"/>
      <c r="T9" s="198"/>
      <c r="U9" s="198"/>
    </row>
    <row r="10" spans="1:21" s="12" customFormat="1" x14ac:dyDescent="0.25">
      <c r="A10" s="215" t="s">
        <v>1785</v>
      </c>
      <c r="B10" s="64">
        <v>208.98</v>
      </c>
      <c r="C10" s="64">
        <v>78.09</v>
      </c>
      <c r="D10" s="64">
        <v>207.01</v>
      </c>
      <c r="E10" s="64">
        <v>13.05</v>
      </c>
      <c r="F10" s="64">
        <v>5.68</v>
      </c>
      <c r="G10" s="64">
        <v>249.02</v>
      </c>
      <c r="H10" s="64">
        <v>165.95</v>
      </c>
      <c r="I10" s="64">
        <v>12.24</v>
      </c>
      <c r="J10" s="64">
        <v>2.62</v>
      </c>
      <c r="K10" s="64">
        <v>305.82</v>
      </c>
      <c r="L10" s="64">
        <v>9.7200000000000006</v>
      </c>
      <c r="M10" s="64">
        <v>87.89</v>
      </c>
      <c r="N10" s="64">
        <v>123.9</v>
      </c>
      <c r="O10" s="64">
        <v>0</v>
      </c>
      <c r="P10" s="64">
        <v>3.04</v>
      </c>
      <c r="Q10" s="64">
        <v>11.47</v>
      </c>
      <c r="R10" s="198"/>
      <c r="S10" s="198"/>
      <c r="T10" s="198"/>
      <c r="U10" s="198"/>
    </row>
    <row r="11" spans="1:21" s="12" customFormat="1" x14ac:dyDescent="0.25">
      <c r="A11" s="215" t="s">
        <v>1786</v>
      </c>
      <c r="B11" s="64">
        <v>206.34</v>
      </c>
      <c r="C11" s="64">
        <v>76.599999999999994</v>
      </c>
      <c r="D11" s="64">
        <v>204.11</v>
      </c>
      <c r="E11" s="64">
        <v>12.74</v>
      </c>
      <c r="F11" s="64">
        <v>5.34</v>
      </c>
      <c r="G11" s="64">
        <v>249.02</v>
      </c>
      <c r="H11" s="64">
        <v>165.95</v>
      </c>
      <c r="I11" s="64">
        <v>12.2</v>
      </c>
      <c r="J11" s="64">
        <v>2.14</v>
      </c>
      <c r="K11" s="64">
        <v>161.76</v>
      </c>
      <c r="L11" s="64">
        <v>9.57</v>
      </c>
      <c r="M11" s="64">
        <v>83.66</v>
      </c>
      <c r="N11" s="64">
        <v>122.8</v>
      </c>
      <c r="O11" s="64">
        <v>0</v>
      </c>
      <c r="P11" s="64">
        <v>3.01</v>
      </c>
      <c r="Q11" s="64">
        <v>11.46</v>
      </c>
      <c r="R11" s="198"/>
      <c r="S11" s="198"/>
      <c r="T11" s="198"/>
      <c r="U11" s="198"/>
    </row>
    <row r="12" spans="1:21" s="12" customFormat="1" x14ac:dyDescent="0.25">
      <c r="A12" s="215" t="s">
        <v>1787</v>
      </c>
      <c r="B12" s="64">
        <v>200.51</v>
      </c>
      <c r="C12" s="64">
        <v>74.77</v>
      </c>
      <c r="D12" s="64">
        <v>198.48</v>
      </c>
      <c r="E12" s="64">
        <v>12.62</v>
      </c>
      <c r="F12" s="64">
        <v>5.19</v>
      </c>
      <c r="G12" s="64">
        <v>249.02</v>
      </c>
      <c r="H12" s="64">
        <v>165.95</v>
      </c>
      <c r="I12" s="64">
        <v>12.16</v>
      </c>
      <c r="J12" s="64">
        <v>2.14</v>
      </c>
      <c r="K12" s="64">
        <v>321.73</v>
      </c>
      <c r="L12" s="64">
        <v>9.4700000000000006</v>
      </c>
      <c r="M12" s="64">
        <v>87.53</v>
      </c>
      <c r="N12" s="64">
        <v>122</v>
      </c>
      <c r="O12" s="64">
        <v>0</v>
      </c>
      <c r="P12" s="64">
        <v>2.96</v>
      </c>
      <c r="Q12" s="64">
        <v>11.37</v>
      </c>
      <c r="R12" s="198"/>
      <c r="S12" s="198"/>
      <c r="T12" s="198"/>
      <c r="U12" s="198"/>
    </row>
    <row r="13" spans="1:21" s="12" customFormat="1" x14ac:dyDescent="0.25">
      <c r="A13" s="215" t="s">
        <v>1788</v>
      </c>
      <c r="B13" s="64">
        <v>194.46</v>
      </c>
      <c r="C13" s="64">
        <v>72.25</v>
      </c>
      <c r="D13" s="64">
        <v>192.31</v>
      </c>
      <c r="E13" s="64">
        <v>12.41</v>
      </c>
      <c r="F13" s="64">
        <v>5.38</v>
      </c>
      <c r="G13" s="64">
        <v>244.44</v>
      </c>
      <c r="H13" s="64">
        <v>154.43</v>
      </c>
      <c r="I13" s="64">
        <v>12.05</v>
      </c>
      <c r="J13" s="64">
        <v>1.52</v>
      </c>
      <c r="K13" s="64">
        <v>230.24</v>
      </c>
      <c r="L13" s="64">
        <v>9.1999999999999993</v>
      </c>
      <c r="M13" s="64">
        <v>88.44</v>
      </c>
      <c r="N13" s="64">
        <v>120.7</v>
      </c>
      <c r="O13" s="64">
        <v>0</v>
      </c>
      <c r="P13" s="64">
        <v>2.64</v>
      </c>
      <c r="Q13" s="64">
        <v>11.2</v>
      </c>
      <c r="R13" s="198"/>
      <c r="S13" s="198"/>
      <c r="T13" s="198"/>
      <c r="U13" s="198"/>
    </row>
    <row r="14" spans="1:21" s="12" customFormat="1" x14ac:dyDescent="0.25">
      <c r="A14" s="215" t="s">
        <v>1789</v>
      </c>
      <c r="B14" s="64">
        <v>187.89</v>
      </c>
      <c r="C14" s="64">
        <v>70.17</v>
      </c>
      <c r="D14" s="64">
        <v>185.96</v>
      </c>
      <c r="E14" s="64">
        <v>12.18</v>
      </c>
      <c r="F14" s="64">
        <v>5.86</v>
      </c>
      <c r="G14" s="64">
        <v>236.54</v>
      </c>
      <c r="H14" s="64">
        <v>151.19999999999999</v>
      </c>
      <c r="I14" s="64">
        <v>11.93</v>
      </c>
      <c r="J14" s="64">
        <v>2.92</v>
      </c>
      <c r="K14" s="64">
        <v>319.14</v>
      </c>
      <c r="L14" s="64">
        <v>9.1300000000000008</v>
      </c>
      <c r="M14" s="64">
        <v>91.15</v>
      </c>
      <c r="N14" s="64">
        <v>120.9</v>
      </c>
      <c r="O14" s="64">
        <v>0</v>
      </c>
      <c r="P14" s="64">
        <v>2.72</v>
      </c>
      <c r="Q14" s="64">
        <v>11.16</v>
      </c>
      <c r="R14" s="198"/>
      <c r="S14" s="198"/>
      <c r="T14" s="198"/>
      <c r="U14" s="198"/>
    </row>
    <row r="15" spans="1:21" s="12" customFormat="1" x14ac:dyDescent="0.25">
      <c r="A15" s="215" t="s">
        <v>1790</v>
      </c>
      <c r="B15" s="64">
        <v>184.07</v>
      </c>
      <c r="C15" s="64">
        <v>68.930000000000007</v>
      </c>
      <c r="D15" s="64">
        <v>182.25</v>
      </c>
      <c r="E15" s="64">
        <v>12</v>
      </c>
      <c r="F15" s="64">
        <v>6.47</v>
      </c>
      <c r="G15" s="64">
        <v>236.54</v>
      </c>
      <c r="H15" s="64">
        <v>151.19999999999999</v>
      </c>
      <c r="I15" s="64">
        <v>11.84</v>
      </c>
      <c r="J15" s="64">
        <v>2.98</v>
      </c>
      <c r="K15" s="64">
        <v>311.13</v>
      </c>
      <c r="L15" s="64">
        <v>8.8800000000000008</v>
      </c>
      <c r="M15" s="64">
        <v>94.57</v>
      </c>
      <c r="N15" s="64">
        <v>121.5</v>
      </c>
      <c r="O15" s="64">
        <v>0</v>
      </c>
      <c r="P15" s="64">
        <v>2.68</v>
      </c>
      <c r="Q15" s="64">
        <v>11.15</v>
      </c>
      <c r="R15" s="198"/>
      <c r="S15" s="198"/>
      <c r="T15" s="198"/>
      <c r="U15" s="198"/>
    </row>
    <row r="16" spans="1:21" s="12" customFormat="1" x14ac:dyDescent="0.25">
      <c r="A16" s="215" t="s">
        <v>1791</v>
      </c>
      <c r="B16" s="64">
        <v>180.14</v>
      </c>
      <c r="C16" s="64">
        <v>67.34</v>
      </c>
      <c r="D16" s="64">
        <v>178.26</v>
      </c>
      <c r="E16" s="64">
        <v>12.62</v>
      </c>
      <c r="F16" s="64">
        <v>5.82</v>
      </c>
      <c r="G16" s="64">
        <v>236.54</v>
      </c>
      <c r="H16" s="64">
        <v>151.19999999999999</v>
      </c>
      <c r="I16" s="64">
        <v>11.74</v>
      </c>
      <c r="J16" s="64">
        <v>2.79</v>
      </c>
      <c r="K16" s="64">
        <v>303.92</v>
      </c>
      <c r="L16" s="64">
        <v>8.76</v>
      </c>
      <c r="M16" s="64">
        <v>94.51</v>
      </c>
      <c r="N16" s="64">
        <v>121.5</v>
      </c>
      <c r="O16" s="64">
        <v>0</v>
      </c>
      <c r="P16" s="64">
        <v>2.65</v>
      </c>
      <c r="Q16" s="64">
        <v>11.2</v>
      </c>
      <c r="R16" s="198"/>
      <c r="S16" s="198"/>
      <c r="T16" s="198"/>
      <c r="U16" s="198"/>
    </row>
    <row r="17" spans="1:21" s="12" customFormat="1" x14ac:dyDescent="0.25">
      <c r="A17" s="215" t="s">
        <v>1792</v>
      </c>
      <c r="B17" s="64">
        <v>176.02</v>
      </c>
      <c r="C17" s="64">
        <v>66.05</v>
      </c>
      <c r="D17" s="64">
        <v>174.29</v>
      </c>
      <c r="E17" s="64">
        <v>12.95</v>
      </c>
      <c r="F17" s="64">
        <v>5.53</v>
      </c>
      <c r="G17" s="64">
        <v>235.09</v>
      </c>
      <c r="H17" s="64">
        <v>183.94</v>
      </c>
      <c r="I17" s="64">
        <v>11.66</v>
      </c>
      <c r="J17" s="64">
        <v>2.0099999999999998</v>
      </c>
      <c r="K17" s="64">
        <v>298.72000000000003</v>
      </c>
      <c r="L17" s="64">
        <v>8.7899999999999991</v>
      </c>
      <c r="M17" s="64">
        <v>93.42</v>
      </c>
      <c r="N17" s="64">
        <v>121.3</v>
      </c>
      <c r="O17" s="64">
        <v>0</v>
      </c>
      <c r="P17" s="64">
        <v>2.6</v>
      </c>
      <c r="Q17" s="64">
        <v>11.18</v>
      </c>
      <c r="R17" s="198"/>
      <c r="S17" s="198"/>
      <c r="T17" s="198"/>
      <c r="U17" s="198"/>
    </row>
    <row r="18" spans="1:21" s="12" customFormat="1" x14ac:dyDescent="0.25">
      <c r="A18" s="215" t="s">
        <v>1793</v>
      </c>
      <c r="B18" s="64">
        <v>171.3</v>
      </c>
      <c r="C18" s="64">
        <v>64.83</v>
      </c>
      <c r="D18" s="64">
        <v>169.87</v>
      </c>
      <c r="E18" s="64">
        <v>12.92</v>
      </c>
      <c r="F18" s="64">
        <v>5.28</v>
      </c>
      <c r="G18" s="64">
        <v>232.6</v>
      </c>
      <c r="H18" s="64">
        <v>111.01</v>
      </c>
      <c r="I18" s="64">
        <v>11.55</v>
      </c>
      <c r="J18" s="64">
        <v>2.5499999999999998</v>
      </c>
      <c r="K18" s="64">
        <v>293.14</v>
      </c>
      <c r="L18" s="64">
        <v>8.89</v>
      </c>
      <c r="M18" s="64">
        <v>93.2</v>
      </c>
      <c r="N18" s="64">
        <v>121.3</v>
      </c>
      <c r="O18" s="64">
        <v>0</v>
      </c>
      <c r="P18" s="64">
        <v>2.54</v>
      </c>
      <c r="Q18" s="64">
        <v>11.14</v>
      </c>
      <c r="R18" s="198"/>
      <c r="S18" s="198"/>
      <c r="T18" s="198"/>
      <c r="U18" s="198"/>
    </row>
    <row r="19" spans="1:21" s="12" customFormat="1" x14ac:dyDescent="0.25">
      <c r="A19" s="215" t="s">
        <v>1794</v>
      </c>
      <c r="B19" s="64">
        <v>165.8</v>
      </c>
      <c r="C19" s="64">
        <v>63.55</v>
      </c>
      <c r="D19" s="64">
        <v>164.79</v>
      </c>
      <c r="E19" s="64">
        <v>12.41</v>
      </c>
      <c r="F19" s="64">
        <v>5.56</v>
      </c>
      <c r="G19" s="64">
        <v>232.6</v>
      </c>
      <c r="H19" s="64">
        <v>111.01</v>
      </c>
      <c r="I19" s="64">
        <v>11.4</v>
      </c>
      <c r="J19" s="64">
        <v>3.01</v>
      </c>
      <c r="K19" s="64">
        <v>303.64</v>
      </c>
      <c r="L19" s="64">
        <v>8.75</v>
      </c>
      <c r="M19" s="64">
        <v>96.32</v>
      </c>
      <c r="N19" s="64">
        <v>121.5</v>
      </c>
      <c r="O19" s="64">
        <v>0</v>
      </c>
      <c r="P19" s="64">
        <v>2.4900000000000002</v>
      </c>
      <c r="Q19" s="64">
        <v>11.12</v>
      </c>
      <c r="R19" s="198"/>
      <c r="S19" s="198"/>
      <c r="T19" s="198"/>
      <c r="U19" s="198"/>
    </row>
    <row r="20" spans="1:21" s="12" customFormat="1" x14ac:dyDescent="0.25">
      <c r="A20" s="215" t="s">
        <v>1795</v>
      </c>
      <c r="B20" s="64">
        <v>158.55000000000001</v>
      </c>
      <c r="C20" s="64">
        <v>63.04</v>
      </c>
      <c r="D20" s="64">
        <v>158.71</v>
      </c>
      <c r="E20" s="64">
        <v>12.19</v>
      </c>
      <c r="F20" s="64">
        <v>5.68</v>
      </c>
      <c r="G20" s="64">
        <v>232.6</v>
      </c>
      <c r="H20" s="64">
        <v>111.01</v>
      </c>
      <c r="I20" s="64">
        <v>11.23</v>
      </c>
      <c r="J20" s="64">
        <v>2.54</v>
      </c>
      <c r="K20" s="64">
        <v>333.19</v>
      </c>
      <c r="L20" s="64">
        <v>8.7899999999999991</v>
      </c>
      <c r="M20" s="64">
        <v>90.71</v>
      </c>
      <c r="N20" s="64">
        <v>121</v>
      </c>
      <c r="O20" s="64">
        <v>0</v>
      </c>
      <c r="P20" s="64">
        <v>2.4300000000000002</v>
      </c>
      <c r="Q20" s="64">
        <v>11.09</v>
      </c>
      <c r="R20" s="198"/>
      <c r="S20" s="198"/>
      <c r="T20" s="198"/>
      <c r="U20" s="198"/>
    </row>
    <row r="21" spans="1:21" s="12" customFormat="1" x14ac:dyDescent="0.25">
      <c r="A21" s="215" t="s">
        <v>1796</v>
      </c>
      <c r="B21" s="64">
        <v>150.86000000000001</v>
      </c>
      <c r="C21" s="64">
        <v>62.81</v>
      </c>
      <c r="D21" s="64">
        <v>152.41999999999999</v>
      </c>
      <c r="E21" s="64">
        <v>11.2</v>
      </c>
      <c r="F21" s="64">
        <v>5.64</v>
      </c>
      <c r="G21" s="64">
        <v>224.78</v>
      </c>
      <c r="H21" s="64">
        <v>15.49</v>
      </c>
      <c r="I21" s="64">
        <v>11.07</v>
      </c>
      <c r="J21" s="64">
        <v>3.49</v>
      </c>
      <c r="K21" s="64">
        <v>350.91</v>
      </c>
      <c r="L21" s="64">
        <v>9</v>
      </c>
      <c r="M21" s="64">
        <v>81.099999999999994</v>
      </c>
      <c r="N21" s="64">
        <v>120.7</v>
      </c>
      <c r="O21" s="64">
        <v>0</v>
      </c>
      <c r="P21" s="64">
        <v>2.37</v>
      </c>
      <c r="Q21" s="64">
        <v>10.98</v>
      </c>
      <c r="R21" s="198"/>
      <c r="S21" s="198"/>
      <c r="T21" s="198"/>
      <c r="U21" s="198"/>
    </row>
    <row r="22" spans="1:21" s="12" customFormat="1" x14ac:dyDescent="0.25">
      <c r="A22" s="215" t="s">
        <v>1797</v>
      </c>
      <c r="B22" s="64">
        <v>142.41999999999999</v>
      </c>
      <c r="C22" s="64">
        <v>62.59</v>
      </c>
      <c r="D22" s="64">
        <v>145.53</v>
      </c>
      <c r="E22" s="64">
        <v>10.86</v>
      </c>
      <c r="F22" s="64">
        <v>5.39</v>
      </c>
      <c r="G22" s="64">
        <v>211.28</v>
      </c>
      <c r="H22" s="64">
        <v>31.33</v>
      </c>
      <c r="I22" s="64">
        <v>10.86</v>
      </c>
      <c r="J22" s="64">
        <v>2.79</v>
      </c>
      <c r="K22" s="64">
        <v>346.68</v>
      </c>
      <c r="L22" s="64">
        <v>9.36</v>
      </c>
      <c r="M22" s="64">
        <v>76.17</v>
      </c>
      <c r="N22" s="64">
        <v>120.9</v>
      </c>
      <c r="O22" s="64">
        <v>0</v>
      </c>
      <c r="P22" s="64">
        <v>2.29</v>
      </c>
      <c r="Q22" s="64">
        <v>10.85</v>
      </c>
      <c r="R22" s="198"/>
      <c r="S22" s="198"/>
      <c r="T22" s="198"/>
      <c r="U22" s="198"/>
    </row>
    <row r="23" spans="1:21" s="12" customFormat="1" x14ac:dyDescent="0.25">
      <c r="A23" s="215" t="s">
        <v>1798</v>
      </c>
      <c r="B23" s="64">
        <v>132.81</v>
      </c>
      <c r="C23" s="64">
        <v>62.69</v>
      </c>
      <c r="D23" s="64">
        <v>137.88</v>
      </c>
      <c r="E23" s="64">
        <v>10.36</v>
      </c>
      <c r="F23" s="64">
        <v>5.16</v>
      </c>
      <c r="G23" s="64">
        <v>211.28</v>
      </c>
      <c r="H23" s="64">
        <v>31.33</v>
      </c>
      <c r="I23" s="64">
        <v>10.65</v>
      </c>
      <c r="J23" s="64">
        <v>1.23</v>
      </c>
      <c r="K23" s="64">
        <v>136</v>
      </c>
      <c r="L23" s="64">
        <v>9.07</v>
      </c>
      <c r="M23" s="64">
        <v>76.98</v>
      </c>
      <c r="N23" s="64">
        <v>121.4</v>
      </c>
      <c r="O23" s="64">
        <v>0</v>
      </c>
      <c r="P23" s="64">
        <v>2.21</v>
      </c>
      <c r="Q23" s="64">
        <v>10.77</v>
      </c>
      <c r="R23" s="198"/>
      <c r="S23" s="198"/>
      <c r="T23" s="198"/>
      <c r="U23" s="198"/>
    </row>
    <row r="24" spans="1:21" s="12" customFormat="1" x14ac:dyDescent="0.25">
      <c r="A24" s="215" t="s">
        <v>1799</v>
      </c>
      <c r="B24" s="64">
        <v>123.28</v>
      </c>
      <c r="C24" s="64">
        <v>62.7</v>
      </c>
      <c r="D24" s="64">
        <v>130.25</v>
      </c>
      <c r="E24" s="64">
        <v>9.7200000000000006</v>
      </c>
      <c r="F24" s="64">
        <v>4.92</v>
      </c>
      <c r="G24" s="64">
        <v>211.28</v>
      </c>
      <c r="H24" s="64">
        <v>31.33</v>
      </c>
      <c r="I24" s="64">
        <v>10.37</v>
      </c>
      <c r="J24" s="64">
        <v>1</v>
      </c>
      <c r="K24" s="64">
        <v>159.30000000000001</v>
      </c>
      <c r="L24" s="64">
        <v>9.01</v>
      </c>
      <c r="M24" s="64">
        <v>78.72</v>
      </c>
      <c r="N24" s="64">
        <v>121.9</v>
      </c>
      <c r="O24" s="64">
        <v>0</v>
      </c>
      <c r="P24" s="64">
        <v>2.13</v>
      </c>
      <c r="Q24" s="64">
        <v>10.63</v>
      </c>
      <c r="R24" s="198"/>
      <c r="S24" s="198"/>
      <c r="T24" s="198"/>
      <c r="U24" s="198"/>
    </row>
    <row r="25" spans="1:21" s="12" customFormat="1" x14ac:dyDescent="0.25">
      <c r="A25" s="215" t="s">
        <v>1800</v>
      </c>
      <c r="B25" s="64">
        <v>114.96</v>
      </c>
      <c r="C25" s="64">
        <v>62.74</v>
      </c>
      <c r="D25" s="64">
        <v>123.59</v>
      </c>
      <c r="E25" s="64">
        <v>9.42</v>
      </c>
      <c r="F25" s="64">
        <v>4.37</v>
      </c>
      <c r="G25" s="64">
        <v>213.53</v>
      </c>
      <c r="H25" s="64">
        <v>46.52</v>
      </c>
      <c r="I25" s="64">
        <v>10.07</v>
      </c>
      <c r="J25" s="64">
        <v>1.64</v>
      </c>
      <c r="K25" s="64">
        <v>340.71</v>
      </c>
      <c r="L25" s="64">
        <v>9.06</v>
      </c>
      <c r="M25" s="64">
        <v>77.27</v>
      </c>
      <c r="N25" s="64">
        <v>122.7</v>
      </c>
      <c r="O25" s="64">
        <v>0</v>
      </c>
      <c r="P25" s="64">
        <v>2.0699999999999998</v>
      </c>
      <c r="Q25" s="64">
        <v>10.61</v>
      </c>
      <c r="R25" s="198"/>
      <c r="S25" s="198"/>
      <c r="T25" s="198"/>
      <c r="U25" s="198"/>
    </row>
    <row r="26" spans="1:21" s="12" customFormat="1" x14ac:dyDescent="0.25">
      <c r="A26" s="215" t="s">
        <v>1801</v>
      </c>
      <c r="B26" s="64">
        <v>108.42</v>
      </c>
      <c r="C26" s="64">
        <v>62.37</v>
      </c>
      <c r="D26" s="64">
        <v>118.15</v>
      </c>
      <c r="E26" s="64">
        <v>9.0299999999999994</v>
      </c>
      <c r="F26" s="64">
        <v>4.74</v>
      </c>
      <c r="G26" s="64">
        <v>217.42</v>
      </c>
      <c r="H26" s="64">
        <v>98.18</v>
      </c>
      <c r="I26" s="64">
        <v>9.7899999999999991</v>
      </c>
      <c r="J26" s="64">
        <v>0.92</v>
      </c>
      <c r="K26" s="64">
        <v>52.57</v>
      </c>
      <c r="L26" s="64">
        <v>8.9700000000000006</v>
      </c>
      <c r="M26" s="64">
        <v>76.56</v>
      </c>
      <c r="N26" s="64">
        <v>122.6</v>
      </c>
      <c r="O26" s="64">
        <v>0</v>
      </c>
      <c r="P26" s="64">
        <v>2.02</v>
      </c>
      <c r="Q26" s="64">
        <v>10.55</v>
      </c>
      <c r="R26" s="198"/>
      <c r="S26" s="198"/>
      <c r="T26" s="198"/>
      <c r="U26" s="198"/>
    </row>
    <row r="27" spans="1:21" s="12" customFormat="1" x14ac:dyDescent="0.25">
      <c r="A27" s="215" t="s">
        <v>1802</v>
      </c>
      <c r="B27" s="64">
        <v>102.09</v>
      </c>
      <c r="C27" s="64">
        <v>62.38</v>
      </c>
      <c r="D27" s="64">
        <v>113.08</v>
      </c>
      <c r="E27" s="64">
        <v>9.39</v>
      </c>
      <c r="F27" s="64">
        <v>4.5599999999999996</v>
      </c>
      <c r="G27" s="64">
        <v>217.42</v>
      </c>
      <c r="H27" s="64">
        <v>98.18</v>
      </c>
      <c r="I27" s="64">
        <v>9.57</v>
      </c>
      <c r="J27" s="64">
        <v>1.45</v>
      </c>
      <c r="K27" s="64">
        <v>336.33</v>
      </c>
      <c r="L27" s="64">
        <v>8.8699999999999992</v>
      </c>
      <c r="M27" s="64">
        <v>78.040000000000006</v>
      </c>
      <c r="N27" s="64">
        <v>124.3</v>
      </c>
      <c r="O27" s="64">
        <v>0</v>
      </c>
      <c r="P27" s="64">
        <v>1.98</v>
      </c>
      <c r="Q27" s="64">
        <v>10.44</v>
      </c>
      <c r="R27" s="198"/>
      <c r="S27" s="198"/>
      <c r="T27" s="198"/>
      <c r="U27" s="198"/>
    </row>
    <row r="28" spans="1:21" s="12" customFormat="1" x14ac:dyDescent="0.25">
      <c r="A28" s="215" t="s">
        <v>1803</v>
      </c>
      <c r="B28" s="64">
        <v>95.9</v>
      </c>
      <c r="C28" s="64">
        <v>62.23</v>
      </c>
      <c r="D28" s="64">
        <v>108.04</v>
      </c>
      <c r="E28" s="64">
        <v>9.07</v>
      </c>
      <c r="F28" s="64">
        <v>4.76</v>
      </c>
      <c r="G28" s="64">
        <v>217.42</v>
      </c>
      <c r="H28" s="64">
        <v>98.18</v>
      </c>
      <c r="I28" s="64">
        <v>9.3699999999999992</v>
      </c>
      <c r="J28" s="64">
        <v>2.3199999999999998</v>
      </c>
      <c r="K28" s="64">
        <v>263.61</v>
      </c>
      <c r="L28" s="64">
        <v>8.3699999999999992</v>
      </c>
      <c r="M28" s="64">
        <v>80.88</v>
      </c>
      <c r="N28" s="64">
        <v>124</v>
      </c>
      <c r="O28" s="64">
        <v>0</v>
      </c>
      <c r="P28" s="64">
        <v>1.92</v>
      </c>
      <c r="Q28" s="64">
        <v>10.39</v>
      </c>
      <c r="R28" s="198"/>
      <c r="S28" s="198"/>
      <c r="T28" s="198"/>
      <c r="U28" s="198"/>
    </row>
    <row r="29" spans="1:21" s="12" customFormat="1" x14ac:dyDescent="0.25">
      <c r="A29" s="215" t="s">
        <v>1804</v>
      </c>
      <c r="B29" s="64">
        <v>91.38</v>
      </c>
      <c r="C29" s="64">
        <v>62.19</v>
      </c>
      <c r="D29" s="64">
        <v>104.39</v>
      </c>
      <c r="E29" s="64">
        <v>8.6999999999999993</v>
      </c>
      <c r="F29" s="64">
        <v>4.37</v>
      </c>
      <c r="G29" s="64">
        <v>214.17</v>
      </c>
      <c r="H29" s="64">
        <v>63.53</v>
      </c>
      <c r="I29" s="64">
        <v>9.1300000000000008</v>
      </c>
      <c r="J29" s="64">
        <v>0.27</v>
      </c>
      <c r="K29" s="64">
        <v>125.36</v>
      </c>
      <c r="L29" s="64">
        <v>8.77</v>
      </c>
      <c r="M29" s="64">
        <v>75.13</v>
      </c>
      <c r="N29" s="64">
        <v>123.1</v>
      </c>
      <c r="O29" s="64">
        <v>0</v>
      </c>
      <c r="P29" s="64">
        <v>1.87</v>
      </c>
      <c r="Q29" s="64">
        <v>10.33</v>
      </c>
      <c r="R29" s="198"/>
      <c r="S29" s="198"/>
      <c r="T29" s="198"/>
      <c r="U29" s="198"/>
    </row>
    <row r="30" spans="1:21" s="12" customFormat="1" x14ac:dyDescent="0.25">
      <c r="A30" s="215" t="s">
        <v>1805</v>
      </c>
      <c r="B30" s="64">
        <v>86.78</v>
      </c>
      <c r="C30" s="64">
        <v>60.86</v>
      </c>
      <c r="D30" s="64">
        <v>100.01</v>
      </c>
      <c r="E30" s="64">
        <v>8.39</v>
      </c>
      <c r="F30" s="64">
        <v>5.0599999999999996</v>
      </c>
      <c r="G30" s="64">
        <v>208.56</v>
      </c>
      <c r="H30" s="64">
        <v>25.63</v>
      </c>
      <c r="I30" s="64">
        <v>8.91</v>
      </c>
      <c r="J30" s="64">
        <v>1.05</v>
      </c>
      <c r="K30" s="64">
        <v>250.25</v>
      </c>
      <c r="L30" s="64">
        <v>9.01</v>
      </c>
      <c r="M30" s="64">
        <v>74.489999999999995</v>
      </c>
      <c r="N30" s="64">
        <v>123.2</v>
      </c>
      <c r="O30" s="64">
        <v>0</v>
      </c>
      <c r="P30" s="64">
        <v>1.79</v>
      </c>
      <c r="Q30" s="64">
        <v>10.17</v>
      </c>
      <c r="R30" s="198"/>
      <c r="S30" s="198"/>
      <c r="T30" s="198"/>
      <c r="U30" s="198"/>
    </row>
    <row r="31" spans="1:21" s="12" customFormat="1" x14ac:dyDescent="0.25">
      <c r="A31" s="215" t="s">
        <v>1806</v>
      </c>
      <c r="B31" s="64">
        <v>82.71</v>
      </c>
      <c r="C31" s="64">
        <v>60.59</v>
      </c>
      <c r="D31" s="64">
        <v>96.61</v>
      </c>
      <c r="E31" s="64">
        <v>8.15</v>
      </c>
      <c r="F31" s="64">
        <v>4.87</v>
      </c>
      <c r="G31" s="64">
        <v>208.56</v>
      </c>
      <c r="H31" s="64">
        <v>25.63</v>
      </c>
      <c r="I31" s="64">
        <v>8.68</v>
      </c>
      <c r="J31" s="64">
        <v>2.1800000000000002</v>
      </c>
      <c r="K31" s="64">
        <v>333.03</v>
      </c>
      <c r="L31" s="64">
        <v>8.6300000000000008</v>
      </c>
      <c r="M31" s="64">
        <v>80.67</v>
      </c>
      <c r="N31" s="64">
        <v>124.9</v>
      </c>
      <c r="O31" s="64">
        <v>0</v>
      </c>
      <c r="P31" s="64">
        <v>1.73</v>
      </c>
      <c r="Q31" s="64">
        <v>10.18</v>
      </c>
      <c r="R31" s="198"/>
      <c r="S31" s="198"/>
      <c r="T31" s="198"/>
      <c r="U31" s="198"/>
    </row>
    <row r="32" spans="1:21" s="12" customFormat="1" x14ac:dyDescent="0.25">
      <c r="A32" s="215" t="s">
        <v>1807</v>
      </c>
      <c r="B32" s="64">
        <v>80.67</v>
      </c>
      <c r="C32" s="64">
        <v>60.5</v>
      </c>
      <c r="D32" s="64">
        <v>94.93</v>
      </c>
      <c r="E32" s="64">
        <v>8.69</v>
      </c>
      <c r="F32" s="64">
        <v>4.7699999999999996</v>
      </c>
      <c r="G32" s="64">
        <v>208.56</v>
      </c>
      <c r="H32" s="64">
        <v>25.63</v>
      </c>
      <c r="I32" s="64">
        <v>8.44</v>
      </c>
      <c r="J32" s="64">
        <v>1.83</v>
      </c>
      <c r="K32" s="64">
        <v>311.18</v>
      </c>
      <c r="L32" s="64">
        <v>8.0399999999999991</v>
      </c>
      <c r="M32" s="64">
        <v>84.56</v>
      </c>
      <c r="N32" s="64">
        <v>124.9</v>
      </c>
      <c r="O32" s="64">
        <v>0</v>
      </c>
      <c r="P32" s="64">
        <v>1.68</v>
      </c>
      <c r="Q32" s="64">
        <v>10.23</v>
      </c>
      <c r="R32" s="198"/>
      <c r="S32" s="198"/>
      <c r="T32" s="198"/>
      <c r="U32" s="198"/>
    </row>
    <row r="33" spans="1:21" s="12" customFormat="1" x14ac:dyDescent="0.25">
      <c r="A33" s="215" t="s">
        <v>1808</v>
      </c>
      <c r="B33" s="64">
        <v>78.290000000000006</v>
      </c>
      <c r="C33" s="64">
        <v>60.1</v>
      </c>
      <c r="D33" s="64">
        <v>92.8</v>
      </c>
      <c r="E33" s="64">
        <v>8.98</v>
      </c>
      <c r="F33" s="64">
        <v>4.28</v>
      </c>
      <c r="G33" s="64">
        <v>201.38</v>
      </c>
      <c r="H33" s="64">
        <v>102.61</v>
      </c>
      <c r="I33" s="64">
        <v>8.19</v>
      </c>
      <c r="J33" s="64">
        <v>2.0099999999999998</v>
      </c>
      <c r="K33" s="64">
        <v>309.48</v>
      </c>
      <c r="L33" s="64">
        <v>8.1</v>
      </c>
      <c r="M33" s="64">
        <v>79.650000000000006</v>
      </c>
      <c r="N33" s="64">
        <v>126</v>
      </c>
      <c r="O33" s="64">
        <v>0</v>
      </c>
      <c r="P33" s="64">
        <v>1.62</v>
      </c>
      <c r="Q33" s="64">
        <v>10.23</v>
      </c>
      <c r="R33" s="198"/>
      <c r="S33" s="198"/>
      <c r="T33" s="198"/>
      <c r="U33" s="198"/>
    </row>
    <row r="34" spans="1:21" s="12" customFormat="1" x14ac:dyDescent="0.25">
      <c r="A34" s="215" t="s">
        <v>1809</v>
      </c>
      <c r="B34" s="64">
        <v>77.86</v>
      </c>
      <c r="C34" s="64">
        <v>59.7</v>
      </c>
      <c r="D34" s="64">
        <v>92.25</v>
      </c>
      <c r="E34" s="64">
        <v>8.5399999999999991</v>
      </c>
      <c r="F34" s="64">
        <v>4.92</v>
      </c>
      <c r="G34" s="64">
        <v>188.97</v>
      </c>
      <c r="H34" s="64">
        <v>184.4</v>
      </c>
      <c r="I34" s="64">
        <v>7.96</v>
      </c>
      <c r="J34" s="64">
        <v>1.01</v>
      </c>
      <c r="K34" s="64">
        <v>298.48</v>
      </c>
      <c r="L34" s="64">
        <v>7.77</v>
      </c>
      <c r="M34" s="64">
        <v>84.06</v>
      </c>
      <c r="N34" s="64">
        <v>127.2</v>
      </c>
      <c r="O34" s="64">
        <v>0</v>
      </c>
      <c r="P34" s="64">
        <v>1.58</v>
      </c>
      <c r="Q34" s="64">
        <v>10.210000000000001</v>
      </c>
      <c r="R34" s="198"/>
      <c r="S34" s="198"/>
      <c r="T34" s="198"/>
      <c r="U34" s="198"/>
    </row>
    <row r="35" spans="1:21" s="12" customFormat="1" x14ac:dyDescent="0.25">
      <c r="A35" s="215" t="s">
        <v>1810</v>
      </c>
      <c r="B35" s="64">
        <v>79.739999999999995</v>
      </c>
      <c r="C35" s="64">
        <v>59.39</v>
      </c>
      <c r="D35" s="64">
        <v>93.6</v>
      </c>
      <c r="E35" s="64">
        <v>9.18</v>
      </c>
      <c r="F35" s="64">
        <v>4.63</v>
      </c>
      <c r="G35" s="64">
        <v>188.97</v>
      </c>
      <c r="H35" s="64">
        <v>184.4</v>
      </c>
      <c r="I35" s="64">
        <v>7.76</v>
      </c>
      <c r="J35" s="64">
        <v>1.02</v>
      </c>
      <c r="K35" s="64">
        <v>310.61</v>
      </c>
      <c r="L35" s="64">
        <v>7.8</v>
      </c>
      <c r="M35" s="64">
        <v>81.900000000000006</v>
      </c>
      <c r="N35" s="64">
        <v>131.19999999999999</v>
      </c>
      <c r="O35" s="64">
        <v>0</v>
      </c>
      <c r="P35" s="64">
        <v>1.54</v>
      </c>
      <c r="Q35" s="64">
        <v>10.18</v>
      </c>
      <c r="R35" s="198"/>
      <c r="S35" s="198"/>
      <c r="T35" s="198"/>
      <c r="U35" s="198"/>
    </row>
    <row r="36" spans="1:21" s="12" customFormat="1" x14ac:dyDescent="0.25">
      <c r="A36" s="215" t="s">
        <v>1811</v>
      </c>
      <c r="B36" s="64">
        <v>82.46</v>
      </c>
      <c r="C36" s="64">
        <v>59.42</v>
      </c>
      <c r="D36" s="64">
        <v>95.8</v>
      </c>
      <c r="E36" s="64">
        <v>8.86</v>
      </c>
      <c r="F36" s="64">
        <v>5.0999999999999996</v>
      </c>
      <c r="G36" s="64">
        <v>188.97</v>
      </c>
      <c r="H36" s="64">
        <v>184.4</v>
      </c>
      <c r="I36" s="64">
        <v>7.59</v>
      </c>
      <c r="J36" s="64">
        <v>2.72</v>
      </c>
      <c r="K36" s="64">
        <v>345.85</v>
      </c>
      <c r="L36" s="64">
        <v>7.77</v>
      </c>
      <c r="M36" s="64">
        <v>86.2</v>
      </c>
      <c r="N36" s="64">
        <v>141</v>
      </c>
      <c r="O36" s="64">
        <v>0</v>
      </c>
      <c r="P36" s="64">
        <v>1.52</v>
      </c>
      <c r="Q36" s="64">
        <v>10.199999999999999</v>
      </c>
      <c r="R36" s="198"/>
      <c r="S36" s="198"/>
      <c r="T36" s="198"/>
      <c r="U36" s="198"/>
    </row>
    <row r="37" spans="1:21" s="12" customFormat="1" x14ac:dyDescent="0.25">
      <c r="A37" s="215" t="s">
        <v>1812</v>
      </c>
      <c r="B37" s="64">
        <v>85.77</v>
      </c>
      <c r="C37" s="64">
        <v>59.57</v>
      </c>
      <c r="D37" s="64">
        <v>98.53</v>
      </c>
      <c r="E37" s="64">
        <v>9.09</v>
      </c>
      <c r="F37" s="64">
        <v>5.09</v>
      </c>
      <c r="G37" s="64">
        <v>188.48</v>
      </c>
      <c r="H37" s="64">
        <v>96.33</v>
      </c>
      <c r="I37" s="64">
        <v>7.45</v>
      </c>
      <c r="J37" s="64">
        <v>1.2</v>
      </c>
      <c r="K37" s="64">
        <v>31.22</v>
      </c>
      <c r="L37" s="64">
        <v>8.26</v>
      </c>
      <c r="M37" s="64">
        <v>77.22</v>
      </c>
      <c r="N37" s="64">
        <v>156.80000000000001</v>
      </c>
      <c r="O37" s="64">
        <v>0</v>
      </c>
      <c r="P37" s="64">
        <v>1.56</v>
      </c>
      <c r="Q37" s="64">
        <v>10.27</v>
      </c>
      <c r="R37" s="198"/>
      <c r="S37" s="198"/>
      <c r="T37" s="198"/>
      <c r="U37" s="198"/>
    </row>
    <row r="38" spans="1:21" s="12" customFormat="1" x14ac:dyDescent="0.25">
      <c r="A38" s="215" t="s">
        <v>1813</v>
      </c>
      <c r="B38" s="64">
        <v>84.43</v>
      </c>
      <c r="C38" s="64">
        <v>59.29</v>
      </c>
      <c r="D38" s="64">
        <v>97.3</v>
      </c>
      <c r="E38" s="64">
        <v>8.82</v>
      </c>
      <c r="F38" s="64">
        <v>4.7699999999999996</v>
      </c>
      <c r="G38" s="64">
        <v>187.63</v>
      </c>
      <c r="H38" s="64">
        <v>93.12</v>
      </c>
      <c r="I38" s="64">
        <v>7.39</v>
      </c>
      <c r="J38" s="64">
        <v>1.51</v>
      </c>
      <c r="K38" s="64">
        <v>92.67</v>
      </c>
      <c r="L38" s="64">
        <v>9.4499999999999993</v>
      </c>
      <c r="M38" s="64">
        <v>67.02</v>
      </c>
      <c r="N38" s="64">
        <v>176.7</v>
      </c>
      <c r="O38" s="64">
        <v>0</v>
      </c>
      <c r="P38" s="64">
        <v>1.59</v>
      </c>
      <c r="Q38" s="64">
        <v>10.27</v>
      </c>
      <c r="R38" s="198"/>
      <c r="S38" s="198"/>
      <c r="T38" s="198"/>
      <c r="U38" s="198"/>
    </row>
    <row r="39" spans="1:21" s="12" customFormat="1" x14ac:dyDescent="0.25">
      <c r="A39" s="215" t="s">
        <v>1814</v>
      </c>
      <c r="B39" s="64">
        <v>80.2</v>
      </c>
      <c r="C39" s="64">
        <v>58.85</v>
      </c>
      <c r="D39" s="64">
        <v>93.69</v>
      </c>
      <c r="E39" s="64">
        <v>8.91</v>
      </c>
      <c r="F39" s="64">
        <v>4.13</v>
      </c>
      <c r="G39" s="64">
        <v>187.63</v>
      </c>
      <c r="H39" s="64">
        <v>93.12</v>
      </c>
      <c r="I39" s="64">
        <v>7.38</v>
      </c>
      <c r="J39" s="64">
        <v>1.41</v>
      </c>
      <c r="K39" s="64">
        <v>76.11</v>
      </c>
      <c r="L39" s="64">
        <v>10.14</v>
      </c>
      <c r="M39" s="64">
        <v>64.25</v>
      </c>
      <c r="N39" s="64">
        <v>225.5</v>
      </c>
      <c r="O39" s="64">
        <v>0</v>
      </c>
      <c r="P39" s="64">
        <v>1.54</v>
      </c>
      <c r="Q39" s="64">
        <v>10.25</v>
      </c>
      <c r="R39" s="198"/>
      <c r="S39" s="198"/>
      <c r="T39" s="198"/>
      <c r="U39" s="198"/>
    </row>
    <row r="40" spans="1:21" s="12" customFormat="1" x14ac:dyDescent="0.25">
      <c r="A40" s="215" t="s">
        <v>1815</v>
      </c>
      <c r="B40" s="64">
        <v>76.53</v>
      </c>
      <c r="C40" s="64">
        <v>59.02</v>
      </c>
      <c r="D40" s="64">
        <v>90.84</v>
      </c>
      <c r="E40" s="64">
        <v>8.2200000000000006</v>
      </c>
      <c r="F40" s="64">
        <v>4.43</v>
      </c>
      <c r="G40" s="64">
        <v>187.63</v>
      </c>
      <c r="H40" s="64">
        <v>93.12</v>
      </c>
      <c r="I40" s="64">
        <v>7.27</v>
      </c>
      <c r="J40" s="64">
        <v>2.25</v>
      </c>
      <c r="K40" s="64">
        <v>103.95</v>
      </c>
      <c r="L40" s="64">
        <v>11.59</v>
      </c>
      <c r="M40" s="64">
        <v>58.32</v>
      </c>
      <c r="N40" s="64">
        <v>334.2</v>
      </c>
      <c r="O40" s="64">
        <v>0</v>
      </c>
      <c r="P40" s="64">
        <v>1.5</v>
      </c>
      <c r="Q40" s="64">
        <v>10.210000000000001</v>
      </c>
      <c r="R40" s="198"/>
      <c r="S40" s="198"/>
      <c r="T40" s="198"/>
      <c r="U40" s="198"/>
    </row>
    <row r="41" spans="1:21" s="12" customFormat="1" x14ac:dyDescent="0.25">
      <c r="A41" s="215" t="s">
        <v>1816</v>
      </c>
      <c r="B41" s="64">
        <v>73.16</v>
      </c>
      <c r="C41" s="64">
        <v>59.73</v>
      </c>
      <c r="D41" s="64">
        <v>88.5</v>
      </c>
      <c r="E41" s="64">
        <v>8.91</v>
      </c>
      <c r="F41" s="64">
        <v>3.78</v>
      </c>
      <c r="G41" s="64">
        <v>176.72</v>
      </c>
      <c r="H41" s="64">
        <v>22.82</v>
      </c>
      <c r="I41" s="64">
        <v>7.11</v>
      </c>
      <c r="J41" s="64">
        <v>0.75</v>
      </c>
      <c r="K41" s="64">
        <v>28.7</v>
      </c>
      <c r="L41" s="64">
        <v>13.22</v>
      </c>
      <c r="M41" s="64">
        <v>54.37</v>
      </c>
      <c r="N41" s="64">
        <v>373.2</v>
      </c>
      <c r="O41" s="64">
        <v>0</v>
      </c>
      <c r="P41" s="64">
        <v>1.45</v>
      </c>
      <c r="Q41" s="64">
        <v>10.18</v>
      </c>
      <c r="R41" s="198"/>
      <c r="S41" s="198"/>
      <c r="T41" s="198"/>
      <c r="U41" s="198"/>
    </row>
    <row r="42" spans="1:21" s="12" customFormat="1" x14ac:dyDescent="0.25">
      <c r="A42" s="215" t="s">
        <v>1817</v>
      </c>
      <c r="B42" s="64">
        <v>70.41</v>
      </c>
      <c r="C42" s="64">
        <v>60.5</v>
      </c>
      <c r="D42" s="64">
        <v>86.69</v>
      </c>
      <c r="E42" s="64">
        <v>8.49</v>
      </c>
      <c r="F42" s="64">
        <v>4.12</v>
      </c>
      <c r="G42" s="64">
        <v>157.88</v>
      </c>
      <c r="H42" s="64">
        <v>100.43</v>
      </c>
      <c r="I42" s="64">
        <v>6.99</v>
      </c>
      <c r="J42" s="64">
        <v>2.0499999999999998</v>
      </c>
      <c r="K42" s="64">
        <v>356.01</v>
      </c>
      <c r="L42" s="64">
        <v>15.24</v>
      </c>
      <c r="M42" s="64">
        <v>46.96</v>
      </c>
      <c r="N42" s="64">
        <v>428.4</v>
      </c>
      <c r="O42" s="64">
        <v>0</v>
      </c>
      <c r="P42" s="64">
        <v>1.42</v>
      </c>
      <c r="Q42" s="64">
        <v>10.11</v>
      </c>
      <c r="R42" s="198"/>
      <c r="S42" s="198"/>
      <c r="T42" s="198"/>
      <c r="U42" s="198"/>
    </row>
    <row r="43" spans="1:21" s="12" customFormat="1" x14ac:dyDescent="0.25">
      <c r="A43" s="215" t="s">
        <v>1818</v>
      </c>
      <c r="B43" s="64">
        <v>67.55</v>
      </c>
      <c r="C43" s="64">
        <v>61.81</v>
      </c>
      <c r="D43" s="64">
        <v>85.09</v>
      </c>
      <c r="E43" s="64">
        <v>8.7100000000000009</v>
      </c>
      <c r="F43" s="64">
        <v>3.93</v>
      </c>
      <c r="G43" s="64">
        <v>157.88</v>
      </c>
      <c r="H43" s="64">
        <v>100.43</v>
      </c>
      <c r="I43" s="64">
        <v>6.96</v>
      </c>
      <c r="J43" s="64">
        <v>2.3199999999999998</v>
      </c>
      <c r="K43" s="64">
        <v>97.25</v>
      </c>
      <c r="L43" s="64">
        <v>15.66</v>
      </c>
      <c r="M43" s="64">
        <v>46.87</v>
      </c>
      <c r="N43" s="64">
        <v>483.4</v>
      </c>
      <c r="O43" s="64">
        <v>0</v>
      </c>
      <c r="P43" s="64">
        <v>1.39</v>
      </c>
      <c r="Q43" s="64">
        <v>10.07</v>
      </c>
      <c r="R43" s="198"/>
      <c r="S43" s="198"/>
      <c r="T43" s="198"/>
      <c r="U43" s="198"/>
    </row>
    <row r="44" spans="1:21" s="12" customFormat="1" x14ac:dyDescent="0.25">
      <c r="A44" s="215" t="s">
        <v>1819</v>
      </c>
      <c r="B44" s="64">
        <v>63.19</v>
      </c>
      <c r="C44" s="64">
        <v>63.01</v>
      </c>
      <c r="D44" s="64">
        <v>82.22</v>
      </c>
      <c r="E44" s="64">
        <v>8.32</v>
      </c>
      <c r="F44" s="64">
        <v>3.97</v>
      </c>
      <c r="G44" s="64">
        <v>157.88</v>
      </c>
      <c r="H44" s="64">
        <v>100.43</v>
      </c>
      <c r="I44" s="64">
        <v>6.9</v>
      </c>
      <c r="J44" s="64">
        <v>2.95</v>
      </c>
      <c r="K44" s="64">
        <v>110.38</v>
      </c>
      <c r="L44" s="64">
        <v>14.43</v>
      </c>
      <c r="M44" s="64">
        <v>52.23</v>
      </c>
      <c r="N44" s="64">
        <v>528.6</v>
      </c>
      <c r="O44" s="64">
        <v>0</v>
      </c>
      <c r="P44" s="64">
        <v>1.35</v>
      </c>
      <c r="Q44" s="64">
        <v>10.06</v>
      </c>
      <c r="R44" s="198"/>
      <c r="S44" s="198"/>
      <c r="T44" s="198"/>
      <c r="U44" s="198"/>
    </row>
    <row r="45" spans="1:21" s="12" customFormat="1" x14ac:dyDescent="0.25">
      <c r="A45" s="215" t="s">
        <v>1820</v>
      </c>
      <c r="B45" s="64">
        <v>58.14</v>
      </c>
      <c r="C45" s="64">
        <v>64.41</v>
      </c>
      <c r="D45" s="64">
        <v>78.900000000000006</v>
      </c>
      <c r="E45" s="64">
        <v>7.76</v>
      </c>
      <c r="F45" s="64">
        <v>3.95</v>
      </c>
      <c r="G45" s="64">
        <v>151.38999999999999</v>
      </c>
      <c r="H45" s="64">
        <v>83.12</v>
      </c>
      <c r="I45" s="64">
        <v>6.92</v>
      </c>
      <c r="J45" s="64">
        <v>1.84</v>
      </c>
      <c r="K45" s="64">
        <v>68.98</v>
      </c>
      <c r="L45" s="64">
        <v>15.53</v>
      </c>
      <c r="M45" s="64">
        <v>48.58</v>
      </c>
      <c r="N45" s="64">
        <v>572.5</v>
      </c>
      <c r="O45" s="64">
        <v>0</v>
      </c>
      <c r="P45" s="64">
        <v>1.31</v>
      </c>
      <c r="Q45" s="64">
        <v>9.93</v>
      </c>
      <c r="R45" s="198"/>
      <c r="S45" s="198"/>
      <c r="T45" s="198"/>
      <c r="U45" s="198"/>
    </row>
    <row r="46" spans="1:21" s="12" customFormat="1" x14ac:dyDescent="0.25">
      <c r="A46" s="215" t="s">
        <v>1821</v>
      </c>
      <c r="B46" s="64">
        <v>53.83</v>
      </c>
      <c r="C46" s="64">
        <v>66</v>
      </c>
      <c r="D46" s="64">
        <v>76.28</v>
      </c>
      <c r="E46" s="64">
        <v>7.91</v>
      </c>
      <c r="F46" s="64">
        <v>3.73</v>
      </c>
      <c r="G46" s="64">
        <v>140.16999999999999</v>
      </c>
      <c r="H46" s="64">
        <v>64.180000000000007</v>
      </c>
      <c r="I46" s="64">
        <v>7.2</v>
      </c>
      <c r="J46" s="64">
        <v>2.13</v>
      </c>
      <c r="K46" s="64">
        <v>354.22</v>
      </c>
      <c r="L46" s="64">
        <v>19.850000000000001</v>
      </c>
      <c r="M46" s="64">
        <v>37.64</v>
      </c>
      <c r="N46" s="64">
        <v>603.6</v>
      </c>
      <c r="O46" s="64">
        <v>0</v>
      </c>
      <c r="P46" s="64">
        <v>1.28</v>
      </c>
      <c r="Q46" s="64">
        <v>9.9600000000000009</v>
      </c>
      <c r="R46" s="198"/>
      <c r="S46" s="198"/>
      <c r="T46" s="198"/>
      <c r="U46" s="198"/>
    </row>
    <row r="47" spans="1:21" s="12" customFormat="1" x14ac:dyDescent="0.25">
      <c r="A47" s="215" t="s">
        <v>1822</v>
      </c>
      <c r="B47" s="64">
        <v>49.77</v>
      </c>
      <c r="C47" s="64">
        <v>67.56</v>
      </c>
      <c r="D47" s="64">
        <v>73.84</v>
      </c>
      <c r="E47" s="64">
        <v>7.62</v>
      </c>
      <c r="F47" s="64">
        <v>3.52</v>
      </c>
      <c r="G47" s="64">
        <v>140.16999999999999</v>
      </c>
      <c r="H47" s="64">
        <v>64.180000000000007</v>
      </c>
      <c r="I47" s="64">
        <v>7.49</v>
      </c>
      <c r="J47" s="64">
        <v>3.5</v>
      </c>
      <c r="K47" s="64">
        <v>116.44</v>
      </c>
      <c r="L47" s="64">
        <v>17.78</v>
      </c>
      <c r="M47" s="64">
        <v>43.75</v>
      </c>
      <c r="N47" s="64">
        <v>642.70000000000005</v>
      </c>
      <c r="O47" s="64">
        <v>0</v>
      </c>
      <c r="P47" s="64">
        <v>1.25</v>
      </c>
      <c r="Q47" s="64">
        <v>9.91</v>
      </c>
      <c r="R47" s="198"/>
      <c r="S47" s="198"/>
      <c r="T47" s="198"/>
      <c r="U47" s="198"/>
    </row>
    <row r="48" spans="1:21" s="12" customFormat="1" x14ac:dyDescent="0.25">
      <c r="A48" s="215" t="s">
        <v>1823</v>
      </c>
      <c r="B48" s="64">
        <v>45.45</v>
      </c>
      <c r="C48" s="64">
        <v>68.38</v>
      </c>
      <c r="D48" s="64">
        <v>70.790000000000006</v>
      </c>
      <c r="E48" s="64">
        <v>7.39</v>
      </c>
      <c r="F48" s="64">
        <v>4.32</v>
      </c>
      <c r="G48" s="64">
        <v>140.16999999999999</v>
      </c>
      <c r="H48" s="64">
        <v>64.180000000000007</v>
      </c>
      <c r="I48" s="64">
        <v>7.55</v>
      </c>
      <c r="J48" s="64">
        <v>3.64</v>
      </c>
      <c r="K48" s="64">
        <v>113.38</v>
      </c>
      <c r="L48" s="64">
        <v>17.03</v>
      </c>
      <c r="M48" s="64">
        <v>44.47</v>
      </c>
      <c r="N48" s="64">
        <v>678.9</v>
      </c>
      <c r="O48" s="64">
        <v>0</v>
      </c>
      <c r="P48" s="64">
        <v>1.22</v>
      </c>
      <c r="Q48" s="64">
        <v>9.89</v>
      </c>
      <c r="R48" s="198"/>
      <c r="S48" s="198"/>
      <c r="T48" s="198"/>
      <c r="U48" s="198"/>
    </row>
    <row r="49" spans="1:21" s="12" customFormat="1" x14ac:dyDescent="0.25">
      <c r="A49" s="215" t="s">
        <v>1824</v>
      </c>
      <c r="B49" s="64">
        <v>41.12</v>
      </c>
      <c r="C49" s="64">
        <v>68.83</v>
      </c>
      <c r="D49" s="64">
        <v>67.56</v>
      </c>
      <c r="E49" s="64">
        <v>7.18</v>
      </c>
      <c r="F49" s="64">
        <v>4.32</v>
      </c>
      <c r="G49" s="64">
        <v>140.38</v>
      </c>
      <c r="H49" s="64">
        <v>119.76</v>
      </c>
      <c r="I49" s="64">
        <v>7.76</v>
      </c>
      <c r="J49" s="64">
        <v>3.43</v>
      </c>
      <c r="K49" s="64">
        <v>116.78</v>
      </c>
      <c r="L49" s="64">
        <v>17.66</v>
      </c>
      <c r="M49" s="64">
        <v>43.42</v>
      </c>
      <c r="N49" s="64">
        <v>721.6</v>
      </c>
      <c r="O49" s="64">
        <v>0</v>
      </c>
      <c r="P49" s="64">
        <v>1.19</v>
      </c>
      <c r="Q49" s="64">
        <v>9.93</v>
      </c>
      <c r="R49" s="198"/>
      <c r="S49" s="198"/>
      <c r="T49" s="198"/>
      <c r="U49" s="198"/>
    </row>
    <row r="50" spans="1:21" s="12" customFormat="1" x14ac:dyDescent="0.25">
      <c r="A50" s="215" t="s">
        <v>1825</v>
      </c>
      <c r="B50" s="64">
        <v>36.97</v>
      </c>
      <c r="C50" s="64">
        <v>68.84</v>
      </c>
      <c r="D50" s="64">
        <v>64.23</v>
      </c>
      <c r="E50" s="64">
        <v>6.64</v>
      </c>
      <c r="F50" s="64">
        <v>3.94</v>
      </c>
      <c r="G50" s="64">
        <v>140.74</v>
      </c>
      <c r="H50" s="64">
        <v>178.81</v>
      </c>
      <c r="I50" s="64">
        <v>8.11</v>
      </c>
      <c r="J50" s="64">
        <v>2.69</v>
      </c>
      <c r="K50" s="64">
        <v>105.42</v>
      </c>
      <c r="L50" s="64">
        <v>18.489999999999998</v>
      </c>
      <c r="M50" s="64">
        <v>42.09</v>
      </c>
      <c r="N50" s="64">
        <v>754.8</v>
      </c>
      <c r="O50" s="64">
        <v>0</v>
      </c>
      <c r="P50" s="64">
        <v>1.1599999999999999</v>
      </c>
      <c r="Q50" s="64">
        <v>9.92</v>
      </c>
      <c r="R50" s="198"/>
      <c r="S50" s="198"/>
      <c r="T50" s="198"/>
      <c r="U50" s="198"/>
    </row>
    <row r="51" spans="1:21" s="12" customFormat="1" x14ac:dyDescent="0.25">
      <c r="A51" s="215" t="s">
        <v>1826</v>
      </c>
      <c r="B51" s="64">
        <v>33</v>
      </c>
      <c r="C51" s="64">
        <v>69.12</v>
      </c>
      <c r="D51" s="64">
        <v>61.2</v>
      </c>
      <c r="E51" s="64">
        <v>6.68</v>
      </c>
      <c r="F51" s="64">
        <v>4.1399999999999997</v>
      </c>
      <c r="G51" s="64">
        <v>140.74</v>
      </c>
      <c r="H51" s="64">
        <v>178.81</v>
      </c>
      <c r="I51" s="64">
        <v>8.4499999999999993</v>
      </c>
      <c r="J51" s="64">
        <v>2.59</v>
      </c>
      <c r="K51" s="64">
        <v>117.53</v>
      </c>
      <c r="L51" s="64">
        <v>19.489999999999998</v>
      </c>
      <c r="M51" s="64">
        <v>40.340000000000003</v>
      </c>
      <c r="N51" s="64">
        <v>771.2</v>
      </c>
      <c r="O51" s="64">
        <v>0</v>
      </c>
      <c r="P51" s="64">
        <v>1.1200000000000001</v>
      </c>
      <c r="Q51" s="64">
        <v>9.89</v>
      </c>
      <c r="R51" s="198"/>
      <c r="S51" s="198"/>
      <c r="T51" s="198"/>
      <c r="U51" s="198"/>
    </row>
    <row r="52" spans="1:21" s="12" customFormat="1" x14ac:dyDescent="0.25">
      <c r="A52" s="215" t="s">
        <v>1827</v>
      </c>
      <c r="B52" s="64">
        <v>29.32</v>
      </c>
      <c r="C52" s="64">
        <v>69.41</v>
      </c>
      <c r="D52" s="64">
        <v>58.4</v>
      </c>
      <c r="E52" s="64">
        <v>6.42</v>
      </c>
      <c r="F52" s="64">
        <v>4.17</v>
      </c>
      <c r="G52" s="64">
        <v>140.74</v>
      </c>
      <c r="H52" s="64">
        <v>178.81</v>
      </c>
      <c r="I52" s="64">
        <v>8.74</v>
      </c>
      <c r="J52" s="64">
        <v>2.89</v>
      </c>
      <c r="K52" s="64">
        <v>127.31</v>
      </c>
      <c r="L52" s="64">
        <v>20.37</v>
      </c>
      <c r="M52" s="64">
        <v>38.83</v>
      </c>
      <c r="N52" s="64">
        <v>790.7</v>
      </c>
      <c r="O52" s="64">
        <v>0</v>
      </c>
      <c r="P52" s="64">
        <v>1.0900000000000001</v>
      </c>
      <c r="Q52" s="64">
        <v>9.8699999999999992</v>
      </c>
      <c r="R52" s="198"/>
      <c r="S52" s="198"/>
      <c r="T52" s="198"/>
      <c r="U52" s="198"/>
    </row>
    <row r="53" spans="1:21" s="12" customFormat="1" x14ac:dyDescent="0.25">
      <c r="A53" s="215" t="s">
        <v>1828</v>
      </c>
      <c r="B53" s="64">
        <v>18.77</v>
      </c>
      <c r="C53" s="64">
        <v>73.33</v>
      </c>
      <c r="D53" s="64">
        <v>51.99</v>
      </c>
      <c r="E53" s="64">
        <v>12.9</v>
      </c>
      <c r="F53" s="64">
        <v>11.15</v>
      </c>
      <c r="G53" s="64">
        <v>127.42</v>
      </c>
      <c r="H53" s="64">
        <v>125.14</v>
      </c>
      <c r="I53" s="64">
        <v>8.92</v>
      </c>
      <c r="J53" s="64">
        <v>1.56</v>
      </c>
      <c r="K53" s="64">
        <v>74.290000000000006</v>
      </c>
      <c r="L53" s="64">
        <v>20.76</v>
      </c>
      <c r="M53" s="64">
        <v>37.85</v>
      </c>
      <c r="N53" s="64">
        <v>793.4</v>
      </c>
      <c r="O53" s="64">
        <v>0</v>
      </c>
      <c r="P53" s="64">
        <v>0.99</v>
      </c>
      <c r="Q53" s="64">
        <v>9.68</v>
      </c>
      <c r="R53" s="198"/>
      <c r="S53" s="198"/>
      <c r="T53" s="198"/>
      <c r="U53" s="198"/>
    </row>
    <row r="54" spans="1:21" s="12" customFormat="1" x14ac:dyDescent="0.25">
      <c r="A54" s="215" t="s">
        <v>1829</v>
      </c>
      <c r="B54" s="64">
        <v>4.7</v>
      </c>
      <c r="C54" s="64">
        <v>83.83</v>
      </c>
      <c r="D54" s="64">
        <v>46.19</v>
      </c>
      <c r="E54" s="64">
        <v>14.49</v>
      </c>
      <c r="F54" s="64">
        <v>14.18</v>
      </c>
      <c r="G54" s="64">
        <v>104.42</v>
      </c>
      <c r="H54" s="64">
        <v>68.12</v>
      </c>
      <c r="I54" s="64">
        <v>9.02</v>
      </c>
      <c r="J54" s="64">
        <v>1.1299999999999999</v>
      </c>
      <c r="K54" s="64">
        <v>96.98</v>
      </c>
      <c r="L54" s="64">
        <v>21.76</v>
      </c>
      <c r="M54" s="64">
        <v>34.89</v>
      </c>
      <c r="N54" s="64">
        <v>807.7</v>
      </c>
      <c r="O54" s="64">
        <v>0</v>
      </c>
      <c r="P54" s="64">
        <v>0.9</v>
      </c>
      <c r="Q54" s="64">
        <v>8.85</v>
      </c>
      <c r="R54" s="198"/>
      <c r="S54" s="198"/>
      <c r="T54" s="198"/>
      <c r="U54" s="198"/>
    </row>
    <row r="55" spans="1:21" s="12" customFormat="1" x14ac:dyDescent="0.25">
      <c r="A55" s="215" t="s">
        <v>1830</v>
      </c>
      <c r="B55" s="64">
        <v>2</v>
      </c>
      <c r="C55" s="64">
        <v>82.5</v>
      </c>
      <c r="D55" s="64">
        <v>43.33</v>
      </c>
      <c r="E55" s="64">
        <v>11.5</v>
      </c>
      <c r="F55" s="64">
        <v>10.35</v>
      </c>
      <c r="G55" s="64">
        <v>104.42</v>
      </c>
      <c r="H55" s="64">
        <v>68.12</v>
      </c>
      <c r="I55" s="64">
        <v>7.48</v>
      </c>
      <c r="J55" s="64">
        <v>0.95</v>
      </c>
      <c r="K55" s="64">
        <v>168.3</v>
      </c>
      <c r="L55" s="64">
        <v>21.93</v>
      </c>
      <c r="M55" s="64">
        <v>33.36</v>
      </c>
      <c r="N55" s="64">
        <v>817</v>
      </c>
      <c r="O55" s="64">
        <v>0</v>
      </c>
      <c r="P55" s="64">
        <v>0.86</v>
      </c>
      <c r="Q55" s="64">
        <v>8.39</v>
      </c>
      <c r="R55" s="198"/>
      <c r="S55" s="198"/>
      <c r="T55" s="198"/>
      <c r="U55" s="198"/>
    </row>
    <row r="56" spans="1:21" s="12" customFormat="1" x14ac:dyDescent="0.25">
      <c r="A56" s="215" t="s">
        <v>1831</v>
      </c>
      <c r="B56" s="64">
        <v>1.47</v>
      </c>
      <c r="C56" s="64">
        <v>77.989999999999995</v>
      </c>
      <c r="D56" s="64">
        <v>40.549999999999997</v>
      </c>
      <c r="E56" s="64">
        <v>11.25</v>
      </c>
      <c r="F56" s="64">
        <v>10.87</v>
      </c>
      <c r="G56" s="64">
        <v>104.42</v>
      </c>
      <c r="H56" s="64">
        <v>68.12</v>
      </c>
      <c r="I56" s="64">
        <v>6.71</v>
      </c>
      <c r="J56" s="64">
        <v>2.2200000000000002</v>
      </c>
      <c r="K56" s="64">
        <v>102.67</v>
      </c>
      <c r="L56" s="64">
        <v>21.78</v>
      </c>
      <c r="M56" s="64">
        <v>33.61</v>
      </c>
      <c r="N56" s="64">
        <v>805.5</v>
      </c>
      <c r="O56" s="64">
        <v>0</v>
      </c>
      <c r="P56" s="64">
        <v>0.81</v>
      </c>
      <c r="Q56" s="64">
        <v>8.2200000000000006</v>
      </c>
      <c r="R56" s="198"/>
      <c r="S56" s="198"/>
      <c r="T56" s="198"/>
      <c r="U56" s="198"/>
    </row>
    <row r="57" spans="1:21" s="12" customFormat="1" x14ac:dyDescent="0.25">
      <c r="A57" s="215" t="s">
        <v>1832</v>
      </c>
      <c r="B57" s="64">
        <v>1.59</v>
      </c>
      <c r="C57" s="64">
        <v>75.69</v>
      </c>
      <c r="D57" s="64">
        <v>39.44</v>
      </c>
      <c r="E57" s="64">
        <v>10.82</v>
      </c>
      <c r="F57" s="64">
        <v>9.7100000000000009</v>
      </c>
      <c r="G57" s="64">
        <v>104.28</v>
      </c>
      <c r="H57" s="64">
        <v>77.14</v>
      </c>
      <c r="I57" s="64">
        <v>6.44</v>
      </c>
      <c r="J57" s="64">
        <v>0.87</v>
      </c>
      <c r="K57" s="64">
        <v>37.33</v>
      </c>
      <c r="L57" s="64">
        <v>22.79</v>
      </c>
      <c r="M57" s="64">
        <v>30.44</v>
      </c>
      <c r="N57" s="64">
        <v>805.4</v>
      </c>
      <c r="O57" s="64">
        <v>0</v>
      </c>
      <c r="P57" s="64">
        <v>0.77</v>
      </c>
      <c r="Q57" s="64">
        <v>8.2100000000000009</v>
      </c>
      <c r="R57" s="198"/>
      <c r="S57" s="198"/>
      <c r="T57" s="198"/>
      <c r="U57" s="198"/>
    </row>
    <row r="58" spans="1:21" s="12" customFormat="1" x14ac:dyDescent="0.25">
      <c r="A58" s="215" t="s">
        <v>1833</v>
      </c>
      <c r="B58" s="64">
        <v>1.85</v>
      </c>
      <c r="C58" s="64">
        <v>76.39</v>
      </c>
      <c r="D58" s="64">
        <v>40.020000000000003</v>
      </c>
      <c r="E58" s="64">
        <v>9.56</v>
      </c>
      <c r="F58" s="64">
        <v>7.96</v>
      </c>
      <c r="G58" s="64">
        <v>102.37</v>
      </c>
      <c r="H58" s="64">
        <v>179.34</v>
      </c>
      <c r="I58" s="64">
        <v>6.39</v>
      </c>
      <c r="J58" s="64">
        <v>3.32</v>
      </c>
      <c r="K58" s="64">
        <v>147.99</v>
      </c>
      <c r="L58" s="64">
        <v>22.68</v>
      </c>
      <c r="M58" s="64">
        <v>30.28</v>
      </c>
      <c r="N58" s="64">
        <v>796.7</v>
      </c>
      <c r="O58" s="64">
        <v>0</v>
      </c>
      <c r="P58" s="64">
        <v>0.75</v>
      </c>
      <c r="Q58" s="64">
        <v>8.2100000000000009</v>
      </c>
      <c r="R58" s="198"/>
      <c r="S58" s="198"/>
      <c r="T58" s="198"/>
      <c r="U58" s="198"/>
    </row>
    <row r="59" spans="1:21" s="12" customFormat="1" x14ac:dyDescent="0.25">
      <c r="A59" s="215" t="s">
        <v>1834</v>
      </c>
      <c r="B59" s="64">
        <v>1.85</v>
      </c>
      <c r="C59" s="64">
        <v>75.72</v>
      </c>
      <c r="D59" s="64">
        <v>39.67</v>
      </c>
      <c r="E59" s="64">
        <v>10.45</v>
      </c>
      <c r="F59" s="64">
        <v>10.71</v>
      </c>
      <c r="G59" s="210" t="s">
        <v>36</v>
      </c>
      <c r="H59" s="210" t="s">
        <v>36</v>
      </c>
      <c r="I59" s="64">
        <v>6.33</v>
      </c>
      <c r="J59" s="64">
        <v>2.0699999999999998</v>
      </c>
      <c r="K59" s="64">
        <v>339.75</v>
      </c>
      <c r="L59" s="64">
        <v>23.95</v>
      </c>
      <c r="M59" s="64">
        <v>28.92</v>
      </c>
      <c r="N59" s="64">
        <v>766.5</v>
      </c>
      <c r="O59" s="64">
        <v>0</v>
      </c>
      <c r="P59" s="64">
        <v>0.72</v>
      </c>
      <c r="Q59" s="64">
        <v>8.2100000000000009</v>
      </c>
      <c r="R59" s="198"/>
      <c r="S59" s="198"/>
      <c r="T59" s="198"/>
      <c r="U59" s="198"/>
    </row>
    <row r="60" spans="1:21" s="12" customFormat="1" x14ac:dyDescent="0.25">
      <c r="A60" s="215" t="s">
        <v>1835</v>
      </c>
      <c r="B60" s="64">
        <v>1.72</v>
      </c>
      <c r="C60" s="64">
        <v>76.52</v>
      </c>
      <c r="D60" s="64">
        <v>39.979999999999997</v>
      </c>
      <c r="E60" s="64">
        <v>10.73</v>
      </c>
      <c r="F60" s="64">
        <v>11.69</v>
      </c>
      <c r="G60" s="210" t="s">
        <v>36</v>
      </c>
      <c r="H60" s="210" t="s">
        <v>36</v>
      </c>
      <c r="I60" s="64">
        <v>6.34</v>
      </c>
      <c r="J60" s="64">
        <v>1.39</v>
      </c>
      <c r="K60" s="64">
        <v>118.36</v>
      </c>
      <c r="L60" s="64">
        <v>23.26</v>
      </c>
      <c r="M60" s="64">
        <v>28.6</v>
      </c>
      <c r="N60" s="64">
        <v>752.3</v>
      </c>
      <c r="O60" s="64">
        <v>0</v>
      </c>
      <c r="P60" s="64">
        <v>0.7</v>
      </c>
      <c r="Q60" s="64">
        <v>8.2100000000000009</v>
      </c>
      <c r="R60" s="198"/>
      <c r="S60" s="198"/>
      <c r="T60" s="198"/>
      <c r="U60" s="198"/>
    </row>
    <row r="61" spans="1:21" s="12" customFormat="1" x14ac:dyDescent="0.25">
      <c r="A61" s="215" t="s">
        <v>1836</v>
      </c>
      <c r="B61" s="64">
        <v>1.3</v>
      </c>
      <c r="C61" s="64">
        <v>73.540000000000006</v>
      </c>
      <c r="D61" s="64">
        <v>38.090000000000003</v>
      </c>
      <c r="E61" s="64">
        <v>10.81</v>
      </c>
      <c r="F61" s="64">
        <v>14.88</v>
      </c>
      <c r="G61" s="210" t="s">
        <v>36</v>
      </c>
      <c r="H61" s="210" t="s">
        <v>36</v>
      </c>
      <c r="I61" s="64">
        <v>5.83</v>
      </c>
      <c r="J61" s="64">
        <v>2.9</v>
      </c>
      <c r="K61" s="64">
        <v>130.69999999999999</v>
      </c>
      <c r="L61" s="64">
        <v>22.06</v>
      </c>
      <c r="M61" s="64">
        <v>30.23</v>
      </c>
      <c r="N61" s="64">
        <v>699.2</v>
      </c>
      <c r="O61" s="64">
        <v>0</v>
      </c>
      <c r="P61" s="64">
        <v>0.71</v>
      </c>
      <c r="Q61" s="64">
        <v>8.2100000000000009</v>
      </c>
      <c r="R61" s="198"/>
      <c r="S61" s="198"/>
      <c r="T61" s="198"/>
      <c r="U61" s="198"/>
    </row>
    <row r="62" spans="1:21" s="12" customFormat="1" x14ac:dyDescent="0.25">
      <c r="A62" s="215" t="s">
        <v>1837</v>
      </c>
      <c r="B62" s="64">
        <v>1.08</v>
      </c>
      <c r="C62" s="64">
        <v>68.59</v>
      </c>
      <c r="D62" s="64">
        <v>35.32</v>
      </c>
      <c r="E62" s="64">
        <v>12.82</v>
      </c>
      <c r="F62" s="64">
        <v>21.11</v>
      </c>
      <c r="G62" s="210" t="s">
        <v>36</v>
      </c>
      <c r="H62" s="210" t="s">
        <v>36</v>
      </c>
      <c r="I62" s="64">
        <v>5.56</v>
      </c>
      <c r="J62" s="64">
        <v>1.0900000000000001</v>
      </c>
      <c r="K62" s="64">
        <v>341.12</v>
      </c>
      <c r="L62" s="64">
        <v>22.76</v>
      </c>
      <c r="M62" s="64">
        <v>28.83</v>
      </c>
      <c r="N62" s="64">
        <v>695.8</v>
      </c>
      <c r="O62" s="64">
        <v>0</v>
      </c>
      <c r="P62" s="64">
        <v>0.69</v>
      </c>
      <c r="Q62" s="64">
        <v>8.2100000000000009</v>
      </c>
      <c r="R62" s="198"/>
      <c r="S62" s="198"/>
      <c r="T62" s="198"/>
      <c r="U62" s="198"/>
    </row>
    <row r="63" spans="1:21" s="12" customFormat="1" x14ac:dyDescent="0.25">
      <c r="A63" s="215" t="s">
        <v>1838</v>
      </c>
      <c r="B63" s="64">
        <v>1.1599999999999999</v>
      </c>
      <c r="C63" s="64">
        <v>67.45</v>
      </c>
      <c r="D63" s="64">
        <v>34.79</v>
      </c>
      <c r="E63" s="64">
        <v>9.66</v>
      </c>
      <c r="F63" s="64">
        <v>12.73</v>
      </c>
      <c r="G63" s="64">
        <v>60.02</v>
      </c>
      <c r="H63" s="64">
        <v>2.38</v>
      </c>
      <c r="I63" s="64">
        <v>5.1100000000000003</v>
      </c>
      <c r="J63" s="64">
        <v>1.83</v>
      </c>
      <c r="K63" s="64">
        <v>336.27</v>
      </c>
      <c r="L63" s="64">
        <v>24.32</v>
      </c>
      <c r="M63" s="64">
        <v>26.26</v>
      </c>
      <c r="N63" s="64">
        <v>677</v>
      </c>
      <c r="O63" s="64">
        <v>0</v>
      </c>
      <c r="P63" s="64">
        <v>0.68</v>
      </c>
      <c r="Q63" s="64">
        <v>8.2100000000000009</v>
      </c>
      <c r="R63" s="198"/>
      <c r="S63" s="198"/>
      <c r="T63" s="198"/>
      <c r="U63" s="198"/>
    </row>
    <row r="64" spans="1:21" s="12" customFormat="1" x14ac:dyDescent="0.25">
      <c r="A64" s="215" t="s">
        <v>1839</v>
      </c>
      <c r="B64" s="64">
        <v>1.5</v>
      </c>
      <c r="C64" s="64">
        <v>68.709999999999994</v>
      </c>
      <c r="D64" s="64">
        <v>35.72</v>
      </c>
      <c r="E64" s="64">
        <v>8.27</v>
      </c>
      <c r="F64" s="64">
        <v>8.09</v>
      </c>
      <c r="G64" s="64">
        <v>85.75</v>
      </c>
      <c r="H64" s="64">
        <v>2.54</v>
      </c>
      <c r="I64" s="64">
        <v>4.68</v>
      </c>
      <c r="J64" s="64">
        <v>2.52</v>
      </c>
      <c r="K64" s="64">
        <v>339.16</v>
      </c>
      <c r="L64" s="64">
        <v>23.84</v>
      </c>
      <c r="M64" s="64">
        <v>26.64</v>
      </c>
      <c r="N64" s="64">
        <v>592.79999999999995</v>
      </c>
      <c r="O64" s="64">
        <v>0</v>
      </c>
      <c r="P64" s="64">
        <v>0.66</v>
      </c>
      <c r="Q64" s="64">
        <v>8.2100000000000009</v>
      </c>
      <c r="R64" s="198"/>
      <c r="S64" s="198"/>
      <c r="T64" s="198"/>
      <c r="U64" s="198"/>
    </row>
    <row r="65" spans="1:21" s="12" customFormat="1" x14ac:dyDescent="0.25">
      <c r="A65" s="215" t="s">
        <v>1840</v>
      </c>
      <c r="B65" s="64">
        <v>2.0299999999999998</v>
      </c>
      <c r="C65" s="64">
        <v>69.349999999999994</v>
      </c>
      <c r="D65" s="64">
        <v>36.49</v>
      </c>
      <c r="E65" s="64">
        <v>8.4</v>
      </c>
      <c r="F65" s="64">
        <v>6.75</v>
      </c>
      <c r="G65" s="64">
        <v>85.75</v>
      </c>
      <c r="H65" s="64">
        <v>2.54</v>
      </c>
      <c r="I65" s="64">
        <v>3.44</v>
      </c>
      <c r="J65" s="64">
        <v>2.25</v>
      </c>
      <c r="K65" s="64">
        <v>316.48</v>
      </c>
      <c r="L65" s="64">
        <v>24.8</v>
      </c>
      <c r="M65" s="64">
        <v>25.29</v>
      </c>
      <c r="N65" s="64">
        <v>257.89999999999998</v>
      </c>
      <c r="O65" s="64">
        <v>0</v>
      </c>
      <c r="P65" s="64">
        <v>0.7</v>
      </c>
      <c r="Q65" s="64">
        <v>8.2100000000000009</v>
      </c>
      <c r="R65" s="198"/>
      <c r="S65" s="198"/>
      <c r="T65" s="198"/>
      <c r="U65" s="198"/>
    </row>
    <row r="66" spans="1:21" s="12" customFormat="1" x14ac:dyDescent="0.25">
      <c r="A66" s="215" t="s">
        <v>1841</v>
      </c>
      <c r="B66" s="64">
        <v>2.35</v>
      </c>
      <c r="C66" s="64">
        <v>70</v>
      </c>
      <c r="D66" s="64">
        <v>37.08</v>
      </c>
      <c r="E66" s="64">
        <v>8.15</v>
      </c>
      <c r="F66" s="64">
        <v>7.13</v>
      </c>
      <c r="G66" s="64">
        <v>85.75</v>
      </c>
      <c r="H66" s="64">
        <v>2.54</v>
      </c>
      <c r="I66" s="64">
        <v>3.64</v>
      </c>
      <c r="J66" s="64">
        <v>2.81</v>
      </c>
      <c r="K66" s="64">
        <v>333.59</v>
      </c>
      <c r="L66" s="64">
        <v>24.29</v>
      </c>
      <c r="M66" s="64">
        <v>25.89</v>
      </c>
      <c r="N66" s="64">
        <v>242.2</v>
      </c>
      <c r="O66" s="64">
        <v>0</v>
      </c>
      <c r="P66" s="64">
        <v>0.71</v>
      </c>
      <c r="Q66" s="64">
        <v>8.2100000000000009</v>
      </c>
      <c r="R66" s="198"/>
      <c r="S66" s="198"/>
      <c r="T66" s="198"/>
      <c r="U66" s="198"/>
    </row>
    <row r="67" spans="1:21" s="12" customFormat="1" x14ac:dyDescent="0.25">
      <c r="A67" s="215" t="s">
        <v>1842</v>
      </c>
      <c r="B67" s="64">
        <v>2.5099999999999998</v>
      </c>
      <c r="C67" s="64">
        <v>72.64</v>
      </c>
      <c r="D67" s="64">
        <v>38.590000000000003</v>
      </c>
      <c r="E67" s="64">
        <v>8.82</v>
      </c>
      <c r="F67" s="64">
        <v>8.25</v>
      </c>
      <c r="G67" s="64">
        <v>103.24</v>
      </c>
      <c r="H67" s="64">
        <v>88.96</v>
      </c>
      <c r="I67" s="64">
        <v>3.41</v>
      </c>
      <c r="J67" s="64">
        <v>2.62</v>
      </c>
      <c r="K67" s="64">
        <v>327.82</v>
      </c>
      <c r="L67" s="64">
        <v>24.61</v>
      </c>
      <c r="M67" s="64">
        <v>25.99</v>
      </c>
      <c r="N67" s="64">
        <v>249</v>
      </c>
      <c r="O67" s="64">
        <v>0</v>
      </c>
      <c r="P67" s="64">
        <v>0.72</v>
      </c>
      <c r="Q67" s="64">
        <v>8.2100000000000009</v>
      </c>
      <c r="R67" s="198"/>
      <c r="S67" s="198"/>
      <c r="T67" s="198"/>
      <c r="U67" s="198"/>
    </row>
    <row r="68" spans="1:21" s="12" customFormat="1" x14ac:dyDescent="0.25">
      <c r="A68" s="215" t="s">
        <v>1843</v>
      </c>
      <c r="B68" s="64">
        <v>2.46</v>
      </c>
      <c r="C68" s="64">
        <v>79.59</v>
      </c>
      <c r="D68" s="64">
        <v>42.18</v>
      </c>
      <c r="E68" s="64">
        <v>11.55</v>
      </c>
      <c r="F68" s="64">
        <v>10.64</v>
      </c>
      <c r="G68" s="64">
        <v>110.74</v>
      </c>
      <c r="H68" s="64">
        <v>95.93</v>
      </c>
      <c r="I68" s="64">
        <v>3.29</v>
      </c>
      <c r="J68" s="64">
        <v>1.29</v>
      </c>
      <c r="K68" s="64">
        <v>54.46</v>
      </c>
      <c r="L68" s="64">
        <v>23.84</v>
      </c>
      <c r="M68" s="64">
        <v>26.45</v>
      </c>
      <c r="N68" s="64">
        <v>212.1</v>
      </c>
      <c r="O68" s="64">
        <v>0</v>
      </c>
      <c r="P68" s="64">
        <v>0.74</v>
      </c>
      <c r="Q68" s="64">
        <v>8.2100000000000009</v>
      </c>
      <c r="R68" s="198"/>
      <c r="S68" s="198"/>
      <c r="T68" s="198"/>
      <c r="U68" s="198"/>
    </row>
    <row r="69" spans="1:21" s="12" customFormat="1" x14ac:dyDescent="0.25">
      <c r="A69" s="215" t="s">
        <v>1844</v>
      </c>
      <c r="B69" s="64">
        <v>1.7</v>
      </c>
      <c r="C69" s="64">
        <v>80.33</v>
      </c>
      <c r="D69" s="64">
        <v>41.95</v>
      </c>
      <c r="E69" s="64">
        <v>9.5299999999999994</v>
      </c>
      <c r="F69" s="64">
        <v>9.67</v>
      </c>
      <c r="G69" s="64">
        <v>110.74</v>
      </c>
      <c r="H69" s="64">
        <v>95.93</v>
      </c>
      <c r="I69" s="64">
        <v>3.26</v>
      </c>
      <c r="J69" s="64">
        <v>1.76</v>
      </c>
      <c r="K69" s="64">
        <v>107.93</v>
      </c>
      <c r="L69" s="64">
        <v>21.9</v>
      </c>
      <c r="M69" s="64">
        <v>27.8</v>
      </c>
      <c r="N69" s="64">
        <v>197.4</v>
      </c>
      <c r="O69" s="64">
        <v>0</v>
      </c>
      <c r="P69" s="64">
        <v>0.69</v>
      </c>
      <c r="Q69" s="64">
        <v>8.2100000000000009</v>
      </c>
      <c r="R69" s="198"/>
      <c r="S69" s="198"/>
      <c r="T69" s="198"/>
      <c r="U69" s="198"/>
    </row>
    <row r="70" spans="1:21" s="12" customFormat="1" x14ac:dyDescent="0.25">
      <c r="A70" s="215" t="s">
        <v>1845</v>
      </c>
      <c r="B70" s="64">
        <v>1.72</v>
      </c>
      <c r="C70" s="64">
        <v>77.09</v>
      </c>
      <c r="D70" s="64">
        <v>40.270000000000003</v>
      </c>
      <c r="E70" s="64">
        <v>9.0399999999999991</v>
      </c>
      <c r="F70" s="64">
        <v>7.79</v>
      </c>
      <c r="G70" s="64">
        <v>110.74</v>
      </c>
      <c r="H70" s="64">
        <v>95.93</v>
      </c>
      <c r="I70" s="64">
        <v>3.24</v>
      </c>
      <c r="J70" s="64">
        <v>1.97</v>
      </c>
      <c r="K70" s="64">
        <v>107.45</v>
      </c>
      <c r="L70" s="64">
        <v>21.24</v>
      </c>
      <c r="M70" s="64">
        <v>27.82</v>
      </c>
      <c r="N70" s="64">
        <v>186.8</v>
      </c>
      <c r="O70" s="64">
        <v>0</v>
      </c>
      <c r="P70" s="64">
        <v>0.66</v>
      </c>
      <c r="Q70" s="64">
        <v>8.2100000000000009</v>
      </c>
      <c r="R70" s="198"/>
      <c r="S70" s="198"/>
      <c r="T70" s="198"/>
      <c r="U70" s="198"/>
    </row>
    <row r="71" spans="1:21" s="12" customFormat="1" x14ac:dyDescent="0.25">
      <c r="A71" s="215" t="s">
        <v>1846</v>
      </c>
      <c r="B71" s="64">
        <v>1.72</v>
      </c>
      <c r="C71" s="64">
        <v>74.42</v>
      </c>
      <c r="D71" s="64">
        <v>38.89</v>
      </c>
      <c r="E71" s="64">
        <v>8.89</v>
      </c>
      <c r="F71" s="64">
        <v>7.19</v>
      </c>
      <c r="G71" s="64">
        <v>116.26</v>
      </c>
      <c r="H71" s="64">
        <v>7.16</v>
      </c>
      <c r="I71" s="64">
        <v>3.13</v>
      </c>
      <c r="J71" s="64">
        <v>1.89</v>
      </c>
      <c r="K71" s="64">
        <v>109.76</v>
      </c>
      <c r="L71" s="64">
        <v>21.1</v>
      </c>
      <c r="M71" s="64">
        <v>28.3</v>
      </c>
      <c r="N71" s="64">
        <v>174.9</v>
      </c>
      <c r="O71" s="64">
        <v>0</v>
      </c>
      <c r="P71" s="64">
        <v>0.7</v>
      </c>
      <c r="Q71" s="64">
        <v>8.2100000000000009</v>
      </c>
      <c r="R71" s="198"/>
      <c r="S71" s="198"/>
      <c r="T71" s="198"/>
      <c r="U71" s="198"/>
    </row>
    <row r="72" spans="1:21" s="12" customFormat="1" x14ac:dyDescent="0.25">
      <c r="A72" s="215" t="s">
        <v>1847</v>
      </c>
      <c r="B72" s="64">
        <v>1.84</v>
      </c>
      <c r="C72" s="64">
        <v>71.69</v>
      </c>
      <c r="D72" s="64">
        <v>37.56</v>
      </c>
      <c r="E72" s="64">
        <v>7.4</v>
      </c>
      <c r="F72" s="64">
        <v>6.07</v>
      </c>
      <c r="G72" s="64">
        <v>118.62</v>
      </c>
      <c r="H72" s="213" t="s">
        <v>42</v>
      </c>
      <c r="I72" s="64">
        <v>4.08</v>
      </c>
      <c r="J72" s="64">
        <v>2.66</v>
      </c>
      <c r="K72" s="64">
        <v>120.74</v>
      </c>
      <c r="L72" s="64">
        <v>20.98</v>
      </c>
      <c r="M72" s="64">
        <v>28.6</v>
      </c>
      <c r="N72" s="64">
        <v>166.1</v>
      </c>
      <c r="O72" s="64">
        <v>0</v>
      </c>
      <c r="P72" s="64">
        <v>0.68</v>
      </c>
      <c r="Q72" s="64">
        <v>8.2100000000000009</v>
      </c>
      <c r="R72" s="198"/>
      <c r="S72" s="198"/>
      <c r="T72" s="198"/>
      <c r="U72" s="198"/>
    </row>
    <row r="73" spans="1:21" s="12" customFormat="1" x14ac:dyDescent="0.25">
      <c r="A73" s="215" t="s">
        <v>1848</v>
      </c>
      <c r="B73" s="64">
        <v>1.85</v>
      </c>
      <c r="C73" s="64">
        <v>69.58</v>
      </c>
      <c r="D73" s="64">
        <v>36.46</v>
      </c>
      <c r="E73" s="64">
        <v>6.92</v>
      </c>
      <c r="F73" s="64">
        <v>6.31</v>
      </c>
      <c r="G73" s="64">
        <v>118.62</v>
      </c>
      <c r="H73" s="213" t="s">
        <v>42</v>
      </c>
      <c r="I73" s="64">
        <v>4.6500000000000004</v>
      </c>
      <c r="J73" s="64">
        <v>3.07</v>
      </c>
      <c r="K73" s="64">
        <v>118.62</v>
      </c>
      <c r="L73" s="64">
        <v>20.82</v>
      </c>
      <c r="M73" s="64">
        <v>29.69</v>
      </c>
      <c r="N73" s="64">
        <v>158</v>
      </c>
      <c r="O73" s="64">
        <v>0</v>
      </c>
      <c r="P73" s="64">
        <v>0.69</v>
      </c>
      <c r="Q73" s="64">
        <v>8.2100000000000009</v>
      </c>
      <c r="R73" s="198"/>
      <c r="S73" s="198"/>
      <c r="T73" s="198"/>
      <c r="U73" s="198"/>
    </row>
    <row r="74" spans="1:21" s="12" customFormat="1" x14ac:dyDescent="0.25">
      <c r="A74" s="215" t="s">
        <v>1849</v>
      </c>
      <c r="B74" s="64">
        <v>1.82</v>
      </c>
      <c r="C74" s="64">
        <v>68.05</v>
      </c>
      <c r="D74" s="64">
        <v>35.630000000000003</v>
      </c>
      <c r="E74" s="64">
        <v>6.97</v>
      </c>
      <c r="F74" s="64">
        <v>6.67</v>
      </c>
      <c r="G74" s="64">
        <v>118.62</v>
      </c>
      <c r="H74" s="213" t="s">
        <v>42</v>
      </c>
      <c r="I74" s="64">
        <v>4.72</v>
      </c>
      <c r="J74" s="64">
        <v>2.2400000000000002</v>
      </c>
      <c r="K74" s="64">
        <v>104.94</v>
      </c>
      <c r="L74" s="64">
        <v>20.57</v>
      </c>
      <c r="M74" s="64">
        <v>31.05</v>
      </c>
      <c r="N74" s="64">
        <v>148.80000000000001</v>
      </c>
      <c r="O74" s="64">
        <v>0</v>
      </c>
      <c r="P74" s="64">
        <v>0.69</v>
      </c>
      <c r="Q74" s="64">
        <v>8.2100000000000009</v>
      </c>
      <c r="R74" s="198"/>
      <c r="S74" s="198"/>
      <c r="T74" s="198"/>
      <c r="U74" s="198"/>
    </row>
    <row r="75" spans="1:21" s="12" customFormat="1" x14ac:dyDescent="0.25">
      <c r="A75" s="215" t="s">
        <v>1850</v>
      </c>
      <c r="B75" s="64">
        <v>1.81</v>
      </c>
      <c r="C75" s="64">
        <v>67.28</v>
      </c>
      <c r="D75" s="64">
        <v>35.22</v>
      </c>
      <c r="E75" s="64">
        <v>6.51</v>
      </c>
      <c r="F75" s="64">
        <v>6.2</v>
      </c>
      <c r="G75" s="64">
        <v>114.2</v>
      </c>
      <c r="H75" s="213" t="s">
        <v>42</v>
      </c>
      <c r="I75" s="64">
        <v>4.8099999999999996</v>
      </c>
      <c r="J75" s="64">
        <v>2</v>
      </c>
      <c r="K75" s="64">
        <v>109.89</v>
      </c>
      <c r="L75" s="64">
        <v>20.39</v>
      </c>
      <c r="M75" s="64">
        <v>30.66</v>
      </c>
      <c r="N75" s="64">
        <v>139.80000000000001</v>
      </c>
      <c r="O75" s="64">
        <v>0</v>
      </c>
      <c r="P75" s="64">
        <v>0.67</v>
      </c>
      <c r="Q75" s="64">
        <v>8.2100000000000009</v>
      </c>
      <c r="R75" s="198"/>
      <c r="S75" s="198"/>
      <c r="T75" s="198"/>
      <c r="U75" s="198"/>
    </row>
    <row r="76" spans="1:21" s="12" customFormat="1" x14ac:dyDescent="0.25">
      <c r="A76" s="215" t="s">
        <v>1851</v>
      </c>
      <c r="B76" s="64">
        <v>1.84</v>
      </c>
      <c r="C76" s="64">
        <v>66.84</v>
      </c>
      <c r="D76" s="64">
        <v>35.020000000000003</v>
      </c>
      <c r="E76" s="64">
        <v>7.06</v>
      </c>
      <c r="F76" s="64">
        <v>7.53</v>
      </c>
      <c r="G76" s="64">
        <v>112.31</v>
      </c>
      <c r="H76" s="213" t="s">
        <v>42</v>
      </c>
      <c r="I76" s="64">
        <v>4.34</v>
      </c>
      <c r="J76" s="64">
        <v>1.52</v>
      </c>
      <c r="K76" s="64">
        <v>30.74</v>
      </c>
      <c r="L76" s="64">
        <v>19.920000000000002</v>
      </c>
      <c r="M76" s="64">
        <v>33.78</v>
      </c>
      <c r="N76" s="64">
        <v>130.6</v>
      </c>
      <c r="O76" s="64">
        <v>0</v>
      </c>
      <c r="P76" s="64">
        <v>0.69</v>
      </c>
      <c r="Q76" s="64">
        <v>8.2100000000000009</v>
      </c>
      <c r="R76" s="198"/>
      <c r="S76" s="198"/>
      <c r="T76" s="198"/>
      <c r="U76" s="198"/>
    </row>
    <row r="77" spans="1:21" s="12" customFormat="1" x14ac:dyDescent="0.25">
      <c r="A77" s="215" t="s">
        <v>1852</v>
      </c>
      <c r="B77" s="64">
        <v>2.96</v>
      </c>
      <c r="C77" s="64">
        <v>70.8</v>
      </c>
      <c r="D77" s="64">
        <v>37.99</v>
      </c>
      <c r="E77" s="64">
        <v>7.53</v>
      </c>
      <c r="F77" s="64">
        <v>6.31</v>
      </c>
      <c r="G77" s="64">
        <v>81.92</v>
      </c>
      <c r="H77" s="213" t="s">
        <v>42</v>
      </c>
      <c r="I77" s="64">
        <v>3.97</v>
      </c>
      <c r="J77" s="64">
        <v>2.13</v>
      </c>
      <c r="K77" s="64">
        <v>338.6</v>
      </c>
      <c r="L77" s="64">
        <v>18.86</v>
      </c>
      <c r="M77" s="64">
        <v>48.88</v>
      </c>
      <c r="N77" s="64">
        <v>122.2</v>
      </c>
      <c r="O77" s="64">
        <v>0</v>
      </c>
      <c r="P77" s="64">
        <v>1.22</v>
      </c>
      <c r="Q77" s="64">
        <v>8.2100000000000009</v>
      </c>
      <c r="R77" s="198"/>
      <c r="S77" s="198"/>
      <c r="T77" s="198"/>
      <c r="U77" s="198"/>
    </row>
    <row r="78" spans="1:21" s="12" customFormat="1" x14ac:dyDescent="0.25">
      <c r="A78" s="215" t="s">
        <v>1853</v>
      </c>
      <c r="B78" s="64">
        <v>8.11</v>
      </c>
      <c r="C78" s="64">
        <v>79.989999999999995</v>
      </c>
      <c r="D78" s="64">
        <v>46.92</v>
      </c>
      <c r="E78" s="64">
        <v>8.48</v>
      </c>
      <c r="F78" s="64">
        <v>4.4400000000000004</v>
      </c>
      <c r="G78" s="212" t="s">
        <v>40</v>
      </c>
      <c r="H78" s="212" t="s">
        <v>40</v>
      </c>
      <c r="I78" s="64">
        <v>5</v>
      </c>
      <c r="J78" s="64">
        <v>2.02</v>
      </c>
      <c r="K78" s="64">
        <v>296.86</v>
      </c>
      <c r="L78" s="64">
        <v>17.66</v>
      </c>
      <c r="M78" s="64">
        <v>49.07</v>
      </c>
      <c r="N78" s="64">
        <v>115.4</v>
      </c>
      <c r="O78" s="64">
        <v>0</v>
      </c>
      <c r="P78" s="64">
        <v>0.92</v>
      </c>
      <c r="Q78" s="64">
        <v>8.24</v>
      </c>
      <c r="R78" s="198"/>
      <c r="S78" s="198"/>
      <c r="T78" s="198"/>
      <c r="U78" s="198"/>
    </row>
    <row r="79" spans="1:21" s="12" customFormat="1" x14ac:dyDescent="0.25">
      <c r="A79" s="215" t="s">
        <v>1854</v>
      </c>
      <c r="B79" s="64">
        <v>13.79</v>
      </c>
      <c r="C79" s="64">
        <v>87.24</v>
      </c>
      <c r="D79" s="64">
        <v>55.26</v>
      </c>
      <c r="E79" s="64">
        <v>8.1999999999999993</v>
      </c>
      <c r="F79" s="64">
        <v>4.01</v>
      </c>
      <c r="G79" s="212" t="s">
        <v>40</v>
      </c>
      <c r="H79" s="212" t="s">
        <v>40</v>
      </c>
      <c r="I79" s="64">
        <v>5.88</v>
      </c>
      <c r="J79" s="64">
        <v>2.1</v>
      </c>
      <c r="K79" s="64">
        <v>326.33</v>
      </c>
      <c r="L79" s="64">
        <v>16.649999999999999</v>
      </c>
      <c r="M79" s="64">
        <v>57.94</v>
      </c>
      <c r="N79" s="64">
        <v>112.8</v>
      </c>
      <c r="O79" s="64">
        <v>0</v>
      </c>
      <c r="P79" s="64">
        <v>1.07</v>
      </c>
      <c r="Q79" s="64">
        <v>8.74</v>
      </c>
      <c r="R79" s="198"/>
      <c r="S79" s="198"/>
      <c r="T79" s="198"/>
      <c r="U79" s="198"/>
    </row>
    <row r="80" spans="1:21" s="12" customFormat="1" x14ac:dyDescent="0.25">
      <c r="A80" s="215" t="s">
        <v>1855</v>
      </c>
      <c r="B80" s="64">
        <v>19.690000000000001</v>
      </c>
      <c r="C80" s="64">
        <v>90.6</v>
      </c>
      <c r="D80" s="64">
        <v>61.75</v>
      </c>
      <c r="E80" s="64">
        <v>8.0299999999999994</v>
      </c>
      <c r="F80" s="64">
        <v>3.9</v>
      </c>
      <c r="G80" s="212" t="s">
        <v>40</v>
      </c>
      <c r="H80" s="212" t="s">
        <v>40</v>
      </c>
      <c r="I80" s="64">
        <v>6.58</v>
      </c>
      <c r="J80" s="64">
        <v>2.1</v>
      </c>
      <c r="K80" s="64">
        <v>312.11</v>
      </c>
      <c r="L80" s="64">
        <v>15.83</v>
      </c>
      <c r="M80" s="64">
        <v>57.13</v>
      </c>
      <c r="N80" s="64">
        <v>112.2</v>
      </c>
      <c r="O80" s="64">
        <v>0</v>
      </c>
      <c r="P80" s="64">
        <v>1.65</v>
      </c>
      <c r="Q80" s="64">
        <v>9.24</v>
      </c>
      <c r="R80" s="198"/>
      <c r="S80" s="198"/>
      <c r="T80" s="198"/>
      <c r="U80" s="198"/>
    </row>
    <row r="81" spans="1:26" s="12" customFormat="1" x14ac:dyDescent="0.25">
      <c r="A81" s="215" t="s">
        <v>1856</v>
      </c>
      <c r="B81" s="64">
        <v>24.48</v>
      </c>
      <c r="C81" s="64">
        <v>92.87</v>
      </c>
      <c r="D81" s="64">
        <v>66.77</v>
      </c>
      <c r="E81" s="64">
        <v>8.1300000000000008</v>
      </c>
      <c r="F81" s="64">
        <v>4.0599999999999996</v>
      </c>
      <c r="G81" s="64">
        <v>112.82</v>
      </c>
      <c r="H81" s="64">
        <v>43.69</v>
      </c>
      <c r="I81" s="64">
        <v>7.24</v>
      </c>
      <c r="J81" s="64">
        <v>2.29</v>
      </c>
      <c r="K81" s="64">
        <v>356.49</v>
      </c>
      <c r="L81" s="64">
        <v>15.28</v>
      </c>
      <c r="M81" s="64">
        <v>60.68</v>
      </c>
      <c r="N81" s="64">
        <v>112.2</v>
      </c>
      <c r="O81" s="64">
        <v>0</v>
      </c>
      <c r="P81" s="64">
        <v>1.74</v>
      </c>
      <c r="Q81" s="64">
        <v>9.66</v>
      </c>
      <c r="R81" s="198"/>
      <c r="S81" s="198"/>
      <c r="T81" s="198"/>
      <c r="U81" s="198"/>
    </row>
    <row r="82" spans="1:26" s="12" customFormat="1" x14ac:dyDescent="0.25">
      <c r="A82" s="215" t="s">
        <v>1857</v>
      </c>
      <c r="B82" s="64">
        <v>30.61</v>
      </c>
      <c r="C82" s="64">
        <v>93.77</v>
      </c>
      <c r="D82" s="64">
        <v>72.16</v>
      </c>
      <c r="E82" s="64">
        <v>8.3000000000000007</v>
      </c>
      <c r="F82" s="64">
        <v>4.13</v>
      </c>
      <c r="G82" s="64">
        <v>406.16</v>
      </c>
      <c r="H82" s="64">
        <v>120.15</v>
      </c>
      <c r="I82" s="64">
        <v>8.25</v>
      </c>
      <c r="J82" s="64">
        <v>2.33</v>
      </c>
      <c r="K82" s="64">
        <v>354.16</v>
      </c>
      <c r="L82" s="64">
        <v>15.35</v>
      </c>
      <c r="M82" s="64">
        <v>56.92</v>
      </c>
      <c r="N82" s="64">
        <v>111.4</v>
      </c>
      <c r="O82" s="64">
        <v>0</v>
      </c>
      <c r="P82" s="64">
        <v>2.02</v>
      </c>
      <c r="Q82" s="64">
        <v>9.84</v>
      </c>
      <c r="R82" s="198"/>
      <c r="S82" s="198"/>
      <c r="T82" s="198"/>
      <c r="U82" s="198"/>
    </row>
    <row r="83" spans="1:26" s="12" customFormat="1" x14ac:dyDescent="0.25">
      <c r="A83" s="215" t="s">
        <v>1858</v>
      </c>
      <c r="B83" s="64">
        <v>34.57</v>
      </c>
      <c r="C83" s="64">
        <v>94.37</v>
      </c>
      <c r="D83" s="64">
        <v>75.650000000000006</v>
      </c>
      <c r="E83" s="64">
        <v>8.7799999999999994</v>
      </c>
      <c r="F83" s="64">
        <v>4.38</v>
      </c>
      <c r="G83" s="64">
        <v>406.16</v>
      </c>
      <c r="H83" s="64">
        <v>120.15</v>
      </c>
      <c r="I83" s="64">
        <v>9.6199999999999992</v>
      </c>
      <c r="J83" s="64">
        <v>2.48</v>
      </c>
      <c r="K83" s="64">
        <v>353.9</v>
      </c>
      <c r="L83" s="64">
        <v>15.96</v>
      </c>
      <c r="M83" s="64">
        <v>48</v>
      </c>
      <c r="N83" s="64">
        <v>111.2</v>
      </c>
      <c r="O83" s="64">
        <v>0</v>
      </c>
      <c r="P83" s="64">
        <v>1.74</v>
      </c>
      <c r="Q83" s="64">
        <v>9.89</v>
      </c>
      <c r="R83" s="198"/>
      <c r="S83" s="198"/>
      <c r="T83" s="198"/>
      <c r="U83" s="198"/>
    </row>
    <row r="84" spans="1:26" s="12" customFormat="1" x14ac:dyDescent="0.25">
      <c r="A84" s="215" t="s">
        <v>1859</v>
      </c>
      <c r="B84" s="64">
        <v>34.71</v>
      </c>
      <c r="C84" s="64">
        <v>95.01</v>
      </c>
      <c r="D84" s="64">
        <v>76.099999999999994</v>
      </c>
      <c r="E84" s="64">
        <v>9.4600000000000009</v>
      </c>
      <c r="F84" s="64">
        <v>5.18</v>
      </c>
      <c r="G84" s="64">
        <v>406.16</v>
      </c>
      <c r="H84" s="64">
        <v>120.15</v>
      </c>
      <c r="I84" s="64">
        <v>9.65</v>
      </c>
      <c r="J84" s="64">
        <v>1.6</v>
      </c>
      <c r="K84" s="64">
        <v>5.9</v>
      </c>
      <c r="L84" s="64">
        <v>16.05</v>
      </c>
      <c r="M84" s="64">
        <v>47.51</v>
      </c>
      <c r="N84" s="64">
        <v>112.1</v>
      </c>
      <c r="O84" s="64">
        <v>0</v>
      </c>
      <c r="P84" s="64">
        <v>1.8</v>
      </c>
      <c r="Q84" s="64">
        <v>9.94</v>
      </c>
      <c r="R84" s="198"/>
      <c r="S84" s="198"/>
      <c r="T84" s="198"/>
      <c r="U84" s="198"/>
    </row>
    <row r="85" spans="1:26" s="12" customFormat="1" x14ac:dyDescent="0.25">
      <c r="A85" s="215" t="s">
        <v>1860</v>
      </c>
      <c r="B85" s="64">
        <v>33.69</v>
      </c>
      <c r="C85" s="64">
        <v>94.8</v>
      </c>
      <c r="D85" s="64">
        <v>75.17</v>
      </c>
      <c r="E85" s="64">
        <v>8.49</v>
      </c>
      <c r="F85" s="64">
        <v>4.22</v>
      </c>
      <c r="G85" s="64">
        <v>398.85</v>
      </c>
      <c r="H85" s="64">
        <v>118.61</v>
      </c>
      <c r="I85" s="64">
        <v>8.86</v>
      </c>
      <c r="J85" s="64">
        <v>1.91</v>
      </c>
      <c r="K85" s="64">
        <v>77.05</v>
      </c>
      <c r="L85" s="64">
        <v>15.98</v>
      </c>
      <c r="M85" s="64">
        <v>47.9</v>
      </c>
      <c r="N85" s="64">
        <v>112.2</v>
      </c>
      <c r="O85" s="64">
        <v>0</v>
      </c>
      <c r="P85" s="64">
        <v>1.61</v>
      </c>
      <c r="Q85" s="64">
        <v>9.9600000000000009</v>
      </c>
      <c r="R85" s="198"/>
      <c r="S85" s="198"/>
      <c r="T85" s="198"/>
      <c r="U85" s="198"/>
    </row>
    <row r="86" spans="1:26" s="12" customFormat="1" x14ac:dyDescent="0.25">
      <c r="A86" s="215" t="s">
        <v>1861</v>
      </c>
      <c r="B86" s="64">
        <v>32.299999999999997</v>
      </c>
      <c r="C86" s="64">
        <v>94.02</v>
      </c>
      <c r="D86" s="64">
        <v>73.64</v>
      </c>
      <c r="E86" s="64">
        <v>8.94</v>
      </c>
      <c r="F86" s="64">
        <v>4.1100000000000003</v>
      </c>
      <c r="G86" s="64">
        <v>379.83</v>
      </c>
      <c r="H86" s="64">
        <v>115.91</v>
      </c>
      <c r="I86" s="64">
        <v>8.8000000000000007</v>
      </c>
      <c r="J86" s="64">
        <v>1.47</v>
      </c>
      <c r="K86" s="64">
        <v>75.89</v>
      </c>
      <c r="L86" s="64">
        <v>15.67</v>
      </c>
      <c r="M86" s="64">
        <v>49.89</v>
      </c>
      <c r="N86" s="64">
        <v>112.6</v>
      </c>
      <c r="O86" s="64">
        <v>0</v>
      </c>
      <c r="P86" s="64">
        <v>1.73</v>
      </c>
      <c r="Q86" s="64">
        <v>9.9499999999999993</v>
      </c>
      <c r="R86" s="198"/>
      <c r="S86" s="198"/>
      <c r="T86" s="198"/>
      <c r="U86" s="198"/>
    </row>
    <row r="87" spans="1:26" s="12" customFormat="1" x14ac:dyDescent="0.25">
      <c r="A87" s="215" t="s">
        <v>1862</v>
      </c>
      <c r="B87" s="64">
        <v>31.45</v>
      </c>
      <c r="C87" s="64">
        <v>93.63</v>
      </c>
      <c r="D87" s="64">
        <v>72.760000000000005</v>
      </c>
      <c r="E87" s="64">
        <v>8.99</v>
      </c>
      <c r="F87" s="64">
        <v>4.49</v>
      </c>
      <c r="G87" s="64">
        <v>379.83</v>
      </c>
      <c r="H87" s="64">
        <v>115.91</v>
      </c>
      <c r="I87" s="64">
        <v>9.15</v>
      </c>
      <c r="J87" s="64">
        <v>1.98</v>
      </c>
      <c r="K87" s="64">
        <v>26.28</v>
      </c>
      <c r="L87" s="64">
        <v>15.16</v>
      </c>
      <c r="M87" s="64">
        <v>53.39</v>
      </c>
      <c r="N87" s="64">
        <v>112.5</v>
      </c>
      <c r="O87" s="64">
        <v>0</v>
      </c>
      <c r="P87" s="64">
        <v>1.68</v>
      </c>
      <c r="Q87" s="64">
        <v>9.9700000000000006</v>
      </c>
      <c r="R87" s="198"/>
      <c r="S87" s="198"/>
      <c r="T87" s="198"/>
      <c r="U87" s="198"/>
    </row>
    <row r="88" spans="1:26" s="12" customFormat="1" x14ac:dyDescent="0.25">
      <c r="A88" s="215" t="s">
        <v>1863</v>
      </c>
      <c r="B88" s="64">
        <v>32.630000000000003</v>
      </c>
      <c r="C88" s="64">
        <v>93.61</v>
      </c>
      <c r="D88" s="64">
        <v>73.7</v>
      </c>
      <c r="E88" s="64">
        <v>8.99</v>
      </c>
      <c r="F88" s="64">
        <v>4.33</v>
      </c>
      <c r="G88" s="64">
        <v>379.83</v>
      </c>
      <c r="H88" s="64">
        <v>115.91</v>
      </c>
      <c r="I88" s="64">
        <v>9.06</v>
      </c>
      <c r="J88" s="64">
        <v>0.26</v>
      </c>
      <c r="K88" s="64">
        <v>273.47000000000003</v>
      </c>
      <c r="L88" s="64">
        <v>14.35</v>
      </c>
      <c r="M88" s="64">
        <v>63.46</v>
      </c>
      <c r="N88" s="64">
        <v>112.8</v>
      </c>
      <c r="O88" s="64">
        <v>0</v>
      </c>
      <c r="P88" s="64">
        <v>1.64</v>
      </c>
      <c r="Q88" s="64">
        <v>10.01</v>
      </c>
      <c r="R88" s="198"/>
      <c r="S88" s="198"/>
      <c r="T88" s="198"/>
      <c r="U88" s="198"/>
    </row>
    <row r="89" spans="1:26" s="12" customFormat="1" x14ac:dyDescent="0.25">
      <c r="A89" s="215" t="s">
        <v>1864</v>
      </c>
      <c r="B89" s="64">
        <v>36.9</v>
      </c>
      <c r="C89" s="64">
        <v>93.97</v>
      </c>
      <c r="D89" s="64">
        <v>77.31</v>
      </c>
      <c r="E89" s="64">
        <v>9.68</v>
      </c>
      <c r="F89" s="64">
        <v>4.9800000000000004</v>
      </c>
      <c r="G89" s="64">
        <v>380.72</v>
      </c>
      <c r="H89" s="64">
        <v>121.78</v>
      </c>
      <c r="I89" s="64">
        <v>8.98</v>
      </c>
      <c r="J89" s="64">
        <v>1.45</v>
      </c>
      <c r="K89" s="64">
        <v>299.95</v>
      </c>
      <c r="L89" s="64">
        <v>13.74</v>
      </c>
      <c r="M89" s="64">
        <v>63.64</v>
      </c>
      <c r="N89" s="64">
        <v>112.7</v>
      </c>
      <c r="O89" s="64">
        <v>0</v>
      </c>
      <c r="P89" s="64">
        <v>1.77</v>
      </c>
      <c r="Q89" s="64">
        <v>10.039999999999999</v>
      </c>
      <c r="R89" s="198"/>
      <c r="S89" s="198"/>
      <c r="T89" s="198"/>
      <c r="U89" s="198"/>
    </row>
    <row r="90" spans="1:26" s="12" customFormat="1" x14ac:dyDescent="0.25">
      <c r="A90" s="215" t="s">
        <v>1865</v>
      </c>
      <c r="B90" s="64">
        <v>40.5</v>
      </c>
      <c r="C90" s="64">
        <v>94.03</v>
      </c>
      <c r="D90" s="64">
        <v>80.22</v>
      </c>
      <c r="E90" s="64">
        <v>9.68</v>
      </c>
      <c r="F90" s="64">
        <v>5.18</v>
      </c>
      <c r="G90" s="64">
        <v>383.15</v>
      </c>
      <c r="H90" s="64">
        <v>132.05000000000001</v>
      </c>
      <c r="I90" s="64">
        <v>8.99</v>
      </c>
      <c r="J90" s="64">
        <v>1.48</v>
      </c>
      <c r="K90" s="64">
        <v>277.25</v>
      </c>
      <c r="L90" s="64">
        <v>13.81</v>
      </c>
      <c r="M90" s="64">
        <v>62.87</v>
      </c>
      <c r="N90" s="64">
        <v>112.5</v>
      </c>
      <c r="O90" s="64">
        <v>0</v>
      </c>
      <c r="P90" s="64">
        <v>1.84</v>
      </c>
      <c r="Q90" s="64">
        <v>10.06</v>
      </c>
      <c r="R90" s="198"/>
      <c r="S90" s="198"/>
      <c r="T90" s="198"/>
      <c r="U90" s="198"/>
    </row>
    <row r="91" spans="1:26" s="12" customFormat="1" x14ac:dyDescent="0.25">
      <c r="A91" s="215" t="s">
        <v>1866</v>
      </c>
      <c r="B91" s="64">
        <v>41.9</v>
      </c>
      <c r="C91" s="64">
        <v>94.24</v>
      </c>
      <c r="D91" s="64">
        <v>81.47</v>
      </c>
      <c r="E91" s="64">
        <v>9.8800000000000008</v>
      </c>
      <c r="F91" s="64">
        <v>5.05</v>
      </c>
      <c r="G91" s="64">
        <v>383.15</v>
      </c>
      <c r="H91" s="64">
        <v>132.05000000000001</v>
      </c>
      <c r="I91" s="64">
        <v>9.1999999999999993</v>
      </c>
      <c r="J91" s="64">
        <v>1.98</v>
      </c>
      <c r="K91" s="64">
        <v>322.72000000000003</v>
      </c>
      <c r="L91" s="64">
        <v>13.77</v>
      </c>
      <c r="M91" s="64">
        <v>63.86</v>
      </c>
      <c r="N91" s="64">
        <v>112.5</v>
      </c>
      <c r="O91" s="64">
        <v>0</v>
      </c>
      <c r="P91" s="64">
        <v>1.91</v>
      </c>
      <c r="Q91" s="64">
        <v>10.07</v>
      </c>
      <c r="R91" s="198"/>
      <c r="S91" s="198"/>
      <c r="T91" s="198"/>
      <c r="U91" s="198"/>
    </row>
    <row r="92" spans="1:26" s="12" customFormat="1" x14ac:dyDescent="0.25">
      <c r="A92" s="215" t="s">
        <v>1867</v>
      </c>
      <c r="B92" s="64">
        <v>44.69</v>
      </c>
      <c r="C92" s="64">
        <v>94.5</v>
      </c>
      <c r="D92" s="64">
        <v>83.83</v>
      </c>
      <c r="E92" s="64">
        <v>9.8800000000000008</v>
      </c>
      <c r="F92" s="64">
        <v>5.28</v>
      </c>
      <c r="G92" s="64">
        <v>383.15</v>
      </c>
      <c r="H92" s="64">
        <v>132.05000000000001</v>
      </c>
      <c r="I92" s="64">
        <v>9.27</v>
      </c>
      <c r="J92" s="64">
        <v>1.63</v>
      </c>
      <c r="K92" s="64">
        <v>296.14</v>
      </c>
      <c r="L92" s="64">
        <v>13.59</v>
      </c>
      <c r="M92" s="64">
        <v>61.53</v>
      </c>
      <c r="N92" s="64">
        <v>112.5</v>
      </c>
      <c r="O92" s="64">
        <v>0</v>
      </c>
      <c r="P92" s="64">
        <v>2.02</v>
      </c>
      <c r="Q92" s="64">
        <v>10.119999999999999</v>
      </c>
      <c r="R92" s="198"/>
      <c r="S92" s="198"/>
      <c r="T92" s="198"/>
      <c r="U92" s="198"/>
    </row>
    <row r="93" spans="1:26" s="12" customFormat="1" x14ac:dyDescent="0.25">
      <c r="A93" s="215" t="s">
        <v>1868</v>
      </c>
      <c r="B93" s="64">
        <v>46.2</v>
      </c>
      <c r="C93" s="64">
        <v>94.55</v>
      </c>
      <c r="D93" s="64">
        <v>85.07</v>
      </c>
      <c r="E93" s="64">
        <v>10.06</v>
      </c>
      <c r="F93" s="64">
        <v>5.7</v>
      </c>
      <c r="G93" s="64">
        <v>378.75</v>
      </c>
      <c r="H93" s="64">
        <v>128.16</v>
      </c>
      <c r="I93" s="64">
        <v>9.35</v>
      </c>
      <c r="J93" s="64">
        <v>1.91</v>
      </c>
      <c r="K93" s="64">
        <v>340.18</v>
      </c>
      <c r="L93" s="64">
        <v>13.8</v>
      </c>
      <c r="M93" s="64">
        <v>58.32</v>
      </c>
      <c r="N93" s="64">
        <v>112.7</v>
      </c>
      <c r="O93" s="64">
        <v>0</v>
      </c>
      <c r="P93" s="64">
        <v>2.0699999999999998</v>
      </c>
      <c r="Q93" s="64">
        <v>10.15</v>
      </c>
      <c r="R93" s="198"/>
      <c r="S93" s="198"/>
      <c r="T93" s="198"/>
      <c r="U93" s="198"/>
    </row>
    <row r="94" spans="1:26" s="12" customFormat="1" x14ac:dyDescent="0.25">
      <c r="A94" s="215" t="s">
        <v>1869</v>
      </c>
      <c r="B94" s="64">
        <v>48.73</v>
      </c>
      <c r="C94" s="64">
        <v>94.52</v>
      </c>
      <c r="D94" s="64">
        <v>87.09</v>
      </c>
      <c r="E94" s="64">
        <v>9.7100000000000009</v>
      </c>
      <c r="F94" s="64">
        <v>5.35</v>
      </c>
      <c r="G94" s="64">
        <v>367.31</v>
      </c>
      <c r="H94" s="64">
        <v>113.29</v>
      </c>
      <c r="I94" s="64">
        <v>9.4700000000000006</v>
      </c>
      <c r="J94" s="64">
        <v>1.1299999999999999</v>
      </c>
      <c r="K94" s="64">
        <v>87.03</v>
      </c>
      <c r="L94" s="64">
        <v>13.46</v>
      </c>
      <c r="M94" s="64">
        <v>57.83</v>
      </c>
      <c r="N94" s="64">
        <v>113</v>
      </c>
      <c r="O94" s="64">
        <v>0</v>
      </c>
      <c r="P94" s="64">
        <v>2.12</v>
      </c>
      <c r="Q94" s="64">
        <v>10.18</v>
      </c>
      <c r="R94" s="198"/>
      <c r="S94" s="198"/>
      <c r="T94" s="198"/>
      <c r="U94" s="198"/>
    </row>
    <row r="95" spans="1:26" s="12" customFormat="1" x14ac:dyDescent="0.25">
      <c r="A95" s="215" t="s">
        <v>1870</v>
      </c>
      <c r="B95" s="64">
        <v>49.51</v>
      </c>
      <c r="C95" s="64">
        <v>94.61</v>
      </c>
      <c r="D95" s="64">
        <v>87.76</v>
      </c>
      <c r="E95" s="64">
        <v>9.83</v>
      </c>
      <c r="F95" s="64">
        <v>4.97</v>
      </c>
      <c r="G95" s="64">
        <v>367.31</v>
      </c>
      <c r="H95" s="64">
        <v>113.29</v>
      </c>
      <c r="I95" s="64">
        <v>9.49</v>
      </c>
      <c r="J95" s="64">
        <v>1.44</v>
      </c>
      <c r="K95" s="64">
        <v>262.42</v>
      </c>
      <c r="L95" s="64">
        <v>13.69</v>
      </c>
      <c r="M95" s="64">
        <v>55.65</v>
      </c>
      <c r="N95" s="64">
        <v>112.5</v>
      </c>
      <c r="O95" s="64">
        <v>0</v>
      </c>
      <c r="P95" s="64">
        <v>2.13</v>
      </c>
      <c r="Q95" s="64">
        <v>10.19</v>
      </c>
      <c r="R95" s="198"/>
      <c r="S95" s="198"/>
      <c r="T95" s="198"/>
      <c r="U95" s="198"/>
    </row>
    <row r="96" spans="1:26" s="12" customFormat="1" x14ac:dyDescent="0.25">
      <c r="A96" s="215" t="s">
        <v>1871</v>
      </c>
      <c r="B96" s="64">
        <v>50.52</v>
      </c>
      <c r="C96" s="64">
        <v>94.32</v>
      </c>
      <c r="D96" s="64">
        <v>88.42</v>
      </c>
      <c r="E96" s="64">
        <v>9.14</v>
      </c>
      <c r="F96" s="64">
        <v>4.95</v>
      </c>
      <c r="G96" s="64">
        <v>367.31</v>
      </c>
      <c r="H96" s="64">
        <v>113.29</v>
      </c>
      <c r="I96" s="64">
        <v>9.49</v>
      </c>
      <c r="J96" s="64">
        <v>1.51</v>
      </c>
      <c r="K96" s="64">
        <v>338.93</v>
      </c>
      <c r="L96" s="64">
        <v>13.38</v>
      </c>
      <c r="M96" s="64">
        <v>56.58</v>
      </c>
      <c r="N96" s="64">
        <v>112.8</v>
      </c>
      <c r="O96" s="64">
        <v>0</v>
      </c>
      <c r="P96" s="64">
        <v>2.14</v>
      </c>
      <c r="Q96" s="64">
        <v>10.19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1872</v>
      </c>
      <c r="B97" s="64">
        <v>52.27</v>
      </c>
      <c r="C97" s="64">
        <v>92.19</v>
      </c>
      <c r="D97" s="64">
        <v>88.7</v>
      </c>
      <c r="E97" s="64">
        <v>8.98</v>
      </c>
      <c r="F97" s="64">
        <v>4.3</v>
      </c>
      <c r="G97" s="64">
        <v>354.19</v>
      </c>
      <c r="H97" s="64">
        <v>122.52</v>
      </c>
      <c r="I97" s="64">
        <v>9.43</v>
      </c>
      <c r="J97" s="64">
        <v>2.08</v>
      </c>
      <c r="K97" s="64">
        <v>297.85000000000002</v>
      </c>
      <c r="L97" s="64">
        <v>13.35</v>
      </c>
      <c r="M97" s="64">
        <v>57.42</v>
      </c>
      <c r="N97" s="64">
        <v>112.6</v>
      </c>
      <c r="O97" s="64">
        <v>0</v>
      </c>
      <c r="P97" s="64">
        <v>2.14</v>
      </c>
      <c r="Q97" s="64">
        <v>10.14</v>
      </c>
      <c r="R97" s="198"/>
      <c r="S97" s="198"/>
      <c r="T97" s="198"/>
      <c r="U97" s="198"/>
    </row>
    <row r="98" spans="1:33" s="12" customFormat="1" x14ac:dyDescent="0.25">
      <c r="A98" s="215" t="s">
        <v>1873</v>
      </c>
      <c r="B98" s="64">
        <v>53.8</v>
      </c>
      <c r="C98" s="64">
        <v>91.36</v>
      </c>
      <c r="D98" s="64">
        <v>89.5</v>
      </c>
      <c r="E98" s="64">
        <v>9.2100000000000009</v>
      </c>
      <c r="F98" s="64">
        <v>4.37</v>
      </c>
      <c r="G98" s="64">
        <v>320.07</v>
      </c>
      <c r="H98" s="64">
        <v>138.69</v>
      </c>
      <c r="I98" s="64">
        <v>9.25</v>
      </c>
      <c r="J98" s="64">
        <v>1.7</v>
      </c>
      <c r="K98" s="64">
        <v>316.38</v>
      </c>
      <c r="L98" s="64">
        <v>12.89</v>
      </c>
      <c r="M98" s="64">
        <v>61.18</v>
      </c>
      <c r="N98" s="64">
        <v>113.4</v>
      </c>
      <c r="O98" s="64">
        <v>0</v>
      </c>
      <c r="P98" s="64">
        <v>2.1800000000000002</v>
      </c>
      <c r="Q98" s="64">
        <v>10.119999999999999</v>
      </c>
      <c r="R98" s="198"/>
      <c r="S98" s="198"/>
      <c r="T98" s="198"/>
      <c r="U98" s="198"/>
    </row>
    <row r="99" spans="1:33" s="12" customFormat="1" x14ac:dyDescent="0.25">
      <c r="A99" s="215" t="s">
        <v>1874</v>
      </c>
      <c r="B99" s="64">
        <v>54.37</v>
      </c>
      <c r="C99" s="64">
        <v>90.02</v>
      </c>
      <c r="D99" s="64">
        <v>89.25</v>
      </c>
      <c r="E99" s="64">
        <v>8.7799999999999994</v>
      </c>
      <c r="F99" s="64">
        <v>4.1399999999999997</v>
      </c>
      <c r="G99" s="64">
        <v>320.07</v>
      </c>
      <c r="H99" s="64">
        <v>138.69</v>
      </c>
      <c r="I99" s="64">
        <v>9.07</v>
      </c>
      <c r="J99" s="64">
        <v>2.13</v>
      </c>
      <c r="K99" s="64">
        <v>252.65</v>
      </c>
      <c r="L99" s="64">
        <v>12.9</v>
      </c>
      <c r="M99" s="64">
        <v>59.1</v>
      </c>
      <c r="N99" s="64">
        <v>113.6</v>
      </c>
      <c r="O99" s="64">
        <v>0</v>
      </c>
      <c r="P99" s="64">
        <v>2.1800000000000002</v>
      </c>
      <c r="Q99" s="64">
        <v>10.119999999999999</v>
      </c>
      <c r="R99" s="198"/>
      <c r="S99" s="198"/>
      <c r="T99" s="198"/>
      <c r="U99" s="198"/>
    </row>
    <row r="100" spans="1:33" s="12" customFormat="1" x14ac:dyDescent="0.25">
      <c r="A100" s="215" t="s">
        <v>1875</v>
      </c>
      <c r="B100" s="64">
        <v>54.28</v>
      </c>
      <c r="C100" s="64">
        <v>88.69</v>
      </c>
      <c r="D100" s="64">
        <v>88.49</v>
      </c>
      <c r="E100" s="64">
        <v>8.86</v>
      </c>
      <c r="F100" s="64">
        <v>4.62</v>
      </c>
      <c r="G100" s="64">
        <v>320.07</v>
      </c>
      <c r="H100" s="64">
        <v>138.69</v>
      </c>
      <c r="I100" s="64">
        <v>9.24</v>
      </c>
      <c r="J100" s="64">
        <v>1.31</v>
      </c>
      <c r="K100" s="64">
        <v>322.24</v>
      </c>
      <c r="L100" s="64">
        <v>12.73</v>
      </c>
      <c r="M100" s="64">
        <v>60.05</v>
      </c>
      <c r="N100" s="64">
        <v>113.7</v>
      </c>
      <c r="O100" s="64">
        <v>0</v>
      </c>
      <c r="P100" s="64">
        <v>2.17</v>
      </c>
      <c r="Q100" s="64">
        <v>10.17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1876</v>
      </c>
      <c r="B101" s="64">
        <v>56.92</v>
      </c>
      <c r="C101" s="64">
        <v>87.01</v>
      </c>
      <c r="D101" s="64">
        <v>89.73</v>
      </c>
      <c r="E101" s="64">
        <v>8.8699999999999992</v>
      </c>
      <c r="F101" s="64">
        <v>5.01</v>
      </c>
      <c r="G101" s="64">
        <v>319.57</v>
      </c>
      <c r="H101" s="64">
        <v>136.62</v>
      </c>
      <c r="I101" s="64">
        <v>9.2799999999999994</v>
      </c>
      <c r="J101" s="64">
        <v>1.7</v>
      </c>
      <c r="K101" s="64">
        <v>254.52</v>
      </c>
      <c r="L101" s="64">
        <v>12.29</v>
      </c>
      <c r="M101" s="64">
        <v>64.239999999999995</v>
      </c>
      <c r="N101" s="64">
        <v>113.6</v>
      </c>
      <c r="O101" s="64">
        <v>0</v>
      </c>
      <c r="P101" s="64">
        <v>2.1800000000000002</v>
      </c>
      <c r="Q101" s="64">
        <v>10.19</v>
      </c>
      <c r="R101" s="198"/>
      <c r="S101" s="198"/>
      <c r="T101" s="198"/>
      <c r="U101" s="198"/>
    </row>
    <row r="102" spans="1:33" s="12" customFormat="1" x14ac:dyDescent="0.25">
      <c r="A102" s="215" t="s">
        <v>1877</v>
      </c>
      <c r="B102" s="64">
        <v>58.89</v>
      </c>
      <c r="C102" s="64">
        <v>85.33</v>
      </c>
      <c r="D102" s="64">
        <v>90.43</v>
      </c>
      <c r="E102" s="64">
        <v>8.83</v>
      </c>
      <c r="F102" s="64">
        <v>4.72</v>
      </c>
      <c r="G102" s="64">
        <v>318.25</v>
      </c>
      <c r="H102" s="64">
        <v>133.01</v>
      </c>
      <c r="I102" s="64">
        <v>9.34</v>
      </c>
      <c r="J102" s="64">
        <v>1.28</v>
      </c>
      <c r="K102" s="64">
        <v>299.85000000000002</v>
      </c>
      <c r="L102" s="64">
        <v>11.98</v>
      </c>
      <c r="M102" s="64">
        <v>65.989999999999995</v>
      </c>
      <c r="N102" s="64">
        <v>114.2</v>
      </c>
      <c r="O102" s="64">
        <v>0</v>
      </c>
      <c r="P102" s="64">
        <v>2.17</v>
      </c>
      <c r="Q102" s="64">
        <v>10.210000000000001</v>
      </c>
      <c r="R102" s="198"/>
      <c r="S102" s="198"/>
      <c r="T102" s="198"/>
      <c r="U102" s="198"/>
    </row>
    <row r="103" spans="1:33" s="12" customFormat="1" x14ac:dyDescent="0.25">
      <c r="A103" s="215" t="s">
        <v>1878</v>
      </c>
      <c r="B103" s="64">
        <v>60</v>
      </c>
      <c r="C103" s="64">
        <v>83.89</v>
      </c>
      <c r="D103" s="64">
        <v>90.57</v>
      </c>
      <c r="E103" s="64">
        <v>8.73</v>
      </c>
      <c r="F103" s="64">
        <v>4.7300000000000004</v>
      </c>
      <c r="G103" s="64">
        <v>318.25</v>
      </c>
      <c r="H103" s="64">
        <v>133.01</v>
      </c>
      <c r="I103" s="64">
        <v>9.3699999999999992</v>
      </c>
      <c r="J103" s="64">
        <v>2.09</v>
      </c>
      <c r="K103" s="64">
        <v>331.13</v>
      </c>
      <c r="L103" s="64">
        <v>11.89</v>
      </c>
      <c r="M103" s="64">
        <v>69.97</v>
      </c>
      <c r="N103" s="64">
        <v>114.3</v>
      </c>
      <c r="O103" s="64">
        <v>0</v>
      </c>
      <c r="P103" s="64">
        <v>2.15</v>
      </c>
      <c r="Q103" s="64">
        <v>10.23</v>
      </c>
      <c r="R103" s="198"/>
      <c r="S103" s="198"/>
      <c r="T103" s="198"/>
      <c r="U103" s="198"/>
    </row>
    <row r="104" spans="1:33" s="12" customFormat="1" x14ac:dyDescent="0.25">
      <c r="A104" s="215" t="s">
        <v>1879</v>
      </c>
      <c r="B104" s="64">
        <v>62.48</v>
      </c>
      <c r="C104" s="64">
        <v>81.89</v>
      </c>
      <c r="D104" s="64">
        <v>91.51</v>
      </c>
      <c r="E104" s="64">
        <v>8.48</v>
      </c>
      <c r="F104" s="64">
        <v>4.93</v>
      </c>
      <c r="G104" s="64">
        <v>318.25</v>
      </c>
      <c r="H104" s="64">
        <v>133.01</v>
      </c>
      <c r="I104" s="64">
        <v>9.39</v>
      </c>
      <c r="J104" s="64">
        <v>2.13</v>
      </c>
      <c r="K104" s="64">
        <v>312.83999999999997</v>
      </c>
      <c r="L104" s="64">
        <v>11.48</v>
      </c>
      <c r="M104" s="64">
        <v>75.58</v>
      </c>
      <c r="N104" s="64">
        <v>114.4</v>
      </c>
      <c r="O104" s="64">
        <v>0</v>
      </c>
      <c r="P104" s="64">
        <v>2.16</v>
      </c>
      <c r="Q104" s="64">
        <v>10.27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1.08</v>
      </c>
      <c r="C106" s="67">
        <f>MIN(C9:C104)</f>
        <v>58.85</v>
      </c>
      <c r="D106" s="67">
        <f t="shared" ref="D106:Q106" si="0">MIN(D9:D104)</f>
        <v>34.79</v>
      </c>
      <c r="E106" s="67">
        <f t="shared" si="0"/>
        <v>6.42</v>
      </c>
      <c r="F106" s="67">
        <f t="shared" si="0"/>
        <v>3.52</v>
      </c>
      <c r="G106" s="67">
        <f t="shared" si="0"/>
        <v>60.02</v>
      </c>
      <c r="H106" s="67">
        <f t="shared" si="0"/>
        <v>2.38</v>
      </c>
      <c r="I106" s="67">
        <f t="shared" si="0"/>
        <v>3.13</v>
      </c>
      <c r="J106" s="67">
        <f t="shared" si="0"/>
        <v>0.26</v>
      </c>
      <c r="K106" s="67">
        <f t="shared" si="0"/>
        <v>5.9</v>
      </c>
      <c r="L106" s="67">
        <f t="shared" si="0"/>
        <v>7.77</v>
      </c>
      <c r="M106" s="67">
        <f t="shared" si="0"/>
        <v>25.29</v>
      </c>
      <c r="N106" s="67">
        <f t="shared" si="0"/>
        <v>111.2</v>
      </c>
      <c r="O106" s="67">
        <f t="shared" si="0"/>
        <v>0</v>
      </c>
      <c r="P106" s="67">
        <f t="shared" si="0"/>
        <v>0.66</v>
      </c>
      <c r="Q106" s="67">
        <f t="shared" si="0"/>
        <v>8.2100000000000009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210.61</v>
      </c>
      <c r="C107" s="66">
        <f t="shared" ref="C107:Q107" si="1">MAX(C9:C104)</f>
        <v>95.01</v>
      </c>
      <c r="D107" s="66">
        <f t="shared" si="1"/>
        <v>208.97</v>
      </c>
      <c r="E107" s="66">
        <f t="shared" si="1"/>
        <v>14.49</v>
      </c>
      <c r="F107" s="66">
        <f t="shared" si="1"/>
        <v>21.11</v>
      </c>
      <c r="G107" s="66">
        <f t="shared" si="1"/>
        <v>406.16</v>
      </c>
      <c r="H107" s="66">
        <f t="shared" si="1"/>
        <v>184.4</v>
      </c>
      <c r="I107" s="66">
        <f t="shared" si="1"/>
        <v>12.24</v>
      </c>
      <c r="J107" s="66">
        <f t="shared" si="1"/>
        <v>3.64</v>
      </c>
      <c r="K107" s="66">
        <f t="shared" si="1"/>
        <v>356.49</v>
      </c>
      <c r="L107" s="66">
        <f t="shared" si="1"/>
        <v>24.8</v>
      </c>
      <c r="M107" s="66">
        <f t="shared" si="1"/>
        <v>96.32</v>
      </c>
      <c r="N107" s="66">
        <f t="shared" si="1"/>
        <v>817</v>
      </c>
      <c r="O107" s="66">
        <f t="shared" si="1"/>
        <v>0</v>
      </c>
      <c r="P107" s="66">
        <f t="shared" si="1"/>
        <v>3.05</v>
      </c>
      <c r="Q107" s="66">
        <f t="shared" si="1"/>
        <v>11.51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62.476354166666674</v>
      </c>
      <c r="C108" s="67">
        <f t="shared" ref="C108:Q108" si="2">AVERAGE(C9:C104)</f>
        <v>74.536458333333329</v>
      </c>
      <c r="D108" s="67">
        <f t="shared" si="2"/>
        <v>87.667187500000011</v>
      </c>
      <c r="E108" s="67">
        <f t="shared" si="2"/>
        <v>9.4874999999999989</v>
      </c>
      <c r="F108" s="67">
        <f t="shared" si="2"/>
        <v>6.0084374999999994</v>
      </c>
      <c r="G108" s="67">
        <f t="shared" si="2"/>
        <v>217.98550561797757</v>
      </c>
      <c r="H108" s="67">
        <f t="shared" si="2"/>
        <v>103.36867469879516</v>
      </c>
      <c r="I108" s="67">
        <f t="shared" si="2"/>
        <v>8.0811458333333324</v>
      </c>
      <c r="J108" s="67">
        <f t="shared" si="2"/>
        <v>1.9970833333333324</v>
      </c>
      <c r="K108" s="67">
        <f t="shared" si="2"/>
        <v>221.3425</v>
      </c>
      <c r="L108" s="67">
        <f t="shared" si="2"/>
        <v>14.889583333333336</v>
      </c>
      <c r="M108" s="67">
        <f t="shared" si="2"/>
        <v>57.385208333333338</v>
      </c>
      <c r="N108" s="67">
        <f t="shared" si="2"/>
        <v>272.39375000000001</v>
      </c>
      <c r="O108" s="67">
        <f t="shared" si="2"/>
        <v>0</v>
      </c>
      <c r="P108" s="67">
        <f t="shared" si="2"/>
        <v>1.6070833333333328</v>
      </c>
      <c r="Q108" s="67">
        <f t="shared" si="2"/>
        <v>9.7725000000000097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59.496781197672959</v>
      </c>
      <c r="C109" s="67">
        <f t="shared" ref="C109:Q109" si="3">STDEV(C9:C104)</f>
        <v>12.16232958806699</v>
      </c>
      <c r="D109" s="67">
        <f t="shared" si="3"/>
        <v>46.088710929732819</v>
      </c>
      <c r="E109" s="67">
        <f t="shared" si="3"/>
        <v>1.7934371586719577</v>
      </c>
      <c r="F109" s="67">
        <f t="shared" si="3"/>
        <v>2.8164887913574415</v>
      </c>
      <c r="G109" s="67">
        <f t="shared" si="3"/>
        <v>99.491572222009395</v>
      </c>
      <c r="H109" s="67">
        <f t="shared" si="3"/>
        <v>49.99496115515133</v>
      </c>
      <c r="I109" s="67">
        <f t="shared" si="3"/>
        <v>2.4242502345181718</v>
      </c>
      <c r="J109" s="67">
        <f t="shared" si="3"/>
        <v>0.71586225765144929</v>
      </c>
      <c r="K109" s="67">
        <f t="shared" si="3"/>
        <v>113.59813883760786</v>
      </c>
      <c r="L109" s="67">
        <f t="shared" si="3"/>
        <v>5.3677332110082929</v>
      </c>
      <c r="M109" s="67">
        <f t="shared" si="3"/>
        <v>21.515935390905319</v>
      </c>
      <c r="N109" s="67">
        <f t="shared" si="3"/>
        <v>248.39247247366202</v>
      </c>
      <c r="O109" s="67">
        <f t="shared" si="3"/>
        <v>0</v>
      </c>
      <c r="P109" s="67">
        <f t="shared" si="3"/>
        <v>0.67546150564931406</v>
      </c>
      <c r="Q109" s="67">
        <f t="shared" si="3"/>
        <v>1.0205911599603774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COUNT(G9:G104)+7</f>
        <v>96</v>
      </c>
      <c r="H110" s="66">
        <f>COUNT(H9:H104)+13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3" sqref="G12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247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18/12/2024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231</v>
      </c>
      <c r="C7" s="198" t="s">
        <v>232</v>
      </c>
      <c r="D7" s="198" t="s">
        <v>233</v>
      </c>
      <c r="E7" s="198" t="s">
        <v>234</v>
      </c>
      <c r="F7" s="198" t="s">
        <v>235</v>
      </c>
      <c r="G7" s="198" t="s">
        <v>236</v>
      </c>
      <c r="H7" s="198" t="s">
        <v>237</v>
      </c>
      <c r="I7" s="198" t="s">
        <v>238</v>
      </c>
      <c r="J7" s="198" t="s">
        <v>239</v>
      </c>
      <c r="K7" s="198" t="s">
        <v>240</v>
      </c>
      <c r="L7" s="198" t="s">
        <v>241</v>
      </c>
      <c r="M7" s="198" t="s">
        <v>242</v>
      </c>
      <c r="N7" s="198" t="s">
        <v>243</v>
      </c>
      <c r="O7" s="198" t="s">
        <v>244</v>
      </c>
      <c r="P7" s="198" t="s">
        <v>245</v>
      </c>
      <c r="Q7" s="198" t="s">
        <v>246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1880</v>
      </c>
      <c r="B9" s="64">
        <v>64.209999999999994</v>
      </c>
      <c r="C9" s="64">
        <v>80</v>
      </c>
      <c r="D9" s="64">
        <v>91.91</v>
      </c>
      <c r="E9" s="64">
        <v>9.19</v>
      </c>
      <c r="F9" s="64">
        <v>5.0599999999999996</v>
      </c>
      <c r="G9" s="64">
        <v>312.73</v>
      </c>
      <c r="H9" s="64">
        <v>132.22999999999999</v>
      </c>
      <c r="I9" s="64">
        <v>9.35</v>
      </c>
      <c r="J9" s="64">
        <v>1.95</v>
      </c>
      <c r="K9" s="64">
        <v>263.60000000000002</v>
      </c>
      <c r="L9" s="64">
        <v>11.63</v>
      </c>
      <c r="M9" s="64">
        <v>68.150000000000006</v>
      </c>
      <c r="N9" s="64">
        <v>114</v>
      </c>
      <c r="O9" s="64">
        <v>0</v>
      </c>
      <c r="P9" s="64">
        <v>2.16</v>
      </c>
      <c r="Q9" s="64">
        <v>10.28</v>
      </c>
      <c r="R9" s="198"/>
      <c r="S9" s="198"/>
      <c r="T9" s="198"/>
      <c r="U9" s="198"/>
    </row>
    <row r="10" spans="1:21" s="12" customFormat="1" x14ac:dyDescent="0.25">
      <c r="A10" s="215" t="s">
        <v>1881</v>
      </c>
      <c r="B10" s="64">
        <v>62.49</v>
      </c>
      <c r="C10" s="64">
        <v>79.66</v>
      </c>
      <c r="D10" s="64">
        <v>90.36</v>
      </c>
      <c r="E10" s="64">
        <v>8.73</v>
      </c>
      <c r="F10" s="64">
        <v>4.8499999999999996</v>
      </c>
      <c r="G10" s="64">
        <v>298.36</v>
      </c>
      <c r="H10" s="64">
        <v>130.93</v>
      </c>
      <c r="I10" s="64">
        <v>9.33</v>
      </c>
      <c r="J10" s="64">
        <v>1.55</v>
      </c>
      <c r="K10" s="64">
        <v>302.07</v>
      </c>
      <c r="L10" s="64">
        <v>12.09</v>
      </c>
      <c r="M10" s="64">
        <v>61.53</v>
      </c>
      <c r="N10" s="64">
        <v>114.4</v>
      </c>
      <c r="O10" s="64">
        <v>0</v>
      </c>
      <c r="P10" s="64">
        <v>2.12</v>
      </c>
      <c r="Q10" s="64">
        <v>10.26</v>
      </c>
      <c r="R10" s="198"/>
      <c r="S10" s="198"/>
      <c r="T10" s="198"/>
      <c r="U10" s="198"/>
    </row>
    <row r="11" spans="1:21" s="12" customFormat="1" x14ac:dyDescent="0.25">
      <c r="A11" s="215" t="s">
        <v>1882</v>
      </c>
      <c r="B11" s="64">
        <v>60.33</v>
      </c>
      <c r="C11" s="64">
        <v>79.680000000000007</v>
      </c>
      <c r="D11" s="64">
        <v>88.64</v>
      </c>
      <c r="E11" s="64">
        <v>8.2799999999999994</v>
      </c>
      <c r="F11" s="64">
        <v>5.0199999999999996</v>
      </c>
      <c r="G11" s="64">
        <v>298.36</v>
      </c>
      <c r="H11" s="64">
        <v>130.93</v>
      </c>
      <c r="I11" s="64">
        <v>9.2899999999999991</v>
      </c>
      <c r="J11" s="64">
        <v>2.09</v>
      </c>
      <c r="K11" s="64">
        <v>309.14999999999998</v>
      </c>
      <c r="L11" s="64">
        <v>11.59</v>
      </c>
      <c r="M11" s="64">
        <v>70.81</v>
      </c>
      <c r="N11" s="64">
        <v>115.2</v>
      </c>
      <c r="O11" s="64">
        <v>0</v>
      </c>
      <c r="P11" s="64">
        <v>2.08</v>
      </c>
      <c r="Q11" s="64">
        <v>10.24</v>
      </c>
      <c r="R11" s="198"/>
      <c r="S11" s="198"/>
      <c r="T11" s="198"/>
      <c r="U11" s="198"/>
    </row>
    <row r="12" spans="1:21" s="12" customFormat="1" x14ac:dyDescent="0.25">
      <c r="A12" s="215" t="s">
        <v>1883</v>
      </c>
      <c r="B12" s="64">
        <v>57.04</v>
      </c>
      <c r="C12" s="64">
        <v>79.05</v>
      </c>
      <c r="D12" s="64">
        <v>85.66</v>
      </c>
      <c r="E12" s="64">
        <v>8.0299999999999994</v>
      </c>
      <c r="F12" s="64">
        <v>4.4000000000000004</v>
      </c>
      <c r="G12" s="64">
        <v>298.36</v>
      </c>
      <c r="H12" s="64">
        <v>130.93</v>
      </c>
      <c r="I12" s="64">
        <v>9.1199999999999992</v>
      </c>
      <c r="J12" s="64">
        <v>1.21</v>
      </c>
      <c r="K12" s="64">
        <v>269.98</v>
      </c>
      <c r="L12" s="64">
        <v>11.6</v>
      </c>
      <c r="M12" s="64">
        <v>63.84</v>
      </c>
      <c r="N12" s="64">
        <v>114.8</v>
      </c>
      <c r="O12" s="64">
        <v>0</v>
      </c>
      <c r="P12" s="64">
        <v>2.0299999999999998</v>
      </c>
      <c r="Q12" s="64">
        <v>10.210000000000001</v>
      </c>
      <c r="R12" s="198"/>
      <c r="S12" s="198"/>
      <c r="T12" s="198"/>
      <c r="U12" s="198"/>
    </row>
    <row r="13" spans="1:21" s="12" customFormat="1" x14ac:dyDescent="0.25">
      <c r="A13" s="215" t="s">
        <v>1884</v>
      </c>
      <c r="B13" s="64">
        <v>53.46</v>
      </c>
      <c r="C13" s="64">
        <v>77.97</v>
      </c>
      <c r="D13" s="64">
        <v>82.23</v>
      </c>
      <c r="E13" s="64">
        <v>7.88</v>
      </c>
      <c r="F13" s="64">
        <v>4.16</v>
      </c>
      <c r="G13" s="64">
        <v>287.45</v>
      </c>
      <c r="H13" s="64">
        <v>111.77</v>
      </c>
      <c r="I13" s="64">
        <v>8.92</v>
      </c>
      <c r="J13" s="64">
        <v>2.0299999999999998</v>
      </c>
      <c r="K13" s="64">
        <v>309.22000000000003</v>
      </c>
      <c r="L13" s="64">
        <v>11.29</v>
      </c>
      <c r="M13" s="64">
        <v>72.53</v>
      </c>
      <c r="N13" s="64">
        <v>115.7</v>
      </c>
      <c r="O13" s="64">
        <v>0</v>
      </c>
      <c r="P13" s="64">
        <v>1.82</v>
      </c>
      <c r="Q13" s="64">
        <v>10.17</v>
      </c>
      <c r="R13" s="198"/>
      <c r="S13" s="198"/>
      <c r="T13" s="198"/>
      <c r="U13" s="198"/>
    </row>
    <row r="14" spans="1:21" s="12" customFormat="1" x14ac:dyDescent="0.25">
      <c r="A14" s="215" t="s">
        <v>1885</v>
      </c>
      <c r="B14" s="64">
        <v>50.71</v>
      </c>
      <c r="C14" s="64">
        <v>77.150000000000006</v>
      </c>
      <c r="D14" s="64">
        <v>79.59</v>
      </c>
      <c r="E14" s="64">
        <v>7.63</v>
      </c>
      <c r="F14" s="64">
        <v>4.47</v>
      </c>
      <c r="G14" s="64">
        <v>259.06</v>
      </c>
      <c r="H14" s="64">
        <v>29.41</v>
      </c>
      <c r="I14" s="64">
        <v>8.7200000000000006</v>
      </c>
      <c r="J14" s="64">
        <v>2.34</v>
      </c>
      <c r="K14" s="64">
        <v>325.69</v>
      </c>
      <c r="L14" s="64">
        <v>10.72</v>
      </c>
      <c r="M14" s="64">
        <v>75.77</v>
      </c>
      <c r="N14" s="64">
        <v>115.9</v>
      </c>
      <c r="O14" s="64">
        <v>0</v>
      </c>
      <c r="P14" s="64">
        <v>1.85</v>
      </c>
      <c r="Q14" s="64">
        <v>10.14</v>
      </c>
      <c r="R14" s="198"/>
      <c r="S14" s="198"/>
      <c r="T14" s="198"/>
      <c r="U14" s="198"/>
    </row>
    <row r="15" spans="1:21" s="12" customFormat="1" x14ac:dyDescent="0.25">
      <c r="A15" s="215" t="s">
        <v>1886</v>
      </c>
      <c r="B15" s="64">
        <v>47.27</v>
      </c>
      <c r="C15" s="64">
        <v>76.510000000000005</v>
      </c>
      <c r="D15" s="64">
        <v>76.5</v>
      </c>
      <c r="E15" s="64">
        <v>7.77</v>
      </c>
      <c r="F15" s="64">
        <v>4.4400000000000004</v>
      </c>
      <c r="G15" s="64">
        <v>259.06</v>
      </c>
      <c r="H15" s="64">
        <v>29.41</v>
      </c>
      <c r="I15" s="64">
        <v>8.49</v>
      </c>
      <c r="J15" s="64">
        <v>2.11</v>
      </c>
      <c r="K15" s="64">
        <v>17.36</v>
      </c>
      <c r="L15" s="64">
        <v>10.33</v>
      </c>
      <c r="M15" s="64">
        <v>74.27</v>
      </c>
      <c r="N15" s="64">
        <v>115.7</v>
      </c>
      <c r="O15" s="64">
        <v>0</v>
      </c>
      <c r="P15" s="64">
        <v>1.8</v>
      </c>
      <c r="Q15" s="64">
        <v>10.11</v>
      </c>
      <c r="R15" s="198"/>
      <c r="S15" s="198"/>
      <c r="T15" s="198"/>
      <c r="U15" s="198"/>
    </row>
    <row r="16" spans="1:21" s="12" customFormat="1" x14ac:dyDescent="0.25">
      <c r="A16" s="215" t="s">
        <v>1887</v>
      </c>
      <c r="B16" s="64">
        <v>44.06</v>
      </c>
      <c r="C16" s="64">
        <v>75.760000000000005</v>
      </c>
      <c r="D16" s="64">
        <v>73.540000000000006</v>
      </c>
      <c r="E16" s="64">
        <v>6.97</v>
      </c>
      <c r="F16" s="64">
        <v>4.1399999999999997</v>
      </c>
      <c r="G16" s="64">
        <v>259.06</v>
      </c>
      <c r="H16" s="64">
        <v>29.41</v>
      </c>
      <c r="I16" s="64">
        <v>8.27</v>
      </c>
      <c r="J16" s="64">
        <v>0.46</v>
      </c>
      <c r="K16" s="64">
        <v>115.57</v>
      </c>
      <c r="L16" s="64">
        <v>10.53</v>
      </c>
      <c r="M16" s="64">
        <v>71.95</v>
      </c>
      <c r="N16" s="64">
        <v>114</v>
      </c>
      <c r="O16" s="64">
        <v>0</v>
      </c>
      <c r="P16" s="64">
        <v>1.74</v>
      </c>
      <c r="Q16" s="64">
        <v>10.09</v>
      </c>
      <c r="R16" s="198"/>
      <c r="S16" s="198"/>
      <c r="T16" s="198"/>
      <c r="U16" s="198"/>
    </row>
    <row r="17" spans="1:21" s="12" customFormat="1" x14ac:dyDescent="0.25">
      <c r="A17" s="215" t="s">
        <v>1888</v>
      </c>
      <c r="B17" s="64">
        <v>40.92</v>
      </c>
      <c r="C17" s="64">
        <v>74.459999999999994</v>
      </c>
      <c r="D17" s="64">
        <v>70.34</v>
      </c>
      <c r="E17" s="64">
        <v>7.26</v>
      </c>
      <c r="F17" s="64">
        <v>4.24</v>
      </c>
      <c r="G17" s="64">
        <v>251.26</v>
      </c>
      <c r="H17" s="64">
        <v>25.73</v>
      </c>
      <c r="I17" s="64">
        <v>8.0299999999999994</v>
      </c>
      <c r="J17" s="64">
        <v>1.5</v>
      </c>
      <c r="K17" s="64">
        <v>318.47000000000003</v>
      </c>
      <c r="L17" s="64">
        <v>10.79</v>
      </c>
      <c r="M17" s="64">
        <v>70.98</v>
      </c>
      <c r="N17" s="64">
        <v>115.2</v>
      </c>
      <c r="O17" s="64">
        <v>0</v>
      </c>
      <c r="P17" s="64">
        <v>1.69</v>
      </c>
      <c r="Q17" s="64">
        <v>10.039999999999999</v>
      </c>
      <c r="R17" s="198"/>
      <c r="S17" s="198"/>
      <c r="T17" s="198"/>
      <c r="U17" s="198"/>
    </row>
    <row r="18" spans="1:21" s="12" customFormat="1" x14ac:dyDescent="0.25">
      <c r="A18" s="215" t="s">
        <v>1889</v>
      </c>
      <c r="B18" s="64">
        <v>38.47</v>
      </c>
      <c r="C18" s="64">
        <v>72.69</v>
      </c>
      <c r="D18" s="64">
        <v>67.459999999999994</v>
      </c>
      <c r="E18" s="64">
        <v>7.04</v>
      </c>
      <c r="F18" s="64">
        <v>4.1500000000000004</v>
      </c>
      <c r="G18" s="64">
        <v>230.99</v>
      </c>
      <c r="H18" s="64">
        <v>19.13</v>
      </c>
      <c r="I18" s="64">
        <v>7.8</v>
      </c>
      <c r="J18" s="64">
        <v>1.77</v>
      </c>
      <c r="K18" s="64">
        <v>305</v>
      </c>
      <c r="L18" s="64">
        <v>10.1</v>
      </c>
      <c r="M18" s="64">
        <v>77.78</v>
      </c>
      <c r="N18" s="64">
        <v>115.5</v>
      </c>
      <c r="O18" s="64">
        <v>0</v>
      </c>
      <c r="P18" s="64">
        <v>1.64</v>
      </c>
      <c r="Q18" s="64">
        <v>9.98</v>
      </c>
      <c r="R18" s="198"/>
      <c r="S18" s="198"/>
      <c r="T18" s="198"/>
      <c r="U18" s="198"/>
    </row>
    <row r="19" spans="1:21" s="12" customFormat="1" x14ac:dyDescent="0.25">
      <c r="A19" s="215" t="s">
        <v>1890</v>
      </c>
      <c r="B19" s="64">
        <v>36.78</v>
      </c>
      <c r="C19" s="64">
        <v>72</v>
      </c>
      <c r="D19" s="64">
        <v>65.73</v>
      </c>
      <c r="E19" s="64">
        <v>6.82</v>
      </c>
      <c r="F19" s="64">
        <v>4.25</v>
      </c>
      <c r="G19" s="64">
        <v>230.99</v>
      </c>
      <c r="H19" s="64">
        <v>19.13</v>
      </c>
      <c r="I19" s="64">
        <v>7.61</v>
      </c>
      <c r="J19" s="64">
        <v>1.71</v>
      </c>
      <c r="K19" s="64">
        <v>292.67</v>
      </c>
      <c r="L19" s="64">
        <v>9.59</v>
      </c>
      <c r="M19" s="64">
        <v>82.98</v>
      </c>
      <c r="N19" s="64">
        <v>115.3</v>
      </c>
      <c r="O19" s="64">
        <v>0</v>
      </c>
      <c r="P19" s="64">
        <v>1.6</v>
      </c>
      <c r="Q19" s="64">
        <v>10.01</v>
      </c>
      <c r="R19" s="198"/>
      <c r="S19" s="198"/>
      <c r="T19" s="198"/>
      <c r="U19" s="198"/>
    </row>
    <row r="20" spans="1:21" s="12" customFormat="1" x14ac:dyDescent="0.25">
      <c r="A20" s="215" t="s">
        <v>1891</v>
      </c>
      <c r="B20" s="64">
        <v>35.049999999999997</v>
      </c>
      <c r="C20" s="64">
        <v>70.92</v>
      </c>
      <c r="D20" s="64">
        <v>63.78</v>
      </c>
      <c r="E20" s="64">
        <v>7.24</v>
      </c>
      <c r="F20" s="64">
        <v>4.17</v>
      </c>
      <c r="G20" s="64">
        <v>230.99</v>
      </c>
      <c r="H20" s="64">
        <v>19.13</v>
      </c>
      <c r="I20" s="64">
        <v>7.46</v>
      </c>
      <c r="J20" s="64">
        <v>2.25</v>
      </c>
      <c r="K20" s="64">
        <v>298.08</v>
      </c>
      <c r="L20" s="64">
        <v>9.26</v>
      </c>
      <c r="M20" s="64">
        <v>83.55</v>
      </c>
      <c r="N20" s="64">
        <v>114.9</v>
      </c>
      <c r="O20" s="64">
        <v>0</v>
      </c>
      <c r="P20" s="64">
        <v>1.56</v>
      </c>
      <c r="Q20" s="64">
        <v>9.98</v>
      </c>
      <c r="R20" s="198"/>
      <c r="S20" s="198"/>
      <c r="T20" s="198"/>
      <c r="U20" s="198"/>
    </row>
    <row r="21" spans="1:21" s="12" customFormat="1" x14ac:dyDescent="0.25">
      <c r="A21" s="215" t="s">
        <v>1892</v>
      </c>
      <c r="B21" s="64">
        <v>33.18</v>
      </c>
      <c r="C21" s="64">
        <v>70.02</v>
      </c>
      <c r="D21" s="64">
        <v>61.81</v>
      </c>
      <c r="E21" s="64">
        <v>7.35</v>
      </c>
      <c r="F21" s="64">
        <v>4.63</v>
      </c>
      <c r="G21" s="64">
        <v>225.15</v>
      </c>
      <c r="H21" s="64">
        <v>64.790000000000006</v>
      </c>
      <c r="I21" s="64">
        <v>7.32</v>
      </c>
      <c r="J21" s="64">
        <v>1.83</v>
      </c>
      <c r="K21" s="64">
        <v>304.81</v>
      </c>
      <c r="L21" s="64">
        <v>9.15</v>
      </c>
      <c r="M21" s="64">
        <v>84.4</v>
      </c>
      <c r="N21" s="64">
        <v>115.1</v>
      </c>
      <c r="O21" s="64">
        <v>0</v>
      </c>
      <c r="P21" s="64">
        <v>1.52</v>
      </c>
      <c r="Q21" s="64">
        <v>9.9700000000000006</v>
      </c>
      <c r="R21" s="198"/>
      <c r="S21" s="198"/>
      <c r="T21" s="198"/>
      <c r="U21" s="198"/>
    </row>
    <row r="22" spans="1:21" s="12" customFormat="1" x14ac:dyDescent="0.25">
      <c r="A22" s="215" t="s">
        <v>1893</v>
      </c>
      <c r="B22" s="64">
        <v>31.84</v>
      </c>
      <c r="C22" s="64">
        <v>68.709999999999994</v>
      </c>
      <c r="D22" s="64">
        <v>60.06</v>
      </c>
      <c r="E22" s="64">
        <v>7.53</v>
      </c>
      <c r="F22" s="64">
        <v>4.74</v>
      </c>
      <c r="G22" s="64">
        <v>209.97</v>
      </c>
      <c r="H22" s="64">
        <v>146.6</v>
      </c>
      <c r="I22" s="64">
        <v>7.18</v>
      </c>
      <c r="J22" s="64">
        <v>0.71</v>
      </c>
      <c r="K22" s="64">
        <v>16.04</v>
      </c>
      <c r="L22" s="64">
        <v>9.06</v>
      </c>
      <c r="M22" s="64">
        <v>85.15</v>
      </c>
      <c r="N22" s="64">
        <v>115.3</v>
      </c>
      <c r="O22" s="64">
        <v>0</v>
      </c>
      <c r="P22" s="64">
        <v>1.48</v>
      </c>
      <c r="Q22" s="64">
        <v>9.94</v>
      </c>
      <c r="R22" s="198"/>
      <c r="S22" s="198"/>
      <c r="T22" s="198"/>
      <c r="U22" s="198"/>
    </row>
    <row r="23" spans="1:21" s="12" customFormat="1" x14ac:dyDescent="0.25">
      <c r="A23" s="215" t="s">
        <v>1894</v>
      </c>
      <c r="B23" s="64">
        <v>30.69</v>
      </c>
      <c r="C23" s="64">
        <v>67.44</v>
      </c>
      <c r="D23" s="64">
        <v>58.47</v>
      </c>
      <c r="E23" s="64">
        <v>7.78</v>
      </c>
      <c r="F23" s="64">
        <v>4.55</v>
      </c>
      <c r="G23" s="64">
        <v>209.97</v>
      </c>
      <c r="H23" s="64">
        <v>146.6</v>
      </c>
      <c r="I23" s="64">
        <v>7.06</v>
      </c>
      <c r="J23" s="64">
        <v>2.2999999999999998</v>
      </c>
      <c r="K23" s="64">
        <v>348.29</v>
      </c>
      <c r="L23" s="64">
        <v>8.98</v>
      </c>
      <c r="M23" s="64">
        <v>85.18</v>
      </c>
      <c r="N23" s="64">
        <v>115.3</v>
      </c>
      <c r="O23" s="64">
        <v>0</v>
      </c>
      <c r="P23" s="64">
        <v>1.45</v>
      </c>
      <c r="Q23" s="64">
        <v>9.92</v>
      </c>
      <c r="R23" s="198"/>
      <c r="S23" s="198"/>
      <c r="T23" s="198"/>
      <c r="U23" s="198"/>
    </row>
    <row r="24" spans="1:21" s="12" customFormat="1" x14ac:dyDescent="0.25">
      <c r="A24" s="215" t="s">
        <v>1895</v>
      </c>
      <c r="B24" s="64">
        <v>29.88</v>
      </c>
      <c r="C24" s="64">
        <v>66.569999999999993</v>
      </c>
      <c r="D24" s="64">
        <v>57.37</v>
      </c>
      <c r="E24" s="64">
        <v>7.54</v>
      </c>
      <c r="F24" s="64">
        <v>4.53</v>
      </c>
      <c r="G24" s="64">
        <v>209.97</v>
      </c>
      <c r="H24" s="64">
        <v>146.6</v>
      </c>
      <c r="I24" s="64">
        <v>6.96</v>
      </c>
      <c r="J24" s="64">
        <v>1.31</v>
      </c>
      <c r="K24" s="64">
        <v>183.76</v>
      </c>
      <c r="L24" s="64">
        <v>8.9499999999999993</v>
      </c>
      <c r="M24" s="64">
        <v>87.35</v>
      </c>
      <c r="N24" s="64">
        <v>115.3</v>
      </c>
      <c r="O24" s="64">
        <v>0</v>
      </c>
      <c r="P24" s="64">
        <v>1.41</v>
      </c>
      <c r="Q24" s="64">
        <v>9.89</v>
      </c>
      <c r="R24" s="198"/>
      <c r="S24" s="198"/>
      <c r="T24" s="198"/>
      <c r="U24" s="198"/>
    </row>
    <row r="25" spans="1:21" s="12" customFormat="1" x14ac:dyDescent="0.25">
      <c r="A25" s="215" t="s">
        <v>1896</v>
      </c>
      <c r="B25" s="64">
        <v>28.84</v>
      </c>
      <c r="C25" s="64">
        <v>66.19</v>
      </c>
      <c r="D25" s="64">
        <v>56.33</v>
      </c>
      <c r="E25" s="64">
        <v>7.45</v>
      </c>
      <c r="F25" s="64">
        <v>4.7699999999999996</v>
      </c>
      <c r="G25" s="64">
        <v>207.73</v>
      </c>
      <c r="H25" s="64">
        <v>100.13</v>
      </c>
      <c r="I25" s="64">
        <v>6.85</v>
      </c>
      <c r="J25" s="64">
        <v>1.1100000000000001</v>
      </c>
      <c r="K25" s="64">
        <v>337.15</v>
      </c>
      <c r="L25" s="64">
        <v>9.17</v>
      </c>
      <c r="M25" s="64">
        <v>83.21</v>
      </c>
      <c r="N25" s="64">
        <v>115.1</v>
      </c>
      <c r="O25" s="64">
        <v>0</v>
      </c>
      <c r="P25" s="64">
        <v>1.39</v>
      </c>
      <c r="Q25" s="64">
        <v>9.9</v>
      </c>
      <c r="R25" s="198"/>
      <c r="S25" s="198"/>
      <c r="T25" s="198"/>
      <c r="U25" s="198"/>
    </row>
    <row r="26" spans="1:21" s="12" customFormat="1" x14ac:dyDescent="0.25">
      <c r="A26" s="215" t="s">
        <v>1897</v>
      </c>
      <c r="B26" s="64">
        <v>27.57</v>
      </c>
      <c r="C26" s="64">
        <v>65.53</v>
      </c>
      <c r="D26" s="64">
        <v>54.97</v>
      </c>
      <c r="E26" s="64">
        <v>7.71</v>
      </c>
      <c r="F26" s="64">
        <v>4.21</v>
      </c>
      <c r="G26" s="64">
        <v>201.92</v>
      </c>
      <c r="H26" s="64">
        <v>16.87</v>
      </c>
      <c r="I26" s="64">
        <v>6.76</v>
      </c>
      <c r="J26" s="64">
        <v>2.0499999999999998</v>
      </c>
      <c r="K26" s="64">
        <v>304.89</v>
      </c>
      <c r="L26" s="64">
        <v>9.1199999999999992</v>
      </c>
      <c r="M26" s="64">
        <v>82</v>
      </c>
      <c r="N26" s="64">
        <v>115.4</v>
      </c>
      <c r="O26" s="64">
        <v>0</v>
      </c>
      <c r="P26" s="64">
        <v>1.37</v>
      </c>
      <c r="Q26" s="64">
        <v>9.86</v>
      </c>
      <c r="R26" s="198"/>
      <c r="S26" s="198"/>
      <c r="T26" s="198"/>
      <c r="U26" s="198"/>
    </row>
    <row r="27" spans="1:21" s="12" customFormat="1" x14ac:dyDescent="0.25">
      <c r="A27" s="215" t="s">
        <v>1898</v>
      </c>
      <c r="B27" s="64">
        <v>25.97</v>
      </c>
      <c r="C27" s="64">
        <v>65.55</v>
      </c>
      <c r="D27" s="64">
        <v>53.7</v>
      </c>
      <c r="E27" s="64">
        <v>7.1</v>
      </c>
      <c r="F27" s="64">
        <v>4.41</v>
      </c>
      <c r="G27" s="64">
        <v>201.92</v>
      </c>
      <c r="H27" s="64">
        <v>16.87</v>
      </c>
      <c r="I27" s="64">
        <v>6.68</v>
      </c>
      <c r="J27" s="64">
        <v>0.86</v>
      </c>
      <c r="K27" s="64">
        <v>303.17</v>
      </c>
      <c r="L27" s="64">
        <v>9.44</v>
      </c>
      <c r="M27" s="64">
        <v>77.73</v>
      </c>
      <c r="N27" s="64">
        <v>115.6</v>
      </c>
      <c r="O27" s="64">
        <v>0</v>
      </c>
      <c r="P27" s="64">
        <v>1.33</v>
      </c>
      <c r="Q27" s="64">
        <v>9.73</v>
      </c>
      <c r="R27" s="198"/>
      <c r="S27" s="198"/>
      <c r="T27" s="198"/>
      <c r="U27" s="198"/>
    </row>
    <row r="28" spans="1:21" s="12" customFormat="1" x14ac:dyDescent="0.25">
      <c r="A28" s="215" t="s">
        <v>1899</v>
      </c>
      <c r="B28" s="64">
        <v>23.84</v>
      </c>
      <c r="C28" s="64">
        <v>65.739999999999995</v>
      </c>
      <c r="D28" s="64">
        <v>52.09</v>
      </c>
      <c r="E28" s="64">
        <v>7.04</v>
      </c>
      <c r="F28" s="64">
        <v>4.88</v>
      </c>
      <c r="G28" s="64">
        <v>201.92</v>
      </c>
      <c r="H28" s="64">
        <v>16.87</v>
      </c>
      <c r="I28" s="64">
        <v>6.59</v>
      </c>
      <c r="J28" s="64">
        <v>1.35</v>
      </c>
      <c r="K28" s="64">
        <v>346.74</v>
      </c>
      <c r="L28" s="64">
        <v>9.33</v>
      </c>
      <c r="M28" s="64">
        <v>77.510000000000005</v>
      </c>
      <c r="N28" s="64">
        <v>115.6</v>
      </c>
      <c r="O28" s="64">
        <v>0</v>
      </c>
      <c r="P28" s="64">
        <v>1.3</v>
      </c>
      <c r="Q28" s="64">
        <v>9.5399999999999991</v>
      </c>
      <c r="R28" s="198"/>
      <c r="S28" s="198"/>
      <c r="T28" s="198"/>
      <c r="U28" s="198"/>
    </row>
    <row r="29" spans="1:21" s="12" customFormat="1" x14ac:dyDescent="0.25">
      <c r="A29" s="215" t="s">
        <v>1900</v>
      </c>
      <c r="B29" s="64">
        <v>21.79</v>
      </c>
      <c r="C29" s="64">
        <v>66.11</v>
      </c>
      <c r="D29" s="64">
        <v>50.64</v>
      </c>
      <c r="E29" s="64">
        <v>7.03</v>
      </c>
      <c r="F29" s="64">
        <v>4.6399999999999997</v>
      </c>
      <c r="G29" s="64">
        <v>199.64</v>
      </c>
      <c r="H29" s="64">
        <v>13.75</v>
      </c>
      <c r="I29" s="64">
        <v>6.43</v>
      </c>
      <c r="J29" s="64">
        <v>2.36</v>
      </c>
      <c r="K29" s="64">
        <v>340.68</v>
      </c>
      <c r="L29" s="64">
        <v>9.5</v>
      </c>
      <c r="M29" s="64">
        <v>79.61</v>
      </c>
      <c r="N29" s="64">
        <v>115.4</v>
      </c>
      <c r="O29" s="64">
        <v>0</v>
      </c>
      <c r="P29" s="64">
        <v>1.27</v>
      </c>
      <c r="Q29" s="64">
        <v>9.32</v>
      </c>
      <c r="R29" s="198"/>
      <c r="S29" s="198"/>
      <c r="T29" s="198"/>
      <c r="U29" s="198"/>
    </row>
    <row r="30" spans="1:21" s="12" customFormat="1" x14ac:dyDescent="0.25">
      <c r="A30" s="215" t="s">
        <v>1901</v>
      </c>
      <c r="B30" s="64">
        <v>20.77</v>
      </c>
      <c r="C30" s="64">
        <v>66.25</v>
      </c>
      <c r="D30" s="64">
        <v>49.89</v>
      </c>
      <c r="E30" s="64">
        <v>7.67</v>
      </c>
      <c r="F30" s="64">
        <v>4.46</v>
      </c>
      <c r="G30" s="64">
        <v>193.7</v>
      </c>
      <c r="H30" s="64">
        <v>0.34</v>
      </c>
      <c r="I30" s="64">
        <v>6.26</v>
      </c>
      <c r="J30" s="64">
        <v>1.58</v>
      </c>
      <c r="K30" s="64">
        <v>7.19</v>
      </c>
      <c r="L30" s="64">
        <v>9.44</v>
      </c>
      <c r="M30" s="64">
        <v>84.8</v>
      </c>
      <c r="N30" s="64">
        <v>115.8</v>
      </c>
      <c r="O30" s="64">
        <v>0</v>
      </c>
      <c r="P30" s="64">
        <v>1.27</v>
      </c>
      <c r="Q30" s="64">
        <v>9.18</v>
      </c>
      <c r="R30" s="198"/>
      <c r="S30" s="198"/>
      <c r="T30" s="198"/>
      <c r="U30" s="198"/>
    </row>
    <row r="31" spans="1:21" s="12" customFormat="1" x14ac:dyDescent="0.25">
      <c r="A31" s="215" t="s">
        <v>1902</v>
      </c>
      <c r="B31" s="64">
        <v>20.63</v>
      </c>
      <c r="C31" s="64">
        <v>66.19</v>
      </c>
      <c r="D31" s="64">
        <v>49.75</v>
      </c>
      <c r="E31" s="64">
        <v>8.09</v>
      </c>
      <c r="F31" s="64">
        <v>4.32</v>
      </c>
      <c r="G31" s="64">
        <v>193.7</v>
      </c>
      <c r="H31" s="64">
        <v>0.34</v>
      </c>
      <c r="I31" s="64">
        <v>6.15</v>
      </c>
      <c r="J31" s="64">
        <v>0.42</v>
      </c>
      <c r="K31" s="64">
        <v>142.46</v>
      </c>
      <c r="L31" s="64">
        <v>9.3800000000000008</v>
      </c>
      <c r="M31" s="64">
        <v>84.61</v>
      </c>
      <c r="N31" s="64">
        <v>115.3</v>
      </c>
      <c r="O31" s="64">
        <v>0</v>
      </c>
      <c r="P31" s="64">
        <v>1.29</v>
      </c>
      <c r="Q31" s="64">
        <v>9.1300000000000008</v>
      </c>
      <c r="R31" s="198"/>
      <c r="S31" s="198"/>
      <c r="T31" s="198"/>
      <c r="U31" s="198"/>
    </row>
    <row r="32" spans="1:21" s="12" customFormat="1" x14ac:dyDescent="0.25">
      <c r="A32" s="215" t="s">
        <v>1903</v>
      </c>
      <c r="B32" s="64">
        <v>20.07</v>
      </c>
      <c r="C32" s="64">
        <v>65.78</v>
      </c>
      <c r="D32" s="64">
        <v>49.08</v>
      </c>
      <c r="E32" s="64">
        <v>7.64</v>
      </c>
      <c r="F32" s="64">
        <v>5.47</v>
      </c>
      <c r="G32" s="64">
        <v>193.7</v>
      </c>
      <c r="H32" s="64">
        <v>0.34</v>
      </c>
      <c r="I32" s="64">
        <v>6.15</v>
      </c>
      <c r="J32" s="64">
        <v>1.85</v>
      </c>
      <c r="K32" s="64">
        <v>109.12</v>
      </c>
      <c r="L32" s="64">
        <v>9.4</v>
      </c>
      <c r="M32" s="64">
        <v>84.05</v>
      </c>
      <c r="N32" s="64">
        <v>115.3</v>
      </c>
      <c r="O32" s="64">
        <v>0</v>
      </c>
      <c r="P32" s="64">
        <v>1.31</v>
      </c>
      <c r="Q32" s="64">
        <v>9.06</v>
      </c>
      <c r="R32" s="198"/>
      <c r="S32" s="198"/>
      <c r="T32" s="198"/>
      <c r="U32" s="198"/>
    </row>
    <row r="33" spans="1:21" s="12" customFormat="1" x14ac:dyDescent="0.25">
      <c r="A33" s="215" t="s">
        <v>1904</v>
      </c>
      <c r="B33" s="64">
        <v>19.36</v>
      </c>
      <c r="C33" s="64">
        <v>65.430000000000007</v>
      </c>
      <c r="D33" s="64">
        <v>48.34</v>
      </c>
      <c r="E33" s="64">
        <v>7.52</v>
      </c>
      <c r="F33" s="64">
        <v>4.22</v>
      </c>
      <c r="G33" s="64">
        <v>239.43</v>
      </c>
      <c r="H33" s="64">
        <v>176.62</v>
      </c>
      <c r="I33" s="64">
        <v>6.2</v>
      </c>
      <c r="J33" s="64">
        <v>2.0699999999999998</v>
      </c>
      <c r="K33" s="64">
        <v>17.71</v>
      </c>
      <c r="L33" s="64">
        <v>9.19</v>
      </c>
      <c r="M33" s="64">
        <v>84.6</v>
      </c>
      <c r="N33" s="64">
        <v>116.1</v>
      </c>
      <c r="O33" s="64">
        <v>0</v>
      </c>
      <c r="P33" s="64">
        <v>1.32</v>
      </c>
      <c r="Q33" s="64">
        <v>8.99</v>
      </c>
      <c r="R33" s="198"/>
      <c r="S33" s="198"/>
      <c r="T33" s="198"/>
      <c r="U33" s="198"/>
    </row>
    <row r="34" spans="1:21" s="12" customFormat="1" x14ac:dyDescent="0.25">
      <c r="A34" s="215" t="s">
        <v>1905</v>
      </c>
      <c r="B34" s="64">
        <v>19.32</v>
      </c>
      <c r="C34" s="64">
        <v>64.14</v>
      </c>
      <c r="D34" s="64">
        <v>47.63</v>
      </c>
      <c r="E34" s="64">
        <v>7.91</v>
      </c>
      <c r="F34" s="64">
        <v>4.28</v>
      </c>
      <c r="G34" s="64">
        <v>358.31</v>
      </c>
      <c r="H34" s="64">
        <v>192.46</v>
      </c>
      <c r="I34" s="64">
        <v>6.24</v>
      </c>
      <c r="J34" s="64">
        <v>0.65</v>
      </c>
      <c r="K34" s="64">
        <v>60.75</v>
      </c>
      <c r="L34" s="64">
        <v>8.8699999999999992</v>
      </c>
      <c r="M34" s="64">
        <v>86.55</v>
      </c>
      <c r="N34" s="64">
        <v>117</v>
      </c>
      <c r="O34" s="64">
        <v>0</v>
      </c>
      <c r="P34" s="64">
        <v>1.31</v>
      </c>
      <c r="Q34" s="64">
        <v>8.92</v>
      </c>
      <c r="R34" s="198"/>
      <c r="S34" s="198"/>
      <c r="T34" s="198"/>
      <c r="U34" s="198"/>
    </row>
    <row r="35" spans="1:21" s="12" customFormat="1" x14ac:dyDescent="0.25">
      <c r="A35" s="215" t="s">
        <v>1906</v>
      </c>
      <c r="B35" s="64">
        <v>20.51</v>
      </c>
      <c r="C35" s="64">
        <v>64.239999999999995</v>
      </c>
      <c r="D35" s="64">
        <v>48.64</v>
      </c>
      <c r="E35" s="64">
        <v>8.2799999999999994</v>
      </c>
      <c r="F35" s="64">
        <v>4.4800000000000004</v>
      </c>
      <c r="G35" s="64">
        <v>358.31</v>
      </c>
      <c r="H35" s="64">
        <v>192.46</v>
      </c>
      <c r="I35" s="64">
        <v>6.24</v>
      </c>
      <c r="J35" s="64">
        <v>1.26</v>
      </c>
      <c r="K35" s="64">
        <v>13.98</v>
      </c>
      <c r="L35" s="64">
        <v>8.85</v>
      </c>
      <c r="M35" s="64">
        <v>85.48</v>
      </c>
      <c r="N35" s="64">
        <v>119.9</v>
      </c>
      <c r="O35" s="64">
        <v>0</v>
      </c>
      <c r="P35" s="64">
        <v>1.32</v>
      </c>
      <c r="Q35" s="64">
        <v>8.94</v>
      </c>
      <c r="R35" s="198"/>
      <c r="S35" s="198"/>
      <c r="T35" s="198"/>
      <c r="U35" s="198"/>
    </row>
    <row r="36" spans="1:21" s="12" customFormat="1" x14ac:dyDescent="0.25">
      <c r="A36" s="215" t="s">
        <v>1907</v>
      </c>
      <c r="B36" s="64">
        <v>22.39</v>
      </c>
      <c r="C36" s="64">
        <v>64.64</v>
      </c>
      <c r="D36" s="64">
        <v>50.36</v>
      </c>
      <c r="E36" s="64">
        <v>8.56</v>
      </c>
      <c r="F36" s="64">
        <v>4.5</v>
      </c>
      <c r="G36" s="64">
        <v>358.31</v>
      </c>
      <c r="H36" s="64">
        <v>192.46</v>
      </c>
      <c r="I36" s="64">
        <v>6.24</v>
      </c>
      <c r="J36" s="64">
        <v>1.49</v>
      </c>
      <c r="K36" s="64">
        <v>29.07</v>
      </c>
      <c r="L36" s="64">
        <v>8.7799999999999994</v>
      </c>
      <c r="M36" s="64">
        <v>86.26</v>
      </c>
      <c r="N36" s="64">
        <v>123.6</v>
      </c>
      <c r="O36" s="64">
        <v>0</v>
      </c>
      <c r="P36" s="64">
        <v>1.32</v>
      </c>
      <c r="Q36" s="64">
        <v>9.08</v>
      </c>
      <c r="R36" s="198"/>
      <c r="S36" s="198"/>
      <c r="T36" s="198"/>
      <c r="U36" s="198"/>
    </row>
    <row r="37" spans="1:21" s="12" customFormat="1" x14ac:dyDescent="0.25">
      <c r="A37" s="215" t="s">
        <v>1908</v>
      </c>
      <c r="B37" s="64">
        <v>23.46</v>
      </c>
      <c r="C37" s="64">
        <v>64.61</v>
      </c>
      <c r="D37" s="64">
        <v>51.19</v>
      </c>
      <c r="E37" s="64">
        <v>8.58</v>
      </c>
      <c r="F37" s="64">
        <v>4.5199999999999996</v>
      </c>
      <c r="G37" s="64">
        <v>332.81</v>
      </c>
      <c r="H37" s="64">
        <v>146.31</v>
      </c>
      <c r="I37" s="64">
        <v>6.22</v>
      </c>
      <c r="J37" s="64">
        <v>1.1100000000000001</v>
      </c>
      <c r="K37" s="64">
        <v>339.07</v>
      </c>
      <c r="L37" s="64">
        <v>8.83</v>
      </c>
      <c r="M37" s="64">
        <v>84.89</v>
      </c>
      <c r="N37" s="64">
        <v>129.19999999999999</v>
      </c>
      <c r="O37" s="64">
        <v>0</v>
      </c>
      <c r="P37" s="64">
        <v>1.27</v>
      </c>
      <c r="Q37" s="64">
        <v>9.2100000000000009</v>
      </c>
      <c r="R37" s="198"/>
      <c r="S37" s="198"/>
      <c r="T37" s="198"/>
      <c r="U37" s="198"/>
    </row>
    <row r="38" spans="1:21" s="12" customFormat="1" x14ac:dyDescent="0.25">
      <c r="A38" s="215" t="s">
        <v>1909</v>
      </c>
      <c r="B38" s="64">
        <v>24.22</v>
      </c>
      <c r="C38" s="64">
        <v>64.25</v>
      </c>
      <c r="D38" s="64">
        <v>51.62</v>
      </c>
      <c r="E38" s="64">
        <v>8.74</v>
      </c>
      <c r="F38" s="64">
        <v>4.79</v>
      </c>
      <c r="G38" s="64">
        <v>266.52999999999997</v>
      </c>
      <c r="H38" s="64">
        <v>90.54</v>
      </c>
      <c r="I38" s="64">
        <v>6.22</v>
      </c>
      <c r="J38" s="64">
        <v>0.57999999999999996</v>
      </c>
      <c r="K38" s="64">
        <v>205.13</v>
      </c>
      <c r="L38" s="64">
        <v>9.27</v>
      </c>
      <c r="M38" s="64">
        <v>83.96</v>
      </c>
      <c r="N38" s="64">
        <v>166.2</v>
      </c>
      <c r="O38" s="64">
        <v>0</v>
      </c>
      <c r="P38" s="64">
        <v>1.31</v>
      </c>
      <c r="Q38" s="64">
        <v>9.31</v>
      </c>
      <c r="R38" s="198"/>
      <c r="S38" s="198"/>
      <c r="T38" s="198"/>
      <c r="U38" s="198"/>
    </row>
    <row r="39" spans="1:21" s="12" customFormat="1" x14ac:dyDescent="0.25">
      <c r="A39" s="215" t="s">
        <v>1910</v>
      </c>
      <c r="B39" s="64">
        <v>25.92</v>
      </c>
      <c r="C39" s="64">
        <v>64.02</v>
      </c>
      <c r="D39" s="64">
        <v>52.86</v>
      </c>
      <c r="E39" s="64">
        <v>8.69</v>
      </c>
      <c r="F39" s="64">
        <v>3.92</v>
      </c>
      <c r="G39" s="64">
        <v>266.52999999999997</v>
      </c>
      <c r="H39" s="64">
        <v>90.54</v>
      </c>
      <c r="I39" s="64">
        <v>6.19</v>
      </c>
      <c r="J39" s="64">
        <v>2.41</v>
      </c>
      <c r="K39" s="64">
        <v>348.8</v>
      </c>
      <c r="L39" s="64">
        <v>10.14</v>
      </c>
      <c r="M39" s="64">
        <v>82.05</v>
      </c>
      <c r="N39" s="64">
        <v>207.5</v>
      </c>
      <c r="O39" s="64">
        <v>0</v>
      </c>
      <c r="P39" s="64">
        <v>1.32</v>
      </c>
      <c r="Q39" s="64">
        <v>9.42</v>
      </c>
      <c r="R39" s="198"/>
      <c r="S39" s="198"/>
      <c r="T39" s="198"/>
      <c r="U39" s="198"/>
    </row>
    <row r="40" spans="1:21" s="12" customFormat="1" x14ac:dyDescent="0.25">
      <c r="A40" s="215" t="s">
        <v>1911</v>
      </c>
      <c r="B40" s="64">
        <v>28.61</v>
      </c>
      <c r="C40" s="64">
        <v>64.489999999999995</v>
      </c>
      <c r="D40" s="64">
        <v>55.26</v>
      </c>
      <c r="E40" s="64">
        <v>9.8699999999999992</v>
      </c>
      <c r="F40" s="64">
        <v>4.4400000000000004</v>
      </c>
      <c r="G40" s="64">
        <v>266.52999999999997</v>
      </c>
      <c r="H40" s="64">
        <v>90.54</v>
      </c>
      <c r="I40" s="64">
        <v>6.15</v>
      </c>
      <c r="J40" s="64">
        <v>0.42</v>
      </c>
      <c r="K40" s="64">
        <v>19.68</v>
      </c>
      <c r="L40" s="64">
        <v>11.85</v>
      </c>
      <c r="M40" s="64">
        <v>72.599999999999994</v>
      </c>
      <c r="N40" s="64">
        <v>316.89999999999998</v>
      </c>
      <c r="O40" s="64">
        <v>0</v>
      </c>
      <c r="P40" s="64">
        <v>1.33</v>
      </c>
      <c r="Q40" s="64">
        <v>9.65</v>
      </c>
      <c r="R40" s="198"/>
      <c r="S40" s="198"/>
      <c r="T40" s="198"/>
      <c r="U40" s="198"/>
    </row>
    <row r="41" spans="1:21" s="12" customFormat="1" x14ac:dyDescent="0.25">
      <c r="A41" s="215" t="s">
        <v>1912</v>
      </c>
      <c r="B41" s="64">
        <v>29.47</v>
      </c>
      <c r="C41" s="64">
        <v>64.790000000000006</v>
      </c>
      <c r="D41" s="64">
        <v>56.11</v>
      </c>
      <c r="E41" s="64">
        <v>10.06</v>
      </c>
      <c r="F41" s="64">
        <v>4.74</v>
      </c>
      <c r="G41" s="64">
        <v>277.2</v>
      </c>
      <c r="H41" s="64">
        <v>112.24</v>
      </c>
      <c r="I41" s="64">
        <v>6.17</v>
      </c>
      <c r="J41" s="64">
        <v>2.56</v>
      </c>
      <c r="K41" s="64">
        <v>108.41</v>
      </c>
      <c r="L41" s="64">
        <v>13.14</v>
      </c>
      <c r="M41" s="64">
        <v>65.709999999999994</v>
      </c>
      <c r="N41" s="64">
        <v>383.3</v>
      </c>
      <c r="O41" s="64">
        <v>0</v>
      </c>
      <c r="P41" s="64">
        <v>1.33</v>
      </c>
      <c r="Q41" s="64">
        <v>9.7799999999999994</v>
      </c>
      <c r="R41" s="198"/>
      <c r="S41" s="198"/>
      <c r="T41" s="198"/>
      <c r="U41" s="198"/>
    </row>
    <row r="42" spans="1:21" s="12" customFormat="1" x14ac:dyDescent="0.25">
      <c r="A42" s="215" t="s">
        <v>1913</v>
      </c>
      <c r="B42" s="64">
        <v>29.22</v>
      </c>
      <c r="C42" s="64">
        <v>65.34</v>
      </c>
      <c r="D42" s="64">
        <v>56.19</v>
      </c>
      <c r="E42" s="64">
        <v>9.2100000000000009</v>
      </c>
      <c r="F42" s="64">
        <v>4.7300000000000004</v>
      </c>
      <c r="G42" s="64">
        <v>304.95</v>
      </c>
      <c r="H42" s="64">
        <v>151.13</v>
      </c>
      <c r="I42" s="64">
        <v>6.26</v>
      </c>
      <c r="J42" s="64">
        <v>2.04</v>
      </c>
      <c r="K42" s="64">
        <v>106.39</v>
      </c>
      <c r="L42" s="64">
        <v>14.14</v>
      </c>
      <c r="M42" s="64">
        <v>62.13</v>
      </c>
      <c r="N42" s="64">
        <v>429.7</v>
      </c>
      <c r="O42" s="64">
        <v>0</v>
      </c>
      <c r="P42" s="64">
        <v>1.32</v>
      </c>
      <c r="Q42" s="64">
        <v>9.84</v>
      </c>
      <c r="R42" s="198"/>
      <c r="S42" s="198"/>
      <c r="T42" s="198"/>
      <c r="U42" s="198"/>
    </row>
    <row r="43" spans="1:21" s="12" customFormat="1" x14ac:dyDescent="0.25">
      <c r="A43" s="215" t="s">
        <v>1914</v>
      </c>
      <c r="B43" s="64">
        <v>28.07</v>
      </c>
      <c r="C43" s="64">
        <v>65.73</v>
      </c>
      <c r="D43" s="64">
        <v>55.48</v>
      </c>
      <c r="E43" s="64">
        <v>9.5500000000000007</v>
      </c>
      <c r="F43" s="64">
        <v>4.71</v>
      </c>
      <c r="G43" s="64">
        <v>304.95</v>
      </c>
      <c r="H43" s="64">
        <v>151.13</v>
      </c>
      <c r="I43" s="64">
        <v>6.41</v>
      </c>
      <c r="J43" s="64">
        <v>3.38</v>
      </c>
      <c r="K43" s="64">
        <v>117.59</v>
      </c>
      <c r="L43" s="64">
        <v>14.6</v>
      </c>
      <c r="M43" s="64">
        <v>59.49</v>
      </c>
      <c r="N43" s="64">
        <v>481.7</v>
      </c>
      <c r="O43" s="64">
        <v>0</v>
      </c>
      <c r="P43" s="64">
        <v>1.3</v>
      </c>
      <c r="Q43" s="64">
        <v>9.85</v>
      </c>
      <c r="R43" s="198"/>
      <c r="S43" s="198"/>
      <c r="T43" s="198"/>
      <c r="U43" s="198"/>
    </row>
    <row r="44" spans="1:21" s="12" customFormat="1" x14ac:dyDescent="0.25">
      <c r="A44" s="215" t="s">
        <v>1915</v>
      </c>
      <c r="B44" s="64">
        <v>26.03</v>
      </c>
      <c r="C44" s="64">
        <v>66.37</v>
      </c>
      <c r="D44" s="64">
        <v>54.18</v>
      </c>
      <c r="E44" s="64">
        <v>9.24</v>
      </c>
      <c r="F44" s="64">
        <v>5</v>
      </c>
      <c r="G44" s="64">
        <v>304.95</v>
      </c>
      <c r="H44" s="64">
        <v>151.13</v>
      </c>
      <c r="I44" s="64">
        <v>6.5</v>
      </c>
      <c r="J44" s="64">
        <v>3.79</v>
      </c>
      <c r="K44" s="64">
        <v>113.92</v>
      </c>
      <c r="L44" s="64">
        <v>14.66</v>
      </c>
      <c r="M44" s="64">
        <v>57.22</v>
      </c>
      <c r="N44" s="64">
        <v>535.20000000000005</v>
      </c>
      <c r="O44" s="64">
        <v>0</v>
      </c>
      <c r="P44" s="64">
        <v>1.27</v>
      </c>
      <c r="Q44" s="64">
        <v>9.7100000000000009</v>
      </c>
      <c r="R44" s="198"/>
      <c r="S44" s="198"/>
      <c r="T44" s="198"/>
      <c r="U44" s="198"/>
    </row>
    <row r="45" spans="1:21" s="12" customFormat="1" x14ac:dyDescent="0.25">
      <c r="A45" s="215" t="s">
        <v>1916</v>
      </c>
      <c r="B45" s="64">
        <v>23.16</v>
      </c>
      <c r="C45" s="64">
        <v>66.95</v>
      </c>
      <c r="D45" s="64">
        <v>52.17</v>
      </c>
      <c r="E45" s="64">
        <v>8.7899999999999991</v>
      </c>
      <c r="F45" s="64">
        <v>4.99</v>
      </c>
      <c r="G45" s="64">
        <v>276.22000000000003</v>
      </c>
      <c r="H45" s="64">
        <v>139.4</v>
      </c>
      <c r="I45" s="64">
        <v>6.63</v>
      </c>
      <c r="J45" s="64">
        <v>3.31</v>
      </c>
      <c r="K45" s="64">
        <v>116.27</v>
      </c>
      <c r="L45" s="64">
        <v>15.73</v>
      </c>
      <c r="M45" s="64">
        <v>53.64</v>
      </c>
      <c r="N45" s="64">
        <v>581.20000000000005</v>
      </c>
      <c r="O45" s="64">
        <v>0</v>
      </c>
      <c r="P45" s="64">
        <v>1.24</v>
      </c>
      <c r="Q45" s="64">
        <v>9.4700000000000006</v>
      </c>
      <c r="R45" s="198"/>
      <c r="S45" s="198"/>
      <c r="T45" s="198"/>
      <c r="U45" s="198"/>
    </row>
    <row r="46" spans="1:21" s="12" customFormat="1" x14ac:dyDescent="0.25">
      <c r="A46" s="215" t="s">
        <v>1917</v>
      </c>
      <c r="B46" s="64">
        <v>20.49</v>
      </c>
      <c r="C46" s="64">
        <v>67.790000000000006</v>
      </c>
      <c r="D46" s="64">
        <v>50.47</v>
      </c>
      <c r="E46" s="64">
        <v>8.58</v>
      </c>
      <c r="F46" s="64">
        <v>4.54</v>
      </c>
      <c r="G46" s="64">
        <v>197.21</v>
      </c>
      <c r="H46" s="64">
        <v>88.99</v>
      </c>
      <c r="I46" s="64">
        <v>7.04</v>
      </c>
      <c r="J46" s="64">
        <v>1.39</v>
      </c>
      <c r="K46" s="64">
        <v>111.14</v>
      </c>
      <c r="L46" s="64">
        <v>17.440000000000001</v>
      </c>
      <c r="M46" s="64">
        <v>49.04</v>
      </c>
      <c r="N46" s="64">
        <v>615.5</v>
      </c>
      <c r="O46" s="64">
        <v>0</v>
      </c>
      <c r="P46" s="64">
        <v>1.22</v>
      </c>
      <c r="Q46" s="64">
        <v>9.2200000000000006</v>
      </c>
      <c r="R46" s="198"/>
      <c r="S46" s="198"/>
      <c r="T46" s="198"/>
      <c r="U46" s="198"/>
    </row>
    <row r="47" spans="1:21" s="12" customFormat="1" x14ac:dyDescent="0.25">
      <c r="A47" s="215" t="s">
        <v>1918</v>
      </c>
      <c r="B47" s="64">
        <v>18.149999999999999</v>
      </c>
      <c r="C47" s="64">
        <v>68.98</v>
      </c>
      <c r="D47" s="64">
        <v>49.22</v>
      </c>
      <c r="E47" s="64">
        <v>8.3699999999999992</v>
      </c>
      <c r="F47" s="64">
        <v>4.37</v>
      </c>
      <c r="G47" s="64">
        <v>197.21</v>
      </c>
      <c r="H47" s="64">
        <v>88.99</v>
      </c>
      <c r="I47" s="64">
        <v>7.34</v>
      </c>
      <c r="J47" s="64">
        <v>3.36</v>
      </c>
      <c r="K47" s="64">
        <v>111.86</v>
      </c>
      <c r="L47" s="64">
        <v>17.600000000000001</v>
      </c>
      <c r="M47" s="64">
        <v>47.66</v>
      </c>
      <c r="N47" s="64">
        <v>661</v>
      </c>
      <c r="O47" s="64">
        <v>0</v>
      </c>
      <c r="P47" s="64">
        <v>1.2</v>
      </c>
      <c r="Q47" s="64">
        <v>9.02</v>
      </c>
      <c r="R47" s="198"/>
      <c r="S47" s="198"/>
      <c r="T47" s="198"/>
      <c r="U47" s="198"/>
    </row>
    <row r="48" spans="1:21" s="12" customFormat="1" x14ac:dyDescent="0.25">
      <c r="A48" s="215" t="s">
        <v>1919</v>
      </c>
      <c r="B48" s="64">
        <v>15.48</v>
      </c>
      <c r="C48" s="64">
        <v>70.03</v>
      </c>
      <c r="D48" s="64">
        <v>47.63</v>
      </c>
      <c r="E48" s="64">
        <v>7.88</v>
      </c>
      <c r="F48" s="64">
        <v>4.3600000000000003</v>
      </c>
      <c r="G48" s="64">
        <v>197.21</v>
      </c>
      <c r="H48" s="64">
        <v>88.99</v>
      </c>
      <c r="I48" s="64">
        <v>7.47</v>
      </c>
      <c r="J48" s="64">
        <v>2.8</v>
      </c>
      <c r="K48" s="64">
        <v>119.05</v>
      </c>
      <c r="L48" s="64">
        <v>18.03</v>
      </c>
      <c r="M48" s="64">
        <v>46.42</v>
      </c>
      <c r="N48" s="64">
        <v>685.3</v>
      </c>
      <c r="O48" s="64">
        <v>0</v>
      </c>
      <c r="P48" s="64">
        <v>1.17</v>
      </c>
      <c r="Q48" s="64">
        <v>8.82</v>
      </c>
      <c r="R48" s="198"/>
      <c r="S48" s="198"/>
      <c r="T48" s="198"/>
      <c r="U48" s="198"/>
    </row>
    <row r="49" spans="1:21" s="12" customFormat="1" x14ac:dyDescent="0.25">
      <c r="A49" s="215" t="s">
        <v>1920</v>
      </c>
      <c r="B49" s="64">
        <v>12.74</v>
      </c>
      <c r="C49" s="64">
        <v>70.89</v>
      </c>
      <c r="D49" s="64">
        <v>45.87</v>
      </c>
      <c r="E49" s="64">
        <v>7.75</v>
      </c>
      <c r="F49" s="64">
        <v>4.4000000000000004</v>
      </c>
      <c r="G49" s="64">
        <v>197.66</v>
      </c>
      <c r="H49" s="64">
        <v>77.709999999999994</v>
      </c>
      <c r="I49" s="64">
        <v>7.61</v>
      </c>
      <c r="J49" s="64">
        <v>1.6</v>
      </c>
      <c r="K49" s="64">
        <v>121.49</v>
      </c>
      <c r="L49" s="64">
        <v>18.690000000000001</v>
      </c>
      <c r="M49" s="64">
        <v>44.67</v>
      </c>
      <c r="N49" s="64">
        <v>707.4</v>
      </c>
      <c r="O49" s="64">
        <v>0</v>
      </c>
      <c r="P49" s="64">
        <v>1.1499999999999999</v>
      </c>
      <c r="Q49" s="64">
        <v>8.59</v>
      </c>
      <c r="R49" s="198"/>
      <c r="S49" s="198"/>
      <c r="T49" s="198"/>
      <c r="U49" s="198"/>
    </row>
    <row r="50" spans="1:21" s="12" customFormat="1" x14ac:dyDescent="0.25">
      <c r="A50" s="215" t="s">
        <v>1921</v>
      </c>
      <c r="B50" s="64">
        <v>10.46</v>
      </c>
      <c r="C50" s="64">
        <v>71.489999999999995</v>
      </c>
      <c r="D50" s="64">
        <v>44.36</v>
      </c>
      <c r="E50" s="64">
        <v>7.97</v>
      </c>
      <c r="F50" s="64">
        <v>4.32</v>
      </c>
      <c r="G50" s="64">
        <v>198.85</v>
      </c>
      <c r="H50" s="64">
        <v>57.96</v>
      </c>
      <c r="I50" s="64">
        <v>7.77</v>
      </c>
      <c r="J50" s="64">
        <v>3.12</v>
      </c>
      <c r="K50" s="64">
        <v>117.71</v>
      </c>
      <c r="L50" s="64">
        <v>18.78</v>
      </c>
      <c r="M50" s="64">
        <v>44.67</v>
      </c>
      <c r="N50" s="64">
        <v>722.4</v>
      </c>
      <c r="O50" s="64">
        <v>0</v>
      </c>
      <c r="P50" s="64">
        <v>1.1399999999999999</v>
      </c>
      <c r="Q50" s="64">
        <v>8.4</v>
      </c>
      <c r="R50" s="198"/>
      <c r="S50" s="198"/>
      <c r="T50" s="198"/>
      <c r="U50" s="198"/>
    </row>
    <row r="51" spans="1:21" s="12" customFormat="1" x14ac:dyDescent="0.25">
      <c r="A51" s="215" t="s">
        <v>1922</v>
      </c>
      <c r="B51" s="64">
        <v>8.49</v>
      </c>
      <c r="C51" s="64">
        <v>70.39</v>
      </c>
      <c r="D51" s="64">
        <v>42.21</v>
      </c>
      <c r="E51" s="64">
        <v>7.51</v>
      </c>
      <c r="F51" s="64">
        <v>4.33</v>
      </c>
      <c r="G51" s="64">
        <v>198.85</v>
      </c>
      <c r="H51" s="64">
        <v>57.96</v>
      </c>
      <c r="I51" s="64">
        <v>7.96</v>
      </c>
      <c r="J51" s="64">
        <v>2.37</v>
      </c>
      <c r="K51" s="64">
        <v>112.2</v>
      </c>
      <c r="L51" s="64">
        <v>19.46</v>
      </c>
      <c r="M51" s="64">
        <v>42.46</v>
      </c>
      <c r="N51" s="64">
        <v>760.7</v>
      </c>
      <c r="O51" s="64">
        <v>0</v>
      </c>
      <c r="P51" s="64">
        <v>1.1100000000000001</v>
      </c>
      <c r="Q51" s="64">
        <v>8.23</v>
      </c>
      <c r="R51" s="198"/>
      <c r="S51" s="198"/>
      <c r="T51" s="198"/>
      <c r="U51" s="198"/>
    </row>
    <row r="52" spans="1:21" s="12" customFormat="1" x14ac:dyDescent="0.25">
      <c r="A52" s="215" t="s">
        <v>1923</v>
      </c>
      <c r="B52" s="64">
        <v>7.33</v>
      </c>
      <c r="C52" s="64">
        <v>69.819999999999993</v>
      </c>
      <c r="D52" s="64">
        <v>40.98</v>
      </c>
      <c r="E52" s="64">
        <v>6.95</v>
      </c>
      <c r="F52" s="64">
        <v>4.45</v>
      </c>
      <c r="G52" s="64">
        <v>198.85</v>
      </c>
      <c r="H52" s="64">
        <v>57.96</v>
      </c>
      <c r="I52" s="64">
        <v>8.59</v>
      </c>
      <c r="J52" s="64">
        <v>2.46</v>
      </c>
      <c r="K52" s="64">
        <v>110.01</v>
      </c>
      <c r="L52" s="64">
        <v>19.98</v>
      </c>
      <c r="M52" s="64">
        <v>39.42</v>
      </c>
      <c r="N52" s="64">
        <v>770.5</v>
      </c>
      <c r="O52" s="64">
        <v>0</v>
      </c>
      <c r="P52" s="64">
        <v>1.0900000000000001</v>
      </c>
      <c r="Q52" s="64">
        <v>8.2100000000000009</v>
      </c>
      <c r="R52" s="198"/>
      <c r="S52" s="198"/>
      <c r="T52" s="198"/>
      <c r="U52" s="198"/>
    </row>
    <row r="53" spans="1:21" s="12" customFormat="1" x14ac:dyDescent="0.25">
      <c r="A53" s="215" t="s">
        <v>1924</v>
      </c>
      <c r="B53" s="64">
        <v>6.19</v>
      </c>
      <c r="C53" s="64">
        <v>69.02</v>
      </c>
      <c r="D53" s="64">
        <v>39.65</v>
      </c>
      <c r="E53" s="64">
        <v>6.56</v>
      </c>
      <c r="F53" s="64">
        <v>4.53</v>
      </c>
      <c r="G53" s="64">
        <v>193.33</v>
      </c>
      <c r="H53" s="64">
        <v>73.77</v>
      </c>
      <c r="I53" s="64">
        <v>8.9700000000000006</v>
      </c>
      <c r="J53" s="64">
        <v>2.79</v>
      </c>
      <c r="K53" s="64">
        <v>112.39</v>
      </c>
      <c r="L53" s="64">
        <v>20.32</v>
      </c>
      <c r="M53" s="64">
        <v>37.46</v>
      </c>
      <c r="N53" s="64">
        <v>808.1</v>
      </c>
      <c r="O53" s="64">
        <v>0</v>
      </c>
      <c r="P53" s="64">
        <v>1.06</v>
      </c>
      <c r="Q53" s="64">
        <v>8.2100000000000009</v>
      </c>
      <c r="R53" s="198"/>
      <c r="S53" s="198"/>
      <c r="T53" s="198"/>
      <c r="U53" s="198"/>
    </row>
    <row r="54" spans="1:21" s="12" customFormat="1" x14ac:dyDescent="0.25">
      <c r="A54" s="215" t="s">
        <v>1925</v>
      </c>
      <c r="B54" s="64">
        <v>5.15</v>
      </c>
      <c r="C54" s="64">
        <v>67.97</v>
      </c>
      <c r="D54" s="64">
        <v>38.270000000000003</v>
      </c>
      <c r="E54" s="64">
        <v>7.55</v>
      </c>
      <c r="F54" s="64">
        <v>4.3899999999999997</v>
      </c>
      <c r="G54" s="64">
        <v>178.98</v>
      </c>
      <c r="H54" s="64">
        <v>101.44</v>
      </c>
      <c r="I54" s="64">
        <v>9.2799999999999994</v>
      </c>
      <c r="J54" s="64">
        <v>1.1499999999999999</v>
      </c>
      <c r="K54" s="64">
        <v>64.61</v>
      </c>
      <c r="L54" s="64">
        <v>21.49</v>
      </c>
      <c r="M54" s="64">
        <v>34.53</v>
      </c>
      <c r="N54" s="64">
        <v>838.1</v>
      </c>
      <c r="O54" s="64">
        <v>0</v>
      </c>
      <c r="P54" s="64">
        <v>1.03</v>
      </c>
      <c r="Q54" s="64">
        <v>8.2100000000000009</v>
      </c>
      <c r="R54" s="198"/>
      <c r="S54" s="198"/>
      <c r="T54" s="198"/>
      <c r="U54" s="198"/>
    </row>
    <row r="55" spans="1:21" s="12" customFormat="1" x14ac:dyDescent="0.25">
      <c r="A55" s="215" t="s">
        <v>1926</v>
      </c>
      <c r="B55" s="64">
        <v>4.5</v>
      </c>
      <c r="C55" s="64">
        <v>67.5</v>
      </c>
      <c r="D55" s="64">
        <v>37.49</v>
      </c>
      <c r="E55" s="64">
        <v>7.8</v>
      </c>
      <c r="F55" s="64">
        <v>4.87</v>
      </c>
      <c r="G55" s="64">
        <v>178.98</v>
      </c>
      <c r="H55" s="64">
        <v>101.44</v>
      </c>
      <c r="I55" s="64">
        <v>9.56</v>
      </c>
      <c r="J55" s="64">
        <v>1.1000000000000001</v>
      </c>
      <c r="K55" s="64">
        <v>79</v>
      </c>
      <c r="L55" s="64">
        <v>21.46</v>
      </c>
      <c r="M55" s="64">
        <v>34.17</v>
      </c>
      <c r="N55" s="64">
        <v>730.6</v>
      </c>
      <c r="O55" s="64">
        <v>0</v>
      </c>
      <c r="P55" s="64">
        <v>1</v>
      </c>
      <c r="Q55" s="64">
        <v>8.2100000000000009</v>
      </c>
      <c r="R55" s="198"/>
      <c r="S55" s="198"/>
      <c r="T55" s="198"/>
      <c r="U55" s="198"/>
    </row>
    <row r="56" spans="1:21" s="12" customFormat="1" x14ac:dyDescent="0.25">
      <c r="A56" s="215" t="s">
        <v>1927</v>
      </c>
      <c r="B56" s="64">
        <v>4.07</v>
      </c>
      <c r="C56" s="64">
        <v>67.180000000000007</v>
      </c>
      <c r="D56" s="64">
        <v>36.979999999999997</v>
      </c>
      <c r="E56" s="64">
        <v>7.95</v>
      </c>
      <c r="F56" s="64">
        <v>4.8499999999999996</v>
      </c>
      <c r="G56" s="64">
        <v>178.98</v>
      </c>
      <c r="H56" s="64">
        <v>101.44</v>
      </c>
      <c r="I56" s="64">
        <v>9.67</v>
      </c>
      <c r="J56" s="64">
        <v>3.41</v>
      </c>
      <c r="K56" s="64">
        <v>117.22</v>
      </c>
      <c r="L56" s="64">
        <v>21.79</v>
      </c>
      <c r="M56" s="64">
        <v>32.299999999999997</v>
      </c>
      <c r="N56" s="64">
        <v>697.3</v>
      </c>
      <c r="O56" s="64">
        <v>0</v>
      </c>
      <c r="P56" s="64">
        <v>0.98</v>
      </c>
      <c r="Q56" s="64">
        <v>8.2100000000000009</v>
      </c>
      <c r="R56" s="198"/>
      <c r="S56" s="198"/>
      <c r="T56" s="198"/>
      <c r="U56" s="198"/>
    </row>
    <row r="57" spans="1:21" s="12" customFormat="1" x14ac:dyDescent="0.25">
      <c r="A57" s="215" t="s">
        <v>1928</v>
      </c>
      <c r="B57" s="64">
        <v>3.68</v>
      </c>
      <c r="C57" s="64">
        <v>66.319999999999993</v>
      </c>
      <c r="D57" s="64">
        <v>36.229999999999997</v>
      </c>
      <c r="E57" s="64">
        <v>7.37</v>
      </c>
      <c r="F57" s="64">
        <v>4.75</v>
      </c>
      <c r="G57" s="64">
        <v>170.16</v>
      </c>
      <c r="H57" s="64">
        <v>113.84</v>
      </c>
      <c r="I57" s="64">
        <v>9.9600000000000009</v>
      </c>
      <c r="J57" s="64">
        <v>1.26</v>
      </c>
      <c r="K57" s="64">
        <v>38.11</v>
      </c>
      <c r="L57" s="64">
        <v>21.67</v>
      </c>
      <c r="M57" s="64">
        <v>33.01</v>
      </c>
      <c r="N57" s="64">
        <v>689.8</v>
      </c>
      <c r="O57" s="64">
        <v>0</v>
      </c>
      <c r="P57" s="64">
        <v>0.95</v>
      </c>
      <c r="Q57" s="64">
        <v>8.2100000000000009</v>
      </c>
      <c r="R57" s="198"/>
      <c r="S57" s="198"/>
      <c r="T57" s="198"/>
      <c r="U57" s="198"/>
    </row>
    <row r="58" spans="1:21" s="12" customFormat="1" x14ac:dyDescent="0.25">
      <c r="A58" s="215" t="s">
        <v>1929</v>
      </c>
      <c r="B58" s="64">
        <v>3.47</v>
      </c>
      <c r="C58" s="64">
        <v>66</v>
      </c>
      <c r="D58" s="64">
        <v>35.89</v>
      </c>
      <c r="E58" s="64">
        <v>7.89</v>
      </c>
      <c r="F58" s="64">
        <v>5.61</v>
      </c>
      <c r="G58" s="64">
        <v>147.21</v>
      </c>
      <c r="H58" s="64">
        <v>135.54</v>
      </c>
      <c r="I58" s="64">
        <v>10.15</v>
      </c>
      <c r="J58" s="64">
        <v>0.5</v>
      </c>
      <c r="K58" s="64">
        <v>82.01</v>
      </c>
      <c r="L58" s="64">
        <v>23.39</v>
      </c>
      <c r="M58" s="64">
        <v>30.24</v>
      </c>
      <c r="N58" s="64">
        <v>630.1</v>
      </c>
      <c r="O58" s="64">
        <v>0</v>
      </c>
      <c r="P58" s="64">
        <v>0.93</v>
      </c>
      <c r="Q58" s="64">
        <v>8.2100000000000009</v>
      </c>
      <c r="R58" s="198"/>
      <c r="S58" s="198"/>
      <c r="T58" s="198"/>
      <c r="U58" s="198"/>
    </row>
    <row r="59" spans="1:21" s="12" customFormat="1" x14ac:dyDescent="0.25">
      <c r="A59" s="215" t="s">
        <v>1930</v>
      </c>
      <c r="B59" s="64">
        <v>3.21</v>
      </c>
      <c r="C59" s="64">
        <v>66.239999999999995</v>
      </c>
      <c r="D59" s="64">
        <v>35.81</v>
      </c>
      <c r="E59" s="64">
        <v>8.6300000000000008</v>
      </c>
      <c r="F59" s="64">
        <v>6.02</v>
      </c>
      <c r="G59" s="64">
        <v>147.21</v>
      </c>
      <c r="H59" s="64">
        <v>135.54</v>
      </c>
      <c r="I59" s="64">
        <v>10.039999999999999</v>
      </c>
      <c r="J59" s="64">
        <v>1.33</v>
      </c>
      <c r="K59" s="64">
        <v>89.19</v>
      </c>
      <c r="L59" s="64">
        <v>22.29</v>
      </c>
      <c r="M59" s="64">
        <v>32.25</v>
      </c>
      <c r="N59" s="64">
        <v>660.9</v>
      </c>
      <c r="O59" s="64">
        <v>0</v>
      </c>
      <c r="P59" s="64">
        <v>0.92</v>
      </c>
      <c r="Q59" s="64">
        <v>8.2100000000000009</v>
      </c>
      <c r="R59" s="198"/>
      <c r="S59" s="198"/>
      <c r="T59" s="198"/>
      <c r="U59" s="198"/>
    </row>
    <row r="60" spans="1:21" s="12" customFormat="1" x14ac:dyDescent="0.25">
      <c r="A60" s="215" t="s">
        <v>1931</v>
      </c>
      <c r="B60" s="64">
        <v>2.8</v>
      </c>
      <c r="C60" s="64">
        <v>66.38</v>
      </c>
      <c r="D60" s="64">
        <v>35.549999999999997</v>
      </c>
      <c r="E60" s="64">
        <v>8.19</v>
      </c>
      <c r="F60" s="64">
        <v>6.19</v>
      </c>
      <c r="G60" s="64">
        <v>147.21</v>
      </c>
      <c r="H60" s="64">
        <v>135.54</v>
      </c>
      <c r="I60" s="64">
        <v>10.06</v>
      </c>
      <c r="J60" s="64">
        <v>0.87</v>
      </c>
      <c r="K60" s="64">
        <v>50.09</v>
      </c>
      <c r="L60" s="64">
        <v>22.73</v>
      </c>
      <c r="M60" s="64">
        <v>30.65</v>
      </c>
      <c r="N60" s="64">
        <v>613</v>
      </c>
      <c r="O60" s="64">
        <v>0</v>
      </c>
      <c r="P60" s="64">
        <v>0.89</v>
      </c>
      <c r="Q60" s="64">
        <v>8.2100000000000009</v>
      </c>
      <c r="R60" s="198"/>
      <c r="S60" s="198"/>
      <c r="T60" s="198"/>
      <c r="U60" s="198"/>
    </row>
    <row r="61" spans="1:21" s="12" customFormat="1" x14ac:dyDescent="0.25">
      <c r="A61" s="215" t="s">
        <v>1932</v>
      </c>
      <c r="B61" s="64">
        <v>2.56</v>
      </c>
      <c r="C61" s="64">
        <v>66.28</v>
      </c>
      <c r="D61" s="64">
        <v>35.31</v>
      </c>
      <c r="E61" s="64">
        <v>7.86</v>
      </c>
      <c r="F61" s="64">
        <v>5.99</v>
      </c>
      <c r="G61" s="64">
        <v>143.94</v>
      </c>
      <c r="H61" s="64">
        <v>117.08</v>
      </c>
      <c r="I61" s="64">
        <v>9.91</v>
      </c>
      <c r="J61" s="64">
        <v>1.44</v>
      </c>
      <c r="K61" s="64">
        <v>19.68</v>
      </c>
      <c r="L61" s="64">
        <v>22.72</v>
      </c>
      <c r="M61" s="64">
        <v>29.82</v>
      </c>
      <c r="N61" s="64">
        <v>586</v>
      </c>
      <c r="O61" s="64">
        <v>0</v>
      </c>
      <c r="P61" s="64">
        <v>0.91</v>
      </c>
      <c r="Q61" s="64">
        <v>8.2100000000000009</v>
      </c>
      <c r="R61" s="198"/>
      <c r="S61" s="198"/>
      <c r="T61" s="198"/>
      <c r="U61" s="198"/>
    </row>
    <row r="62" spans="1:21" s="12" customFormat="1" x14ac:dyDescent="0.25">
      <c r="A62" s="215" t="s">
        <v>1933</v>
      </c>
      <c r="B62" s="64">
        <v>2.59</v>
      </c>
      <c r="C62" s="64">
        <v>66.64</v>
      </c>
      <c r="D62" s="64">
        <v>35.520000000000003</v>
      </c>
      <c r="E62" s="64">
        <v>7.37</v>
      </c>
      <c r="F62" s="64">
        <v>6.28</v>
      </c>
      <c r="G62" s="64">
        <v>135.44</v>
      </c>
      <c r="H62" s="64">
        <v>37.67</v>
      </c>
      <c r="I62" s="64">
        <v>9.65</v>
      </c>
      <c r="J62" s="64">
        <v>0.97</v>
      </c>
      <c r="K62" s="64">
        <v>33.520000000000003</v>
      </c>
      <c r="L62" s="64">
        <v>22.98</v>
      </c>
      <c r="M62" s="64">
        <v>29.01</v>
      </c>
      <c r="N62" s="64">
        <v>555.6</v>
      </c>
      <c r="O62" s="64">
        <v>0</v>
      </c>
      <c r="P62" s="64">
        <v>0.94</v>
      </c>
      <c r="Q62" s="64">
        <v>8.2100000000000009</v>
      </c>
      <c r="R62" s="198"/>
      <c r="S62" s="198"/>
      <c r="T62" s="198"/>
      <c r="U62" s="198"/>
    </row>
    <row r="63" spans="1:21" s="12" customFormat="1" x14ac:dyDescent="0.25">
      <c r="A63" s="215" t="s">
        <v>1934</v>
      </c>
      <c r="B63" s="64">
        <v>2.67</v>
      </c>
      <c r="C63" s="64">
        <v>67.290000000000006</v>
      </c>
      <c r="D63" s="64">
        <v>35.92</v>
      </c>
      <c r="E63" s="64">
        <v>8.4600000000000009</v>
      </c>
      <c r="F63" s="64">
        <v>6.05</v>
      </c>
      <c r="G63" s="64">
        <v>135.44</v>
      </c>
      <c r="H63" s="64">
        <v>37.67</v>
      </c>
      <c r="I63" s="64">
        <v>9.49</v>
      </c>
      <c r="J63" s="64">
        <v>0.82</v>
      </c>
      <c r="K63" s="64">
        <v>63.41</v>
      </c>
      <c r="L63" s="64">
        <v>22.49</v>
      </c>
      <c r="M63" s="64">
        <v>29.7</v>
      </c>
      <c r="N63" s="64">
        <v>531.70000000000005</v>
      </c>
      <c r="O63" s="64">
        <v>0</v>
      </c>
      <c r="P63" s="64">
        <v>0.93</v>
      </c>
      <c r="Q63" s="64">
        <v>8.2100000000000009</v>
      </c>
      <c r="R63" s="198"/>
      <c r="S63" s="198"/>
      <c r="T63" s="198"/>
      <c r="U63" s="198"/>
    </row>
    <row r="64" spans="1:21" s="12" customFormat="1" x14ac:dyDescent="0.25">
      <c r="A64" s="215" t="s">
        <v>1935</v>
      </c>
      <c r="B64" s="64">
        <v>2.4700000000000002</v>
      </c>
      <c r="C64" s="64">
        <v>67.28</v>
      </c>
      <c r="D64" s="64">
        <v>35.76</v>
      </c>
      <c r="E64" s="64">
        <v>8.3000000000000007</v>
      </c>
      <c r="F64" s="64">
        <v>6.27</v>
      </c>
      <c r="G64" s="64">
        <v>135.44</v>
      </c>
      <c r="H64" s="64">
        <v>37.67</v>
      </c>
      <c r="I64" s="64">
        <v>8.9499999999999993</v>
      </c>
      <c r="J64" s="64">
        <v>2.99</v>
      </c>
      <c r="K64" s="64">
        <v>344.18</v>
      </c>
      <c r="L64" s="64">
        <v>23.96</v>
      </c>
      <c r="M64" s="64">
        <v>27.95</v>
      </c>
      <c r="N64" s="64">
        <v>468.8</v>
      </c>
      <c r="O64" s="64">
        <v>0</v>
      </c>
      <c r="P64" s="64">
        <v>0.91</v>
      </c>
      <c r="Q64" s="64">
        <v>8.2100000000000009</v>
      </c>
      <c r="R64" s="198"/>
      <c r="S64" s="198"/>
      <c r="T64" s="198"/>
      <c r="U64" s="198"/>
    </row>
    <row r="65" spans="1:21" s="12" customFormat="1" x14ac:dyDescent="0.25">
      <c r="A65" s="215" t="s">
        <v>1936</v>
      </c>
      <c r="B65" s="64">
        <v>2.2799999999999998</v>
      </c>
      <c r="C65" s="64">
        <v>67.75</v>
      </c>
      <c r="D65" s="64">
        <v>35.85</v>
      </c>
      <c r="E65" s="64">
        <v>8.2799999999999994</v>
      </c>
      <c r="F65" s="64">
        <v>6.34</v>
      </c>
      <c r="G65" s="64">
        <v>138.38</v>
      </c>
      <c r="H65" s="64">
        <v>24.45</v>
      </c>
      <c r="I65" s="64">
        <v>9.0299999999999994</v>
      </c>
      <c r="J65" s="64">
        <v>2.99</v>
      </c>
      <c r="K65" s="64">
        <v>340.46</v>
      </c>
      <c r="L65" s="64">
        <v>23.98</v>
      </c>
      <c r="M65" s="64">
        <v>27.25</v>
      </c>
      <c r="N65" s="64">
        <v>198.2</v>
      </c>
      <c r="O65" s="64">
        <v>0</v>
      </c>
      <c r="P65" s="64">
        <v>0.9</v>
      </c>
      <c r="Q65" s="64">
        <v>8.2100000000000009</v>
      </c>
      <c r="R65" s="198"/>
      <c r="S65" s="198"/>
      <c r="T65" s="198"/>
      <c r="U65" s="198"/>
    </row>
    <row r="66" spans="1:21" s="12" customFormat="1" x14ac:dyDescent="0.25">
      <c r="A66" s="215" t="s">
        <v>1937</v>
      </c>
      <c r="B66" s="64">
        <v>2.2400000000000002</v>
      </c>
      <c r="C66" s="64">
        <v>68.11</v>
      </c>
      <c r="D66" s="64">
        <v>36.01</v>
      </c>
      <c r="E66" s="64">
        <v>8.15</v>
      </c>
      <c r="F66" s="64">
        <v>7.21</v>
      </c>
      <c r="G66" s="64">
        <v>146.01</v>
      </c>
      <c r="H66" s="64">
        <v>0.75</v>
      </c>
      <c r="I66" s="64">
        <v>8.64</v>
      </c>
      <c r="J66" s="64">
        <v>1.39</v>
      </c>
      <c r="K66" s="64">
        <v>62.24</v>
      </c>
      <c r="L66" s="64">
        <v>23.66</v>
      </c>
      <c r="M66" s="64">
        <v>27.39</v>
      </c>
      <c r="N66" s="64">
        <v>162.30000000000001</v>
      </c>
      <c r="O66" s="64">
        <v>0</v>
      </c>
      <c r="P66" s="64">
        <v>0.9</v>
      </c>
      <c r="Q66" s="64">
        <v>8.2100000000000009</v>
      </c>
      <c r="R66" s="198"/>
      <c r="S66" s="198"/>
      <c r="T66" s="198"/>
      <c r="U66" s="198"/>
    </row>
    <row r="67" spans="1:21" s="12" customFormat="1" x14ac:dyDescent="0.25">
      <c r="A67" s="215" t="s">
        <v>1938</v>
      </c>
      <c r="B67" s="64">
        <v>2.1</v>
      </c>
      <c r="C67" s="64">
        <v>67.45</v>
      </c>
      <c r="D67" s="64">
        <v>35.549999999999997</v>
      </c>
      <c r="E67" s="64">
        <v>8.1199999999999992</v>
      </c>
      <c r="F67" s="64">
        <v>7.08</v>
      </c>
      <c r="G67" s="64">
        <v>146.01</v>
      </c>
      <c r="H67" s="64">
        <v>0.75</v>
      </c>
      <c r="I67" s="64">
        <v>8.4</v>
      </c>
      <c r="J67" s="64">
        <v>2.67</v>
      </c>
      <c r="K67" s="64">
        <v>111.02</v>
      </c>
      <c r="L67" s="64">
        <v>22.05</v>
      </c>
      <c r="M67" s="64">
        <v>28.79</v>
      </c>
      <c r="N67" s="64">
        <v>161.30000000000001</v>
      </c>
      <c r="O67" s="64">
        <v>0</v>
      </c>
      <c r="P67" s="64">
        <v>0.87</v>
      </c>
      <c r="Q67" s="64">
        <v>8.2100000000000009</v>
      </c>
      <c r="R67" s="198"/>
      <c r="S67" s="198"/>
      <c r="T67" s="198"/>
      <c r="U67" s="198"/>
    </row>
    <row r="68" spans="1:21" s="12" customFormat="1" x14ac:dyDescent="0.25">
      <c r="A68" s="215" t="s">
        <v>1939</v>
      </c>
      <c r="B68" s="64">
        <v>2.0299999999999998</v>
      </c>
      <c r="C68" s="64">
        <v>65.55</v>
      </c>
      <c r="D68" s="64">
        <v>34.5</v>
      </c>
      <c r="E68" s="64">
        <v>7.16</v>
      </c>
      <c r="F68" s="64">
        <v>6.41</v>
      </c>
      <c r="G68" s="64">
        <v>146.01</v>
      </c>
      <c r="H68" s="64">
        <v>0.75</v>
      </c>
      <c r="I68" s="64">
        <v>8.1999999999999993</v>
      </c>
      <c r="J68" s="64">
        <v>2.17</v>
      </c>
      <c r="K68" s="64">
        <v>344.55</v>
      </c>
      <c r="L68" s="64">
        <v>22.83</v>
      </c>
      <c r="M68" s="64">
        <v>28.18</v>
      </c>
      <c r="N68" s="64">
        <v>140.1</v>
      </c>
      <c r="O68" s="64">
        <v>0</v>
      </c>
      <c r="P68" s="64">
        <v>0.82</v>
      </c>
      <c r="Q68" s="64">
        <v>8.2100000000000009</v>
      </c>
      <c r="R68" s="198"/>
      <c r="S68" s="198"/>
      <c r="T68" s="198"/>
      <c r="U68" s="198"/>
    </row>
    <row r="69" spans="1:21" s="12" customFormat="1" x14ac:dyDescent="0.25">
      <c r="A69" s="215" t="s">
        <v>1940</v>
      </c>
      <c r="B69" s="64">
        <v>2.2400000000000002</v>
      </c>
      <c r="C69" s="64">
        <v>64.8</v>
      </c>
      <c r="D69" s="64">
        <v>34.270000000000003</v>
      </c>
      <c r="E69" s="64">
        <v>7.05</v>
      </c>
      <c r="F69" s="64">
        <v>5.87</v>
      </c>
      <c r="G69" s="64">
        <v>146.5</v>
      </c>
      <c r="H69" s="64">
        <v>2.11</v>
      </c>
      <c r="I69" s="64">
        <v>7.4</v>
      </c>
      <c r="J69" s="64">
        <v>1.26</v>
      </c>
      <c r="K69" s="64">
        <v>16.899999999999999</v>
      </c>
      <c r="L69" s="64">
        <v>22.46</v>
      </c>
      <c r="M69" s="64">
        <v>27.63</v>
      </c>
      <c r="N69" s="64">
        <v>121.8</v>
      </c>
      <c r="O69" s="64">
        <v>0</v>
      </c>
      <c r="P69" s="64">
        <v>0.79</v>
      </c>
      <c r="Q69" s="64">
        <v>8.2100000000000009</v>
      </c>
      <c r="R69" s="198"/>
      <c r="S69" s="198"/>
      <c r="T69" s="198"/>
      <c r="U69" s="198"/>
    </row>
    <row r="70" spans="1:21" s="12" customFormat="1" x14ac:dyDescent="0.25">
      <c r="A70" s="215" t="s">
        <v>1941</v>
      </c>
      <c r="B70" s="64">
        <v>2.48</v>
      </c>
      <c r="C70" s="64">
        <v>64.56</v>
      </c>
      <c r="D70" s="64">
        <v>34.340000000000003</v>
      </c>
      <c r="E70" s="64">
        <v>7.02</v>
      </c>
      <c r="F70" s="64">
        <v>5.5</v>
      </c>
      <c r="G70" s="64">
        <v>147.76</v>
      </c>
      <c r="H70" s="64">
        <v>4.4800000000000004</v>
      </c>
      <c r="I70" s="64">
        <v>5.7</v>
      </c>
      <c r="J70" s="64">
        <v>1.28</v>
      </c>
      <c r="K70" s="64">
        <v>72.95</v>
      </c>
      <c r="L70" s="64">
        <v>21.91</v>
      </c>
      <c r="M70" s="64">
        <v>28.54</v>
      </c>
      <c r="N70" s="64">
        <v>110.8</v>
      </c>
      <c r="O70" s="64">
        <v>0</v>
      </c>
      <c r="P70" s="64">
        <v>0.81</v>
      </c>
      <c r="Q70" s="64">
        <v>8.2100000000000009</v>
      </c>
      <c r="R70" s="198"/>
      <c r="S70" s="198"/>
      <c r="T70" s="198"/>
      <c r="U70" s="198"/>
    </row>
    <row r="71" spans="1:21" s="12" customFormat="1" x14ac:dyDescent="0.25">
      <c r="A71" s="215" t="s">
        <v>1942</v>
      </c>
      <c r="B71" s="64">
        <v>2.58</v>
      </c>
      <c r="C71" s="64">
        <v>63.97</v>
      </c>
      <c r="D71" s="64">
        <v>34.11</v>
      </c>
      <c r="E71" s="64">
        <v>7.38</v>
      </c>
      <c r="F71" s="64">
        <v>5.54</v>
      </c>
      <c r="G71" s="64">
        <v>147.76</v>
      </c>
      <c r="H71" s="64">
        <v>4.4800000000000004</v>
      </c>
      <c r="I71" s="64">
        <v>5.1100000000000003</v>
      </c>
      <c r="J71" s="64">
        <v>1.27</v>
      </c>
      <c r="K71" s="64">
        <v>78.290000000000006</v>
      </c>
      <c r="L71" s="64">
        <v>21.54</v>
      </c>
      <c r="M71" s="64">
        <v>29.58</v>
      </c>
      <c r="N71" s="64">
        <v>101.8</v>
      </c>
      <c r="O71" s="64">
        <v>0</v>
      </c>
      <c r="P71" s="64">
        <v>0.78</v>
      </c>
      <c r="Q71" s="64">
        <v>8.2100000000000009</v>
      </c>
      <c r="R71" s="198"/>
      <c r="S71" s="198"/>
      <c r="T71" s="198"/>
      <c r="U71" s="198"/>
    </row>
    <row r="72" spans="1:21" s="12" customFormat="1" x14ac:dyDescent="0.25">
      <c r="A72" s="215" t="s">
        <v>1943</v>
      </c>
      <c r="B72" s="64">
        <v>2.7</v>
      </c>
      <c r="C72" s="64">
        <v>63.53</v>
      </c>
      <c r="D72" s="64">
        <v>33.979999999999997</v>
      </c>
      <c r="E72" s="64">
        <v>8.8000000000000007</v>
      </c>
      <c r="F72" s="64">
        <v>5.47</v>
      </c>
      <c r="G72" s="64">
        <v>147.76</v>
      </c>
      <c r="H72" s="64">
        <v>4.4800000000000004</v>
      </c>
      <c r="I72" s="64">
        <v>5.0999999999999996</v>
      </c>
      <c r="J72" s="64">
        <v>2.2000000000000002</v>
      </c>
      <c r="K72" s="64">
        <v>343.6</v>
      </c>
      <c r="L72" s="64">
        <v>21.51</v>
      </c>
      <c r="M72" s="64">
        <v>29.67</v>
      </c>
      <c r="N72" s="64">
        <v>93.4</v>
      </c>
      <c r="O72" s="64">
        <v>0</v>
      </c>
      <c r="P72" s="64">
        <v>0.86</v>
      </c>
      <c r="Q72" s="64">
        <v>8.2100000000000009</v>
      </c>
      <c r="R72" s="198"/>
      <c r="S72" s="198"/>
      <c r="T72" s="198"/>
      <c r="U72" s="198"/>
    </row>
    <row r="73" spans="1:21" s="12" customFormat="1" x14ac:dyDescent="0.25">
      <c r="A73" s="215" t="s">
        <v>1944</v>
      </c>
      <c r="B73" s="64">
        <v>2.99</v>
      </c>
      <c r="C73" s="64">
        <v>64.08</v>
      </c>
      <c r="D73" s="64">
        <v>34.5</v>
      </c>
      <c r="E73" s="64">
        <v>8.86</v>
      </c>
      <c r="F73" s="64">
        <v>5.3</v>
      </c>
      <c r="G73" s="64">
        <v>146.24</v>
      </c>
      <c r="H73" s="64">
        <v>2.95</v>
      </c>
      <c r="I73" s="64">
        <v>5.07</v>
      </c>
      <c r="J73" s="64">
        <v>2.74</v>
      </c>
      <c r="K73" s="64">
        <v>348.45</v>
      </c>
      <c r="L73" s="64">
        <v>21.4</v>
      </c>
      <c r="M73" s="64">
        <v>30.33</v>
      </c>
      <c r="N73" s="64">
        <v>85.6</v>
      </c>
      <c r="O73" s="64">
        <v>0</v>
      </c>
      <c r="P73" s="64">
        <v>0.9</v>
      </c>
      <c r="Q73" s="64">
        <v>8.2100000000000009</v>
      </c>
      <c r="R73" s="198"/>
      <c r="S73" s="198"/>
      <c r="T73" s="198"/>
      <c r="U73" s="198"/>
    </row>
    <row r="74" spans="1:21" s="12" customFormat="1" x14ac:dyDescent="0.25">
      <c r="A74" s="215" t="s">
        <v>1945</v>
      </c>
      <c r="B74" s="64">
        <v>3.45</v>
      </c>
      <c r="C74" s="64">
        <v>65.19</v>
      </c>
      <c r="D74" s="64">
        <v>35.44</v>
      </c>
      <c r="E74" s="64">
        <v>8.91</v>
      </c>
      <c r="F74" s="64">
        <v>5.63</v>
      </c>
      <c r="G74" s="64">
        <v>142.30000000000001</v>
      </c>
      <c r="H74" s="64">
        <v>0.27</v>
      </c>
      <c r="I74" s="64">
        <v>5.2</v>
      </c>
      <c r="J74" s="64">
        <v>2.81</v>
      </c>
      <c r="K74" s="64">
        <v>352.1</v>
      </c>
      <c r="L74" s="64">
        <v>21.08</v>
      </c>
      <c r="M74" s="64">
        <v>31.02</v>
      </c>
      <c r="N74" s="64">
        <v>77.599999999999994</v>
      </c>
      <c r="O74" s="64">
        <v>0</v>
      </c>
      <c r="P74" s="64">
        <v>0.93</v>
      </c>
      <c r="Q74" s="64">
        <v>8.2100000000000009</v>
      </c>
      <c r="R74" s="198"/>
      <c r="S74" s="198"/>
      <c r="T74" s="198"/>
      <c r="U74" s="198"/>
    </row>
    <row r="75" spans="1:21" s="12" customFormat="1" x14ac:dyDescent="0.25">
      <c r="A75" s="215" t="s">
        <v>1946</v>
      </c>
      <c r="B75" s="64">
        <v>3.95</v>
      </c>
      <c r="C75" s="64">
        <v>66.48</v>
      </c>
      <c r="D75" s="64">
        <v>36.53</v>
      </c>
      <c r="E75" s="64">
        <v>9.2100000000000009</v>
      </c>
      <c r="F75" s="64">
        <v>5.22</v>
      </c>
      <c r="G75" s="64">
        <v>142.30000000000001</v>
      </c>
      <c r="H75" s="64">
        <v>0.27</v>
      </c>
      <c r="I75" s="64">
        <v>5.46</v>
      </c>
      <c r="J75" s="64">
        <v>2.36</v>
      </c>
      <c r="K75" s="64">
        <v>5.5</v>
      </c>
      <c r="L75" s="64">
        <v>20.62</v>
      </c>
      <c r="M75" s="64">
        <v>32.18</v>
      </c>
      <c r="N75" s="64">
        <v>68.2</v>
      </c>
      <c r="O75" s="64">
        <v>0</v>
      </c>
      <c r="P75" s="64">
        <v>0.88</v>
      </c>
      <c r="Q75" s="64">
        <v>8.2100000000000009</v>
      </c>
      <c r="R75" s="198"/>
      <c r="S75" s="198"/>
      <c r="T75" s="198"/>
      <c r="U75" s="198"/>
    </row>
    <row r="76" spans="1:21" s="12" customFormat="1" x14ac:dyDescent="0.25">
      <c r="A76" s="215" t="s">
        <v>1947</v>
      </c>
      <c r="B76" s="64">
        <v>3.96</v>
      </c>
      <c r="C76" s="64">
        <v>68.27</v>
      </c>
      <c r="D76" s="64">
        <v>37.47</v>
      </c>
      <c r="E76" s="64">
        <v>9.4600000000000009</v>
      </c>
      <c r="F76" s="64">
        <v>5.66</v>
      </c>
      <c r="G76" s="64">
        <v>142.30000000000001</v>
      </c>
      <c r="H76" s="64">
        <v>0.27</v>
      </c>
      <c r="I76" s="64">
        <v>5.92</v>
      </c>
      <c r="J76" s="64">
        <v>1.41</v>
      </c>
      <c r="K76" s="64">
        <v>34.92</v>
      </c>
      <c r="L76" s="64">
        <v>19.940000000000001</v>
      </c>
      <c r="M76" s="64">
        <v>34.18</v>
      </c>
      <c r="N76" s="64">
        <v>56.8</v>
      </c>
      <c r="O76" s="64">
        <v>0</v>
      </c>
      <c r="P76" s="64">
        <v>0.87</v>
      </c>
      <c r="Q76" s="64">
        <v>8.2100000000000009</v>
      </c>
      <c r="R76" s="198"/>
      <c r="S76" s="198"/>
      <c r="T76" s="198"/>
      <c r="U76" s="198"/>
    </row>
    <row r="77" spans="1:21" s="12" customFormat="1" x14ac:dyDescent="0.25">
      <c r="A77" s="215" t="s">
        <v>1948</v>
      </c>
      <c r="B77" s="64">
        <v>3.68</v>
      </c>
      <c r="C77" s="64">
        <v>69.67</v>
      </c>
      <c r="D77" s="64">
        <v>37.97</v>
      </c>
      <c r="E77" s="64">
        <v>9.1300000000000008</v>
      </c>
      <c r="F77" s="64">
        <v>5.32</v>
      </c>
      <c r="G77" s="64">
        <v>151.32</v>
      </c>
      <c r="H77" s="64">
        <v>34.46</v>
      </c>
      <c r="I77" s="64">
        <v>7.99</v>
      </c>
      <c r="J77" s="64">
        <v>1.79</v>
      </c>
      <c r="K77" s="64">
        <v>41.73</v>
      </c>
      <c r="L77" s="64">
        <v>19.149999999999999</v>
      </c>
      <c r="M77" s="64">
        <v>37.56</v>
      </c>
      <c r="N77" s="64">
        <v>49.3</v>
      </c>
      <c r="O77" s="64">
        <v>0</v>
      </c>
      <c r="P77" s="64">
        <v>1.01</v>
      </c>
      <c r="Q77" s="64">
        <v>8.2100000000000009</v>
      </c>
      <c r="R77" s="198"/>
      <c r="S77" s="198"/>
      <c r="T77" s="198"/>
      <c r="U77" s="198"/>
    </row>
    <row r="78" spans="1:21" s="12" customFormat="1" x14ac:dyDescent="0.25">
      <c r="A78" s="215" t="s">
        <v>1949</v>
      </c>
      <c r="B78" s="64">
        <v>5.2</v>
      </c>
      <c r="C78" s="64">
        <v>72.8</v>
      </c>
      <c r="D78" s="64">
        <v>40.83</v>
      </c>
      <c r="E78" s="64">
        <v>9.4</v>
      </c>
      <c r="F78" s="64">
        <v>4.38</v>
      </c>
      <c r="G78" s="64">
        <v>174.78</v>
      </c>
      <c r="H78" s="64">
        <v>78.05</v>
      </c>
      <c r="I78" s="64">
        <v>5.87</v>
      </c>
      <c r="J78" s="64">
        <v>2.0699999999999998</v>
      </c>
      <c r="K78" s="64">
        <v>358.3</v>
      </c>
      <c r="L78" s="64">
        <v>18.059999999999999</v>
      </c>
      <c r="M78" s="64">
        <v>42.99</v>
      </c>
      <c r="N78" s="64">
        <v>46.6</v>
      </c>
      <c r="O78" s="64">
        <v>0</v>
      </c>
      <c r="P78" s="64">
        <v>0.97</v>
      </c>
      <c r="Q78" s="64">
        <v>8.2100000000000009</v>
      </c>
      <c r="R78" s="198"/>
      <c r="S78" s="198"/>
      <c r="T78" s="198"/>
      <c r="U78" s="198"/>
    </row>
    <row r="79" spans="1:21" s="12" customFormat="1" x14ac:dyDescent="0.25">
      <c r="A79" s="215" t="s">
        <v>1950</v>
      </c>
      <c r="B79" s="64">
        <v>9.66</v>
      </c>
      <c r="C79" s="64">
        <v>76.89</v>
      </c>
      <c r="D79" s="64">
        <v>46.54</v>
      </c>
      <c r="E79" s="64">
        <v>9.6300000000000008</v>
      </c>
      <c r="F79" s="64">
        <v>3.96</v>
      </c>
      <c r="G79" s="64">
        <v>174.78</v>
      </c>
      <c r="H79" s="64">
        <v>78.05</v>
      </c>
      <c r="I79" s="64">
        <v>7.45</v>
      </c>
      <c r="J79" s="64">
        <v>2.36</v>
      </c>
      <c r="K79" s="64">
        <v>338.35</v>
      </c>
      <c r="L79" s="64">
        <v>17.11</v>
      </c>
      <c r="M79" s="64">
        <v>45.15</v>
      </c>
      <c r="N79" s="64">
        <v>45.1</v>
      </c>
      <c r="O79" s="64">
        <v>0</v>
      </c>
      <c r="P79" s="64">
        <v>1.05</v>
      </c>
      <c r="Q79" s="64">
        <v>8.27</v>
      </c>
      <c r="R79" s="198"/>
      <c r="S79" s="198"/>
      <c r="T79" s="198"/>
      <c r="U79" s="198"/>
    </row>
    <row r="80" spans="1:21" s="12" customFormat="1" x14ac:dyDescent="0.25">
      <c r="A80" s="215" t="s">
        <v>1951</v>
      </c>
      <c r="B80" s="64">
        <v>13.66</v>
      </c>
      <c r="C80" s="64">
        <v>80.319999999999993</v>
      </c>
      <c r="D80" s="64">
        <v>51.54</v>
      </c>
      <c r="E80" s="64">
        <v>9.68</v>
      </c>
      <c r="F80" s="64">
        <v>4</v>
      </c>
      <c r="G80" s="64">
        <v>174.78</v>
      </c>
      <c r="H80" s="64">
        <v>78.05</v>
      </c>
      <c r="I80" s="64">
        <v>7.92</v>
      </c>
      <c r="J80" s="64">
        <v>2.27</v>
      </c>
      <c r="K80" s="64">
        <v>313.31</v>
      </c>
      <c r="L80" s="64">
        <v>16.27</v>
      </c>
      <c r="M80" s="64">
        <v>49.72</v>
      </c>
      <c r="N80" s="64">
        <v>44.8</v>
      </c>
      <c r="O80" s="64">
        <v>0</v>
      </c>
      <c r="P80" s="64">
        <v>1.1299999999999999</v>
      </c>
      <c r="Q80" s="64">
        <v>8.68</v>
      </c>
      <c r="R80" s="198"/>
      <c r="S80" s="198"/>
      <c r="T80" s="198"/>
      <c r="U80" s="198"/>
    </row>
    <row r="81" spans="1:26" s="12" customFormat="1" x14ac:dyDescent="0.25">
      <c r="A81" s="215" t="s">
        <v>1952</v>
      </c>
      <c r="B81" s="64">
        <v>18.04</v>
      </c>
      <c r="C81" s="64">
        <v>82.63</v>
      </c>
      <c r="D81" s="64">
        <v>56.26</v>
      </c>
      <c r="E81" s="64">
        <v>9.9700000000000006</v>
      </c>
      <c r="F81" s="64">
        <v>4.05</v>
      </c>
      <c r="G81" s="64">
        <v>210.66</v>
      </c>
      <c r="H81" s="64">
        <v>185.55</v>
      </c>
      <c r="I81" s="64">
        <v>8.32</v>
      </c>
      <c r="J81" s="64">
        <v>2.4</v>
      </c>
      <c r="K81" s="64">
        <v>2.67</v>
      </c>
      <c r="L81" s="64">
        <v>15.61</v>
      </c>
      <c r="M81" s="64">
        <v>58.16</v>
      </c>
      <c r="N81" s="64">
        <v>44.5</v>
      </c>
      <c r="O81" s="64">
        <v>0</v>
      </c>
      <c r="P81" s="64">
        <v>1.39</v>
      </c>
      <c r="Q81" s="64">
        <v>9.16</v>
      </c>
      <c r="R81" s="198"/>
      <c r="S81" s="198"/>
      <c r="T81" s="198"/>
      <c r="U81" s="198"/>
    </row>
    <row r="82" spans="1:26" s="12" customFormat="1" x14ac:dyDescent="0.25">
      <c r="A82" s="215" t="s">
        <v>1953</v>
      </c>
      <c r="B82" s="64">
        <v>24.24</v>
      </c>
      <c r="C82" s="64">
        <v>84.36</v>
      </c>
      <c r="D82" s="64">
        <v>62.14</v>
      </c>
      <c r="E82" s="64">
        <v>10.96</v>
      </c>
      <c r="F82" s="64">
        <v>4.12</v>
      </c>
      <c r="G82" s="64">
        <v>303.95</v>
      </c>
      <c r="H82" s="64">
        <v>198.66</v>
      </c>
      <c r="I82" s="64">
        <v>8.49</v>
      </c>
      <c r="J82" s="64">
        <v>2.02</v>
      </c>
      <c r="K82" s="64">
        <v>36.380000000000003</v>
      </c>
      <c r="L82" s="64">
        <v>15.11</v>
      </c>
      <c r="M82" s="64">
        <v>57.24</v>
      </c>
      <c r="N82" s="64">
        <v>44.4</v>
      </c>
      <c r="O82" s="64">
        <v>0</v>
      </c>
      <c r="P82" s="64">
        <v>1.4</v>
      </c>
      <c r="Q82" s="64">
        <v>9.7200000000000006</v>
      </c>
      <c r="R82" s="198"/>
      <c r="S82" s="198"/>
      <c r="T82" s="198"/>
      <c r="U82" s="198"/>
    </row>
    <row r="83" spans="1:26" s="12" customFormat="1" x14ac:dyDescent="0.25">
      <c r="A83" s="215" t="s">
        <v>1954</v>
      </c>
      <c r="B83" s="64">
        <v>27.24</v>
      </c>
      <c r="C83" s="64">
        <v>85.52</v>
      </c>
      <c r="D83" s="64">
        <v>65.150000000000006</v>
      </c>
      <c r="E83" s="64">
        <v>11.17</v>
      </c>
      <c r="F83" s="64">
        <v>3.95</v>
      </c>
      <c r="G83" s="64">
        <v>303.95</v>
      </c>
      <c r="H83" s="64">
        <v>198.66</v>
      </c>
      <c r="I83" s="64">
        <v>9.3699999999999992</v>
      </c>
      <c r="J83" s="64">
        <v>2.4700000000000002</v>
      </c>
      <c r="K83" s="64">
        <v>60.03</v>
      </c>
      <c r="L83" s="64">
        <v>15.18</v>
      </c>
      <c r="M83" s="64">
        <v>55.67</v>
      </c>
      <c r="N83" s="64">
        <v>44.2</v>
      </c>
      <c r="O83" s="64">
        <v>0</v>
      </c>
      <c r="P83" s="64">
        <v>1.48</v>
      </c>
      <c r="Q83" s="64">
        <v>9.86</v>
      </c>
      <c r="R83" s="198"/>
      <c r="S83" s="198"/>
      <c r="T83" s="198"/>
      <c r="U83" s="198"/>
    </row>
    <row r="84" spans="1:26" s="12" customFormat="1" x14ac:dyDescent="0.25">
      <c r="A84" s="215" t="s">
        <v>1955</v>
      </c>
      <c r="B84" s="64">
        <v>28.57</v>
      </c>
      <c r="C84" s="64">
        <v>85.22</v>
      </c>
      <c r="D84" s="64">
        <v>66.06</v>
      </c>
      <c r="E84" s="64">
        <v>10.64</v>
      </c>
      <c r="F84" s="64">
        <v>4.49</v>
      </c>
      <c r="G84" s="64">
        <v>303.95</v>
      </c>
      <c r="H84" s="64">
        <v>198.66</v>
      </c>
      <c r="I84" s="64">
        <v>9.25</v>
      </c>
      <c r="J84" s="64">
        <v>1.84</v>
      </c>
      <c r="K84" s="64">
        <v>355.29</v>
      </c>
      <c r="L84" s="64">
        <v>15.34</v>
      </c>
      <c r="M84" s="64">
        <v>61.54</v>
      </c>
      <c r="N84" s="64">
        <v>44.4</v>
      </c>
      <c r="O84" s="64">
        <v>0</v>
      </c>
      <c r="P84" s="64">
        <v>2.14</v>
      </c>
      <c r="Q84" s="64">
        <v>9.85</v>
      </c>
      <c r="R84" s="198"/>
      <c r="S84" s="198"/>
      <c r="T84" s="198"/>
      <c r="U84" s="198"/>
    </row>
    <row r="85" spans="1:26" s="12" customFormat="1" x14ac:dyDescent="0.25">
      <c r="A85" s="215" t="s">
        <v>1956</v>
      </c>
      <c r="B85" s="64">
        <v>31.93</v>
      </c>
      <c r="C85" s="64">
        <v>84.48</v>
      </c>
      <c r="D85" s="64">
        <v>68.36</v>
      </c>
      <c r="E85" s="64">
        <v>10.94</v>
      </c>
      <c r="F85" s="64">
        <v>4.4800000000000004</v>
      </c>
      <c r="G85" s="64">
        <v>297.33999999999997</v>
      </c>
      <c r="H85" s="64">
        <v>170</v>
      </c>
      <c r="I85" s="64">
        <v>9.34</v>
      </c>
      <c r="J85" s="64">
        <v>1.86</v>
      </c>
      <c r="K85" s="64">
        <v>46.78</v>
      </c>
      <c r="L85" s="64">
        <v>15.16</v>
      </c>
      <c r="M85" s="64">
        <v>56.61</v>
      </c>
      <c r="N85" s="64">
        <v>43.7</v>
      </c>
      <c r="O85" s="64">
        <v>0</v>
      </c>
      <c r="P85" s="64">
        <v>2.1</v>
      </c>
      <c r="Q85" s="64">
        <v>9.85</v>
      </c>
      <c r="R85" s="198"/>
      <c r="S85" s="198"/>
      <c r="T85" s="198"/>
      <c r="U85" s="198"/>
    </row>
    <row r="86" spans="1:26" s="12" customFormat="1" x14ac:dyDescent="0.25">
      <c r="A86" s="215" t="s">
        <v>1957</v>
      </c>
      <c r="B86" s="64">
        <v>35.25</v>
      </c>
      <c r="C86" s="64">
        <v>83.88</v>
      </c>
      <c r="D86" s="64">
        <v>70.709999999999994</v>
      </c>
      <c r="E86" s="64">
        <v>11.28</v>
      </c>
      <c r="F86" s="64">
        <v>4.3499999999999996</v>
      </c>
      <c r="G86" s="64">
        <v>280.14999999999998</v>
      </c>
      <c r="H86" s="64">
        <v>121.84</v>
      </c>
      <c r="I86" s="64">
        <v>10.67</v>
      </c>
      <c r="J86" s="64">
        <v>2.1800000000000002</v>
      </c>
      <c r="K86" s="64">
        <v>68.19</v>
      </c>
      <c r="L86" s="64">
        <v>15.6</v>
      </c>
      <c r="M86" s="64">
        <v>50.02</v>
      </c>
      <c r="N86" s="64">
        <v>44</v>
      </c>
      <c r="O86" s="64">
        <v>0</v>
      </c>
      <c r="P86" s="64">
        <v>1.94</v>
      </c>
      <c r="Q86" s="64">
        <v>9.89</v>
      </c>
      <c r="R86" s="198"/>
      <c r="S86" s="198"/>
      <c r="T86" s="198"/>
      <c r="U86" s="198"/>
    </row>
    <row r="87" spans="1:26" s="12" customFormat="1" x14ac:dyDescent="0.25">
      <c r="A87" s="215" t="s">
        <v>1958</v>
      </c>
      <c r="B87" s="64">
        <v>36.49</v>
      </c>
      <c r="C87" s="64">
        <v>83.28</v>
      </c>
      <c r="D87" s="64">
        <v>71.39</v>
      </c>
      <c r="E87" s="64">
        <v>11.32</v>
      </c>
      <c r="F87" s="64">
        <v>4.42</v>
      </c>
      <c r="G87" s="64">
        <v>280.14999999999998</v>
      </c>
      <c r="H87" s="64">
        <v>121.84</v>
      </c>
      <c r="I87" s="64">
        <v>11.3</v>
      </c>
      <c r="J87" s="64">
        <v>1.57</v>
      </c>
      <c r="K87" s="64">
        <v>18.940000000000001</v>
      </c>
      <c r="L87" s="64">
        <v>15.52</v>
      </c>
      <c r="M87" s="64">
        <v>49.69</v>
      </c>
      <c r="N87" s="64">
        <v>44</v>
      </c>
      <c r="O87" s="64">
        <v>0</v>
      </c>
      <c r="P87" s="64">
        <v>1.86</v>
      </c>
      <c r="Q87" s="64">
        <v>9.91</v>
      </c>
      <c r="R87" s="198"/>
      <c r="S87" s="198"/>
      <c r="T87" s="198"/>
      <c r="U87" s="198"/>
    </row>
    <row r="88" spans="1:26" s="12" customFormat="1" x14ac:dyDescent="0.25">
      <c r="A88" s="215" t="s">
        <v>1959</v>
      </c>
      <c r="B88" s="64">
        <v>38.270000000000003</v>
      </c>
      <c r="C88" s="64">
        <v>82.32</v>
      </c>
      <c r="D88" s="64">
        <v>72.319999999999993</v>
      </c>
      <c r="E88" s="64">
        <v>11.53</v>
      </c>
      <c r="F88" s="64">
        <v>4.47</v>
      </c>
      <c r="G88" s="64">
        <v>280.14999999999998</v>
      </c>
      <c r="H88" s="64">
        <v>121.84</v>
      </c>
      <c r="I88" s="64">
        <v>10.66</v>
      </c>
      <c r="J88" s="64">
        <v>2.21</v>
      </c>
      <c r="K88" s="64">
        <v>6.79</v>
      </c>
      <c r="L88" s="64">
        <v>15.18</v>
      </c>
      <c r="M88" s="64">
        <v>50.85</v>
      </c>
      <c r="N88" s="64">
        <v>43.9</v>
      </c>
      <c r="O88" s="64">
        <v>0</v>
      </c>
      <c r="P88" s="64">
        <v>1.95</v>
      </c>
      <c r="Q88" s="64">
        <v>9.94</v>
      </c>
      <c r="R88" s="198"/>
      <c r="S88" s="198"/>
      <c r="T88" s="198"/>
      <c r="U88" s="198"/>
    </row>
    <row r="89" spans="1:26" s="12" customFormat="1" x14ac:dyDescent="0.25">
      <c r="A89" s="215" t="s">
        <v>1960</v>
      </c>
      <c r="B89" s="64">
        <v>39.71</v>
      </c>
      <c r="C89" s="64">
        <v>81.5</v>
      </c>
      <c r="D89" s="64">
        <v>73.05</v>
      </c>
      <c r="E89" s="64">
        <v>11.33</v>
      </c>
      <c r="F89" s="64">
        <v>4.47</v>
      </c>
      <c r="G89" s="64">
        <v>278.08999999999997</v>
      </c>
      <c r="H89" s="64">
        <v>76.38</v>
      </c>
      <c r="I89" s="64">
        <v>9.93</v>
      </c>
      <c r="J89" s="64">
        <v>1.53</v>
      </c>
      <c r="K89" s="64">
        <v>55.13</v>
      </c>
      <c r="L89" s="64">
        <v>15.23</v>
      </c>
      <c r="M89" s="64">
        <v>48.57</v>
      </c>
      <c r="N89" s="64">
        <v>43.9</v>
      </c>
      <c r="O89" s="64">
        <v>0</v>
      </c>
      <c r="P89" s="64">
        <v>1.86</v>
      </c>
      <c r="Q89" s="64">
        <v>9.9499999999999993</v>
      </c>
      <c r="R89" s="198"/>
      <c r="S89" s="198"/>
      <c r="T89" s="198"/>
      <c r="U89" s="198"/>
    </row>
    <row r="90" spans="1:26" s="12" customFormat="1" x14ac:dyDescent="0.25">
      <c r="A90" s="215" t="s">
        <v>1961</v>
      </c>
      <c r="B90" s="64">
        <v>39.9</v>
      </c>
      <c r="C90" s="64">
        <v>80.37</v>
      </c>
      <c r="D90" s="64">
        <v>72.61</v>
      </c>
      <c r="E90" s="64">
        <v>10.65</v>
      </c>
      <c r="F90" s="64">
        <v>4.33</v>
      </c>
      <c r="G90" s="64">
        <v>272.74</v>
      </c>
      <c r="H90" s="64">
        <v>76.38</v>
      </c>
      <c r="I90" s="64">
        <v>10.17</v>
      </c>
      <c r="J90" s="64">
        <v>1.51</v>
      </c>
      <c r="K90" s="64">
        <v>61.73</v>
      </c>
      <c r="L90" s="64">
        <v>14.93</v>
      </c>
      <c r="M90" s="64">
        <v>50.16</v>
      </c>
      <c r="N90" s="64">
        <v>44.2</v>
      </c>
      <c r="O90" s="64">
        <v>0</v>
      </c>
      <c r="P90" s="64">
        <v>1.82</v>
      </c>
      <c r="Q90" s="64">
        <v>9.9700000000000006</v>
      </c>
      <c r="R90" s="198"/>
      <c r="S90" s="198"/>
      <c r="T90" s="198"/>
      <c r="U90" s="198"/>
    </row>
    <row r="91" spans="1:26" s="12" customFormat="1" x14ac:dyDescent="0.25">
      <c r="A91" s="215" t="s">
        <v>1962</v>
      </c>
      <c r="B91" s="64">
        <v>39.47</v>
      </c>
      <c r="C91" s="64">
        <v>78.97</v>
      </c>
      <c r="D91" s="64">
        <v>71.53</v>
      </c>
      <c r="E91" s="64">
        <v>10.59</v>
      </c>
      <c r="F91" s="64">
        <v>3.81</v>
      </c>
      <c r="G91" s="64">
        <v>272.74</v>
      </c>
      <c r="H91" s="64">
        <v>76.38</v>
      </c>
      <c r="I91" s="64">
        <v>9.6300000000000008</v>
      </c>
      <c r="J91" s="64">
        <v>1.82</v>
      </c>
      <c r="K91" s="64">
        <v>39.35</v>
      </c>
      <c r="L91" s="64">
        <v>14.62</v>
      </c>
      <c r="M91" s="64">
        <v>52.13</v>
      </c>
      <c r="N91" s="64">
        <v>44.1</v>
      </c>
      <c r="O91" s="64">
        <v>0</v>
      </c>
      <c r="P91" s="64">
        <v>1.8</v>
      </c>
      <c r="Q91" s="64">
        <v>9.9700000000000006</v>
      </c>
      <c r="R91" s="198"/>
      <c r="S91" s="198"/>
      <c r="T91" s="198"/>
      <c r="U91" s="198"/>
    </row>
    <row r="92" spans="1:26" s="12" customFormat="1" x14ac:dyDescent="0.25">
      <c r="A92" s="215" t="s">
        <v>1963</v>
      </c>
      <c r="B92" s="64">
        <v>39.9</v>
      </c>
      <c r="C92" s="64">
        <v>77.260000000000005</v>
      </c>
      <c r="D92" s="64">
        <v>70.98</v>
      </c>
      <c r="E92" s="64">
        <v>11.3</v>
      </c>
      <c r="F92" s="64">
        <v>4.4400000000000004</v>
      </c>
      <c r="G92" s="64">
        <v>272.74</v>
      </c>
      <c r="H92" s="64">
        <v>76.38</v>
      </c>
      <c r="I92" s="64">
        <v>9.18</v>
      </c>
      <c r="J92" s="64">
        <v>1.24</v>
      </c>
      <c r="K92" s="64">
        <v>338.37</v>
      </c>
      <c r="L92" s="64">
        <v>14.47</v>
      </c>
      <c r="M92" s="64">
        <v>52.66</v>
      </c>
      <c r="N92" s="64">
        <v>44.1</v>
      </c>
      <c r="O92" s="64">
        <v>0</v>
      </c>
      <c r="P92" s="64">
        <v>1.82</v>
      </c>
      <c r="Q92" s="64">
        <v>9.9700000000000006</v>
      </c>
      <c r="R92" s="198"/>
      <c r="S92" s="198"/>
      <c r="T92" s="198"/>
      <c r="U92" s="198"/>
    </row>
    <row r="93" spans="1:26" s="12" customFormat="1" x14ac:dyDescent="0.25">
      <c r="A93" s="215" t="s">
        <v>1964</v>
      </c>
      <c r="B93" s="64">
        <v>39.54</v>
      </c>
      <c r="C93" s="64">
        <v>77.400000000000006</v>
      </c>
      <c r="D93" s="64">
        <v>70.77</v>
      </c>
      <c r="E93" s="64">
        <v>11.33</v>
      </c>
      <c r="F93" s="64">
        <v>4.5</v>
      </c>
      <c r="G93" s="64">
        <v>264.81</v>
      </c>
      <c r="H93" s="64">
        <v>26.58</v>
      </c>
      <c r="I93" s="64">
        <v>9.4499999999999993</v>
      </c>
      <c r="J93" s="64">
        <v>1.1599999999999999</v>
      </c>
      <c r="K93" s="64">
        <v>344.51</v>
      </c>
      <c r="L93" s="64">
        <v>14.4</v>
      </c>
      <c r="M93" s="64">
        <v>52.89</v>
      </c>
      <c r="N93" s="64">
        <v>44</v>
      </c>
      <c r="O93" s="64">
        <v>0</v>
      </c>
      <c r="P93" s="64">
        <v>1.83</v>
      </c>
      <c r="Q93" s="64">
        <v>9.9499999999999993</v>
      </c>
      <c r="R93" s="198"/>
      <c r="S93" s="198"/>
      <c r="T93" s="198"/>
      <c r="U93" s="198"/>
    </row>
    <row r="94" spans="1:26" s="12" customFormat="1" x14ac:dyDescent="0.25">
      <c r="A94" s="215" t="s">
        <v>1965</v>
      </c>
      <c r="B94" s="64">
        <v>38.79</v>
      </c>
      <c r="C94" s="64">
        <v>78.489999999999995</v>
      </c>
      <c r="D94" s="64">
        <v>70.739999999999995</v>
      </c>
      <c r="E94" s="64">
        <v>11.15</v>
      </c>
      <c r="F94" s="64">
        <v>4.63</v>
      </c>
      <c r="G94" s="64">
        <v>244.18</v>
      </c>
      <c r="H94" s="64">
        <v>138.22999999999999</v>
      </c>
      <c r="I94" s="64">
        <v>9.86</v>
      </c>
      <c r="J94" s="64">
        <v>1.1499999999999999</v>
      </c>
      <c r="K94" s="64">
        <v>355.1</v>
      </c>
      <c r="L94" s="64">
        <v>14.48</v>
      </c>
      <c r="M94" s="64">
        <v>51.9</v>
      </c>
      <c r="N94" s="64">
        <v>43.9</v>
      </c>
      <c r="O94" s="64">
        <v>0</v>
      </c>
      <c r="P94" s="64">
        <v>1.83</v>
      </c>
      <c r="Q94" s="64">
        <v>9.9700000000000006</v>
      </c>
      <c r="R94" s="198"/>
      <c r="S94" s="198"/>
      <c r="T94" s="198"/>
      <c r="U94" s="198"/>
    </row>
    <row r="95" spans="1:26" s="12" customFormat="1" x14ac:dyDescent="0.25">
      <c r="A95" s="215" t="s">
        <v>1966</v>
      </c>
      <c r="B95" s="64">
        <v>37.770000000000003</v>
      </c>
      <c r="C95" s="64">
        <v>79.69</v>
      </c>
      <c r="D95" s="64">
        <v>70.55</v>
      </c>
      <c r="E95" s="64">
        <v>10.95</v>
      </c>
      <c r="F95" s="64">
        <v>4.71</v>
      </c>
      <c r="G95" s="64">
        <v>244.18</v>
      </c>
      <c r="H95" s="64">
        <v>138.22999999999999</v>
      </c>
      <c r="I95" s="64">
        <v>9.6300000000000008</v>
      </c>
      <c r="J95" s="64">
        <v>1.1100000000000001</v>
      </c>
      <c r="K95" s="64">
        <v>341.49</v>
      </c>
      <c r="L95" s="64">
        <v>14.31</v>
      </c>
      <c r="M95" s="64">
        <v>51.64</v>
      </c>
      <c r="N95" s="64">
        <v>44</v>
      </c>
      <c r="O95" s="64">
        <v>0</v>
      </c>
      <c r="P95" s="64">
        <v>1.84</v>
      </c>
      <c r="Q95" s="64">
        <v>9.9600000000000009</v>
      </c>
      <c r="R95" s="198"/>
      <c r="S95" s="198"/>
      <c r="T95" s="198"/>
      <c r="U95" s="198"/>
    </row>
    <row r="96" spans="1:26" s="12" customFormat="1" x14ac:dyDescent="0.25">
      <c r="A96" s="215" t="s">
        <v>1967</v>
      </c>
      <c r="B96" s="64">
        <v>36.25</v>
      </c>
      <c r="C96" s="64">
        <v>80.67</v>
      </c>
      <c r="D96" s="64">
        <v>69.84</v>
      </c>
      <c r="E96" s="64">
        <v>10.52</v>
      </c>
      <c r="F96" s="64">
        <v>4.55</v>
      </c>
      <c r="G96" s="64">
        <v>244.18</v>
      </c>
      <c r="H96" s="64">
        <v>138.22999999999999</v>
      </c>
      <c r="I96" s="64">
        <v>9.6300000000000008</v>
      </c>
      <c r="J96" s="64">
        <v>0.8</v>
      </c>
      <c r="K96" s="64">
        <v>19.95</v>
      </c>
      <c r="L96" s="64">
        <v>14.32</v>
      </c>
      <c r="M96" s="64">
        <v>50.66</v>
      </c>
      <c r="N96" s="64">
        <v>44</v>
      </c>
      <c r="O96" s="64">
        <v>0</v>
      </c>
      <c r="P96" s="64">
        <v>1.82</v>
      </c>
      <c r="Q96" s="64">
        <v>9.9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1968</v>
      </c>
      <c r="B97" s="64">
        <v>33.590000000000003</v>
      </c>
      <c r="C97" s="64">
        <v>81</v>
      </c>
      <c r="D97" s="64">
        <v>67.87</v>
      </c>
      <c r="E97" s="64">
        <v>10.37</v>
      </c>
      <c r="F97" s="64">
        <v>4.6399999999999997</v>
      </c>
      <c r="G97" s="64">
        <v>237.89</v>
      </c>
      <c r="H97" s="64">
        <v>114.02</v>
      </c>
      <c r="I97" s="64">
        <v>9.52</v>
      </c>
      <c r="J97" s="64">
        <v>1.02</v>
      </c>
      <c r="K97" s="64">
        <v>0.33</v>
      </c>
      <c r="L97" s="64">
        <v>14.15</v>
      </c>
      <c r="M97" s="64">
        <v>51.83</v>
      </c>
      <c r="N97" s="64">
        <v>44</v>
      </c>
      <c r="O97" s="64">
        <v>0</v>
      </c>
      <c r="P97" s="64">
        <v>1.78</v>
      </c>
      <c r="Q97" s="64">
        <v>9.9</v>
      </c>
      <c r="R97" s="198"/>
      <c r="S97" s="198"/>
      <c r="T97" s="198"/>
      <c r="U97" s="198"/>
    </row>
    <row r="98" spans="1:33" s="12" customFormat="1" x14ac:dyDescent="0.25">
      <c r="A98" s="215" t="s">
        <v>1969</v>
      </c>
      <c r="B98" s="64">
        <v>31.12</v>
      </c>
      <c r="C98" s="64">
        <v>81.39</v>
      </c>
      <c r="D98" s="64">
        <v>66.099999999999994</v>
      </c>
      <c r="E98" s="64">
        <v>10.44</v>
      </c>
      <c r="F98" s="64">
        <v>3.99</v>
      </c>
      <c r="G98" s="64">
        <v>221.54</v>
      </c>
      <c r="H98" s="64">
        <v>71.66</v>
      </c>
      <c r="I98" s="64">
        <v>9.2899999999999991</v>
      </c>
      <c r="J98" s="64">
        <v>0.84</v>
      </c>
      <c r="K98" s="64">
        <v>348.51</v>
      </c>
      <c r="L98" s="64">
        <v>14.05</v>
      </c>
      <c r="M98" s="64">
        <v>52.69</v>
      </c>
      <c r="N98" s="64">
        <v>43.9</v>
      </c>
      <c r="O98" s="64">
        <v>0</v>
      </c>
      <c r="P98" s="64">
        <v>1.75</v>
      </c>
      <c r="Q98" s="64">
        <v>9.9</v>
      </c>
      <c r="R98" s="198"/>
      <c r="S98" s="198"/>
      <c r="T98" s="198"/>
      <c r="U98" s="198"/>
    </row>
    <row r="99" spans="1:33" s="12" customFormat="1" x14ac:dyDescent="0.25">
      <c r="A99" s="215" t="s">
        <v>1970</v>
      </c>
      <c r="B99" s="64">
        <v>29.16</v>
      </c>
      <c r="C99" s="64">
        <v>81.84</v>
      </c>
      <c r="D99" s="64">
        <v>64.77</v>
      </c>
      <c r="E99" s="64">
        <v>10.42</v>
      </c>
      <c r="F99" s="64">
        <v>4.09</v>
      </c>
      <c r="G99" s="64">
        <v>221.54</v>
      </c>
      <c r="H99" s="64">
        <v>71.66</v>
      </c>
      <c r="I99" s="64">
        <v>9.08</v>
      </c>
      <c r="J99" s="64">
        <v>7.0000000000000007E-2</v>
      </c>
      <c r="K99" s="64">
        <v>224.39</v>
      </c>
      <c r="L99" s="64">
        <v>13.9</v>
      </c>
      <c r="M99" s="64">
        <v>53.3</v>
      </c>
      <c r="N99" s="64">
        <v>44</v>
      </c>
      <c r="O99" s="64">
        <v>0</v>
      </c>
      <c r="P99" s="64">
        <v>1.74</v>
      </c>
      <c r="Q99" s="64">
        <v>9.8699999999999992</v>
      </c>
      <c r="R99" s="198"/>
      <c r="S99" s="198"/>
      <c r="T99" s="198"/>
      <c r="U99" s="198"/>
    </row>
    <row r="100" spans="1:33" s="12" customFormat="1" x14ac:dyDescent="0.25">
      <c r="A100" s="215" t="s">
        <v>1971</v>
      </c>
      <c r="B100" s="64">
        <v>26.62</v>
      </c>
      <c r="C100" s="64">
        <v>81.8</v>
      </c>
      <c r="D100" s="64">
        <v>62.71</v>
      </c>
      <c r="E100" s="64">
        <v>10.54</v>
      </c>
      <c r="F100" s="64">
        <v>4.34</v>
      </c>
      <c r="G100" s="64">
        <v>221.54</v>
      </c>
      <c r="H100" s="64">
        <v>71.66</v>
      </c>
      <c r="I100" s="64">
        <v>8.9</v>
      </c>
      <c r="J100" s="64">
        <v>1.38</v>
      </c>
      <c r="K100" s="64">
        <v>316.17</v>
      </c>
      <c r="L100" s="64">
        <v>13.66</v>
      </c>
      <c r="M100" s="64">
        <v>56.36</v>
      </c>
      <c r="N100" s="64">
        <v>44.2</v>
      </c>
      <c r="O100" s="64">
        <v>0</v>
      </c>
      <c r="P100" s="64">
        <v>1.7</v>
      </c>
      <c r="Q100" s="64">
        <v>9.86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1972</v>
      </c>
      <c r="B101" s="64">
        <v>24.48</v>
      </c>
      <c r="C101" s="64">
        <v>80.290000000000006</v>
      </c>
      <c r="D101" s="64">
        <v>60.2</v>
      </c>
      <c r="E101" s="64">
        <v>9.8000000000000007</v>
      </c>
      <c r="F101" s="64">
        <v>4.6500000000000004</v>
      </c>
      <c r="G101" s="64">
        <v>217.8</v>
      </c>
      <c r="H101" s="64">
        <v>120.07</v>
      </c>
      <c r="I101" s="64">
        <v>8.7100000000000009</v>
      </c>
      <c r="J101" s="64">
        <v>1.36</v>
      </c>
      <c r="K101" s="64">
        <v>125.18</v>
      </c>
      <c r="L101" s="64">
        <v>13.64</v>
      </c>
      <c r="M101" s="64">
        <v>55.25</v>
      </c>
      <c r="N101" s="64">
        <v>43.6</v>
      </c>
      <c r="O101" s="64">
        <v>0</v>
      </c>
      <c r="P101" s="64">
        <v>1.67</v>
      </c>
      <c r="Q101" s="64">
        <v>9.82</v>
      </c>
      <c r="R101" s="198"/>
      <c r="S101" s="198"/>
      <c r="T101" s="198"/>
      <c r="U101" s="198"/>
    </row>
    <row r="102" spans="1:33" s="12" customFormat="1" x14ac:dyDescent="0.25">
      <c r="A102" s="215" t="s">
        <v>1973</v>
      </c>
      <c r="B102" s="64">
        <v>22.52</v>
      </c>
      <c r="C102" s="64">
        <v>79.17</v>
      </c>
      <c r="D102" s="64">
        <v>58.05</v>
      </c>
      <c r="E102" s="64">
        <v>9.73</v>
      </c>
      <c r="F102" s="64">
        <v>4.58</v>
      </c>
      <c r="G102" s="64">
        <v>208.09</v>
      </c>
      <c r="H102" s="64">
        <v>201.38</v>
      </c>
      <c r="I102" s="64">
        <v>8.3800000000000008</v>
      </c>
      <c r="J102" s="64">
        <v>1.87</v>
      </c>
      <c r="K102" s="64">
        <v>126.67</v>
      </c>
      <c r="L102" s="64">
        <v>13.7</v>
      </c>
      <c r="M102" s="64">
        <v>54.63</v>
      </c>
      <c r="N102" s="64">
        <v>43.7</v>
      </c>
      <c r="O102" s="64">
        <v>0</v>
      </c>
      <c r="P102" s="64">
        <v>1.63</v>
      </c>
      <c r="Q102" s="64">
        <v>9.75</v>
      </c>
      <c r="R102" s="198"/>
      <c r="S102" s="198"/>
      <c r="T102" s="198"/>
      <c r="U102" s="198"/>
    </row>
    <row r="103" spans="1:33" s="12" customFormat="1" x14ac:dyDescent="0.25">
      <c r="A103" s="215" t="s">
        <v>1974</v>
      </c>
      <c r="B103" s="64">
        <v>20.37</v>
      </c>
      <c r="C103" s="64">
        <v>77.959999999999994</v>
      </c>
      <c r="D103" s="64">
        <v>55.69</v>
      </c>
      <c r="E103" s="64">
        <v>9.3699999999999992</v>
      </c>
      <c r="F103" s="64">
        <v>4.1399999999999997</v>
      </c>
      <c r="G103" s="64">
        <v>208.09</v>
      </c>
      <c r="H103" s="64">
        <v>201.38</v>
      </c>
      <c r="I103" s="64">
        <v>8.4</v>
      </c>
      <c r="J103" s="64">
        <v>1.46</v>
      </c>
      <c r="K103" s="64">
        <v>91.47</v>
      </c>
      <c r="L103" s="64">
        <v>13.68</v>
      </c>
      <c r="M103" s="64">
        <v>54.41</v>
      </c>
      <c r="N103" s="64">
        <v>43.8</v>
      </c>
      <c r="O103" s="64">
        <v>0</v>
      </c>
      <c r="P103" s="64">
        <v>1.58</v>
      </c>
      <c r="Q103" s="64">
        <v>9.6</v>
      </c>
      <c r="R103" s="198"/>
      <c r="S103" s="198"/>
      <c r="T103" s="198"/>
      <c r="U103" s="198"/>
    </row>
    <row r="104" spans="1:33" s="12" customFormat="1" x14ac:dyDescent="0.25">
      <c r="A104" s="215" t="s">
        <v>1975</v>
      </c>
      <c r="B104" s="64">
        <v>18.13</v>
      </c>
      <c r="C104" s="64">
        <v>76.78</v>
      </c>
      <c r="D104" s="64">
        <v>53.28</v>
      </c>
      <c r="E104" s="64">
        <v>8.6999999999999993</v>
      </c>
      <c r="F104" s="64">
        <v>4.29</v>
      </c>
      <c r="G104" s="64">
        <v>208.09</v>
      </c>
      <c r="H104" s="64">
        <v>201.38</v>
      </c>
      <c r="I104" s="64">
        <v>8.07</v>
      </c>
      <c r="J104" s="64">
        <v>0.52</v>
      </c>
      <c r="K104" s="64">
        <v>151.49</v>
      </c>
      <c r="L104" s="64">
        <v>13.35</v>
      </c>
      <c r="M104" s="64">
        <v>56.3</v>
      </c>
      <c r="N104" s="64">
        <v>44</v>
      </c>
      <c r="O104" s="64">
        <v>0</v>
      </c>
      <c r="P104" s="64">
        <v>1.53</v>
      </c>
      <c r="Q104" s="64">
        <v>9.3699999999999992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2.0299999999999998</v>
      </c>
      <c r="C106" s="67">
        <f>MIN(C9:C104)</f>
        <v>63.53</v>
      </c>
      <c r="D106" s="67">
        <f t="shared" ref="D106:Q106" si="0">MIN(D9:D104)</f>
        <v>33.979999999999997</v>
      </c>
      <c r="E106" s="67">
        <f t="shared" si="0"/>
        <v>6.56</v>
      </c>
      <c r="F106" s="67">
        <f t="shared" si="0"/>
        <v>3.81</v>
      </c>
      <c r="G106" s="67">
        <f t="shared" si="0"/>
        <v>135.44</v>
      </c>
      <c r="H106" s="67">
        <f t="shared" si="0"/>
        <v>0.27</v>
      </c>
      <c r="I106" s="67">
        <f t="shared" si="0"/>
        <v>5.07</v>
      </c>
      <c r="J106" s="67">
        <f t="shared" si="0"/>
        <v>7.0000000000000007E-2</v>
      </c>
      <c r="K106" s="67">
        <f t="shared" si="0"/>
        <v>0.33</v>
      </c>
      <c r="L106" s="67">
        <f t="shared" si="0"/>
        <v>8.7799999999999994</v>
      </c>
      <c r="M106" s="67">
        <f t="shared" si="0"/>
        <v>27.25</v>
      </c>
      <c r="N106" s="67">
        <f t="shared" si="0"/>
        <v>43.6</v>
      </c>
      <c r="O106" s="67">
        <f t="shared" si="0"/>
        <v>0</v>
      </c>
      <c r="P106" s="67">
        <f t="shared" si="0"/>
        <v>0.78</v>
      </c>
      <c r="Q106" s="67">
        <f t="shared" si="0"/>
        <v>8.2100000000000009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64.209999999999994</v>
      </c>
      <c r="C107" s="66">
        <f t="shared" ref="C107:Q107" si="1">MAX(C9:C104)</f>
        <v>85.52</v>
      </c>
      <c r="D107" s="66">
        <f t="shared" si="1"/>
        <v>91.91</v>
      </c>
      <c r="E107" s="66">
        <f t="shared" si="1"/>
        <v>11.53</v>
      </c>
      <c r="F107" s="66">
        <f t="shared" si="1"/>
        <v>7.21</v>
      </c>
      <c r="G107" s="66">
        <f t="shared" si="1"/>
        <v>358.31</v>
      </c>
      <c r="H107" s="66">
        <f t="shared" si="1"/>
        <v>201.38</v>
      </c>
      <c r="I107" s="66">
        <f t="shared" si="1"/>
        <v>11.3</v>
      </c>
      <c r="J107" s="66">
        <f t="shared" si="1"/>
        <v>3.79</v>
      </c>
      <c r="K107" s="66">
        <f t="shared" si="1"/>
        <v>358.3</v>
      </c>
      <c r="L107" s="66">
        <f t="shared" si="1"/>
        <v>23.98</v>
      </c>
      <c r="M107" s="66">
        <f t="shared" si="1"/>
        <v>87.35</v>
      </c>
      <c r="N107" s="66">
        <f t="shared" si="1"/>
        <v>838.1</v>
      </c>
      <c r="O107" s="66">
        <f t="shared" si="1"/>
        <v>0</v>
      </c>
      <c r="P107" s="66">
        <f t="shared" si="1"/>
        <v>2.16</v>
      </c>
      <c r="Q107" s="66">
        <f t="shared" si="1"/>
        <v>10.28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22.756770833333338</v>
      </c>
      <c r="C108" s="67">
        <f t="shared" ref="C108:Q108" si="2">AVERAGE(C9:C104)</f>
        <v>71.771979166666654</v>
      </c>
      <c r="D108" s="67">
        <f t="shared" si="2"/>
        <v>54.370937499999997</v>
      </c>
      <c r="E108" s="67">
        <f t="shared" si="2"/>
        <v>8.7286458333333332</v>
      </c>
      <c r="F108" s="67">
        <f t="shared" si="2"/>
        <v>4.7732291666666669</v>
      </c>
      <c r="G108" s="67">
        <f t="shared" si="2"/>
        <v>222.63208333333344</v>
      </c>
      <c r="H108" s="67">
        <f t="shared" si="2"/>
        <v>87.854895833333288</v>
      </c>
      <c r="I108" s="67">
        <f t="shared" si="2"/>
        <v>7.9959374999999975</v>
      </c>
      <c r="J108" s="67">
        <f t="shared" si="2"/>
        <v>1.7492708333333342</v>
      </c>
      <c r="K108" s="67">
        <f t="shared" si="2"/>
        <v>167.31645833333337</v>
      </c>
      <c r="L108" s="67">
        <f t="shared" si="2"/>
        <v>15.301250000000001</v>
      </c>
      <c r="M108" s="67">
        <f t="shared" si="2"/>
        <v>55.67781249999998</v>
      </c>
      <c r="N108" s="67">
        <f t="shared" si="2"/>
        <v>227.34999999999994</v>
      </c>
      <c r="O108" s="67">
        <f t="shared" si="2"/>
        <v>0</v>
      </c>
      <c r="P108" s="67">
        <f t="shared" si="2"/>
        <v>1.3718750000000008</v>
      </c>
      <c r="Q108" s="67">
        <f t="shared" si="2"/>
        <v>9.2282291666666705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15.968440552328378</v>
      </c>
      <c r="C109" s="67">
        <f t="shared" ref="C109:Q109" si="3">STDEV(C9:C104)</f>
        <v>6.8168593817930825</v>
      </c>
      <c r="D109" s="67">
        <f t="shared" si="3"/>
        <v>15.125888861441663</v>
      </c>
      <c r="E109" s="67">
        <f t="shared" si="3"/>
        <v>1.3606922539970945</v>
      </c>
      <c r="F109" s="67">
        <f t="shared" si="3"/>
        <v>0.70621376634268451</v>
      </c>
      <c r="G109" s="67">
        <f t="shared" si="3"/>
        <v>59.246580623812854</v>
      </c>
      <c r="H109" s="67">
        <f t="shared" si="3"/>
        <v>62.227550219374933</v>
      </c>
      <c r="I109" s="67">
        <f t="shared" si="3"/>
        <v>1.5306768906013675</v>
      </c>
      <c r="J109" s="67">
        <f t="shared" si="3"/>
        <v>0.77991125647887105</v>
      </c>
      <c r="K109" s="67">
        <f t="shared" si="3"/>
        <v>129.31222027960209</v>
      </c>
      <c r="L109" s="67">
        <f t="shared" si="3"/>
        <v>4.8616231315975256</v>
      </c>
      <c r="M109" s="67">
        <f t="shared" si="3"/>
        <v>19.603924698527308</v>
      </c>
      <c r="N109" s="67">
        <f t="shared" si="3"/>
        <v>245.34072633788318</v>
      </c>
      <c r="O109" s="67">
        <f t="shared" si="3"/>
        <v>0</v>
      </c>
      <c r="P109" s="67">
        <f t="shared" si="3"/>
        <v>0.38172272245977662</v>
      </c>
      <c r="Q109" s="67">
        <f t="shared" si="3"/>
        <v>0.76720270400663149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8" sqref="G118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247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19/12/2024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231</v>
      </c>
      <c r="C7" s="198" t="s">
        <v>232</v>
      </c>
      <c r="D7" s="198" t="s">
        <v>233</v>
      </c>
      <c r="E7" s="198" t="s">
        <v>234</v>
      </c>
      <c r="F7" s="198" t="s">
        <v>235</v>
      </c>
      <c r="G7" s="198" t="s">
        <v>236</v>
      </c>
      <c r="H7" s="198" t="s">
        <v>237</v>
      </c>
      <c r="I7" s="198" t="s">
        <v>238</v>
      </c>
      <c r="J7" s="198" t="s">
        <v>239</v>
      </c>
      <c r="K7" s="198" t="s">
        <v>240</v>
      </c>
      <c r="L7" s="198" t="s">
        <v>241</v>
      </c>
      <c r="M7" s="198" t="s">
        <v>242</v>
      </c>
      <c r="N7" s="198" t="s">
        <v>243</v>
      </c>
      <c r="O7" s="198" t="s">
        <v>244</v>
      </c>
      <c r="P7" s="198" t="s">
        <v>245</v>
      </c>
      <c r="Q7" s="198" t="s">
        <v>246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1976</v>
      </c>
      <c r="B9" s="64">
        <v>16.079999999999998</v>
      </c>
      <c r="C9" s="64">
        <v>75.459999999999994</v>
      </c>
      <c r="D9" s="64">
        <v>50.95</v>
      </c>
      <c r="E9" s="64">
        <v>9.08</v>
      </c>
      <c r="F9" s="64">
        <v>4.4400000000000004</v>
      </c>
      <c r="G9" s="64">
        <v>199.31</v>
      </c>
      <c r="H9" s="64">
        <v>148.54</v>
      </c>
      <c r="I9" s="64">
        <v>7.95</v>
      </c>
      <c r="J9" s="64">
        <v>0.72</v>
      </c>
      <c r="K9" s="64">
        <v>47.08</v>
      </c>
      <c r="L9" s="64">
        <v>13.15</v>
      </c>
      <c r="M9" s="64">
        <v>57.73</v>
      </c>
      <c r="N9" s="64">
        <v>44</v>
      </c>
      <c r="O9" s="64">
        <v>0</v>
      </c>
      <c r="P9" s="64">
        <v>1.5</v>
      </c>
      <c r="Q9" s="64">
        <v>9.17</v>
      </c>
      <c r="R9" s="198"/>
      <c r="S9" s="198"/>
      <c r="T9" s="198"/>
      <c r="U9" s="198"/>
    </row>
    <row r="10" spans="1:21" s="12" customFormat="1" x14ac:dyDescent="0.25">
      <c r="A10" s="215" t="s">
        <v>1977</v>
      </c>
      <c r="B10" s="64">
        <v>14.27</v>
      </c>
      <c r="C10" s="64">
        <v>74.05</v>
      </c>
      <c r="D10" s="64">
        <v>48.76</v>
      </c>
      <c r="E10" s="64">
        <v>9.01</v>
      </c>
      <c r="F10" s="64">
        <v>4.6900000000000004</v>
      </c>
      <c r="G10" s="64">
        <v>176.46</v>
      </c>
      <c r="H10" s="64">
        <v>56.06</v>
      </c>
      <c r="I10" s="64">
        <v>7.82</v>
      </c>
      <c r="J10" s="64">
        <v>0.61</v>
      </c>
      <c r="K10" s="64">
        <v>311.16000000000003</v>
      </c>
      <c r="L10" s="64">
        <v>12.96</v>
      </c>
      <c r="M10" s="64">
        <v>58.92</v>
      </c>
      <c r="N10" s="64">
        <v>43.9</v>
      </c>
      <c r="O10" s="64">
        <v>0</v>
      </c>
      <c r="P10" s="64">
        <v>1.47</v>
      </c>
      <c r="Q10" s="64">
        <v>8.9499999999999993</v>
      </c>
      <c r="R10" s="198"/>
      <c r="S10" s="198"/>
      <c r="T10" s="198"/>
      <c r="U10" s="198"/>
    </row>
    <row r="11" spans="1:21" s="12" customFormat="1" x14ac:dyDescent="0.25">
      <c r="A11" s="215" t="s">
        <v>1978</v>
      </c>
      <c r="B11" s="64">
        <v>12.62</v>
      </c>
      <c r="C11" s="64">
        <v>72.98</v>
      </c>
      <c r="D11" s="64">
        <v>46.87</v>
      </c>
      <c r="E11" s="64">
        <v>9.2799999999999994</v>
      </c>
      <c r="F11" s="64">
        <v>4.45</v>
      </c>
      <c r="G11" s="64">
        <v>176.46</v>
      </c>
      <c r="H11" s="64">
        <v>56.06</v>
      </c>
      <c r="I11" s="64">
        <v>7.56</v>
      </c>
      <c r="J11" s="64">
        <v>1.44</v>
      </c>
      <c r="K11" s="64">
        <v>261.3</v>
      </c>
      <c r="L11" s="64">
        <v>12.94</v>
      </c>
      <c r="M11" s="64">
        <v>59.17</v>
      </c>
      <c r="N11" s="64">
        <v>43.9</v>
      </c>
      <c r="O11" s="64">
        <v>0</v>
      </c>
      <c r="P11" s="64">
        <v>1.43</v>
      </c>
      <c r="Q11" s="64">
        <v>8.75</v>
      </c>
      <c r="R11" s="198"/>
      <c r="S11" s="198"/>
      <c r="T11" s="198"/>
      <c r="U11" s="198"/>
    </row>
    <row r="12" spans="1:21" s="12" customFormat="1" x14ac:dyDescent="0.25">
      <c r="A12" s="215" t="s">
        <v>1979</v>
      </c>
      <c r="B12" s="64">
        <v>11.2</v>
      </c>
      <c r="C12" s="64">
        <v>72.03</v>
      </c>
      <c r="D12" s="64">
        <v>45.24</v>
      </c>
      <c r="E12" s="64">
        <v>9.18</v>
      </c>
      <c r="F12" s="64">
        <v>4.9400000000000004</v>
      </c>
      <c r="G12" s="64">
        <v>176.46</v>
      </c>
      <c r="H12" s="64">
        <v>56.06</v>
      </c>
      <c r="I12" s="64">
        <v>7.51</v>
      </c>
      <c r="J12" s="64">
        <v>0.46</v>
      </c>
      <c r="K12" s="64">
        <v>300.36</v>
      </c>
      <c r="L12" s="64">
        <v>12.73</v>
      </c>
      <c r="M12" s="64">
        <v>60.25</v>
      </c>
      <c r="N12" s="64">
        <v>43.9</v>
      </c>
      <c r="O12" s="64">
        <v>0</v>
      </c>
      <c r="P12" s="64">
        <v>1.4</v>
      </c>
      <c r="Q12" s="64">
        <v>8.61</v>
      </c>
      <c r="R12" s="198"/>
      <c r="S12" s="198"/>
      <c r="T12" s="198"/>
      <c r="U12" s="198"/>
    </row>
    <row r="13" spans="1:21" s="12" customFormat="1" x14ac:dyDescent="0.25">
      <c r="A13" s="215" t="s">
        <v>1980</v>
      </c>
      <c r="B13" s="64">
        <v>9.6999999999999993</v>
      </c>
      <c r="C13" s="64">
        <v>71.39</v>
      </c>
      <c r="D13" s="64">
        <v>43.7</v>
      </c>
      <c r="E13" s="64">
        <v>9.6300000000000008</v>
      </c>
      <c r="F13" s="64">
        <v>5.12</v>
      </c>
      <c r="G13" s="64">
        <v>178.23</v>
      </c>
      <c r="H13" s="64">
        <v>68.540000000000006</v>
      </c>
      <c r="I13" s="64">
        <v>7.3</v>
      </c>
      <c r="J13" s="64">
        <v>0.33</v>
      </c>
      <c r="K13" s="64">
        <v>80.89</v>
      </c>
      <c r="L13" s="64">
        <v>12.69</v>
      </c>
      <c r="M13" s="64">
        <v>59.1</v>
      </c>
      <c r="N13" s="64">
        <v>43.8</v>
      </c>
      <c r="O13" s="64">
        <v>0</v>
      </c>
      <c r="P13" s="64">
        <v>1.32</v>
      </c>
      <c r="Q13" s="64">
        <v>8.4700000000000006</v>
      </c>
      <c r="R13" s="198"/>
      <c r="S13" s="198"/>
      <c r="T13" s="198"/>
      <c r="U13" s="198"/>
    </row>
    <row r="14" spans="1:21" s="12" customFormat="1" x14ac:dyDescent="0.25">
      <c r="A14" s="215" t="s">
        <v>1981</v>
      </c>
      <c r="B14" s="64">
        <v>8.1</v>
      </c>
      <c r="C14" s="64">
        <v>70.5</v>
      </c>
      <c r="D14" s="64">
        <v>41.96</v>
      </c>
      <c r="E14" s="64">
        <v>9.27</v>
      </c>
      <c r="F14" s="64">
        <v>5.52</v>
      </c>
      <c r="G14" s="64">
        <v>182.84</v>
      </c>
      <c r="H14" s="64">
        <v>122.17</v>
      </c>
      <c r="I14" s="64">
        <v>7.23</v>
      </c>
      <c r="J14" s="64">
        <v>0.13</v>
      </c>
      <c r="K14" s="64">
        <v>30.31</v>
      </c>
      <c r="L14" s="64">
        <v>12.59</v>
      </c>
      <c r="M14" s="64">
        <v>59.24</v>
      </c>
      <c r="N14" s="64">
        <v>44</v>
      </c>
      <c r="O14" s="64">
        <v>0</v>
      </c>
      <c r="P14" s="64">
        <v>1.37</v>
      </c>
      <c r="Q14" s="64">
        <v>8.2799999999999994</v>
      </c>
      <c r="R14" s="198"/>
      <c r="S14" s="198"/>
      <c r="T14" s="198"/>
      <c r="U14" s="198"/>
    </row>
    <row r="15" spans="1:21" s="12" customFormat="1" x14ac:dyDescent="0.25">
      <c r="A15" s="215" t="s">
        <v>1982</v>
      </c>
      <c r="B15" s="64">
        <v>6.57</v>
      </c>
      <c r="C15" s="64">
        <v>69.459999999999994</v>
      </c>
      <c r="D15" s="64">
        <v>40.18</v>
      </c>
      <c r="E15" s="64">
        <v>9.02</v>
      </c>
      <c r="F15" s="64">
        <v>5.77</v>
      </c>
      <c r="G15" s="64">
        <v>182.84</v>
      </c>
      <c r="H15" s="64">
        <v>122.17</v>
      </c>
      <c r="I15" s="64">
        <v>7.03</v>
      </c>
      <c r="J15" s="64">
        <v>1.6</v>
      </c>
      <c r="K15" s="64">
        <v>309.05</v>
      </c>
      <c r="L15" s="64">
        <v>12.38</v>
      </c>
      <c r="M15" s="64">
        <v>60.52</v>
      </c>
      <c r="N15" s="64">
        <v>44</v>
      </c>
      <c r="O15" s="64">
        <v>0</v>
      </c>
      <c r="P15" s="64">
        <v>1.34</v>
      </c>
      <c r="Q15" s="64">
        <v>8.2100000000000009</v>
      </c>
      <c r="R15" s="198"/>
      <c r="S15" s="198"/>
      <c r="T15" s="198"/>
      <c r="U15" s="198"/>
    </row>
    <row r="16" spans="1:21" s="12" customFormat="1" x14ac:dyDescent="0.25">
      <c r="A16" s="215" t="s">
        <v>1983</v>
      </c>
      <c r="B16" s="64">
        <v>5.33</v>
      </c>
      <c r="C16" s="64">
        <v>68.55</v>
      </c>
      <c r="D16" s="64">
        <v>38.71</v>
      </c>
      <c r="E16" s="64">
        <v>9.01</v>
      </c>
      <c r="F16" s="64">
        <v>5.1100000000000003</v>
      </c>
      <c r="G16" s="64">
        <v>182.84</v>
      </c>
      <c r="H16" s="64">
        <v>122.17</v>
      </c>
      <c r="I16" s="64">
        <v>6.68</v>
      </c>
      <c r="J16" s="64">
        <v>0.51</v>
      </c>
      <c r="K16" s="64">
        <v>129.49</v>
      </c>
      <c r="L16" s="64">
        <v>12.53</v>
      </c>
      <c r="M16" s="64">
        <v>58.44</v>
      </c>
      <c r="N16" s="64">
        <v>43.6</v>
      </c>
      <c r="O16" s="64">
        <v>0</v>
      </c>
      <c r="P16" s="64">
        <v>1.29</v>
      </c>
      <c r="Q16" s="64">
        <v>8.2100000000000009</v>
      </c>
      <c r="R16" s="198"/>
      <c r="S16" s="198"/>
      <c r="T16" s="198"/>
      <c r="U16" s="198"/>
    </row>
    <row r="17" spans="1:21" s="12" customFormat="1" x14ac:dyDescent="0.25">
      <c r="A17" s="215" t="s">
        <v>1984</v>
      </c>
      <c r="B17" s="64">
        <v>4.28</v>
      </c>
      <c r="C17" s="64">
        <v>67.38</v>
      </c>
      <c r="D17" s="64">
        <v>37.26</v>
      </c>
      <c r="E17" s="64">
        <v>8.85</v>
      </c>
      <c r="F17" s="64">
        <v>4.66</v>
      </c>
      <c r="G17" s="64">
        <v>175.31</v>
      </c>
      <c r="H17" s="64">
        <v>105.74</v>
      </c>
      <c r="I17" s="64">
        <v>6.55</v>
      </c>
      <c r="J17" s="64">
        <v>0.24</v>
      </c>
      <c r="K17" s="64">
        <v>104.9</v>
      </c>
      <c r="L17" s="64">
        <v>12.82</v>
      </c>
      <c r="M17" s="64">
        <v>56.92</v>
      </c>
      <c r="N17" s="64">
        <v>43.7</v>
      </c>
      <c r="O17" s="64">
        <v>0</v>
      </c>
      <c r="P17" s="64">
        <v>1.25</v>
      </c>
      <c r="Q17" s="64">
        <v>8.2100000000000009</v>
      </c>
      <c r="R17" s="198"/>
      <c r="S17" s="198"/>
      <c r="T17" s="198"/>
      <c r="U17" s="198"/>
    </row>
    <row r="18" spans="1:21" s="12" customFormat="1" x14ac:dyDescent="0.25">
      <c r="A18" s="215" t="s">
        <v>1985</v>
      </c>
      <c r="B18" s="64">
        <v>3.57</v>
      </c>
      <c r="C18" s="64">
        <v>65.91</v>
      </c>
      <c r="D18" s="64">
        <v>35.93</v>
      </c>
      <c r="E18" s="64">
        <v>9.02</v>
      </c>
      <c r="F18" s="64">
        <v>4.6900000000000004</v>
      </c>
      <c r="G18" s="64">
        <v>155.72</v>
      </c>
      <c r="H18" s="64">
        <v>76.3</v>
      </c>
      <c r="I18" s="64">
        <v>6.35</v>
      </c>
      <c r="J18" s="64">
        <v>1.1299999999999999</v>
      </c>
      <c r="K18" s="64">
        <v>94.04</v>
      </c>
      <c r="L18" s="64">
        <v>12.66</v>
      </c>
      <c r="M18" s="64">
        <v>57.71</v>
      </c>
      <c r="N18" s="64">
        <v>44.1</v>
      </c>
      <c r="O18" s="64">
        <v>0</v>
      </c>
      <c r="P18" s="64">
        <v>1.21</v>
      </c>
      <c r="Q18" s="64">
        <v>8.2100000000000009</v>
      </c>
      <c r="R18" s="198"/>
      <c r="S18" s="198"/>
      <c r="T18" s="198"/>
      <c r="U18" s="198"/>
    </row>
    <row r="19" spans="1:21" s="12" customFormat="1" x14ac:dyDescent="0.25">
      <c r="A19" s="215" t="s">
        <v>1986</v>
      </c>
      <c r="B19" s="64">
        <v>3.11</v>
      </c>
      <c r="C19" s="64">
        <v>64.73</v>
      </c>
      <c r="D19" s="64">
        <v>34.94</v>
      </c>
      <c r="E19" s="64">
        <v>8.68</v>
      </c>
      <c r="F19" s="64">
        <v>5.35</v>
      </c>
      <c r="G19" s="64">
        <v>155.72</v>
      </c>
      <c r="H19" s="64">
        <v>76.3</v>
      </c>
      <c r="I19" s="64">
        <v>6.16</v>
      </c>
      <c r="J19" s="64">
        <v>1.78</v>
      </c>
      <c r="K19" s="64">
        <v>278.73</v>
      </c>
      <c r="L19" s="64">
        <v>12.15</v>
      </c>
      <c r="M19" s="64">
        <v>62.05</v>
      </c>
      <c r="N19" s="64">
        <v>44.7</v>
      </c>
      <c r="O19" s="64">
        <v>0</v>
      </c>
      <c r="P19" s="64">
        <v>1.17</v>
      </c>
      <c r="Q19" s="64">
        <v>8.2100000000000009</v>
      </c>
      <c r="R19" s="198"/>
      <c r="S19" s="198"/>
      <c r="T19" s="198"/>
      <c r="U19" s="198"/>
    </row>
    <row r="20" spans="1:21" s="12" customFormat="1" x14ac:dyDescent="0.25">
      <c r="A20" s="215" t="s">
        <v>1987</v>
      </c>
      <c r="B20" s="64">
        <v>3.04</v>
      </c>
      <c r="C20" s="64">
        <v>63.86</v>
      </c>
      <c r="D20" s="64">
        <v>34.42</v>
      </c>
      <c r="E20" s="64">
        <v>8.3800000000000008</v>
      </c>
      <c r="F20" s="64">
        <v>4.66</v>
      </c>
      <c r="G20" s="64">
        <v>155.72</v>
      </c>
      <c r="H20" s="64">
        <v>76.3</v>
      </c>
      <c r="I20" s="64">
        <v>5.95</v>
      </c>
      <c r="J20" s="64">
        <v>2.46</v>
      </c>
      <c r="K20" s="64">
        <v>346.1</v>
      </c>
      <c r="L20" s="64">
        <v>11.14</v>
      </c>
      <c r="M20" s="64">
        <v>70.84</v>
      </c>
      <c r="N20" s="64">
        <v>44.9</v>
      </c>
      <c r="O20" s="64">
        <v>0</v>
      </c>
      <c r="P20" s="64">
        <v>1.1499999999999999</v>
      </c>
      <c r="Q20" s="64">
        <v>8.2100000000000009</v>
      </c>
      <c r="R20" s="198"/>
      <c r="S20" s="198"/>
      <c r="T20" s="198"/>
      <c r="U20" s="198"/>
    </row>
    <row r="21" spans="1:21" s="12" customFormat="1" x14ac:dyDescent="0.25">
      <c r="A21" s="215" t="s">
        <v>1988</v>
      </c>
      <c r="B21" s="64">
        <v>3.21</v>
      </c>
      <c r="C21" s="64">
        <v>62.99</v>
      </c>
      <c r="D21" s="64">
        <v>34.11</v>
      </c>
      <c r="E21" s="64">
        <v>8.1</v>
      </c>
      <c r="F21" s="64">
        <v>4.6100000000000003</v>
      </c>
      <c r="G21" s="64">
        <v>156</v>
      </c>
      <c r="H21" s="64">
        <v>80.88</v>
      </c>
      <c r="I21" s="64">
        <v>5.75</v>
      </c>
      <c r="J21" s="64">
        <v>2.25</v>
      </c>
      <c r="K21" s="64">
        <v>334.56</v>
      </c>
      <c r="L21" s="64">
        <v>10.43</v>
      </c>
      <c r="M21" s="64">
        <v>74.12</v>
      </c>
      <c r="N21" s="64">
        <v>44.4</v>
      </c>
      <c r="O21" s="64">
        <v>0</v>
      </c>
      <c r="P21" s="64">
        <v>1.1100000000000001</v>
      </c>
      <c r="Q21" s="64">
        <v>8.2100000000000009</v>
      </c>
      <c r="R21" s="198"/>
      <c r="S21" s="198"/>
      <c r="T21" s="198"/>
      <c r="U21" s="198"/>
    </row>
    <row r="22" spans="1:21" s="12" customFormat="1" x14ac:dyDescent="0.25">
      <c r="A22" s="215" t="s">
        <v>1989</v>
      </c>
      <c r="B22" s="64">
        <v>3.53</v>
      </c>
      <c r="C22" s="64">
        <v>61.82</v>
      </c>
      <c r="D22" s="64">
        <v>33.75</v>
      </c>
      <c r="E22" s="64">
        <v>8.01</v>
      </c>
      <c r="F22" s="64">
        <v>5.25</v>
      </c>
      <c r="G22" s="64">
        <v>156.72</v>
      </c>
      <c r="H22" s="64">
        <v>89.07</v>
      </c>
      <c r="I22" s="64">
        <v>5.59</v>
      </c>
      <c r="J22" s="64">
        <v>1.28</v>
      </c>
      <c r="K22" s="64">
        <v>293.70999999999998</v>
      </c>
      <c r="L22" s="64">
        <v>10.33</v>
      </c>
      <c r="M22" s="64">
        <v>72.87</v>
      </c>
      <c r="N22" s="64">
        <v>44.1</v>
      </c>
      <c r="O22" s="64">
        <v>0</v>
      </c>
      <c r="P22" s="64">
        <v>1.0900000000000001</v>
      </c>
      <c r="Q22" s="64">
        <v>8.2100000000000009</v>
      </c>
      <c r="R22" s="198"/>
      <c r="S22" s="198"/>
      <c r="T22" s="198"/>
      <c r="U22" s="198"/>
    </row>
    <row r="23" spans="1:21" s="12" customFormat="1" x14ac:dyDescent="0.25">
      <c r="A23" s="215" t="s">
        <v>1990</v>
      </c>
      <c r="B23" s="64">
        <v>3.75</v>
      </c>
      <c r="C23" s="64">
        <v>61.36</v>
      </c>
      <c r="D23" s="64">
        <v>33.69</v>
      </c>
      <c r="E23" s="64">
        <v>8.24</v>
      </c>
      <c r="F23" s="64">
        <v>4.63</v>
      </c>
      <c r="G23" s="64">
        <v>156.72</v>
      </c>
      <c r="H23" s="64">
        <v>89.07</v>
      </c>
      <c r="I23" s="64">
        <v>5.4</v>
      </c>
      <c r="J23" s="64">
        <v>1.81</v>
      </c>
      <c r="K23" s="64">
        <v>341.53</v>
      </c>
      <c r="L23" s="64">
        <v>10.33</v>
      </c>
      <c r="M23" s="64">
        <v>73.62</v>
      </c>
      <c r="N23" s="64">
        <v>44.3</v>
      </c>
      <c r="O23" s="64">
        <v>0</v>
      </c>
      <c r="P23" s="64">
        <v>1.06</v>
      </c>
      <c r="Q23" s="64">
        <v>8.2100000000000009</v>
      </c>
      <c r="R23" s="198"/>
      <c r="S23" s="198"/>
      <c r="T23" s="198"/>
      <c r="U23" s="198"/>
    </row>
    <row r="24" spans="1:21" s="12" customFormat="1" x14ac:dyDescent="0.25">
      <c r="A24" s="215" t="s">
        <v>1991</v>
      </c>
      <c r="B24" s="64">
        <v>3.92</v>
      </c>
      <c r="C24" s="64">
        <v>60.42</v>
      </c>
      <c r="D24" s="64">
        <v>33.33</v>
      </c>
      <c r="E24" s="64">
        <v>8.02</v>
      </c>
      <c r="F24" s="64">
        <v>4.3</v>
      </c>
      <c r="G24" s="64">
        <v>156.72</v>
      </c>
      <c r="H24" s="64">
        <v>89.07</v>
      </c>
      <c r="I24" s="64">
        <v>5.31</v>
      </c>
      <c r="J24" s="64">
        <v>1.42</v>
      </c>
      <c r="K24" s="64">
        <v>112.74</v>
      </c>
      <c r="L24" s="64">
        <v>10.32</v>
      </c>
      <c r="M24" s="64">
        <v>72.25</v>
      </c>
      <c r="N24" s="64">
        <v>43.8</v>
      </c>
      <c r="O24" s="64">
        <v>0</v>
      </c>
      <c r="P24" s="64">
        <v>1.04</v>
      </c>
      <c r="Q24" s="64">
        <v>8.2100000000000009</v>
      </c>
      <c r="R24" s="198"/>
      <c r="S24" s="198"/>
      <c r="T24" s="198"/>
      <c r="U24" s="198"/>
    </row>
    <row r="25" spans="1:21" s="12" customFormat="1" x14ac:dyDescent="0.25">
      <c r="A25" s="215" t="s">
        <v>1992</v>
      </c>
      <c r="B25" s="64">
        <v>3.83</v>
      </c>
      <c r="C25" s="64">
        <v>59.76</v>
      </c>
      <c r="D25" s="64">
        <v>32.92</v>
      </c>
      <c r="E25" s="64">
        <v>8.5299999999999994</v>
      </c>
      <c r="F25" s="64">
        <v>6.11</v>
      </c>
      <c r="G25" s="64">
        <v>155.47999999999999</v>
      </c>
      <c r="H25" s="64">
        <v>57.17</v>
      </c>
      <c r="I25" s="64">
        <v>5.23</v>
      </c>
      <c r="J25" s="64">
        <v>0.56000000000000005</v>
      </c>
      <c r="K25" s="64">
        <v>322.27</v>
      </c>
      <c r="L25" s="64">
        <v>10.32</v>
      </c>
      <c r="M25" s="64">
        <v>71.959999999999994</v>
      </c>
      <c r="N25" s="64">
        <v>44.1</v>
      </c>
      <c r="O25" s="64">
        <v>0</v>
      </c>
      <c r="P25" s="64">
        <v>1.03</v>
      </c>
      <c r="Q25" s="64">
        <v>8.2100000000000009</v>
      </c>
      <c r="R25" s="198"/>
      <c r="S25" s="198"/>
      <c r="T25" s="198"/>
      <c r="U25" s="198"/>
    </row>
    <row r="26" spans="1:21" s="12" customFormat="1" x14ac:dyDescent="0.25">
      <c r="A26" s="215" t="s">
        <v>1993</v>
      </c>
      <c r="B26" s="64">
        <v>3.74</v>
      </c>
      <c r="C26" s="64">
        <v>59.27</v>
      </c>
      <c r="D26" s="64">
        <v>32.590000000000003</v>
      </c>
      <c r="E26" s="64">
        <v>8.7200000000000006</v>
      </c>
      <c r="F26" s="64">
        <v>5.28</v>
      </c>
      <c r="G26" s="64">
        <v>152.27000000000001</v>
      </c>
      <c r="H26" s="64">
        <v>57.17</v>
      </c>
      <c r="I26" s="64">
        <v>5.15</v>
      </c>
      <c r="J26" s="64">
        <v>0.97</v>
      </c>
      <c r="K26" s="64">
        <v>240.03</v>
      </c>
      <c r="L26" s="64">
        <v>10.01</v>
      </c>
      <c r="M26" s="64">
        <v>74.459999999999994</v>
      </c>
      <c r="N26" s="64">
        <v>44.1</v>
      </c>
      <c r="O26" s="64">
        <v>0</v>
      </c>
      <c r="P26" s="64">
        <v>1</v>
      </c>
      <c r="Q26" s="64">
        <v>8.2100000000000009</v>
      </c>
      <c r="R26" s="198"/>
      <c r="S26" s="198"/>
      <c r="T26" s="198"/>
      <c r="U26" s="198"/>
    </row>
    <row r="27" spans="1:21" s="12" customFormat="1" x14ac:dyDescent="0.25">
      <c r="A27" s="215" t="s">
        <v>1994</v>
      </c>
      <c r="B27" s="64">
        <v>3.93</v>
      </c>
      <c r="C27" s="64">
        <v>59.57</v>
      </c>
      <c r="D27" s="64">
        <v>32.9</v>
      </c>
      <c r="E27" s="64">
        <v>9.2200000000000006</v>
      </c>
      <c r="F27" s="64">
        <v>4.96</v>
      </c>
      <c r="G27" s="64">
        <v>152.27000000000001</v>
      </c>
      <c r="H27" s="64">
        <v>57.17</v>
      </c>
      <c r="I27" s="64">
        <v>5.09</v>
      </c>
      <c r="J27" s="64">
        <v>1.34</v>
      </c>
      <c r="K27" s="64">
        <v>110.28</v>
      </c>
      <c r="L27" s="64">
        <v>9.9600000000000009</v>
      </c>
      <c r="M27" s="64">
        <v>74.180000000000007</v>
      </c>
      <c r="N27" s="64">
        <v>44</v>
      </c>
      <c r="O27" s="64">
        <v>0</v>
      </c>
      <c r="P27" s="64">
        <v>1</v>
      </c>
      <c r="Q27" s="64">
        <v>8.2100000000000009</v>
      </c>
      <c r="R27" s="198"/>
      <c r="S27" s="198"/>
      <c r="T27" s="198"/>
      <c r="U27" s="198"/>
    </row>
    <row r="28" spans="1:21" s="12" customFormat="1" x14ac:dyDescent="0.25">
      <c r="A28" s="215" t="s">
        <v>1995</v>
      </c>
      <c r="B28" s="64">
        <v>4.1900000000000004</v>
      </c>
      <c r="C28" s="64">
        <v>59.58</v>
      </c>
      <c r="D28" s="64">
        <v>33.11</v>
      </c>
      <c r="E28" s="64">
        <v>8.99</v>
      </c>
      <c r="F28" s="64">
        <v>4.42</v>
      </c>
      <c r="G28" s="64">
        <v>152.27000000000001</v>
      </c>
      <c r="H28" s="64">
        <v>57.17</v>
      </c>
      <c r="I28" s="64">
        <v>5.05</v>
      </c>
      <c r="J28" s="64">
        <v>2.34</v>
      </c>
      <c r="K28" s="64">
        <v>328.94</v>
      </c>
      <c r="L28" s="64">
        <v>9.73</v>
      </c>
      <c r="M28" s="64">
        <v>79.42</v>
      </c>
      <c r="N28" s="64">
        <v>44.1</v>
      </c>
      <c r="O28" s="64">
        <v>0</v>
      </c>
      <c r="P28" s="64">
        <v>1</v>
      </c>
      <c r="Q28" s="64">
        <v>8.2100000000000009</v>
      </c>
      <c r="R28" s="198"/>
      <c r="S28" s="198"/>
      <c r="T28" s="198"/>
      <c r="U28" s="198"/>
    </row>
    <row r="29" spans="1:21" s="12" customFormat="1" x14ac:dyDescent="0.25">
      <c r="A29" s="215" t="s">
        <v>1996</v>
      </c>
      <c r="B29" s="64">
        <v>4.63</v>
      </c>
      <c r="C29" s="64">
        <v>58.95</v>
      </c>
      <c r="D29" s="64">
        <v>33.130000000000003</v>
      </c>
      <c r="E29" s="64">
        <v>9.24</v>
      </c>
      <c r="F29" s="64">
        <v>4.3099999999999996</v>
      </c>
      <c r="G29" s="64">
        <v>169.38</v>
      </c>
      <c r="H29" s="64">
        <v>33.49</v>
      </c>
      <c r="I29" s="64">
        <v>4.97</v>
      </c>
      <c r="J29" s="64">
        <v>1.87</v>
      </c>
      <c r="K29" s="64">
        <v>349.87</v>
      </c>
      <c r="L29" s="64">
        <v>9.6300000000000008</v>
      </c>
      <c r="M29" s="64">
        <v>80.150000000000006</v>
      </c>
      <c r="N29" s="64">
        <v>44</v>
      </c>
      <c r="O29" s="64">
        <v>0</v>
      </c>
      <c r="P29" s="64">
        <v>1.01</v>
      </c>
      <c r="Q29" s="64">
        <v>8.2100000000000009</v>
      </c>
      <c r="R29" s="198"/>
      <c r="S29" s="198"/>
      <c r="T29" s="198"/>
      <c r="U29" s="198"/>
    </row>
    <row r="30" spans="1:21" s="12" customFormat="1" x14ac:dyDescent="0.25">
      <c r="A30" s="215" t="s">
        <v>1997</v>
      </c>
      <c r="B30" s="64">
        <v>4.87</v>
      </c>
      <c r="C30" s="64">
        <v>59.09</v>
      </c>
      <c r="D30" s="64">
        <v>33.4</v>
      </c>
      <c r="E30" s="64">
        <v>9.3699999999999992</v>
      </c>
      <c r="F30" s="64">
        <v>4.72</v>
      </c>
      <c r="G30" s="64">
        <v>213.86</v>
      </c>
      <c r="H30" s="64">
        <v>177.47</v>
      </c>
      <c r="I30" s="64">
        <v>4.9400000000000004</v>
      </c>
      <c r="J30" s="64">
        <v>2.42</v>
      </c>
      <c r="K30" s="64">
        <v>356.11</v>
      </c>
      <c r="L30" s="64">
        <v>9.74</v>
      </c>
      <c r="M30" s="64">
        <v>79.150000000000006</v>
      </c>
      <c r="N30" s="64">
        <v>44.1</v>
      </c>
      <c r="O30" s="64">
        <v>0</v>
      </c>
      <c r="P30" s="64">
        <v>1.04</v>
      </c>
      <c r="Q30" s="64">
        <v>8.2100000000000009</v>
      </c>
      <c r="R30" s="198"/>
      <c r="S30" s="198"/>
      <c r="T30" s="198"/>
      <c r="U30" s="198"/>
    </row>
    <row r="31" spans="1:21" s="12" customFormat="1" x14ac:dyDescent="0.25">
      <c r="A31" s="215" t="s">
        <v>1998</v>
      </c>
      <c r="B31" s="64">
        <v>5.26</v>
      </c>
      <c r="C31" s="64">
        <v>60.54</v>
      </c>
      <c r="D31" s="64">
        <v>34.47</v>
      </c>
      <c r="E31" s="64">
        <v>9.73</v>
      </c>
      <c r="F31" s="64">
        <v>4.9800000000000004</v>
      </c>
      <c r="G31" s="64">
        <v>213.86</v>
      </c>
      <c r="H31" s="64">
        <v>177.47</v>
      </c>
      <c r="I31" s="64">
        <v>4.9400000000000004</v>
      </c>
      <c r="J31" s="64">
        <v>1.86</v>
      </c>
      <c r="K31" s="64">
        <v>333.56</v>
      </c>
      <c r="L31" s="64">
        <v>9.67</v>
      </c>
      <c r="M31" s="64">
        <v>79.66</v>
      </c>
      <c r="N31" s="64">
        <v>44.4</v>
      </c>
      <c r="O31" s="64">
        <v>0</v>
      </c>
      <c r="P31" s="64">
        <v>1.07</v>
      </c>
      <c r="Q31" s="64">
        <v>8.2100000000000009</v>
      </c>
      <c r="R31" s="198"/>
      <c r="S31" s="198"/>
      <c r="T31" s="198"/>
      <c r="U31" s="198"/>
    </row>
    <row r="32" spans="1:21" s="12" customFormat="1" x14ac:dyDescent="0.25">
      <c r="A32" s="215" t="s">
        <v>1999</v>
      </c>
      <c r="B32" s="64">
        <v>5.76</v>
      </c>
      <c r="C32" s="64">
        <v>61.83</v>
      </c>
      <c r="D32" s="64">
        <v>35.54</v>
      </c>
      <c r="E32" s="64">
        <v>9.32</v>
      </c>
      <c r="F32" s="64">
        <v>4.8499999999999996</v>
      </c>
      <c r="G32" s="64">
        <v>213.86</v>
      </c>
      <c r="H32" s="64">
        <v>177.47</v>
      </c>
      <c r="I32" s="64">
        <v>4.99</v>
      </c>
      <c r="J32" s="64">
        <v>1.54</v>
      </c>
      <c r="K32" s="64">
        <v>71.12</v>
      </c>
      <c r="L32" s="64">
        <v>9.6</v>
      </c>
      <c r="M32" s="64">
        <v>79.88</v>
      </c>
      <c r="N32" s="64">
        <v>44.2</v>
      </c>
      <c r="O32" s="64">
        <v>0</v>
      </c>
      <c r="P32" s="64">
        <v>1.08</v>
      </c>
      <c r="Q32" s="64">
        <v>8.2100000000000009</v>
      </c>
      <c r="R32" s="198"/>
      <c r="S32" s="198"/>
      <c r="T32" s="198"/>
      <c r="U32" s="198"/>
    </row>
    <row r="33" spans="1:21" s="12" customFormat="1" x14ac:dyDescent="0.25">
      <c r="A33" s="215" t="s">
        <v>2000</v>
      </c>
      <c r="B33" s="64">
        <v>6.11</v>
      </c>
      <c r="C33" s="64">
        <v>62.43</v>
      </c>
      <c r="D33" s="64">
        <v>36.14</v>
      </c>
      <c r="E33" s="64">
        <v>9.7799999999999994</v>
      </c>
      <c r="F33" s="64">
        <v>4.88</v>
      </c>
      <c r="G33" s="64">
        <v>222.96</v>
      </c>
      <c r="H33" s="64">
        <v>151.80000000000001</v>
      </c>
      <c r="I33" s="64">
        <v>4.99</v>
      </c>
      <c r="J33" s="64">
        <v>1.99</v>
      </c>
      <c r="K33" s="64">
        <v>329.09</v>
      </c>
      <c r="L33" s="64">
        <v>9.5500000000000007</v>
      </c>
      <c r="M33" s="64">
        <v>81.45</v>
      </c>
      <c r="N33" s="64">
        <v>44.2</v>
      </c>
      <c r="O33" s="64">
        <v>0</v>
      </c>
      <c r="P33" s="64">
        <v>1.0900000000000001</v>
      </c>
      <c r="Q33" s="64">
        <v>8.2100000000000009</v>
      </c>
      <c r="R33" s="198"/>
      <c r="S33" s="198"/>
      <c r="T33" s="198"/>
      <c r="U33" s="198"/>
    </row>
    <row r="34" spans="1:21" s="12" customFormat="1" x14ac:dyDescent="0.25">
      <c r="A34" s="215" t="s">
        <v>2001</v>
      </c>
      <c r="B34" s="64">
        <v>7.14</v>
      </c>
      <c r="C34" s="64">
        <v>63.48</v>
      </c>
      <c r="D34" s="64">
        <v>37.51</v>
      </c>
      <c r="E34" s="64">
        <v>9.36</v>
      </c>
      <c r="F34" s="64">
        <v>4.21</v>
      </c>
      <c r="G34" s="64">
        <v>246.6</v>
      </c>
      <c r="H34" s="64">
        <v>105.81</v>
      </c>
      <c r="I34" s="64">
        <v>5.0199999999999996</v>
      </c>
      <c r="J34" s="64">
        <v>1.42</v>
      </c>
      <c r="K34" s="64">
        <v>75.56</v>
      </c>
      <c r="L34" s="64">
        <v>9.52</v>
      </c>
      <c r="M34" s="64">
        <v>81.48</v>
      </c>
      <c r="N34" s="64">
        <v>44.7</v>
      </c>
      <c r="O34" s="64">
        <v>0</v>
      </c>
      <c r="P34" s="64">
        <v>1.1000000000000001</v>
      </c>
      <c r="Q34" s="64">
        <v>8.2100000000000009</v>
      </c>
      <c r="R34" s="198"/>
      <c r="S34" s="198"/>
      <c r="T34" s="198"/>
      <c r="U34" s="198"/>
    </row>
    <row r="35" spans="1:21" s="12" customFormat="1" x14ac:dyDescent="0.25">
      <c r="A35" s="215" t="s">
        <v>2002</v>
      </c>
      <c r="B35" s="64">
        <v>7.35</v>
      </c>
      <c r="C35" s="64">
        <v>64.13</v>
      </c>
      <c r="D35" s="64">
        <v>38.020000000000003</v>
      </c>
      <c r="E35" s="64">
        <v>9.32</v>
      </c>
      <c r="F35" s="64">
        <v>4.29</v>
      </c>
      <c r="G35" s="64">
        <v>246.6</v>
      </c>
      <c r="H35" s="64">
        <v>105.81</v>
      </c>
      <c r="I35" s="64">
        <v>5.04</v>
      </c>
      <c r="J35" s="64">
        <v>2.4700000000000002</v>
      </c>
      <c r="K35" s="64">
        <v>335.05</v>
      </c>
      <c r="L35" s="64">
        <v>9.73</v>
      </c>
      <c r="M35" s="64">
        <v>80</v>
      </c>
      <c r="N35" s="64">
        <v>48.6</v>
      </c>
      <c r="O35" s="64">
        <v>0</v>
      </c>
      <c r="P35" s="64">
        <v>1.1000000000000001</v>
      </c>
      <c r="Q35" s="64">
        <v>8.2100000000000009</v>
      </c>
      <c r="R35" s="198"/>
      <c r="S35" s="198"/>
      <c r="T35" s="198"/>
      <c r="U35" s="198"/>
    </row>
    <row r="36" spans="1:21" s="12" customFormat="1" x14ac:dyDescent="0.25">
      <c r="A36" s="215" t="s">
        <v>2003</v>
      </c>
      <c r="B36" s="64">
        <v>7.26</v>
      </c>
      <c r="C36" s="64">
        <v>64.7</v>
      </c>
      <c r="D36" s="64">
        <v>38.25</v>
      </c>
      <c r="E36" s="64">
        <v>9.75</v>
      </c>
      <c r="F36" s="64">
        <v>4.6900000000000004</v>
      </c>
      <c r="G36" s="64">
        <v>246.6</v>
      </c>
      <c r="H36" s="64">
        <v>105.81</v>
      </c>
      <c r="I36" s="64">
        <v>5.08</v>
      </c>
      <c r="J36" s="64">
        <v>1</v>
      </c>
      <c r="K36" s="64">
        <v>334.48</v>
      </c>
      <c r="L36" s="64">
        <v>9.83</v>
      </c>
      <c r="M36" s="64">
        <v>79.58</v>
      </c>
      <c r="N36" s="64">
        <v>59.2</v>
      </c>
      <c r="O36" s="64">
        <v>0</v>
      </c>
      <c r="P36" s="64">
        <v>1.1000000000000001</v>
      </c>
      <c r="Q36" s="64">
        <v>8.2100000000000009</v>
      </c>
      <c r="R36" s="198"/>
      <c r="S36" s="198"/>
      <c r="T36" s="198"/>
      <c r="U36" s="198"/>
    </row>
    <row r="37" spans="1:21" s="12" customFormat="1" x14ac:dyDescent="0.25">
      <c r="A37" s="215" t="s">
        <v>2004</v>
      </c>
      <c r="B37" s="64">
        <v>7.28</v>
      </c>
      <c r="C37" s="64">
        <v>64.87</v>
      </c>
      <c r="D37" s="64">
        <v>38.35</v>
      </c>
      <c r="E37" s="64">
        <v>9.33</v>
      </c>
      <c r="F37" s="64">
        <v>4.91</v>
      </c>
      <c r="G37" s="64">
        <v>240.68</v>
      </c>
      <c r="H37" s="64">
        <v>107.4</v>
      </c>
      <c r="I37" s="64">
        <v>5.08</v>
      </c>
      <c r="J37" s="64">
        <v>2.2200000000000002</v>
      </c>
      <c r="K37" s="64">
        <v>356.07</v>
      </c>
      <c r="L37" s="64">
        <v>10.210000000000001</v>
      </c>
      <c r="M37" s="64">
        <v>78.400000000000006</v>
      </c>
      <c r="N37" s="64">
        <v>61.3</v>
      </c>
      <c r="O37" s="64">
        <v>0</v>
      </c>
      <c r="P37" s="64">
        <v>1.04</v>
      </c>
      <c r="Q37" s="64">
        <v>8.2100000000000009</v>
      </c>
      <c r="R37" s="198"/>
      <c r="S37" s="198"/>
      <c r="T37" s="198"/>
      <c r="U37" s="198"/>
    </row>
    <row r="38" spans="1:21" s="12" customFormat="1" x14ac:dyDescent="0.25">
      <c r="A38" s="215" t="s">
        <v>2005</v>
      </c>
      <c r="B38" s="64">
        <v>7.82</v>
      </c>
      <c r="C38" s="64">
        <v>64.53</v>
      </c>
      <c r="D38" s="64">
        <v>38.61</v>
      </c>
      <c r="E38" s="64">
        <v>9.84</v>
      </c>
      <c r="F38" s="64">
        <v>4.75</v>
      </c>
      <c r="G38" s="64">
        <v>225.3</v>
      </c>
      <c r="H38" s="64">
        <v>110.26</v>
      </c>
      <c r="I38" s="64">
        <v>5.03</v>
      </c>
      <c r="J38" s="64">
        <v>3.42</v>
      </c>
      <c r="K38" s="64">
        <v>345.51</v>
      </c>
      <c r="L38" s="64">
        <v>10.54</v>
      </c>
      <c r="M38" s="64">
        <v>76.930000000000007</v>
      </c>
      <c r="N38" s="64">
        <v>73.5</v>
      </c>
      <c r="O38" s="64">
        <v>0</v>
      </c>
      <c r="P38" s="64">
        <v>1.1100000000000001</v>
      </c>
      <c r="Q38" s="64">
        <v>8.2100000000000009</v>
      </c>
      <c r="R38" s="198"/>
      <c r="S38" s="198"/>
      <c r="T38" s="198"/>
      <c r="U38" s="198"/>
    </row>
    <row r="39" spans="1:21" s="12" customFormat="1" x14ac:dyDescent="0.25">
      <c r="A39" s="215" t="s">
        <v>2006</v>
      </c>
      <c r="B39" s="64">
        <v>8.66</v>
      </c>
      <c r="C39" s="64">
        <v>64.53</v>
      </c>
      <c r="D39" s="64">
        <v>39.29</v>
      </c>
      <c r="E39" s="64">
        <v>10.199999999999999</v>
      </c>
      <c r="F39" s="64">
        <v>4.6100000000000003</v>
      </c>
      <c r="G39" s="64">
        <v>225.3</v>
      </c>
      <c r="H39" s="64">
        <v>110.26</v>
      </c>
      <c r="I39" s="64">
        <v>5.0199999999999996</v>
      </c>
      <c r="J39" s="64">
        <v>3.4</v>
      </c>
      <c r="K39" s="64">
        <v>343.97</v>
      </c>
      <c r="L39" s="64">
        <v>11.16</v>
      </c>
      <c r="M39" s="64">
        <v>74.459999999999994</v>
      </c>
      <c r="N39" s="64">
        <v>118.7</v>
      </c>
      <c r="O39" s="64">
        <v>0</v>
      </c>
      <c r="P39" s="64">
        <v>1.1499999999999999</v>
      </c>
      <c r="Q39" s="64">
        <v>8.2100000000000009</v>
      </c>
      <c r="R39" s="198"/>
      <c r="S39" s="198"/>
      <c r="T39" s="198"/>
      <c r="U39" s="198"/>
    </row>
    <row r="40" spans="1:21" s="12" customFormat="1" x14ac:dyDescent="0.25">
      <c r="A40" s="215" t="s">
        <v>2007</v>
      </c>
      <c r="B40" s="64">
        <v>9.82</v>
      </c>
      <c r="C40" s="64">
        <v>65.08</v>
      </c>
      <c r="D40" s="64">
        <v>40.5</v>
      </c>
      <c r="E40" s="64">
        <v>8.32</v>
      </c>
      <c r="F40" s="64">
        <v>4.66</v>
      </c>
      <c r="G40" s="64">
        <v>225.3</v>
      </c>
      <c r="H40" s="64">
        <v>110.26</v>
      </c>
      <c r="I40" s="64">
        <v>5.38</v>
      </c>
      <c r="J40" s="64">
        <v>2.15</v>
      </c>
      <c r="K40" s="64">
        <v>343.59</v>
      </c>
      <c r="L40" s="64">
        <v>12.64</v>
      </c>
      <c r="M40" s="64">
        <v>67.959999999999994</v>
      </c>
      <c r="N40" s="64">
        <v>209.1</v>
      </c>
      <c r="O40" s="64">
        <v>0</v>
      </c>
      <c r="P40" s="64">
        <v>1.19</v>
      </c>
      <c r="Q40" s="64">
        <v>8.2100000000000009</v>
      </c>
      <c r="R40" s="198"/>
      <c r="S40" s="198"/>
      <c r="T40" s="198"/>
      <c r="U40" s="198"/>
    </row>
    <row r="41" spans="1:21" s="12" customFormat="1" x14ac:dyDescent="0.25">
      <c r="A41" s="215" t="s">
        <v>2008</v>
      </c>
      <c r="B41" s="64">
        <v>10.85</v>
      </c>
      <c r="C41" s="64">
        <v>65.260000000000005</v>
      </c>
      <c r="D41" s="64">
        <v>41.42</v>
      </c>
      <c r="E41" s="64">
        <v>9.68</v>
      </c>
      <c r="F41" s="64">
        <v>5.08</v>
      </c>
      <c r="G41" s="64">
        <v>242.12</v>
      </c>
      <c r="H41" s="64">
        <v>113.77</v>
      </c>
      <c r="I41" s="64">
        <v>5.55</v>
      </c>
      <c r="J41" s="64">
        <v>2.34</v>
      </c>
      <c r="K41" s="64">
        <v>338.75</v>
      </c>
      <c r="L41" s="64">
        <v>14.8</v>
      </c>
      <c r="M41" s="64">
        <v>59.18</v>
      </c>
      <c r="N41" s="64">
        <v>260.5</v>
      </c>
      <c r="O41" s="64">
        <v>0</v>
      </c>
      <c r="P41" s="64">
        <v>1.22</v>
      </c>
      <c r="Q41" s="64">
        <v>8.2100000000000009</v>
      </c>
      <c r="R41" s="198"/>
      <c r="S41" s="198"/>
      <c r="T41" s="198"/>
      <c r="U41" s="198"/>
    </row>
    <row r="42" spans="1:21" s="12" customFormat="1" x14ac:dyDescent="0.25">
      <c r="A42" s="215" t="s">
        <v>2009</v>
      </c>
      <c r="B42" s="64">
        <v>12.33</v>
      </c>
      <c r="C42" s="64">
        <v>65.75</v>
      </c>
      <c r="D42" s="64">
        <v>42.86</v>
      </c>
      <c r="E42" s="64">
        <v>9.59</v>
      </c>
      <c r="F42" s="64">
        <v>4.84</v>
      </c>
      <c r="G42" s="64">
        <v>285.86</v>
      </c>
      <c r="H42" s="64">
        <v>120.07</v>
      </c>
      <c r="I42" s="64">
        <v>5.68</v>
      </c>
      <c r="J42" s="64">
        <v>3.14</v>
      </c>
      <c r="K42" s="64">
        <v>341.41</v>
      </c>
      <c r="L42" s="64">
        <v>16.100000000000001</v>
      </c>
      <c r="M42" s="64">
        <v>54.75</v>
      </c>
      <c r="N42" s="64">
        <v>302.7</v>
      </c>
      <c r="O42" s="64">
        <v>0</v>
      </c>
      <c r="P42" s="64">
        <v>1.23</v>
      </c>
      <c r="Q42" s="64">
        <v>8.25</v>
      </c>
      <c r="R42" s="198"/>
      <c r="S42" s="198"/>
      <c r="T42" s="198"/>
      <c r="U42" s="198"/>
    </row>
    <row r="43" spans="1:21" s="12" customFormat="1" x14ac:dyDescent="0.25">
      <c r="A43" s="215" t="s">
        <v>2010</v>
      </c>
      <c r="B43" s="64">
        <v>12.94</v>
      </c>
      <c r="C43" s="64">
        <v>65.83</v>
      </c>
      <c r="D43" s="64">
        <v>43.4</v>
      </c>
      <c r="E43" s="64">
        <v>9.57</v>
      </c>
      <c r="F43" s="64">
        <v>4.83</v>
      </c>
      <c r="G43" s="64">
        <v>285.86</v>
      </c>
      <c r="H43" s="64">
        <v>120.07</v>
      </c>
      <c r="I43" s="64">
        <v>5.76</v>
      </c>
      <c r="J43" s="64">
        <v>3.91</v>
      </c>
      <c r="K43" s="64">
        <v>347.09</v>
      </c>
      <c r="L43" s="64">
        <v>18.670000000000002</v>
      </c>
      <c r="M43" s="64">
        <v>47.18</v>
      </c>
      <c r="N43" s="64">
        <v>342.1</v>
      </c>
      <c r="O43" s="64">
        <v>0</v>
      </c>
      <c r="P43" s="64">
        <v>1.23</v>
      </c>
      <c r="Q43" s="64">
        <v>8.36</v>
      </c>
      <c r="R43" s="198"/>
      <c r="S43" s="198"/>
      <c r="T43" s="198"/>
      <c r="U43" s="198"/>
    </row>
    <row r="44" spans="1:21" s="12" customFormat="1" x14ac:dyDescent="0.25">
      <c r="A44" s="215" t="s">
        <v>2011</v>
      </c>
      <c r="B44" s="64">
        <v>12.89</v>
      </c>
      <c r="C44" s="64">
        <v>66.239999999999995</v>
      </c>
      <c r="D44" s="64">
        <v>43.57</v>
      </c>
      <c r="E44" s="64">
        <v>10.17</v>
      </c>
      <c r="F44" s="64">
        <v>5.1100000000000003</v>
      </c>
      <c r="G44" s="64">
        <v>285.86</v>
      </c>
      <c r="H44" s="64">
        <v>120.07</v>
      </c>
      <c r="I44" s="64">
        <v>5.86</v>
      </c>
      <c r="J44" s="64">
        <v>4.01</v>
      </c>
      <c r="K44" s="64">
        <v>344.26</v>
      </c>
      <c r="L44" s="64">
        <v>19.72</v>
      </c>
      <c r="M44" s="64">
        <v>44.95</v>
      </c>
      <c r="N44" s="64">
        <v>380.6</v>
      </c>
      <c r="O44" s="64">
        <v>0</v>
      </c>
      <c r="P44" s="64">
        <v>1.24</v>
      </c>
      <c r="Q44" s="64">
        <v>8.41</v>
      </c>
      <c r="R44" s="198"/>
      <c r="S44" s="198"/>
      <c r="T44" s="198"/>
      <c r="U44" s="198"/>
    </row>
    <row r="45" spans="1:21" s="12" customFormat="1" x14ac:dyDescent="0.25">
      <c r="A45" s="215" t="s">
        <v>2012</v>
      </c>
      <c r="B45" s="64">
        <v>12.72</v>
      </c>
      <c r="C45" s="64">
        <v>67.06</v>
      </c>
      <c r="D45" s="64">
        <v>43.86</v>
      </c>
      <c r="E45" s="64">
        <v>9.9</v>
      </c>
      <c r="F45" s="64">
        <v>4.67</v>
      </c>
      <c r="G45" s="64">
        <v>274.06</v>
      </c>
      <c r="H45" s="64">
        <v>115.35</v>
      </c>
      <c r="I45" s="64">
        <v>5.96</v>
      </c>
      <c r="J45" s="64">
        <v>1.83</v>
      </c>
      <c r="K45" s="64">
        <v>10.02</v>
      </c>
      <c r="L45" s="64">
        <v>19.73</v>
      </c>
      <c r="M45" s="64">
        <v>45.97</v>
      </c>
      <c r="N45" s="64">
        <v>413</v>
      </c>
      <c r="O45" s="64">
        <v>0</v>
      </c>
      <c r="P45" s="64">
        <v>1.24</v>
      </c>
      <c r="Q45" s="64">
        <v>8.4600000000000009</v>
      </c>
      <c r="R45" s="198"/>
      <c r="S45" s="198"/>
      <c r="T45" s="198"/>
      <c r="U45" s="198"/>
    </row>
    <row r="46" spans="1:21" s="12" customFormat="1" x14ac:dyDescent="0.25">
      <c r="A46" s="215" t="s">
        <v>2013</v>
      </c>
      <c r="B46" s="64">
        <v>12.26</v>
      </c>
      <c r="C46" s="64">
        <v>67.97</v>
      </c>
      <c r="D46" s="64">
        <v>43.97</v>
      </c>
      <c r="E46" s="64">
        <v>9.31</v>
      </c>
      <c r="F46" s="64">
        <v>4.75</v>
      </c>
      <c r="G46" s="64">
        <v>243.39</v>
      </c>
      <c r="H46" s="64">
        <v>95.08</v>
      </c>
      <c r="I46" s="64">
        <v>5.72</v>
      </c>
      <c r="J46" s="64">
        <v>1.53</v>
      </c>
      <c r="K46" s="64">
        <v>14.16</v>
      </c>
      <c r="L46" s="64">
        <v>18.690000000000001</v>
      </c>
      <c r="M46" s="64">
        <v>49.83</v>
      </c>
      <c r="N46" s="64">
        <v>446.9</v>
      </c>
      <c r="O46" s="64">
        <v>0</v>
      </c>
      <c r="P46" s="64">
        <v>1.24</v>
      </c>
      <c r="Q46" s="64">
        <v>8.4700000000000006</v>
      </c>
      <c r="R46" s="198"/>
      <c r="S46" s="198"/>
      <c r="T46" s="198"/>
      <c r="U46" s="198"/>
    </row>
    <row r="47" spans="1:21" s="12" customFormat="1" x14ac:dyDescent="0.25">
      <c r="A47" s="215" t="s">
        <v>2014</v>
      </c>
      <c r="B47" s="64">
        <v>11.46</v>
      </c>
      <c r="C47" s="64">
        <v>68.349999999999994</v>
      </c>
      <c r="D47" s="64">
        <v>43.53</v>
      </c>
      <c r="E47" s="64">
        <v>9.2799999999999994</v>
      </c>
      <c r="F47" s="64">
        <v>4.58</v>
      </c>
      <c r="G47" s="64">
        <v>243.39</v>
      </c>
      <c r="H47" s="64">
        <v>95.08</v>
      </c>
      <c r="I47" s="64">
        <v>6.15</v>
      </c>
      <c r="J47" s="64">
        <v>2.2000000000000002</v>
      </c>
      <c r="K47" s="64">
        <v>99.93</v>
      </c>
      <c r="L47" s="64">
        <v>18.39</v>
      </c>
      <c r="M47" s="64">
        <v>51.98</v>
      </c>
      <c r="N47" s="64">
        <v>481.4</v>
      </c>
      <c r="O47" s="64">
        <v>0</v>
      </c>
      <c r="P47" s="64">
        <v>1.24</v>
      </c>
      <c r="Q47" s="64">
        <v>8.41</v>
      </c>
      <c r="R47" s="198"/>
      <c r="S47" s="198"/>
      <c r="T47" s="198"/>
      <c r="U47" s="198"/>
    </row>
    <row r="48" spans="1:21" s="12" customFormat="1" x14ac:dyDescent="0.25">
      <c r="A48" s="215" t="s">
        <v>2015</v>
      </c>
      <c r="B48" s="64">
        <v>10.3</v>
      </c>
      <c r="C48" s="64">
        <v>68.83</v>
      </c>
      <c r="D48" s="64">
        <v>42.84</v>
      </c>
      <c r="E48" s="64">
        <v>8.83</v>
      </c>
      <c r="F48" s="64">
        <v>4.95</v>
      </c>
      <c r="G48" s="64">
        <v>243.39</v>
      </c>
      <c r="H48" s="64">
        <v>95.08</v>
      </c>
      <c r="I48" s="64">
        <v>6.55</v>
      </c>
      <c r="J48" s="64">
        <v>2.1800000000000002</v>
      </c>
      <c r="K48" s="64">
        <v>96.43</v>
      </c>
      <c r="L48" s="64">
        <v>18.350000000000001</v>
      </c>
      <c r="M48" s="64">
        <v>51.83</v>
      </c>
      <c r="N48" s="64">
        <v>503.2</v>
      </c>
      <c r="O48" s="64">
        <v>0</v>
      </c>
      <c r="P48" s="64">
        <v>1.24</v>
      </c>
      <c r="Q48" s="64">
        <v>8.3000000000000007</v>
      </c>
      <c r="R48" s="198"/>
      <c r="S48" s="198"/>
      <c r="T48" s="198"/>
      <c r="U48" s="198"/>
    </row>
    <row r="49" spans="1:21" s="12" customFormat="1" x14ac:dyDescent="0.25">
      <c r="A49" s="215" t="s">
        <v>2016</v>
      </c>
      <c r="B49" s="64">
        <v>9.14</v>
      </c>
      <c r="C49" s="64">
        <v>69.02</v>
      </c>
      <c r="D49" s="64">
        <v>42.02</v>
      </c>
      <c r="E49" s="64">
        <v>8.3699999999999992</v>
      </c>
      <c r="F49" s="64">
        <v>5.0599999999999996</v>
      </c>
      <c r="G49" s="64">
        <v>234.85</v>
      </c>
      <c r="H49" s="64">
        <v>110</v>
      </c>
      <c r="I49" s="64">
        <v>6.91</v>
      </c>
      <c r="J49" s="64">
        <v>2.08</v>
      </c>
      <c r="K49" s="64">
        <v>98.43</v>
      </c>
      <c r="L49" s="64">
        <v>19.04</v>
      </c>
      <c r="M49" s="64">
        <v>51.21</v>
      </c>
      <c r="N49" s="64">
        <v>534</v>
      </c>
      <c r="O49" s="64">
        <v>0</v>
      </c>
      <c r="P49" s="64">
        <v>1.23</v>
      </c>
      <c r="Q49" s="64">
        <v>8.2200000000000006</v>
      </c>
      <c r="R49" s="198"/>
      <c r="S49" s="198"/>
      <c r="T49" s="198"/>
      <c r="U49" s="198"/>
    </row>
    <row r="50" spans="1:21" s="12" customFormat="1" x14ac:dyDescent="0.25">
      <c r="A50" s="215" t="s">
        <v>2017</v>
      </c>
      <c r="B50" s="64">
        <v>8.16</v>
      </c>
      <c r="C50" s="64">
        <v>69.48</v>
      </c>
      <c r="D50" s="64">
        <v>41.47</v>
      </c>
      <c r="E50" s="64">
        <v>7.98</v>
      </c>
      <c r="F50" s="64">
        <v>4.87</v>
      </c>
      <c r="G50" s="64">
        <v>212.63</v>
      </c>
      <c r="H50" s="64">
        <v>136.72999999999999</v>
      </c>
      <c r="I50" s="64">
        <v>7.42</v>
      </c>
      <c r="J50" s="64">
        <v>1.23</v>
      </c>
      <c r="K50" s="64">
        <v>15.23</v>
      </c>
      <c r="L50" s="64">
        <v>20.63</v>
      </c>
      <c r="M50" s="64">
        <v>47.8</v>
      </c>
      <c r="N50" s="64">
        <v>553.20000000000005</v>
      </c>
      <c r="O50" s="64">
        <v>0</v>
      </c>
      <c r="P50" s="64">
        <v>1.22</v>
      </c>
      <c r="Q50" s="64">
        <v>8.2100000000000009</v>
      </c>
      <c r="R50" s="198"/>
      <c r="S50" s="198"/>
      <c r="T50" s="198"/>
      <c r="U50" s="198"/>
    </row>
    <row r="51" spans="1:21" s="12" customFormat="1" x14ac:dyDescent="0.25">
      <c r="A51" s="215" t="s">
        <v>2018</v>
      </c>
      <c r="B51" s="64">
        <v>7.52</v>
      </c>
      <c r="C51" s="64">
        <v>70.180000000000007</v>
      </c>
      <c r="D51" s="64">
        <v>41.32</v>
      </c>
      <c r="E51" s="64">
        <v>7.76</v>
      </c>
      <c r="F51" s="64">
        <v>4.4000000000000004</v>
      </c>
      <c r="G51" s="64">
        <v>212.63</v>
      </c>
      <c r="H51" s="64">
        <v>136.72999999999999</v>
      </c>
      <c r="I51" s="64">
        <v>7.83</v>
      </c>
      <c r="J51" s="64">
        <v>1.64</v>
      </c>
      <c r="K51" s="64">
        <v>42.5</v>
      </c>
      <c r="L51" s="64">
        <v>21.74</v>
      </c>
      <c r="M51" s="64">
        <v>46.13</v>
      </c>
      <c r="N51" s="64">
        <v>638.9</v>
      </c>
      <c r="O51" s="64">
        <v>0</v>
      </c>
      <c r="P51" s="64">
        <v>1.21</v>
      </c>
      <c r="Q51" s="64">
        <v>8.2100000000000009</v>
      </c>
      <c r="R51" s="198"/>
      <c r="S51" s="198"/>
      <c r="T51" s="198"/>
      <c r="U51" s="198"/>
    </row>
    <row r="52" spans="1:21" s="12" customFormat="1" x14ac:dyDescent="0.25">
      <c r="A52" s="215" t="s">
        <v>2019</v>
      </c>
      <c r="B52" s="64">
        <v>4.58</v>
      </c>
      <c r="C52" s="64">
        <v>69.83</v>
      </c>
      <c r="D52" s="64">
        <v>38.78</v>
      </c>
      <c r="E52" s="64">
        <v>15.71</v>
      </c>
      <c r="F52" s="64">
        <v>19.809999999999999</v>
      </c>
      <c r="G52" s="64">
        <v>212.63</v>
      </c>
      <c r="H52" s="64">
        <v>136.72999999999999</v>
      </c>
      <c r="I52" s="64">
        <v>8.0500000000000007</v>
      </c>
      <c r="J52" s="64">
        <v>1.37</v>
      </c>
      <c r="K52" s="64">
        <v>48.76</v>
      </c>
      <c r="L52" s="64">
        <v>21.9</v>
      </c>
      <c r="M52" s="64">
        <v>46.96</v>
      </c>
      <c r="N52" s="64">
        <v>653.9</v>
      </c>
      <c r="O52" s="64">
        <v>0</v>
      </c>
      <c r="P52" s="64">
        <v>1.03</v>
      </c>
      <c r="Q52" s="64">
        <v>8.2100000000000009</v>
      </c>
      <c r="R52" s="198"/>
      <c r="S52" s="198"/>
      <c r="T52" s="198"/>
      <c r="U52" s="198"/>
    </row>
    <row r="53" spans="1:21" s="12" customFormat="1" x14ac:dyDescent="0.25">
      <c r="A53" s="215" t="s">
        <v>2020</v>
      </c>
      <c r="B53" s="64">
        <v>1.88</v>
      </c>
      <c r="C53" s="64">
        <v>70.55</v>
      </c>
      <c r="D53" s="64">
        <v>36.99</v>
      </c>
      <c r="E53" s="64">
        <v>16.03</v>
      </c>
      <c r="F53" s="64">
        <v>20.54</v>
      </c>
      <c r="G53" s="64">
        <v>171.06</v>
      </c>
      <c r="H53" s="64">
        <v>106.51</v>
      </c>
      <c r="I53" s="64">
        <v>7.91</v>
      </c>
      <c r="J53" s="64">
        <v>3.99</v>
      </c>
      <c r="K53" s="64">
        <v>113.18</v>
      </c>
      <c r="L53" s="64">
        <v>20.75</v>
      </c>
      <c r="M53" s="64">
        <v>53.54</v>
      </c>
      <c r="N53" s="64">
        <v>644.1</v>
      </c>
      <c r="O53" s="64">
        <v>0</v>
      </c>
      <c r="P53" s="64">
        <v>0.97</v>
      </c>
      <c r="Q53" s="64">
        <v>8.2100000000000009</v>
      </c>
      <c r="R53" s="198"/>
      <c r="S53" s="198"/>
      <c r="T53" s="198"/>
      <c r="U53" s="198"/>
    </row>
    <row r="54" spans="1:21" s="12" customFormat="1" x14ac:dyDescent="0.25">
      <c r="A54" s="215" t="s">
        <v>2021</v>
      </c>
      <c r="B54" s="64">
        <v>1.21</v>
      </c>
      <c r="C54" s="64">
        <v>70.150000000000006</v>
      </c>
      <c r="D54" s="64">
        <v>36.24</v>
      </c>
      <c r="E54" s="64">
        <v>11.07</v>
      </c>
      <c r="F54" s="64">
        <v>11.25</v>
      </c>
      <c r="G54" s="64">
        <v>62.96</v>
      </c>
      <c r="H54" s="64">
        <v>52.38</v>
      </c>
      <c r="I54" s="64">
        <v>6.05</v>
      </c>
      <c r="J54" s="64">
        <v>3.6</v>
      </c>
      <c r="K54" s="64">
        <v>108.71</v>
      </c>
      <c r="L54" s="64">
        <v>20.63</v>
      </c>
      <c r="M54" s="64">
        <v>54.53</v>
      </c>
      <c r="N54" s="64">
        <v>556.29999999999995</v>
      </c>
      <c r="O54" s="64">
        <v>0</v>
      </c>
      <c r="P54" s="64">
        <v>0.95</v>
      </c>
      <c r="Q54" s="64">
        <v>8.2100000000000009</v>
      </c>
      <c r="R54" s="198"/>
      <c r="S54" s="198"/>
      <c r="T54" s="198"/>
      <c r="U54" s="198"/>
    </row>
    <row r="55" spans="1:21" s="12" customFormat="1" x14ac:dyDescent="0.25">
      <c r="A55" s="215" t="s">
        <v>2022</v>
      </c>
      <c r="B55" s="64">
        <v>1.19</v>
      </c>
      <c r="C55" s="64">
        <v>64.680000000000007</v>
      </c>
      <c r="D55" s="64">
        <v>33.369999999999997</v>
      </c>
      <c r="E55" s="64">
        <v>13.07</v>
      </c>
      <c r="F55" s="64">
        <v>18.559999999999999</v>
      </c>
      <c r="G55" s="64">
        <v>62.96</v>
      </c>
      <c r="H55" s="64">
        <v>52.38</v>
      </c>
      <c r="I55" s="64">
        <v>6</v>
      </c>
      <c r="J55" s="64">
        <v>1.64</v>
      </c>
      <c r="K55" s="64">
        <v>92.9</v>
      </c>
      <c r="L55" s="64">
        <v>21.84</v>
      </c>
      <c r="M55" s="64">
        <v>52.78</v>
      </c>
      <c r="N55" s="64">
        <v>614.4</v>
      </c>
      <c r="O55" s="64">
        <v>0</v>
      </c>
      <c r="P55" s="64">
        <v>0.84</v>
      </c>
      <c r="Q55" s="64">
        <v>8.2100000000000009</v>
      </c>
      <c r="R55" s="198"/>
      <c r="S55" s="198"/>
      <c r="T55" s="198"/>
      <c r="U55" s="198"/>
    </row>
    <row r="56" spans="1:21" s="12" customFormat="1" x14ac:dyDescent="0.25">
      <c r="A56" s="215" t="s">
        <v>2023</v>
      </c>
      <c r="B56" s="64">
        <v>1.38</v>
      </c>
      <c r="C56" s="64">
        <v>61.3</v>
      </c>
      <c r="D56" s="64">
        <v>31.76</v>
      </c>
      <c r="E56" s="64">
        <v>11.46</v>
      </c>
      <c r="F56" s="64">
        <v>12.21</v>
      </c>
      <c r="G56" s="64">
        <v>62.96</v>
      </c>
      <c r="H56" s="64">
        <v>52.38</v>
      </c>
      <c r="I56" s="64">
        <v>6.56</v>
      </c>
      <c r="J56" s="64">
        <v>2.09</v>
      </c>
      <c r="K56" s="64">
        <v>99.44</v>
      </c>
      <c r="L56" s="64">
        <v>22.21</v>
      </c>
      <c r="M56" s="64">
        <v>53.03</v>
      </c>
      <c r="N56" s="64">
        <v>590.79999999999995</v>
      </c>
      <c r="O56" s="64">
        <v>0</v>
      </c>
      <c r="P56" s="64">
        <v>0.8</v>
      </c>
      <c r="Q56" s="64">
        <v>8.2100000000000009</v>
      </c>
      <c r="R56" s="198"/>
      <c r="S56" s="198"/>
      <c r="T56" s="198"/>
      <c r="U56" s="198"/>
    </row>
    <row r="57" spans="1:21" s="12" customFormat="1" x14ac:dyDescent="0.25">
      <c r="A57" s="215" t="s">
        <v>2024</v>
      </c>
      <c r="B57" s="64">
        <v>1.94</v>
      </c>
      <c r="C57" s="64">
        <v>60.51</v>
      </c>
      <c r="D57" s="64">
        <v>31.8</v>
      </c>
      <c r="E57" s="64">
        <v>10.28</v>
      </c>
      <c r="F57" s="64">
        <v>8.1199999999999992</v>
      </c>
      <c r="G57" s="64">
        <v>72.78</v>
      </c>
      <c r="H57" s="64">
        <v>45.02</v>
      </c>
      <c r="I57" s="64">
        <v>5.55</v>
      </c>
      <c r="J57" s="64">
        <v>1.96</v>
      </c>
      <c r="K57" s="64">
        <v>96.48</v>
      </c>
      <c r="L57" s="64">
        <v>22.77</v>
      </c>
      <c r="M57" s="64">
        <v>52.38</v>
      </c>
      <c r="N57" s="64">
        <v>659.8</v>
      </c>
      <c r="O57" s="64">
        <v>0</v>
      </c>
      <c r="P57" s="64">
        <v>0.78</v>
      </c>
      <c r="Q57" s="64">
        <v>8.2100000000000009</v>
      </c>
      <c r="R57" s="198"/>
      <c r="S57" s="198"/>
      <c r="T57" s="198"/>
      <c r="U57" s="198"/>
    </row>
    <row r="58" spans="1:21" s="12" customFormat="1" x14ac:dyDescent="0.25">
      <c r="A58" s="215" t="s">
        <v>2025</v>
      </c>
      <c r="B58" s="64">
        <v>2.29</v>
      </c>
      <c r="C58" s="64">
        <v>58.25</v>
      </c>
      <c r="D58" s="64">
        <v>30.9</v>
      </c>
      <c r="E58" s="64">
        <v>8.09</v>
      </c>
      <c r="F58" s="64">
        <v>8.16</v>
      </c>
      <c r="G58" s="64">
        <v>98.29</v>
      </c>
      <c r="H58" s="64">
        <v>31.82</v>
      </c>
      <c r="I58" s="64">
        <v>5.38</v>
      </c>
      <c r="J58" s="64">
        <v>4.4000000000000004</v>
      </c>
      <c r="K58" s="64">
        <v>116.24</v>
      </c>
      <c r="L58" s="64">
        <v>21.57</v>
      </c>
      <c r="M58" s="64">
        <v>57.05</v>
      </c>
      <c r="N58" s="64">
        <v>600.20000000000005</v>
      </c>
      <c r="O58" s="64">
        <v>0</v>
      </c>
      <c r="P58" s="64">
        <v>0.72</v>
      </c>
      <c r="Q58" s="64">
        <v>8.2100000000000009</v>
      </c>
      <c r="R58" s="198"/>
      <c r="S58" s="198"/>
      <c r="T58" s="198"/>
      <c r="U58" s="198"/>
    </row>
    <row r="59" spans="1:21" s="12" customFormat="1" x14ac:dyDescent="0.25">
      <c r="A59" s="215" t="s">
        <v>2026</v>
      </c>
      <c r="B59" s="64">
        <v>2.17</v>
      </c>
      <c r="C59" s="64">
        <v>55.82</v>
      </c>
      <c r="D59" s="64">
        <v>29.53</v>
      </c>
      <c r="E59" s="64">
        <v>7.82</v>
      </c>
      <c r="F59" s="64">
        <v>8.1199999999999992</v>
      </c>
      <c r="G59" s="64">
        <v>98.29</v>
      </c>
      <c r="H59" s="64">
        <v>31.82</v>
      </c>
      <c r="I59" s="64">
        <v>5.65</v>
      </c>
      <c r="J59" s="64">
        <v>2.85</v>
      </c>
      <c r="K59" s="64">
        <v>106.61</v>
      </c>
      <c r="L59" s="64">
        <v>22.14</v>
      </c>
      <c r="M59" s="64">
        <v>56.37</v>
      </c>
      <c r="N59" s="64">
        <v>560.9</v>
      </c>
      <c r="O59" s="64">
        <v>0</v>
      </c>
      <c r="P59" s="64">
        <v>0.69</v>
      </c>
      <c r="Q59" s="64">
        <v>8.2100000000000009</v>
      </c>
      <c r="R59" s="198"/>
      <c r="S59" s="198"/>
      <c r="T59" s="198"/>
      <c r="U59" s="198"/>
    </row>
    <row r="60" spans="1:21" s="12" customFormat="1" x14ac:dyDescent="0.25">
      <c r="A60" s="215" t="s">
        <v>2027</v>
      </c>
      <c r="B60" s="64">
        <v>1.91</v>
      </c>
      <c r="C60" s="64">
        <v>54.49</v>
      </c>
      <c r="D60" s="64">
        <v>28.63</v>
      </c>
      <c r="E60" s="64">
        <v>8.77</v>
      </c>
      <c r="F60" s="64">
        <v>10.79</v>
      </c>
      <c r="G60" s="64">
        <v>98.29</v>
      </c>
      <c r="H60" s="64">
        <v>31.82</v>
      </c>
      <c r="I60" s="64">
        <v>5.92</v>
      </c>
      <c r="J60" s="64">
        <v>2.5499999999999998</v>
      </c>
      <c r="K60" s="64">
        <v>108.46</v>
      </c>
      <c r="L60" s="64">
        <v>22.35</v>
      </c>
      <c r="M60" s="64">
        <v>56.14</v>
      </c>
      <c r="N60" s="64">
        <v>451.6</v>
      </c>
      <c r="O60" s="64">
        <v>0</v>
      </c>
      <c r="P60" s="64">
        <v>0.64</v>
      </c>
      <c r="Q60" s="64">
        <v>8.2100000000000009</v>
      </c>
      <c r="R60" s="198"/>
      <c r="S60" s="198"/>
      <c r="T60" s="198"/>
      <c r="U60" s="198"/>
    </row>
    <row r="61" spans="1:21" s="12" customFormat="1" x14ac:dyDescent="0.25">
      <c r="A61" s="215" t="s">
        <v>2028</v>
      </c>
      <c r="B61" s="64">
        <v>1.6</v>
      </c>
      <c r="C61" s="64">
        <v>53.31</v>
      </c>
      <c r="D61" s="64">
        <v>27.76</v>
      </c>
      <c r="E61" s="64">
        <v>9.2899999999999991</v>
      </c>
      <c r="F61" s="64">
        <v>11.98</v>
      </c>
      <c r="G61" s="64">
        <v>79.739999999999995</v>
      </c>
      <c r="H61" s="64">
        <v>31.04</v>
      </c>
      <c r="I61" s="64">
        <v>5.08</v>
      </c>
      <c r="J61" s="64">
        <v>3.69</v>
      </c>
      <c r="K61" s="64">
        <v>112.72</v>
      </c>
      <c r="L61" s="64">
        <v>21.91</v>
      </c>
      <c r="M61" s="64">
        <v>59.72</v>
      </c>
      <c r="N61" s="64">
        <v>503.1</v>
      </c>
      <c r="O61" s="64">
        <v>0</v>
      </c>
      <c r="P61" s="64">
        <v>0.61</v>
      </c>
      <c r="Q61" s="64">
        <v>8.2100000000000009</v>
      </c>
      <c r="R61" s="198"/>
      <c r="S61" s="198"/>
      <c r="T61" s="198"/>
      <c r="U61" s="198"/>
    </row>
    <row r="62" spans="1:21" s="12" customFormat="1" x14ac:dyDescent="0.25">
      <c r="A62" s="215" t="s">
        <v>2029</v>
      </c>
      <c r="B62" s="64">
        <v>1.55</v>
      </c>
      <c r="C62" s="64">
        <v>52.17</v>
      </c>
      <c r="D62" s="64">
        <v>27.12</v>
      </c>
      <c r="E62" s="64">
        <v>10.64</v>
      </c>
      <c r="F62" s="64">
        <v>16.88</v>
      </c>
      <c r="G62" s="64">
        <v>31.51</v>
      </c>
      <c r="H62" s="64">
        <v>27.7</v>
      </c>
      <c r="I62" s="64">
        <v>4.6399999999999997</v>
      </c>
      <c r="J62" s="64">
        <v>2.8</v>
      </c>
      <c r="K62" s="64">
        <v>103.47</v>
      </c>
      <c r="L62" s="64">
        <v>22.41</v>
      </c>
      <c r="M62" s="64">
        <v>57.74</v>
      </c>
      <c r="N62" s="64">
        <v>610.9</v>
      </c>
      <c r="O62" s="64">
        <v>0</v>
      </c>
      <c r="P62" s="64">
        <v>0.56000000000000005</v>
      </c>
      <c r="Q62" s="64">
        <v>8.2100000000000009</v>
      </c>
      <c r="R62" s="198"/>
      <c r="S62" s="198"/>
      <c r="T62" s="198"/>
      <c r="U62" s="198"/>
    </row>
    <row r="63" spans="1:21" s="12" customFormat="1" x14ac:dyDescent="0.25">
      <c r="A63" s="215" t="s">
        <v>2030</v>
      </c>
      <c r="B63" s="64">
        <v>1.37</v>
      </c>
      <c r="C63" s="64">
        <v>50.02</v>
      </c>
      <c r="D63" s="64">
        <v>25.86</v>
      </c>
      <c r="E63" s="64">
        <v>10.93</v>
      </c>
      <c r="F63" s="64">
        <v>16.489999999999998</v>
      </c>
      <c r="G63" s="64">
        <v>31.51</v>
      </c>
      <c r="H63" s="64">
        <v>27.7</v>
      </c>
      <c r="I63" s="64">
        <v>4.59</v>
      </c>
      <c r="J63" s="64">
        <v>3.45</v>
      </c>
      <c r="K63" s="64">
        <v>117.23</v>
      </c>
      <c r="L63" s="64">
        <v>22.63</v>
      </c>
      <c r="M63" s="64">
        <v>58.29</v>
      </c>
      <c r="N63" s="64">
        <v>438.6</v>
      </c>
      <c r="O63" s="64">
        <v>0</v>
      </c>
      <c r="P63" s="64">
        <v>0.55000000000000004</v>
      </c>
      <c r="Q63" s="64">
        <v>8.2100000000000009</v>
      </c>
      <c r="R63" s="198"/>
      <c r="S63" s="198"/>
      <c r="T63" s="198"/>
      <c r="U63" s="198"/>
    </row>
    <row r="64" spans="1:21" s="12" customFormat="1" x14ac:dyDescent="0.25">
      <c r="A64" s="215" t="s">
        <v>2031</v>
      </c>
      <c r="B64" s="64">
        <v>1.17</v>
      </c>
      <c r="C64" s="64">
        <v>40.5</v>
      </c>
      <c r="D64" s="64">
        <v>20.72</v>
      </c>
      <c r="E64" s="64">
        <v>13.48</v>
      </c>
      <c r="F64" s="64">
        <v>30.39</v>
      </c>
      <c r="G64" s="64">
        <v>31.51</v>
      </c>
      <c r="H64" s="64">
        <v>27.7</v>
      </c>
      <c r="I64" s="64">
        <v>4.33</v>
      </c>
      <c r="J64" s="64">
        <v>3.54</v>
      </c>
      <c r="K64" s="64">
        <v>123.3</v>
      </c>
      <c r="L64" s="64">
        <v>22.64</v>
      </c>
      <c r="M64" s="64">
        <v>57.57</v>
      </c>
      <c r="N64" s="64">
        <v>526.29999999999995</v>
      </c>
      <c r="O64" s="64">
        <v>0</v>
      </c>
      <c r="P64" s="64">
        <v>0.48</v>
      </c>
      <c r="Q64" s="64">
        <v>8.2100000000000009</v>
      </c>
      <c r="R64" s="198"/>
      <c r="S64" s="198"/>
      <c r="T64" s="198"/>
      <c r="U64" s="198"/>
    </row>
    <row r="65" spans="1:21" s="12" customFormat="1" x14ac:dyDescent="0.25">
      <c r="A65" s="215" t="s">
        <v>2032</v>
      </c>
      <c r="B65" s="64">
        <v>1.26</v>
      </c>
      <c r="C65" s="64">
        <v>39.090000000000003</v>
      </c>
      <c r="D65" s="64">
        <v>20.05</v>
      </c>
      <c r="E65" s="64">
        <v>11.06</v>
      </c>
      <c r="F65" s="64">
        <v>14.94</v>
      </c>
      <c r="G65" s="64">
        <v>36.590000000000003</v>
      </c>
      <c r="H65" s="64">
        <v>24.69</v>
      </c>
      <c r="I65" s="64">
        <v>3.84</v>
      </c>
      <c r="J65" s="64">
        <v>1.76</v>
      </c>
      <c r="K65" s="64">
        <v>89.86</v>
      </c>
      <c r="L65" s="64">
        <v>23.38</v>
      </c>
      <c r="M65" s="64">
        <v>55.81</v>
      </c>
      <c r="N65" s="64">
        <v>337.8</v>
      </c>
      <c r="O65" s="64">
        <v>0</v>
      </c>
      <c r="P65" s="64">
        <v>0.49</v>
      </c>
      <c r="Q65" s="64">
        <v>8.2100000000000009</v>
      </c>
      <c r="R65" s="198"/>
      <c r="S65" s="198"/>
      <c r="T65" s="198"/>
      <c r="U65" s="198"/>
    </row>
    <row r="66" spans="1:21" s="12" customFormat="1" x14ac:dyDescent="0.25">
      <c r="A66" s="215" t="s">
        <v>2033</v>
      </c>
      <c r="B66" s="64">
        <v>1.59</v>
      </c>
      <c r="C66" s="64">
        <v>40.21</v>
      </c>
      <c r="D66" s="64">
        <v>20.91</v>
      </c>
      <c r="E66" s="64">
        <v>10.41</v>
      </c>
      <c r="F66" s="64">
        <v>10.23</v>
      </c>
      <c r="G66" s="64">
        <v>49.79</v>
      </c>
      <c r="H66" s="64">
        <v>19.3</v>
      </c>
      <c r="I66" s="64">
        <v>2.38</v>
      </c>
      <c r="J66" s="64">
        <v>2.58</v>
      </c>
      <c r="K66" s="64">
        <v>102.33</v>
      </c>
      <c r="L66" s="64">
        <v>22.88</v>
      </c>
      <c r="M66" s="64">
        <v>57.27</v>
      </c>
      <c r="N66" s="64">
        <v>254.8</v>
      </c>
      <c r="O66" s="64">
        <v>0</v>
      </c>
      <c r="P66" s="64">
        <v>0.5</v>
      </c>
      <c r="Q66" s="64">
        <v>8.2100000000000009</v>
      </c>
      <c r="R66" s="198"/>
      <c r="S66" s="198"/>
      <c r="T66" s="198"/>
      <c r="U66" s="198"/>
    </row>
    <row r="67" spans="1:21" s="12" customFormat="1" x14ac:dyDescent="0.25">
      <c r="A67" s="215" t="s">
        <v>2034</v>
      </c>
      <c r="B67" s="64">
        <v>1.85</v>
      </c>
      <c r="C67" s="64">
        <v>35.4</v>
      </c>
      <c r="D67" s="64">
        <v>18.600000000000001</v>
      </c>
      <c r="E67" s="64">
        <v>10.130000000000001</v>
      </c>
      <c r="F67" s="64">
        <v>9.94</v>
      </c>
      <c r="G67" s="64">
        <v>49.79</v>
      </c>
      <c r="H67" s="64">
        <v>19.3</v>
      </c>
      <c r="I67" s="64">
        <v>2.85</v>
      </c>
      <c r="J67" s="64">
        <v>4</v>
      </c>
      <c r="K67" s="64">
        <v>108.3</v>
      </c>
      <c r="L67" s="64">
        <v>22.65</v>
      </c>
      <c r="M67" s="64">
        <v>57.41</v>
      </c>
      <c r="N67" s="64">
        <v>230</v>
      </c>
      <c r="O67" s="64">
        <v>0</v>
      </c>
      <c r="P67" s="64">
        <v>0.51</v>
      </c>
      <c r="Q67" s="64">
        <v>8.2100000000000009</v>
      </c>
      <c r="R67" s="198"/>
      <c r="S67" s="198"/>
      <c r="T67" s="198"/>
      <c r="U67" s="198"/>
    </row>
    <row r="68" spans="1:21" s="12" customFormat="1" x14ac:dyDescent="0.25">
      <c r="A68" s="215" t="s">
        <v>2035</v>
      </c>
      <c r="B68" s="64">
        <v>1.98</v>
      </c>
      <c r="C68" s="64">
        <v>42.64</v>
      </c>
      <c r="D68" s="64">
        <v>22.49</v>
      </c>
      <c r="E68" s="64">
        <v>9.77</v>
      </c>
      <c r="F68" s="64">
        <v>9.91</v>
      </c>
      <c r="G68" s="64">
        <v>49.79</v>
      </c>
      <c r="H68" s="64">
        <v>19.3</v>
      </c>
      <c r="I68" s="64">
        <v>5.73</v>
      </c>
      <c r="J68" s="64">
        <v>0.68</v>
      </c>
      <c r="K68" s="64">
        <v>22.15</v>
      </c>
      <c r="L68" s="64">
        <v>22.94</v>
      </c>
      <c r="M68" s="64">
        <v>57.01</v>
      </c>
      <c r="N68" s="64">
        <v>206.8</v>
      </c>
      <c r="O68" s="64">
        <v>0</v>
      </c>
      <c r="P68" s="64">
        <v>0.56999999999999995</v>
      </c>
      <c r="Q68" s="64">
        <v>8.2100000000000009</v>
      </c>
      <c r="R68" s="198"/>
      <c r="S68" s="198"/>
      <c r="T68" s="198"/>
      <c r="U68" s="198"/>
    </row>
    <row r="69" spans="1:21" s="12" customFormat="1" x14ac:dyDescent="0.25">
      <c r="A69" s="215" t="s">
        <v>2036</v>
      </c>
      <c r="B69" s="64">
        <v>2.4700000000000002</v>
      </c>
      <c r="C69" s="64">
        <v>48.72</v>
      </c>
      <c r="D69" s="64">
        <v>26.06</v>
      </c>
      <c r="E69" s="64">
        <v>9.52</v>
      </c>
      <c r="F69" s="64">
        <v>7.6</v>
      </c>
      <c r="G69" s="64">
        <v>54.77</v>
      </c>
      <c r="H69" s="64">
        <v>23.1</v>
      </c>
      <c r="I69" s="64">
        <v>9.7200000000000006</v>
      </c>
      <c r="J69" s="64">
        <v>4.6399999999999997</v>
      </c>
      <c r="K69" s="64">
        <v>110.95</v>
      </c>
      <c r="L69" s="64">
        <v>22.69</v>
      </c>
      <c r="M69" s="64">
        <v>57.89</v>
      </c>
      <c r="N69" s="64">
        <v>194.9</v>
      </c>
      <c r="O69" s="64">
        <v>0</v>
      </c>
      <c r="P69" s="64">
        <v>0.56000000000000005</v>
      </c>
      <c r="Q69" s="64">
        <v>8.2100000000000009</v>
      </c>
      <c r="R69" s="198"/>
      <c r="S69" s="198"/>
      <c r="T69" s="198"/>
      <c r="U69" s="198"/>
    </row>
    <row r="70" spans="1:21" s="12" customFormat="1" x14ac:dyDescent="0.25">
      <c r="A70" s="215" t="s">
        <v>2037</v>
      </c>
      <c r="B70" s="64">
        <v>2.11</v>
      </c>
      <c r="C70" s="64">
        <v>49.83</v>
      </c>
      <c r="D70" s="64">
        <v>26.36</v>
      </c>
      <c r="E70" s="64">
        <v>9.39</v>
      </c>
      <c r="F70" s="64">
        <v>10.64</v>
      </c>
      <c r="G70" s="64">
        <v>67.72</v>
      </c>
      <c r="H70" s="64">
        <v>29.89</v>
      </c>
      <c r="I70" s="64">
        <v>10.24</v>
      </c>
      <c r="J70" s="64">
        <v>3.51</v>
      </c>
      <c r="K70" s="64">
        <v>101.85</v>
      </c>
      <c r="L70" s="64">
        <v>22.24</v>
      </c>
      <c r="M70" s="64">
        <v>58.48</v>
      </c>
      <c r="N70" s="64">
        <v>197.3</v>
      </c>
      <c r="O70" s="64">
        <v>0</v>
      </c>
      <c r="P70" s="64">
        <v>0.52</v>
      </c>
      <c r="Q70" s="64">
        <v>8.2100000000000009</v>
      </c>
      <c r="R70" s="198"/>
      <c r="S70" s="198"/>
      <c r="T70" s="198"/>
      <c r="U70" s="198"/>
    </row>
    <row r="71" spans="1:21" s="12" customFormat="1" x14ac:dyDescent="0.25">
      <c r="A71" s="215" t="s">
        <v>2038</v>
      </c>
      <c r="B71" s="64">
        <v>1.99</v>
      </c>
      <c r="C71" s="64">
        <v>49</v>
      </c>
      <c r="D71" s="64">
        <v>25.82</v>
      </c>
      <c r="E71" s="64">
        <v>9.07</v>
      </c>
      <c r="F71" s="64">
        <v>7.34</v>
      </c>
      <c r="G71" s="64">
        <v>67.72</v>
      </c>
      <c r="H71" s="64">
        <v>29.89</v>
      </c>
      <c r="I71" s="64">
        <v>10.01</v>
      </c>
      <c r="J71" s="64">
        <v>2.69</v>
      </c>
      <c r="K71" s="64">
        <v>107.45</v>
      </c>
      <c r="L71" s="64">
        <v>22.4</v>
      </c>
      <c r="M71" s="64">
        <v>58.71</v>
      </c>
      <c r="N71" s="64">
        <v>199.7</v>
      </c>
      <c r="O71" s="64">
        <v>0</v>
      </c>
      <c r="P71" s="64">
        <v>0.54</v>
      </c>
      <c r="Q71" s="64">
        <v>8.2100000000000009</v>
      </c>
      <c r="R71" s="198"/>
      <c r="S71" s="198"/>
      <c r="T71" s="198"/>
      <c r="U71" s="198"/>
    </row>
    <row r="72" spans="1:21" s="12" customFormat="1" x14ac:dyDescent="0.25">
      <c r="A72" s="215" t="s">
        <v>2039</v>
      </c>
      <c r="B72" s="64">
        <v>1.99</v>
      </c>
      <c r="C72" s="64">
        <v>43.27</v>
      </c>
      <c r="D72" s="64">
        <v>22.82</v>
      </c>
      <c r="E72" s="64">
        <v>7.02</v>
      </c>
      <c r="F72" s="64">
        <v>7.77</v>
      </c>
      <c r="G72" s="64">
        <v>67.72</v>
      </c>
      <c r="H72" s="64">
        <v>29.89</v>
      </c>
      <c r="I72" s="64">
        <v>6.94</v>
      </c>
      <c r="J72" s="64">
        <v>3.68</v>
      </c>
      <c r="K72" s="64">
        <v>112.13</v>
      </c>
      <c r="L72" s="64">
        <v>22.21</v>
      </c>
      <c r="M72" s="64">
        <v>61.07</v>
      </c>
      <c r="N72" s="64">
        <v>164.6</v>
      </c>
      <c r="O72" s="64">
        <v>0</v>
      </c>
      <c r="P72" s="64">
        <v>0.49</v>
      </c>
      <c r="Q72" s="64">
        <v>8.2100000000000009</v>
      </c>
      <c r="R72" s="198"/>
      <c r="S72" s="198"/>
      <c r="T72" s="198"/>
      <c r="U72" s="198"/>
    </row>
    <row r="73" spans="1:21" s="12" customFormat="1" x14ac:dyDescent="0.25">
      <c r="A73" s="215" t="s">
        <v>2040</v>
      </c>
      <c r="B73" s="64">
        <v>2.2400000000000002</v>
      </c>
      <c r="C73" s="64">
        <v>40.32</v>
      </c>
      <c r="D73" s="64">
        <v>21.48</v>
      </c>
      <c r="E73" s="64">
        <v>7.43</v>
      </c>
      <c r="F73" s="64">
        <v>6.16</v>
      </c>
      <c r="G73" s="64">
        <v>57.76</v>
      </c>
      <c r="H73" s="64">
        <v>28.71</v>
      </c>
      <c r="I73" s="64">
        <v>4.24</v>
      </c>
      <c r="J73" s="64">
        <v>2.9</v>
      </c>
      <c r="K73" s="64">
        <v>108.12</v>
      </c>
      <c r="L73" s="64">
        <v>21.97</v>
      </c>
      <c r="M73" s="64">
        <v>62.33</v>
      </c>
      <c r="N73" s="64">
        <v>160.5</v>
      </c>
      <c r="O73" s="64">
        <v>0</v>
      </c>
      <c r="P73" s="64">
        <v>0.47</v>
      </c>
      <c r="Q73" s="64">
        <v>8.2100000000000009</v>
      </c>
      <c r="R73" s="198"/>
      <c r="S73" s="198"/>
      <c r="T73" s="198"/>
      <c r="U73" s="198"/>
    </row>
    <row r="74" spans="1:21" s="12" customFormat="1" x14ac:dyDescent="0.25">
      <c r="A74" s="215" t="s">
        <v>2041</v>
      </c>
      <c r="B74" s="64">
        <v>2.63</v>
      </c>
      <c r="C74" s="64">
        <v>40.04</v>
      </c>
      <c r="D74" s="64">
        <v>21.65</v>
      </c>
      <c r="E74" s="64">
        <v>7.41</v>
      </c>
      <c r="F74" s="64">
        <v>6.47</v>
      </c>
      <c r="G74" s="64">
        <v>31.87</v>
      </c>
      <c r="H74" s="64">
        <v>26.6</v>
      </c>
      <c r="I74" s="64">
        <v>2.93</v>
      </c>
      <c r="J74" s="64">
        <v>2.61</v>
      </c>
      <c r="K74" s="64">
        <v>106.17</v>
      </c>
      <c r="L74" s="64">
        <v>22.06</v>
      </c>
      <c r="M74" s="64">
        <v>61.98</v>
      </c>
      <c r="N74" s="64">
        <v>139.19999999999999</v>
      </c>
      <c r="O74" s="64">
        <v>0</v>
      </c>
      <c r="P74" s="64">
        <v>0.51</v>
      </c>
      <c r="Q74" s="64">
        <v>8.2100000000000009</v>
      </c>
      <c r="R74" s="198"/>
      <c r="S74" s="198"/>
      <c r="T74" s="198"/>
      <c r="U74" s="198"/>
    </row>
    <row r="75" spans="1:21" s="12" customFormat="1" x14ac:dyDescent="0.25">
      <c r="A75" s="215" t="s">
        <v>2042</v>
      </c>
      <c r="B75" s="64">
        <v>2.21</v>
      </c>
      <c r="C75" s="64">
        <v>41.98</v>
      </c>
      <c r="D75" s="64">
        <v>22.33</v>
      </c>
      <c r="E75" s="64">
        <v>9.91</v>
      </c>
      <c r="F75" s="64">
        <v>20.73</v>
      </c>
      <c r="G75" s="64">
        <v>31.87</v>
      </c>
      <c r="H75" s="64">
        <v>26.6</v>
      </c>
      <c r="I75" s="64">
        <v>1.81</v>
      </c>
      <c r="J75" s="64">
        <v>1.78</v>
      </c>
      <c r="K75" s="64">
        <v>102.4</v>
      </c>
      <c r="L75" s="64">
        <v>21.85</v>
      </c>
      <c r="M75" s="64">
        <v>62.57</v>
      </c>
      <c r="N75" s="64">
        <v>128</v>
      </c>
      <c r="O75" s="64">
        <v>0</v>
      </c>
      <c r="P75" s="64">
        <v>0.61</v>
      </c>
      <c r="Q75" s="64">
        <v>8.2100000000000009</v>
      </c>
      <c r="R75" s="198"/>
      <c r="S75" s="198"/>
      <c r="T75" s="198"/>
      <c r="U75" s="198"/>
    </row>
    <row r="76" spans="1:21" s="12" customFormat="1" x14ac:dyDescent="0.25">
      <c r="A76" s="215" t="s">
        <v>2043</v>
      </c>
      <c r="B76" s="64">
        <v>1.73</v>
      </c>
      <c r="C76" s="64">
        <v>49.33</v>
      </c>
      <c r="D76" s="64">
        <v>25.78</v>
      </c>
      <c r="E76" s="64">
        <v>10.51</v>
      </c>
      <c r="F76" s="64">
        <v>12.58</v>
      </c>
      <c r="G76" s="64">
        <v>31.87</v>
      </c>
      <c r="H76" s="64">
        <v>26.6</v>
      </c>
      <c r="I76" s="64">
        <v>1.5</v>
      </c>
      <c r="J76" s="64">
        <v>1.77</v>
      </c>
      <c r="K76" s="64">
        <v>115.25</v>
      </c>
      <c r="L76" s="64">
        <v>21.69</v>
      </c>
      <c r="M76" s="64">
        <v>64.069999999999993</v>
      </c>
      <c r="N76" s="64">
        <v>117.2</v>
      </c>
      <c r="O76" s="64">
        <v>0</v>
      </c>
      <c r="P76" s="64">
        <v>0.7</v>
      </c>
      <c r="Q76" s="64">
        <v>8.2100000000000009</v>
      </c>
      <c r="R76" s="198"/>
      <c r="S76" s="198"/>
      <c r="T76" s="198"/>
      <c r="U76" s="198"/>
    </row>
    <row r="77" spans="1:21" s="12" customFormat="1" x14ac:dyDescent="0.25">
      <c r="A77" s="215" t="s">
        <v>2044</v>
      </c>
      <c r="B77" s="64">
        <v>1.76</v>
      </c>
      <c r="C77" s="64">
        <v>51.67</v>
      </c>
      <c r="D77" s="64">
        <v>27.03</v>
      </c>
      <c r="E77" s="64">
        <v>9.01</v>
      </c>
      <c r="F77" s="64">
        <v>6.51</v>
      </c>
      <c r="G77" s="64">
        <v>40.58</v>
      </c>
      <c r="H77" s="64">
        <v>26.3</v>
      </c>
      <c r="I77" s="64">
        <v>2.4</v>
      </c>
      <c r="J77" s="64">
        <v>2.35</v>
      </c>
      <c r="K77" s="64">
        <v>107.39</v>
      </c>
      <c r="L77" s="64">
        <v>21.44</v>
      </c>
      <c r="M77" s="64">
        <v>65.319999999999993</v>
      </c>
      <c r="N77" s="64">
        <v>109.2</v>
      </c>
      <c r="O77" s="64">
        <v>0</v>
      </c>
      <c r="P77" s="64">
        <v>0.63</v>
      </c>
      <c r="Q77" s="64">
        <v>8.2100000000000009</v>
      </c>
      <c r="R77" s="198"/>
      <c r="S77" s="198"/>
      <c r="T77" s="198"/>
      <c r="U77" s="198"/>
    </row>
    <row r="78" spans="1:21" s="12" customFormat="1" x14ac:dyDescent="0.25">
      <c r="A78" s="215" t="s">
        <v>2045</v>
      </c>
      <c r="B78" s="64">
        <v>2.14</v>
      </c>
      <c r="C78" s="64">
        <v>51.67</v>
      </c>
      <c r="D78" s="64">
        <v>27.34</v>
      </c>
      <c r="E78" s="64">
        <v>7.64</v>
      </c>
      <c r="F78" s="64">
        <v>5.66</v>
      </c>
      <c r="G78" s="64">
        <v>63.21</v>
      </c>
      <c r="H78" s="64">
        <v>25.03</v>
      </c>
      <c r="I78" s="64">
        <v>2.88</v>
      </c>
      <c r="J78" s="64">
        <v>2.89</v>
      </c>
      <c r="K78" s="64">
        <v>110.08</v>
      </c>
      <c r="L78" s="64">
        <v>21.2</v>
      </c>
      <c r="M78" s="64">
        <v>66.75</v>
      </c>
      <c r="N78" s="64">
        <v>99.9</v>
      </c>
      <c r="O78" s="64">
        <v>0</v>
      </c>
      <c r="P78" s="64">
        <v>0.67</v>
      </c>
      <c r="Q78" s="64">
        <v>8.2100000000000009</v>
      </c>
      <c r="R78" s="198"/>
      <c r="S78" s="198"/>
      <c r="T78" s="198"/>
      <c r="U78" s="198"/>
    </row>
    <row r="79" spans="1:21" s="12" customFormat="1" x14ac:dyDescent="0.25">
      <c r="A79" s="215" t="s">
        <v>2046</v>
      </c>
      <c r="B79" s="64">
        <v>2.66</v>
      </c>
      <c r="C79" s="64">
        <v>54.07</v>
      </c>
      <c r="D79" s="64">
        <v>29.01</v>
      </c>
      <c r="E79" s="64">
        <v>7.28</v>
      </c>
      <c r="F79" s="64">
        <v>5.36</v>
      </c>
      <c r="G79" s="64">
        <v>63.21</v>
      </c>
      <c r="H79" s="64">
        <v>25.03</v>
      </c>
      <c r="I79" s="64">
        <v>3.01</v>
      </c>
      <c r="J79" s="64">
        <v>0.83</v>
      </c>
      <c r="K79" s="64">
        <v>93.81</v>
      </c>
      <c r="L79" s="64">
        <v>21.02</v>
      </c>
      <c r="M79" s="64">
        <v>67.78</v>
      </c>
      <c r="N79" s="64">
        <v>98.7</v>
      </c>
      <c r="O79" s="64">
        <v>0</v>
      </c>
      <c r="P79" s="64">
        <v>0.64</v>
      </c>
      <c r="Q79" s="64">
        <v>8.2100000000000009</v>
      </c>
      <c r="R79" s="198"/>
      <c r="S79" s="198"/>
      <c r="T79" s="198"/>
      <c r="U79" s="198"/>
    </row>
    <row r="80" spans="1:21" s="12" customFormat="1" x14ac:dyDescent="0.25">
      <c r="A80" s="215" t="s">
        <v>2047</v>
      </c>
      <c r="B80" s="64">
        <v>3.45</v>
      </c>
      <c r="C80" s="64">
        <v>56.48</v>
      </c>
      <c r="D80" s="64">
        <v>30.9</v>
      </c>
      <c r="E80" s="64">
        <v>7.15</v>
      </c>
      <c r="F80" s="64">
        <v>4.78</v>
      </c>
      <c r="G80" s="64">
        <v>63.21</v>
      </c>
      <c r="H80" s="64">
        <v>25.03</v>
      </c>
      <c r="I80" s="64">
        <v>3.83</v>
      </c>
      <c r="J80" s="64">
        <v>1.23</v>
      </c>
      <c r="K80" s="64">
        <v>342.72</v>
      </c>
      <c r="L80" s="64">
        <v>20.9</v>
      </c>
      <c r="M80" s="64">
        <v>68.56</v>
      </c>
      <c r="N80" s="64">
        <v>97.8</v>
      </c>
      <c r="O80" s="64">
        <v>0</v>
      </c>
      <c r="P80" s="64">
        <v>1.21</v>
      </c>
      <c r="Q80" s="64">
        <v>8.2100000000000009</v>
      </c>
      <c r="R80" s="198"/>
      <c r="S80" s="198"/>
      <c r="T80" s="198"/>
      <c r="U80" s="198"/>
    </row>
    <row r="81" spans="1:26" s="12" customFormat="1" x14ac:dyDescent="0.25">
      <c r="A81" s="215" t="s">
        <v>2048</v>
      </c>
      <c r="B81" s="64">
        <v>6.14</v>
      </c>
      <c r="C81" s="64">
        <v>56.36</v>
      </c>
      <c r="D81" s="64">
        <v>32.99</v>
      </c>
      <c r="E81" s="64">
        <v>6.97</v>
      </c>
      <c r="F81" s="64">
        <v>4.82</v>
      </c>
      <c r="G81" s="64">
        <v>67.48</v>
      </c>
      <c r="H81" s="64">
        <v>24.22</v>
      </c>
      <c r="I81" s="64">
        <v>5.1100000000000003</v>
      </c>
      <c r="J81" s="64">
        <v>0.75</v>
      </c>
      <c r="K81" s="64">
        <v>16.48</v>
      </c>
      <c r="L81" s="64">
        <v>20.74</v>
      </c>
      <c r="M81" s="64">
        <v>69.349999999999994</v>
      </c>
      <c r="N81" s="64">
        <v>98.4</v>
      </c>
      <c r="O81" s="64">
        <v>0</v>
      </c>
      <c r="P81" s="64">
        <v>0.81</v>
      </c>
      <c r="Q81" s="64">
        <v>8.2100000000000009</v>
      </c>
      <c r="R81" s="198"/>
      <c r="S81" s="198"/>
      <c r="T81" s="198"/>
      <c r="U81" s="198"/>
    </row>
    <row r="82" spans="1:26" s="12" customFormat="1" x14ac:dyDescent="0.25">
      <c r="A82" s="215" t="s">
        <v>2049</v>
      </c>
      <c r="B82" s="64">
        <v>8.64</v>
      </c>
      <c r="C82" s="64">
        <v>55.93</v>
      </c>
      <c r="D82" s="64">
        <v>34.770000000000003</v>
      </c>
      <c r="E82" s="64">
        <v>7.32</v>
      </c>
      <c r="F82" s="64">
        <v>4.28</v>
      </c>
      <c r="G82" s="64">
        <v>78.599999999999994</v>
      </c>
      <c r="H82" s="64">
        <v>22.76</v>
      </c>
      <c r="I82" s="64">
        <v>5.78</v>
      </c>
      <c r="J82" s="64">
        <v>1.72</v>
      </c>
      <c r="K82" s="64">
        <v>92.71</v>
      </c>
      <c r="L82" s="64">
        <v>20.49</v>
      </c>
      <c r="M82" s="64">
        <v>70.39</v>
      </c>
      <c r="N82" s="64">
        <v>98.2</v>
      </c>
      <c r="O82" s="64">
        <v>0</v>
      </c>
      <c r="P82" s="64">
        <v>0.88</v>
      </c>
      <c r="Q82" s="64">
        <v>8.2100000000000009</v>
      </c>
      <c r="R82" s="198"/>
      <c r="S82" s="198"/>
      <c r="T82" s="198"/>
      <c r="U82" s="198"/>
    </row>
    <row r="83" spans="1:26" s="12" customFormat="1" x14ac:dyDescent="0.25">
      <c r="A83" s="215" t="s">
        <v>2050</v>
      </c>
      <c r="B83" s="64">
        <v>9.24</v>
      </c>
      <c r="C83" s="64">
        <v>57.29</v>
      </c>
      <c r="D83" s="64">
        <v>35.96</v>
      </c>
      <c r="E83" s="64">
        <v>6.85</v>
      </c>
      <c r="F83" s="64">
        <v>3.9</v>
      </c>
      <c r="G83" s="64">
        <v>78.599999999999994</v>
      </c>
      <c r="H83" s="64">
        <v>22.76</v>
      </c>
      <c r="I83" s="64">
        <v>5.83</v>
      </c>
      <c r="J83" s="64">
        <v>1.51</v>
      </c>
      <c r="K83" s="64">
        <v>65.39</v>
      </c>
      <c r="L83" s="64">
        <v>20.21</v>
      </c>
      <c r="M83" s="64">
        <v>72.09</v>
      </c>
      <c r="N83" s="64">
        <v>97.4</v>
      </c>
      <c r="O83" s="64">
        <v>0</v>
      </c>
      <c r="P83" s="64">
        <v>1.07</v>
      </c>
      <c r="Q83" s="64">
        <v>8.2100000000000009</v>
      </c>
      <c r="R83" s="198"/>
      <c r="S83" s="198"/>
      <c r="T83" s="198"/>
      <c r="U83" s="198"/>
    </row>
    <row r="84" spans="1:26" s="12" customFormat="1" x14ac:dyDescent="0.25">
      <c r="A84" s="215" t="s">
        <v>2051</v>
      </c>
      <c r="B84" s="64">
        <v>9.42</v>
      </c>
      <c r="C84" s="64">
        <v>56.77</v>
      </c>
      <c r="D84" s="64">
        <v>35.840000000000003</v>
      </c>
      <c r="E84" s="64">
        <v>6.67</v>
      </c>
      <c r="F84" s="64">
        <v>3.99</v>
      </c>
      <c r="G84" s="64">
        <v>78.599999999999994</v>
      </c>
      <c r="H84" s="64">
        <v>22.76</v>
      </c>
      <c r="I84" s="64">
        <v>5.85</v>
      </c>
      <c r="J84" s="64">
        <v>2.14</v>
      </c>
      <c r="K84" s="64">
        <v>99.21</v>
      </c>
      <c r="L84" s="64">
        <v>20.09</v>
      </c>
      <c r="M84" s="64">
        <v>72.66</v>
      </c>
      <c r="N84" s="64">
        <v>98</v>
      </c>
      <c r="O84" s="64">
        <v>0</v>
      </c>
      <c r="P84" s="64">
        <v>0.94</v>
      </c>
      <c r="Q84" s="64">
        <v>8.2100000000000009</v>
      </c>
      <c r="R84" s="198"/>
      <c r="S84" s="198"/>
      <c r="T84" s="198"/>
      <c r="U84" s="198"/>
    </row>
    <row r="85" spans="1:26" s="12" customFormat="1" x14ac:dyDescent="0.25">
      <c r="A85" s="215" t="s">
        <v>2052</v>
      </c>
      <c r="B85" s="64">
        <v>9.4</v>
      </c>
      <c r="C85" s="64">
        <v>57.11</v>
      </c>
      <c r="D85" s="64">
        <v>36</v>
      </c>
      <c r="E85" s="64">
        <v>6.18</v>
      </c>
      <c r="F85" s="64">
        <v>4.2300000000000004</v>
      </c>
      <c r="G85" s="64">
        <v>82.17</v>
      </c>
      <c r="H85" s="64">
        <v>24.95</v>
      </c>
      <c r="I85" s="64">
        <v>5.56</v>
      </c>
      <c r="J85" s="64">
        <v>2.58</v>
      </c>
      <c r="K85" s="64">
        <v>112.46</v>
      </c>
      <c r="L85" s="64">
        <v>19.93</v>
      </c>
      <c r="M85" s="64">
        <v>73.52</v>
      </c>
      <c r="N85" s="64">
        <v>98.3</v>
      </c>
      <c r="O85" s="64">
        <v>0</v>
      </c>
      <c r="P85" s="64">
        <v>0.92</v>
      </c>
      <c r="Q85" s="64">
        <v>8.2100000000000009</v>
      </c>
      <c r="R85" s="198"/>
      <c r="S85" s="198"/>
      <c r="T85" s="198"/>
      <c r="U85" s="198"/>
    </row>
    <row r="86" spans="1:26" s="12" customFormat="1" x14ac:dyDescent="0.25">
      <c r="A86" s="215" t="s">
        <v>2053</v>
      </c>
      <c r="B86" s="64">
        <v>9.5399999999999991</v>
      </c>
      <c r="C86" s="64">
        <v>55.93</v>
      </c>
      <c r="D86" s="64">
        <v>35.49</v>
      </c>
      <c r="E86" s="64">
        <v>6.42</v>
      </c>
      <c r="F86" s="64">
        <v>3.79</v>
      </c>
      <c r="G86" s="64">
        <v>91.45</v>
      </c>
      <c r="H86" s="64">
        <v>28.87</v>
      </c>
      <c r="I86" s="64">
        <v>5.56</v>
      </c>
      <c r="J86" s="64">
        <v>2.25</v>
      </c>
      <c r="K86" s="64">
        <v>94.48</v>
      </c>
      <c r="L86" s="64">
        <v>19.899999999999999</v>
      </c>
      <c r="M86" s="64">
        <v>73.92</v>
      </c>
      <c r="N86" s="64">
        <v>98.3</v>
      </c>
      <c r="O86" s="64">
        <v>0</v>
      </c>
      <c r="P86" s="64">
        <v>1.02</v>
      </c>
      <c r="Q86" s="64">
        <v>8.2100000000000009</v>
      </c>
      <c r="R86" s="198"/>
      <c r="S86" s="198"/>
      <c r="T86" s="198"/>
      <c r="U86" s="198"/>
    </row>
    <row r="87" spans="1:26" s="12" customFormat="1" x14ac:dyDescent="0.25">
      <c r="A87" s="215" t="s">
        <v>2054</v>
      </c>
      <c r="B87" s="64">
        <v>10.42</v>
      </c>
      <c r="C87" s="64">
        <v>58.04</v>
      </c>
      <c r="D87" s="64">
        <v>37.299999999999997</v>
      </c>
      <c r="E87" s="64">
        <v>6.46</v>
      </c>
      <c r="F87" s="64">
        <v>3.7</v>
      </c>
      <c r="G87" s="64">
        <v>91.45</v>
      </c>
      <c r="H87" s="64">
        <v>28.87</v>
      </c>
      <c r="I87" s="64">
        <v>6.44</v>
      </c>
      <c r="J87" s="64">
        <v>3.8</v>
      </c>
      <c r="K87" s="64">
        <v>103</v>
      </c>
      <c r="L87" s="64">
        <v>19.61</v>
      </c>
      <c r="M87" s="64">
        <v>75.73</v>
      </c>
      <c r="N87" s="64">
        <v>98.5</v>
      </c>
      <c r="O87" s="64">
        <v>0</v>
      </c>
      <c r="P87" s="64">
        <v>1.01</v>
      </c>
      <c r="Q87" s="64">
        <v>8.2100000000000009</v>
      </c>
      <c r="R87" s="198"/>
      <c r="S87" s="198"/>
      <c r="T87" s="198"/>
      <c r="U87" s="198"/>
    </row>
    <row r="88" spans="1:26" s="12" customFormat="1" x14ac:dyDescent="0.25">
      <c r="A88" s="215" t="s">
        <v>2055</v>
      </c>
      <c r="B88" s="64">
        <v>11.1</v>
      </c>
      <c r="C88" s="64">
        <v>58.71</v>
      </c>
      <c r="D88" s="64">
        <v>38.200000000000003</v>
      </c>
      <c r="E88" s="64">
        <v>6.57</v>
      </c>
      <c r="F88" s="64">
        <v>3.73</v>
      </c>
      <c r="G88" s="64">
        <v>91.45</v>
      </c>
      <c r="H88" s="64">
        <v>28.87</v>
      </c>
      <c r="I88" s="64">
        <v>6.54</v>
      </c>
      <c r="J88" s="64">
        <v>2.8</v>
      </c>
      <c r="K88" s="64">
        <v>133.82</v>
      </c>
      <c r="L88" s="64">
        <v>19.239999999999998</v>
      </c>
      <c r="M88" s="64">
        <v>77.89</v>
      </c>
      <c r="N88" s="64">
        <v>98.5</v>
      </c>
      <c r="O88" s="64">
        <v>0</v>
      </c>
      <c r="P88" s="64">
        <v>1.07</v>
      </c>
      <c r="Q88" s="64">
        <v>8.2100000000000009</v>
      </c>
      <c r="R88" s="198"/>
      <c r="S88" s="198"/>
      <c r="T88" s="198"/>
      <c r="U88" s="198"/>
    </row>
    <row r="89" spans="1:26" s="12" customFormat="1" x14ac:dyDescent="0.25">
      <c r="A89" s="215" t="s">
        <v>2056</v>
      </c>
      <c r="B89" s="64">
        <v>11.44</v>
      </c>
      <c r="C89" s="64">
        <v>55.23</v>
      </c>
      <c r="D89" s="64">
        <v>36.65</v>
      </c>
      <c r="E89" s="64">
        <v>6.03</v>
      </c>
      <c r="F89" s="64">
        <v>4.09</v>
      </c>
      <c r="G89" s="64">
        <v>97.81</v>
      </c>
      <c r="H89" s="64">
        <v>35.28</v>
      </c>
      <c r="I89" s="64">
        <v>6.94</v>
      </c>
      <c r="J89" s="64">
        <v>3.52</v>
      </c>
      <c r="K89" s="64">
        <v>109.99</v>
      </c>
      <c r="L89" s="64">
        <v>19.18</v>
      </c>
      <c r="M89" s="64">
        <v>77.650000000000006</v>
      </c>
      <c r="N89" s="64">
        <v>99.2</v>
      </c>
      <c r="O89" s="64">
        <v>0</v>
      </c>
      <c r="P89" s="64">
        <v>1.06</v>
      </c>
      <c r="Q89" s="64">
        <v>8.2100000000000009</v>
      </c>
      <c r="R89" s="198"/>
      <c r="S89" s="198"/>
      <c r="T89" s="198"/>
      <c r="U89" s="198"/>
    </row>
    <row r="90" spans="1:26" s="12" customFormat="1" x14ac:dyDescent="0.25">
      <c r="A90" s="215" t="s">
        <v>2057</v>
      </c>
      <c r="B90" s="64">
        <v>11.63</v>
      </c>
      <c r="C90" s="64">
        <v>55.19</v>
      </c>
      <c r="D90" s="64">
        <v>36.79</v>
      </c>
      <c r="E90" s="64">
        <v>6.19</v>
      </c>
      <c r="F90" s="64">
        <v>4.0999999999999996</v>
      </c>
      <c r="G90" s="64">
        <v>114.35</v>
      </c>
      <c r="H90" s="64">
        <v>46.75</v>
      </c>
      <c r="I90" s="64">
        <v>6.3</v>
      </c>
      <c r="J90" s="64">
        <v>3.25</v>
      </c>
      <c r="K90" s="64">
        <v>104.64</v>
      </c>
      <c r="L90" s="64">
        <v>18.88</v>
      </c>
      <c r="M90" s="64">
        <v>79.260000000000005</v>
      </c>
      <c r="N90" s="64">
        <v>99.4</v>
      </c>
      <c r="O90" s="64">
        <v>0</v>
      </c>
      <c r="P90" s="64">
        <v>1.07</v>
      </c>
      <c r="Q90" s="64">
        <v>8.2100000000000009</v>
      </c>
      <c r="R90" s="198"/>
      <c r="S90" s="198"/>
      <c r="T90" s="198"/>
      <c r="U90" s="198"/>
    </row>
    <row r="91" spans="1:26" s="12" customFormat="1" x14ac:dyDescent="0.25">
      <c r="A91" s="215" t="s">
        <v>2058</v>
      </c>
      <c r="B91" s="64">
        <v>11.81</v>
      </c>
      <c r="C91" s="64">
        <v>55.46</v>
      </c>
      <c r="D91" s="64">
        <v>37.07</v>
      </c>
      <c r="E91" s="64">
        <v>6.21</v>
      </c>
      <c r="F91" s="64">
        <v>3.78</v>
      </c>
      <c r="G91" s="64">
        <v>114.35</v>
      </c>
      <c r="H91" s="64">
        <v>46.75</v>
      </c>
      <c r="I91" s="64">
        <v>6.12</v>
      </c>
      <c r="J91" s="64">
        <v>4.1100000000000003</v>
      </c>
      <c r="K91" s="64">
        <v>112.53</v>
      </c>
      <c r="L91" s="64">
        <v>18.77</v>
      </c>
      <c r="M91" s="64">
        <v>78.209999999999994</v>
      </c>
      <c r="N91" s="64">
        <v>99.3</v>
      </c>
      <c r="O91" s="64">
        <v>0</v>
      </c>
      <c r="P91" s="64">
        <v>1.04</v>
      </c>
      <c r="Q91" s="64">
        <v>8.2100000000000009</v>
      </c>
      <c r="R91" s="198"/>
      <c r="S91" s="198"/>
      <c r="T91" s="198"/>
      <c r="U91" s="198"/>
    </row>
    <row r="92" spans="1:26" s="12" customFormat="1" x14ac:dyDescent="0.25">
      <c r="A92" s="215" t="s">
        <v>2059</v>
      </c>
      <c r="B92" s="64">
        <v>11.71</v>
      </c>
      <c r="C92" s="64">
        <v>55.92</v>
      </c>
      <c r="D92" s="64">
        <v>37.229999999999997</v>
      </c>
      <c r="E92" s="64">
        <v>5.97</v>
      </c>
      <c r="F92" s="64">
        <v>4.2300000000000004</v>
      </c>
      <c r="G92" s="64">
        <v>114.35</v>
      </c>
      <c r="H92" s="64">
        <v>46.75</v>
      </c>
      <c r="I92" s="64">
        <v>6.98</v>
      </c>
      <c r="J92" s="64">
        <v>4.04</v>
      </c>
      <c r="K92" s="64">
        <v>107.55</v>
      </c>
      <c r="L92" s="64">
        <v>18.61</v>
      </c>
      <c r="M92" s="64">
        <v>78.61</v>
      </c>
      <c r="N92" s="64">
        <v>99.5</v>
      </c>
      <c r="O92" s="64">
        <v>0</v>
      </c>
      <c r="P92" s="64">
        <v>1.03</v>
      </c>
      <c r="Q92" s="64">
        <v>8.2100000000000009</v>
      </c>
      <c r="R92" s="198"/>
      <c r="S92" s="198"/>
      <c r="T92" s="198"/>
      <c r="U92" s="198"/>
    </row>
    <row r="93" spans="1:26" s="12" customFormat="1" x14ac:dyDescent="0.25">
      <c r="A93" s="215" t="s">
        <v>2060</v>
      </c>
      <c r="B93" s="64">
        <v>11.5</v>
      </c>
      <c r="C93" s="64">
        <v>57.39</v>
      </c>
      <c r="D93" s="64">
        <v>37.83</v>
      </c>
      <c r="E93" s="64">
        <v>6.33</v>
      </c>
      <c r="F93" s="64">
        <v>4.2300000000000004</v>
      </c>
      <c r="G93" s="64">
        <v>109.46</v>
      </c>
      <c r="H93" s="64">
        <v>45.61</v>
      </c>
      <c r="I93" s="64">
        <v>7.19</v>
      </c>
      <c r="J93" s="64">
        <v>3.66</v>
      </c>
      <c r="K93" s="64">
        <v>108.23</v>
      </c>
      <c r="L93" s="64">
        <v>18.45</v>
      </c>
      <c r="M93" s="64">
        <v>78.98</v>
      </c>
      <c r="N93" s="64">
        <v>99.4</v>
      </c>
      <c r="O93" s="64">
        <v>0</v>
      </c>
      <c r="P93" s="64">
        <v>1.02</v>
      </c>
      <c r="Q93" s="64">
        <v>8.2100000000000009</v>
      </c>
      <c r="R93" s="198"/>
      <c r="S93" s="198"/>
      <c r="T93" s="198"/>
      <c r="U93" s="198"/>
    </row>
    <row r="94" spans="1:26" s="12" customFormat="1" x14ac:dyDescent="0.25">
      <c r="A94" s="215" t="s">
        <v>2061</v>
      </c>
      <c r="B94" s="64">
        <v>11.46</v>
      </c>
      <c r="C94" s="64">
        <v>58.02</v>
      </c>
      <c r="D94" s="64">
        <v>38.130000000000003</v>
      </c>
      <c r="E94" s="64">
        <v>5.99</v>
      </c>
      <c r="F94" s="64">
        <v>3.94</v>
      </c>
      <c r="G94" s="64">
        <v>96.73</v>
      </c>
      <c r="H94" s="64">
        <v>40.68</v>
      </c>
      <c r="I94" s="64">
        <v>8.36</v>
      </c>
      <c r="J94" s="64">
        <v>2.87</v>
      </c>
      <c r="K94" s="64">
        <v>112.38</v>
      </c>
      <c r="L94" s="64">
        <v>18.2</v>
      </c>
      <c r="M94" s="64">
        <v>80.25</v>
      </c>
      <c r="N94" s="64">
        <v>99.1</v>
      </c>
      <c r="O94" s="64">
        <v>0</v>
      </c>
      <c r="P94" s="64">
        <v>1.02</v>
      </c>
      <c r="Q94" s="64">
        <v>8.2100000000000009</v>
      </c>
      <c r="R94" s="198"/>
      <c r="S94" s="198"/>
      <c r="T94" s="198"/>
      <c r="U94" s="198"/>
    </row>
    <row r="95" spans="1:26" s="12" customFormat="1" x14ac:dyDescent="0.25">
      <c r="A95" s="215" t="s">
        <v>2062</v>
      </c>
      <c r="B95" s="64">
        <v>11.5</v>
      </c>
      <c r="C95" s="64">
        <v>59.06</v>
      </c>
      <c r="D95" s="64">
        <v>38.700000000000003</v>
      </c>
      <c r="E95" s="64">
        <v>5.79</v>
      </c>
      <c r="F95" s="64">
        <v>3.57</v>
      </c>
      <c r="G95" s="64">
        <v>96.73</v>
      </c>
      <c r="H95" s="64">
        <v>40.68</v>
      </c>
      <c r="I95" s="64">
        <v>8.35</v>
      </c>
      <c r="J95" s="64">
        <v>2.42</v>
      </c>
      <c r="K95" s="64">
        <v>102.66</v>
      </c>
      <c r="L95" s="64">
        <v>17.940000000000001</v>
      </c>
      <c r="M95" s="64">
        <v>81.459999999999994</v>
      </c>
      <c r="N95" s="64">
        <v>98.7</v>
      </c>
      <c r="O95" s="64">
        <v>0</v>
      </c>
      <c r="P95" s="64">
        <v>1.01</v>
      </c>
      <c r="Q95" s="64">
        <v>8.2100000000000009</v>
      </c>
      <c r="R95" s="198"/>
      <c r="S95" s="198"/>
      <c r="T95" s="198"/>
      <c r="U95" s="198"/>
    </row>
    <row r="96" spans="1:26" s="12" customFormat="1" x14ac:dyDescent="0.25">
      <c r="A96" s="215" t="s">
        <v>2063</v>
      </c>
      <c r="B96" s="64">
        <v>11.52</v>
      </c>
      <c r="C96" s="64">
        <v>60.35</v>
      </c>
      <c r="D96" s="64">
        <v>39.39</v>
      </c>
      <c r="E96" s="64">
        <v>6.13</v>
      </c>
      <c r="F96" s="64">
        <v>4.21</v>
      </c>
      <c r="G96" s="64">
        <v>96.73</v>
      </c>
      <c r="H96" s="64">
        <v>40.68</v>
      </c>
      <c r="I96" s="64">
        <v>8.48</v>
      </c>
      <c r="J96" s="64">
        <v>2.84</v>
      </c>
      <c r="K96" s="64">
        <v>113.63</v>
      </c>
      <c r="L96" s="64">
        <v>17.760000000000002</v>
      </c>
      <c r="M96" s="64">
        <v>81.739999999999995</v>
      </c>
      <c r="N96" s="64">
        <v>98.9</v>
      </c>
      <c r="O96" s="64">
        <v>0</v>
      </c>
      <c r="P96" s="64">
        <v>1.03</v>
      </c>
      <c r="Q96" s="64">
        <v>8.2100000000000009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2064</v>
      </c>
      <c r="B97" s="64">
        <v>11.26</v>
      </c>
      <c r="C97" s="64">
        <v>56.66</v>
      </c>
      <c r="D97" s="64">
        <v>37.25</v>
      </c>
      <c r="E97" s="64">
        <v>5.91</v>
      </c>
      <c r="F97" s="64">
        <v>4.47</v>
      </c>
      <c r="G97" s="64">
        <v>90.92</v>
      </c>
      <c r="H97" s="64">
        <v>37.35</v>
      </c>
      <c r="I97" s="64">
        <v>9.1199999999999992</v>
      </c>
      <c r="J97" s="64">
        <v>3.02</v>
      </c>
      <c r="K97" s="64">
        <v>113.78</v>
      </c>
      <c r="L97" s="64">
        <v>17.68</v>
      </c>
      <c r="M97" s="64">
        <v>81.98</v>
      </c>
      <c r="N97" s="64">
        <v>98.9</v>
      </c>
      <c r="O97" s="64">
        <v>0</v>
      </c>
      <c r="P97" s="64">
        <v>1.02</v>
      </c>
      <c r="Q97" s="64">
        <v>8.2100000000000009</v>
      </c>
      <c r="R97" s="198"/>
      <c r="S97" s="198"/>
      <c r="T97" s="198"/>
      <c r="U97" s="198"/>
    </row>
    <row r="98" spans="1:33" s="12" customFormat="1" x14ac:dyDescent="0.25">
      <c r="A98" s="215" t="s">
        <v>2065</v>
      </c>
      <c r="B98" s="64">
        <v>11.04</v>
      </c>
      <c r="C98" s="64">
        <v>53.81</v>
      </c>
      <c r="D98" s="64">
        <v>35.590000000000003</v>
      </c>
      <c r="E98" s="64">
        <v>5.93</v>
      </c>
      <c r="F98" s="64">
        <v>3.74</v>
      </c>
      <c r="G98" s="64">
        <v>75.790000000000006</v>
      </c>
      <c r="H98" s="64">
        <v>31.52</v>
      </c>
      <c r="I98" s="64">
        <v>9.73</v>
      </c>
      <c r="J98" s="64">
        <v>2.98</v>
      </c>
      <c r="K98" s="64">
        <v>106.74</v>
      </c>
      <c r="L98" s="64">
        <v>17.53</v>
      </c>
      <c r="M98" s="64">
        <v>82.82</v>
      </c>
      <c r="N98" s="64">
        <v>99</v>
      </c>
      <c r="O98" s="64">
        <v>0</v>
      </c>
      <c r="P98" s="64">
        <v>1.01</v>
      </c>
      <c r="Q98" s="64">
        <v>8.2100000000000009</v>
      </c>
      <c r="R98" s="198"/>
      <c r="S98" s="198"/>
      <c r="T98" s="198"/>
      <c r="U98" s="198"/>
    </row>
    <row r="99" spans="1:33" s="12" customFormat="1" x14ac:dyDescent="0.25">
      <c r="A99" s="215" t="s">
        <v>2066</v>
      </c>
      <c r="B99" s="64">
        <v>10.78</v>
      </c>
      <c r="C99" s="64">
        <v>53.64</v>
      </c>
      <c r="D99" s="64">
        <v>35.29</v>
      </c>
      <c r="E99" s="64">
        <v>5.55</v>
      </c>
      <c r="F99" s="64">
        <v>4</v>
      </c>
      <c r="G99" s="64">
        <v>75.790000000000006</v>
      </c>
      <c r="H99" s="64">
        <v>31.52</v>
      </c>
      <c r="I99" s="64">
        <v>9.82</v>
      </c>
      <c r="J99" s="64">
        <v>3.26</v>
      </c>
      <c r="K99" s="64">
        <v>106.7</v>
      </c>
      <c r="L99" s="64">
        <v>17.38</v>
      </c>
      <c r="M99" s="64">
        <v>83</v>
      </c>
      <c r="N99" s="64">
        <v>99</v>
      </c>
      <c r="O99" s="64">
        <v>0</v>
      </c>
      <c r="P99" s="64">
        <v>1</v>
      </c>
      <c r="Q99" s="64">
        <v>8.2100000000000009</v>
      </c>
      <c r="R99" s="198"/>
      <c r="S99" s="198"/>
      <c r="T99" s="198"/>
      <c r="U99" s="198"/>
    </row>
    <row r="100" spans="1:33" s="12" customFormat="1" x14ac:dyDescent="0.25">
      <c r="A100" s="215" t="s">
        <v>2067</v>
      </c>
      <c r="B100" s="64">
        <v>10.52</v>
      </c>
      <c r="C100" s="64">
        <v>54.03</v>
      </c>
      <c r="D100" s="64">
        <v>35.29</v>
      </c>
      <c r="E100" s="64">
        <v>5.99</v>
      </c>
      <c r="F100" s="64">
        <v>4.0599999999999996</v>
      </c>
      <c r="G100" s="64">
        <v>75.790000000000006</v>
      </c>
      <c r="H100" s="64">
        <v>31.52</v>
      </c>
      <c r="I100" s="64">
        <v>9.74</v>
      </c>
      <c r="J100" s="64">
        <v>3.29</v>
      </c>
      <c r="K100" s="64">
        <v>107.76</v>
      </c>
      <c r="L100" s="64">
        <v>17.23</v>
      </c>
      <c r="M100" s="64">
        <v>83.4</v>
      </c>
      <c r="N100" s="64">
        <v>98.7</v>
      </c>
      <c r="O100" s="64">
        <v>0</v>
      </c>
      <c r="P100" s="64">
        <v>0.99</v>
      </c>
      <c r="Q100" s="64">
        <v>8.2100000000000009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2068</v>
      </c>
      <c r="B101" s="64">
        <v>10.3</v>
      </c>
      <c r="C101" s="64">
        <v>52.93</v>
      </c>
      <c r="D101" s="64">
        <v>34.54</v>
      </c>
      <c r="E101" s="64">
        <v>5.58</v>
      </c>
      <c r="F101" s="64">
        <v>4.05</v>
      </c>
      <c r="G101" s="64">
        <v>73.39</v>
      </c>
      <c r="H101" s="64">
        <v>32.81</v>
      </c>
      <c r="I101" s="64">
        <v>9.69</v>
      </c>
      <c r="J101" s="64">
        <v>2.5499999999999998</v>
      </c>
      <c r="K101" s="64">
        <v>112.67</v>
      </c>
      <c r="L101" s="64">
        <v>17</v>
      </c>
      <c r="M101" s="64">
        <v>84.58</v>
      </c>
      <c r="N101" s="64">
        <v>97.8</v>
      </c>
      <c r="O101" s="64">
        <v>0</v>
      </c>
      <c r="P101" s="64">
        <v>0.98</v>
      </c>
      <c r="Q101" s="64">
        <v>8.2100000000000009</v>
      </c>
      <c r="R101" s="198"/>
      <c r="S101" s="198"/>
      <c r="T101" s="198"/>
      <c r="U101" s="198"/>
    </row>
    <row r="102" spans="1:33" s="12" customFormat="1" x14ac:dyDescent="0.25">
      <c r="A102" s="215" t="s">
        <v>2069</v>
      </c>
      <c r="B102" s="64">
        <v>10.07</v>
      </c>
      <c r="C102" s="64">
        <v>52.97</v>
      </c>
      <c r="D102" s="64">
        <v>34.380000000000003</v>
      </c>
      <c r="E102" s="64">
        <v>5.57</v>
      </c>
      <c r="F102" s="64">
        <v>3.68</v>
      </c>
      <c r="G102" s="64">
        <v>67.17</v>
      </c>
      <c r="H102" s="64">
        <v>35.119999999999997</v>
      </c>
      <c r="I102" s="64">
        <v>9.69</v>
      </c>
      <c r="J102" s="64">
        <v>2.5299999999999998</v>
      </c>
      <c r="K102" s="64">
        <v>100.71</v>
      </c>
      <c r="L102" s="64">
        <v>16.91</v>
      </c>
      <c r="M102" s="64">
        <v>84.76</v>
      </c>
      <c r="N102" s="64">
        <v>96.9</v>
      </c>
      <c r="O102" s="64">
        <v>0</v>
      </c>
      <c r="P102" s="64">
        <v>0.97</v>
      </c>
      <c r="Q102" s="64">
        <v>8.2100000000000009</v>
      </c>
      <c r="R102" s="198"/>
      <c r="S102" s="198"/>
      <c r="T102" s="198"/>
      <c r="U102" s="198"/>
    </row>
    <row r="103" spans="1:33" s="12" customFormat="1" x14ac:dyDescent="0.25">
      <c r="A103" s="215" t="s">
        <v>2070</v>
      </c>
      <c r="B103" s="64">
        <v>9.92</v>
      </c>
      <c r="C103" s="64">
        <v>53.04</v>
      </c>
      <c r="D103" s="64">
        <v>34.29</v>
      </c>
      <c r="E103" s="64">
        <v>5.76</v>
      </c>
      <c r="F103" s="64">
        <v>3.75</v>
      </c>
      <c r="G103" s="64">
        <v>67.17</v>
      </c>
      <c r="H103" s="64">
        <v>35.119999999999997</v>
      </c>
      <c r="I103" s="64">
        <v>9.4600000000000009</v>
      </c>
      <c r="J103" s="64">
        <v>1.49</v>
      </c>
      <c r="K103" s="64">
        <v>99.31</v>
      </c>
      <c r="L103" s="64">
        <v>16.91</v>
      </c>
      <c r="M103" s="64">
        <v>84.58</v>
      </c>
      <c r="N103" s="64">
        <v>94.5</v>
      </c>
      <c r="O103" s="64">
        <v>0</v>
      </c>
      <c r="P103" s="64">
        <v>0.96</v>
      </c>
      <c r="Q103" s="64">
        <v>8.2100000000000009</v>
      </c>
      <c r="R103" s="198"/>
      <c r="S103" s="198"/>
      <c r="T103" s="198"/>
      <c r="U103" s="198"/>
    </row>
    <row r="104" spans="1:33" s="12" customFormat="1" x14ac:dyDescent="0.25">
      <c r="A104" s="215" t="s">
        <v>2071</v>
      </c>
      <c r="B104" s="64">
        <v>10.08</v>
      </c>
      <c r="C104" s="64">
        <v>52.52</v>
      </c>
      <c r="D104" s="64">
        <v>34.14</v>
      </c>
      <c r="E104" s="64">
        <v>4.1500000000000004</v>
      </c>
      <c r="F104" s="64">
        <v>4.03</v>
      </c>
      <c r="G104" s="64">
        <v>67.17</v>
      </c>
      <c r="H104" s="64">
        <v>35.119999999999997</v>
      </c>
      <c r="I104" s="64">
        <v>9.35</v>
      </c>
      <c r="J104" s="64">
        <v>1.25</v>
      </c>
      <c r="K104" s="64">
        <v>99.4</v>
      </c>
      <c r="L104" s="64">
        <v>16.82</v>
      </c>
      <c r="M104" s="64">
        <v>84.42</v>
      </c>
      <c r="N104" s="64">
        <v>94.5</v>
      </c>
      <c r="O104" s="64">
        <v>0</v>
      </c>
      <c r="P104" s="64">
        <v>0.96</v>
      </c>
      <c r="Q104" s="64">
        <v>8.2100000000000009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1.17</v>
      </c>
      <c r="C106" s="67">
        <f>MIN(C9:C104)</f>
        <v>35.4</v>
      </c>
      <c r="D106" s="67">
        <f t="shared" ref="D106:Q106" si="0">MIN(D9:D104)</f>
        <v>18.600000000000001</v>
      </c>
      <c r="E106" s="67">
        <f t="shared" si="0"/>
        <v>4.1500000000000004</v>
      </c>
      <c r="F106" s="67">
        <f t="shared" si="0"/>
        <v>3.57</v>
      </c>
      <c r="G106" s="67">
        <f t="shared" si="0"/>
        <v>31.51</v>
      </c>
      <c r="H106" s="67">
        <f t="shared" si="0"/>
        <v>19.3</v>
      </c>
      <c r="I106" s="67">
        <f t="shared" si="0"/>
        <v>1.5</v>
      </c>
      <c r="J106" s="67">
        <f t="shared" si="0"/>
        <v>0.13</v>
      </c>
      <c r="K106" s="67">
        <f t="shared" si="0"/>
        <v>10.02</v>
      </c>
      <c r="L106" s="67">
        <f t="shared" si="0"/>
        <v>9.52</v>
      </c>
      <c r="M106" s="67">
        <f t="shared" si="0"/>
        <v>44.95</v>
      </c>
      <c r="N106" s="67">
        <f t="shared" si="0"/>
        <v>43.6</v>
      </c>
      <c r="O106" s="67">
        <f t="shared" si="0"/>
        <v>0</v>
      </c>
      <c r="P106" s="67">
        <f t="shared" si="0"/>
        <v>0.47</v>
      </c>
      <c r="Q106" s="67">
        <f t="shared" si="0"/>
        <v>8.2100000000000009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16.079999999999998</v>
      </c>
      <c r="C107" s="66">
        <f t="shared" ref="C107:Q107" si="1">MAX(C9:C104)</f>
        <v>75.459999999999994</v>
      </c>
      <c r="D107" s="66">
        <f t="shared" si="1"/>
        <v>50.95</v>
      </c>
      <c r="E107" s="66">
        <f t="shared" si="1"/>
        <v>16.03</v>
      </c>
      <c r="F107" s="66">
        <f t="shared" si="1"/>
        <v>30.39</v>
      </c>
      <c r="G107" s="66">
        <f t="shared" si="1"/>
        <v>285.86</v>
      </c>
      <c r="H107" s="66">
        <f t="shared" si="1"/>
        <v>177.47</v>
      </c>
      <c r="I107" s="66">
        <f t="shared" si="1"/>
        <v>10.24</v>
      </c>
      <c r="J107" s="66">
        <f t="shared" si="1"/>
        <v>4.6399999999999997</v>
      </c>
      <c r="K107" s="66">
        <f t="shared" si="1"/>
        <v>356.11</v>
      </c>
      <c r="L107" s="66">
        <f t="shared" si="1"/>
        <v>23.38</v>
      </c>
      <c r="M107" s="66">
        <f t="shared" si="1"/>
        <v>84.76</v>
      </c>
      <c r="N107" s="66">
        <f t="shared" si="1"/>
        <v>659.8</v>
      </c>
      <c r="O107" s="66">
        <f t="shared" si="1"/>
        <v>0</v>
      </c>
      <c r="P107" s="66">
        <f t="shared" si="1"/>
        <v>1.5</v>
      </c>
      <c r="Q107" s="66">
        <f t="shared" si="1"/>
        <v>9.17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6.6587500000000004</v>
      </c>
      <c r="C108" s="67">
        <f t="shared" ref="C108:Q108" si="2">AVERAGE(C9:C104)</f>
        <v>58.925625000000018</v>
      </c>
      <c r="D108" s="67">
        <f t="shared" si="2"/>
        <v>34.749895833333333</v>
      </c>
      <c r="E108" s="67">
        <f t="shared" si="2"/>
        <v>8.6053124999999948</v>
      </c>
      <c r="F108" s="67">
        <f t="shared" si="2"/>
        <v>6.7109375000000027</v>
      </c>
      <c r="G108" s="67">
        <f t="shared" si="2"/>
        <v>133.60583333333338</v>
      </c>
      <c r="H108" s="67">
        <f t="shared" si="2"/>
        <v>65.334375000000037</v>
      </c>
      <c r="I108" s="67">
        <f t="shared" si="2"/>
        <v>6.1306250000000047</v>
      </c>
      <c r="J108" s="67">
        <f t="shared" si="2"/>
        <v>2.2676041666666671</v>
      </c>
      <c r="K108" s="67">
        <f t="shared" si="2"/>
        <v>159.62864583333322</v>
      </c>
      <c r="L108" s="67">
        <f t="shared" si="2"/>
        <v>17.131041666666675</v>
      </c>
      <c r="M108" s="67">
        <f t="shared" si="2"/>
        <v>66.604583333333323</v>
      </c>
      <c r="N108" s="67">
        <f t="shared" si="2"/>
        <v>198.74583333333339</v>
      </c>
      <c r="O108" s="67">
        <f t="shared" si="2"/>
        <v>0</v>
      </c>
      <c r="P108" s="67">
        <f t="shared" si="2"/>
        <v>0.97895833333333293</v>
      </c>
      <c r="Q108" s="67">
        <f t="shared" si="2"/>
        <v>8.2534375000000111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4.1229180391919913</v>
      </c>
      <c r="C109" s="67">
        <f t="shared" ref="C109:Q109" si="3">STDEV(C9:C104)</f>
        <v>8.7404654594229552</v>
      </c>
      <c r="D109" s="67">
        <f t="shared" si="3"/>
        <v>6.7293885692053106</v>
      </c>
      <c r="E109" s="67">
        <f t="shared" si="3"/>
        <v>2.0304471652297553</v>
      </c>
      <c r="F109" s="67">
        <f t="shared" si="3"/>
        <v>4.6504752622150001</v>
      </c>
      <c r="G109" s="67">
        <f t="shared" si="3"/>
        <v>74.050375821451695</v>
      </c>
      <c r="H109" s="67">
        <f t="shared" si="3"/>
        <v>43.032628472932835</v>
      </c>
      <c r="I109" s="67">
        <f t="shared" si="3"/>
        <v>1.8981136411544954</v>
      </c>
      <c r="J109" s="67">
        <f t="shared" si="3"/>
        <v>1.0630598782874658</v>
      </c>
      <c r="K109" s="67">
        <f t="shared" si="3"/>
        <v>108.6620338540783</v>
      </c>
      <c r="L109" s="67">
        <f t="shared" si="3"/>
        <v>4.6996309998857893</v>
      </c>
      <c r="M109" s="67">
        <f t="shared" si="3"/>
        <v>11.592387694351057</v>
      </c>
      <c r="N109" s="67">
        <f t="shared" si="3"/>
        <v>196.3494633858972</v>
      </c>
      <c r="O109" s="67">
        <f t="shared" si="3"/>
        <v>0</v>
      </c>
      <c r="P109" s="67">
        <f t="shared" si="3"/>
        <v>0.26058023985618961</v>
      </c>
      <c r="Q109" s="67">
        <f t="shared" si="3"/>
        <v>0.14706123411336955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247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20/12/2024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231</v>
      </c>
      <c r="C7" s="198" t="s">
        <v>232</v>
      </c>
      <c r="D7" s="198" t="s">
        <v>233</v>
      </c>
      <c r="E7" s="198" t="s">
        <v>234</v>
      </c>
      <c r="F7" s="198" t="s">
        <v>235</v>
      </c>
      <c r="G7" s="198" t="s">
        <v>236</v>
      </c>
      <c r="H7" s="198" t="s">
        <v>237</v>
      </c>
      <c r="I7" s="198" t="s">
        <v>238</v>
      </c>
      <c r="J7" s="198" t="s">
        <v>239</v>
      </c>
      <c r="K7" s="198" t="s">
        <v>240</v>
      </c>
      <c r="L7" s="198" t="s">
        <v>241</v>
      </c>
      <c r="M7" s="198" t="s">
        <v>242</v>
      </c>
      <c r="N7" s="198" t="s">
        <v>243</v>
      </c>
      <c r="O7" s="198" t="s">
        <v>244</v>
      </c>
      <c r="P7" s="198" t="s">
        <v>245</v>
      </c>
      <c r="Q7" s="198" t="s">
        <v>246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2072</v>
      </c>
      <c r="B9" s="64">
        <v>10</v>
      </c>
      <c r="C9" s="64">
        <v>52.35</v>
      </c>
      <c r="D9" s="64">
        <v>34</v>
      </c>
      <c r="E9" s="64">
        <v>4.5599999999999996</v>
      </c>
      <c r="F9" s="64">
        <v>4.09</v>
      </c>
      <c r="G9" s="64">
        <v>68.75</v>
      </c>
      <c r="H9" s="64">
        <v>36.369999999999997</v>
      </c>
      <c r="I9" s="64">
        <v>9.18</v>
      </c>
      <c r="J9" s="64">
        <v>0.96</v>
      </c>
      <c r="K9" s="64">
        <v>137.94</v>
      </c>
      <c r="L9" s="64">
        <v>16.73</v>
      </c>
      <c r="M9" s="64">
        <v>84.89</v>
      </c>
      <c r="N9" s="64">
        <v>94.5</v>
      </c>
      <c r="O9" s="64">
        <v>0</v>
      </c>
      <c r="P9" s="64">
        <v>0.94</v>
      </c>
      <c r="Q9" s="64">
        <v>8.2100000000000009</v>
      </c>
      <c r="R9" s="198"/>
      <c r="S9" s="198"/>
      <c r="T9" s="198"/>
      <c r="U9" s="198"/>
    </row>
    <row r="10" spans="1:21" s="12" customFormat="1" x14ac:dyDescent="0.25">
      <c r="A10" s="215" t="s">
        <v>2073</v>
      </c>
      <c r="B10" s="64">
        <v>10.02</v>
      </c>
      <c r="C10" s="64">
        <v>52.45</v>
      </c>
      <c r="D10" s="64">
        <v>34.07</v>
      </c>
      <c r="E10" s="64">
        <v>4.6399999999999997</v>
      </c>
      <c r="F10" s="64">
        <v>4.17</v>
      </c>
      <c r="G10" s="64">
        <v>72.87</v>
      </c>
      <c r="H10" s="64">
        <v>38.549999999999997</v>
      </c>
      <c r="I10" s="64">
        <v>9.01</v>
      </c>
      <c r="J10" s="64">
        <v>0.34</v>
      </c>
      <c r="K10" s="64">
        <v>97.5</v>
      </c>
      <c r="L10" s="64">
        <v>16.61</v>
      </c>
      <c r="M10" s="64">
        <v>85.47</v>
      </c>
      <c r="N10" s="64">
        <v>94.2</v>
      </c>
      <c r="O10" s="64">
        <v>0</v>
      </c>
      <c r="P10" s="64">
        <v>0.92</v>
      </c>
      <c r="Q10" s="64">
        <v>8.2100000000000009</v>
      </c>
      <c r="R10" s="198"/>
      <c r="S10" s="198"/>
      <c r="T10" s="198"/>
      <c r="U10" s="198"/>
    </row>
    <row r="11" spans="1:21" s="12" customFormat="1" x14ac:dyDescent="0.25">
      <c r="A11" s="215" t="s">
        <v>2074</v>
      </c>
      <c r="B11" s="64">
        <v>10.07</v>
      </c>
      <c r="C11" s="64">
        <v>53.35</v>
      </c>
      <c r="D11" s="64">
        <v>34.57</v>
      </c>
      <c r="E11" s="64">
        <v>4.5599999999999996</v>
      </c>
      <c r="F11" s="64">
        <v>4.03</v>
      </c>
      <c r="G11" s="64">
        <v>72.87</v>
      </c>
      <c r="H11" s="64">
        <v>38.549999999999997</v>
      </c>
      <c r="I11" s="64">
        <v>7.9</v>
      </c>
      <c r="J11" s="64">
        <v>1.2</v>
      </c>
      <c r="K11" s="64">
        <v>358.34</v>
      </c>
      <c r="L11" s="64">
        <v>16.440000000000001</v>
      </c>
      <c r="M11" s="64">
        <v>86.55</v>
      </c>
      <c r="N11" s="64">
        <v>93.8</v>
      </c>
      <c r="O11" s="64">
        <v>0</v>
      </c>
      <c r="P11" s="64">
        <v>0.9</v>
      </c>
      <c r="Q11" s="64">
        <v>8.2100000000000009</v>
      </c>
      <c r="R11" s="198"/>
      <c r="S11" s="198"/>
      <c r="T11" s="198"/>
      <c r="U11" s="198"/>
    </row>
    <row r="12" spans="1:21" s="12" customFormat="1" x14ac:dyDescent="0.25">
      <c r="A12" s="215" t="s">
        <v>2075</v>
      </c>
      <c r="B12" s="64">
        <v>10.039999999999999</v>
      </c>
      <c r="C12" s="64">
        <v>53.75</v>
      </c>
      <c r="D12" s="64">
        <v>34.75</v>
      </c>
      <c r="E12" s="64">
        <v>4.8499999999999996</v>
      </c>
      <c r="F12" s="64">
        <v>3.83</v>
      </c>
      <c r="G12" s="64">
        <v>72.87</v>
      </c>
      <c r="H12" s="64">
        <v>38.549999999999997</v>
      </c>
      <c r="I12" s="64">
        <v>6.88</v>
      </c>
      <c r="J12" s="64">
        <v>0.52</v>
      </c>
      <c r="K12" s="64">
        <v>51.94</v>
      </c>
      <c r="L12" s="64">
        <v>16.27</v>
      </c>
      <c r="M12" s="64">
        <v>87.81</v>
      </c>
      <c r="N12" s="64">
        <v>92.8</v>
      </c>
      <c r="O12" s="64">
        <v>0</v>
      </c>
      <c r="P12" s="64">
        <v>0.9</v>
      </c>
      <c r="Q12" s="64">
        <v>8.2100000000000009</v>
      </c>
      <c r="R12" s="198"/>
      <c r="S12" s="198"/>
      <c r="T12" s="198"/>
      <c r="U12" s="198"/>
    </row>
    <row r="13" spans="1:21" s="12" customFormat="1" x14ac:dyDescent="0.25">
      <c r="A13" s="215" t="s">
        <v>2076</v>
      </c>
      <c r="B13" s="64">
        <v>10.029999999999999</v>
      </c>
      <c r="C13" s="64">
        <v>53.26</v>
      </c>
      <c r="D13" s="64">
        <v>34.49</v>
      </c>
      <c r="E13" s="64">
        <v>5</v>
      </c>
      <c r="F13" s="64">
        <v>4.55</v>
      </c>
      <c r="G13" s="64">
        <v>71.11</v>
      </c>
      <c r="H13" s="64">
        <v>37.9</v>
      </c>
      <c r="I13" s="64">
        <v>6.33</v>
      </c>
      <c r="J13" s="64">
        <v>0.94</v>
      </c>
      <c r="K13" s="64">
        <v>322.64999999999998</v>
      </c>
      <c r="L13" s="64">
        <v>16.079999999999998</v>
      </c>
      <c r="M13" s="64">
        <v>89.28</v>
      </c>
      <c r="N13" s="64">
        <v>92.7</v>
      </c>
      <c r="O13" s="64">
        <v>0</v>
      </c>
      <c r="P13" s="64">
        <v>0.85</v>
      </c>
      <c r="Q13" s="64">
        <v>8.2100000000000009</v>
      </c>
      <c r="R13" s="198"/>
      <c r="S13" s="198"/>
      <c r="T13" s="198"/>
      <c r="U13" s="198"/>
    </row>
    <row r="14" spans="1:21" s="12" customFormat="1" x14ac:dyDescent="0.25">
      <c r="A14" s="215" t="s">
        <v>2077</v>
      </c>
      <c r="B14" s="64">
        <v>10.19</v>
      </c>
      <c r="C14" s="64">
        <v>52.53</v>
      </c>
      <c r="D14" s="64">
        <v>34.24</v>
      </c>
      <c r="E14" s="64">
        <v>4.72</v>
      </c>
      <c r="F14" s="64">
        <v>3.93</v>
      </c>
      <c r="G14" s="64">
        <v>66.540000000000006</v>
      </c>
      <c r="H14" s="64">
        <v>35.11</v>
      </c>
      <c r="I14" s="64">
        <v>7.08</v>
      </c>
      <c r="J14" s="64">
        <v>1.08</v>
      </c>
      <c r="K14" s="64">
        <v>54.28</v>
      </c>
      <c r="L14" s="64">
        <v>15.92</v>
      </c>
      <c r="M14" s="64">
        <v>90.39</v>
      </c>
      <c r="N14" s="64">
        <v>92</v>
      </c>
      <c r="O14" s="64">
        <v>0</v>
      </c>
      <c r="P14" s="64">
        <v>0.87</v>
      </c>
      <c r="Q14" s="64">
        <v>8.2100000000000009</v>
      </c>
      <c r="R14" s="198"/>
      <c r="S14" s="198"/>
      <c r="T14" s="198"/>
      <c r="U14" s="198"/>
    </row>
    <row r="15" spans="1:21" s="12" customFormat="1" x14ac:dyDescent="0.25">
      <c r="A15" s="215" t="s">
        <v>2078</v>
      </c>
      <c r="B15" s="64">
        <v>10.14</v>
      </c>
      <c r="C15" s="64">
        <v>52.02</v>
      </c>
      <c r="D15" s="64">
        <v>33.93</v>
      </c>
      <c r="E15" s="64">
        <v>4.8899999999999997</v>
      </c>
      <c r="F15" s="64">
        <v>3.51</v>
      </c>
      <c r="G15" s="64">
        <v>66.540000000000006</v>
      </c>
      <c r="H15" s="64">
        <v>35.11</v>
      </c>
      <c r="I15" s="64">
        <v>6.15</v>
      </c>
      <c r="J15" s="64">
        <v>1.91</v>
      </c>
      <c r="K15" s="64">
        <v>116.97</v>
      </c>
      <c r="L15" s="64">
        <v>15.97</v>
      </c>
      <c r="M15" s="64">
        <v>90.34</v>
      </c>
      <c r="N15" s="64">
        <v>91.7</v>
      </c>
      <c r="O15" s="64">
        <v>0</v>
      </c>
      <c r="P15" s="64">
        <v>0.88</v>
      </c>
      <c r="Q15" s="64">
        <v>8.2100000000000009</v>
      </c>
      <c r="R15" s="198"/>
      <c r="S15" s="198"/>
      <c r="T15" s="198"/>
      <c r="U15" s="198"/>
    </row>
    <row r="16" spans="1:21" s="12" customFormat="1" x14ac:dyDescent="0.25">
      <c r="A16" s="215" t="s">
        <v>2079</v>
      </c>
      <c r="B16" s="64">
        <v>10.02</v>
      </c>
      <c r="C16" s="64">
        <v>51.8</v>
      </c>
      <c r="D16" s="64">
        <v>33.72</v>
      </c>
      <c r="E16" s="64">
        <v>4.6900000000000004</v>
      </c>
      <c r="F16" s="64">
        <v>4.01</v>
      </c>
      <c r="G16" s="64">
        <v>66.540000000000006</v>
      </c>
      <c r="H16" s="64">
        <v>35.11</v>
      </c>
      <c r="I16" s="64">
        <v>6.52</v>
      </c>
      <c r="J16" s="64">
        <v>2.42</v>
      </c>
      <c r="K16" s="64">
        <v>84.52</v>
      </c>
      <c r="L16" s="64">
        <v>15.95</v>
      </c>
      <c r="M16" s="64">
        <v>90.22</v>
      </c>
      <c r="N16" s="64">
        <v>92.1</v>
      </c>
      <c r="O16" s="64">
        <v>0</v>
      </c>
      <c r="P16" s="64">
        <v>0.89</v>
      </c>
      <c r="Q16" s="64">
        <v>8.2100000000000009</v>
      </c>
      <c r="R16" s="198"/>
      <c r="S16" s="198"/>
      <c r="T16" s="198"/>
      <c r="U16" s="198"/>
    </row>
    <row r="17" spans="1:21" s="12" customFormat="1" x14ac:dyDescent="0.25">
      <c r="A17" s="215" t="s">
        <v>2080</v>
      </c>
      <c r="B17" s="64">
        <v>9.77</v>
      </c>
      <c r="C17" s="64">
        <v>52.45</v>
      </c>
      <c r="D17" s="64">
        <v>33.86</v>
      </c>
      <c r="E17" s="64">
        <v>4.62</v>
      </c>
      <c r="F17" s="64">
        <v>4.53</v>
      </c>
      <c r="G17" s="64">
        <v>65.52</v>
      </c>
      <c r="H17" s="64">
        <v>34.14</v>
      </c>
      <c r="I17" s="64">
        <v>6.56</v>
      </c>
      <c r="J17" s="64">
        <v>1.91</v>
      </c>
      <c r="K17" s="64">
        <v>112.99</v>
      </c>
      <c r="L17" s="64">
        <v>15.96</v>
      </c>
      <c r="M17" s="64">
        <v>90.17</v>
      </c>
      <c r="N17" s="64">
        <v>91.4</v>
      </c>
      <c r="O17" s="64">
        <v>0</v>
      </c>
      <c r="P17" s="64">
        <v>0.89</v>
      </c>
      <c r="Q17" s="64">
        <v>8.2100000000000009</v>
      </c>
      <c r="R17" s="198"/>
      <c r="S17" s="198"/>
      <c r="T17" s="198"/>
      <c r="U17" s="198"/>
    </row>
    <row r="18" spans="1:21" s="12" customFormat="1" x14ac:dyDescent="0.25">
      <c r="A18" s="215" t="s">
        <v>2081</v>
      </c>
      <c r="B18" s="64">
        <v>9.2899999999999991</v>
      </c>
      <c r="C18" s="64">
        <v>50.85</v>
      </c>
      <c r="D18" s="64">
        <v>32.64</v>
      </c>
      <c r="E18" s="64">
        <v>4.62</v>
      </c>
      <c r="F18" s="64">
        <v>4.1500000000000004</v>
      </c>
      <c r="G18" s="64">
        <v>62.89</v>
      </c>
      <c r="H18" s="64">
        <v>32.39</v>
      </c>
      <c r="I18" s="64">
        <v>7.18</v>
      </c>
      <c r="J18" s="64">
        <v>2.72</v>
      </c>
      <c r="K18" s="64">
        <v>115.4</v>
      </c>
      <c r="L18" s="64">
        <v>15.96</v>
      </c>
      <c r="M18" s="64">
        <v>90.08</v>
      </c>
      <c r="N18" s="64">
        <v>90.5</v>
      </c>
      <c r="O18" s="64">
        <v>0</v>
      </c>
      <c r="P18" s="64">
        <v>0.88</v>
      </c>
      <c r="Q18" s="64">
        <v>8.2100000000000009</v>
      </c>
      <c r="R18" s="198"/>
      <c r="S18" s="198"/>
      <c r="T18" s="198"/>
      <c r="U18" s="198"/>
    </row>
    <row r="19" spans="1:21" s="12" customFormat="1" x14ac:dyDescent="0.25">
      <c r="A19" s="215" t="s">
        <v>2082</v>
      </c>
      <c r="B19" s="64">
        <v>8.67</v>
      </c>
      <c r="C19" s="64">
        <v>49.93</v>
      </c>
      <c r="D19" s="64">
        <v>31.66</v>
      </c>
      <c r="E19" s="64">
        <v>4.25</v>
      </c>
      <c r="F19" s="64">
        <v>4.43</v>
      </c>
      <c r="G19" s="64">
        <v>62.89</v>
      </c>
      <c r="H19" s="64">
        <v>32.39</v>
      </c>
      <c r="I19" s="64">
        <v>7.5</v>
      </c>
      <c r="J19" s="64">
        <v>3.06</v>
      </c>
      <c r="K19" s="64">
        <v>101.97</v>
      </c>
      <c r="L19" s="64">
        <v>15.95</v>
      </c>
      <c r="M19" s="64">
        <v>90.48</v>
      </c>
      <c r="N19" s="64">
        <v>90.6</v>
      </c>
      <c r="O19" s="64">
        <v>0</v>
      </c>
      <c r="P19" s="64">
        <v>0.87</v>
      </c>
      <c r="Q19" s="64">
        <v>8.2100000000000009</v>
      </c>
      <c r="R19" s="198"/>
      <c r="S19" s="198"/>
      <c r="T19" s="198"/>
      <c r="U19" s="198"/>
    </row>
    <row r="20" spans="1:21" s="12" customFormat="1" x14ac:dyDescent="0.25">
      <c r="A20" s="215" t="s">
        <v>2083</v>
      </c>
      <c r="B20" s="64">
        <v>8.1</v>
      </c>
      <c r="C20" s="64">
        <v>49.23</v>
      </c>
      <c r="D20" s="64">
        <v>30.84</v>
      </c>
      <c r="E20" s="64">
        <v>4.13</v>
      </c>
      <c r="F20" s="64">
        <v>4.07</v>
      </c>
      <c r="G20" s="64">
        <v>62.89</v>
      </c>
      <c r="H20" s="64">
        <v>32.39</v>
      </c>
      <c r="I20" s="64">
        <v>7.34</v>
      </c>
      <c r="J20" s="64">
        <v>0.7</v>
      </c>
      <c r="K20" s="64">
        <v>133.1</v>
      </c>
      <c r="L20" s="64">
        <v>15.79</v>
      </c>
      <c r="M20" s="64">
        <v>91.78</v>
      </c>
      <c r="N20" s="64">
        <v>90.3</v>
      </c>
      <c r="O20" s="64">
        <v>0</v>
      </c>
      <c r="P20" s="64">
        <v>0.86</v>
      </c>
      <c r="Q20" s="64">
        <v>8.2100000000000009</v>
      </c>
      <c r="R20" s="198"/>
      <c r="S20" s="198"/>
      <c r="T20" s="198"/>
      <c r="U20" s="198"/>
    </row>
    <row r="21" spans="1:21" s="12" customFormat="1" x14ac:dyDescent="0.25">
      <c r="A21" s="215" t="s">
        <v>2084</v>
      </c>
      <c r="B21" s="64">
        <v>7.59</v>
      </c>
      <c r="C21" s="64">
        <v>49.27</v>
      </c>
      <c r="D21" s="64">
        <v>30.45</v>
      </c>
      <c r="E21" s="64">
        <v>4.4400000000000004</v>
      </c>
      <c r="F21" s="64">
        <v>4.2</v>
      </c>
      <c r="G21" s="64">
        <v>64.989999999999995</v>
      </c>
      <c r="H21" s="64">
        <v>33.35</v>
      </c>
      <c r="I21" s="64">
        <v>7.31</v>
      </c>
      <c r="J21" s="64">
        <v>0.72</v>
      </c>
      <c r="K21" s="64">
        <v>3.24</v>
      </c>
      <c r="L21" s="64">
        <v>15.66</v>
      </c>
      <c r="M21" s="64">
        <v>92.42</v>
      </c>
      <c r="N21" s="64">
        <v>89.9</v>
      </c>
      <c r="O21" s="64">
        <v>0</v>
      </c>
      <c r="P21" s="64">
        <v>0.84</v>
      </c>
      <c r="Q21" s="64">
        <v>8.2100000000000009</v>
      </c>
      <c r="R21" s="198"/>
      <c r="S21" s="198"/>
      <c r="T21" s="198"/>
      <c r="U21" s="198"/>
    </row>
    <row r="22" spans="1:21" s="12" customFormat="1" x14ac:dyDescent="0.25">
      <c r="A22" s="215" t="s">
        <v>2085</v>
      </c>
      <c r="B22" s="64">
        <v>7.15</v>
      </c>
      <c r="C22" s="64">
        <v>50.65</v>
      </c>
      <c r="D22" s="64">
        <v>30.82</v>
      </c>
      <c r="E22" s="64">
        <v>4.3099999999999996</v>
      </c>
      <c r="F22" s="64">
        <v>3.98</v>
      </c>
      <c r="G22" s="64">
        <v>70.45</v>
      </c>
      <c r="H22" s="64">
        <v>35.06</v>
      </c>
      <c r="I22" s="64">
        <v>7.2</v>
      </c>
      <c r="J22" s="64">
        <v>0.51</v>
      </c>
      <c r="K22" s="64">
        <v>357.67</v>
      </c>
      <c r="L22" s="64">
        <v>15.47</v>
      </c>
      <c r="M22" s="64">
        <v>93.75</v>
      </c>
      <c r="N22" s="64">
        <v>89.4</v>
      </c>
      <c r="O22" s="64">
        <v>0</v>
      </c>
      <c r="P22" s="64">
        <v>0.83</v>
      </c>
      <c r="Q22" s="64">
        <v>8.2100000000000009</v>
      </c>
      <c r="R22" s="198"/>
      <c r="S22" s="198"/>
      <c r="T22" s="198"/>
      <c r="U22" s="198"/>
    </row>
    <row r="23" spans="1:21" s="12" customFormat="1" x14ac:dyDescent="0.25">
      <c r="A23" s="215" t="s">
        <v>2086</v>
      </c>
      <c r="B23" s="64">
        <v>6.74</v>
      </c>
      <c r="C23" s="64">
        <v>50.21</v>
      </c>
      <c r="D23" s="64">
        <v>30.26</v>
      </c>
      <c r="E23" s="64">
        <v>4.59</v>
      </c>
      <c r="F23" s="64">
        <v>3.83</v>
      </c>
      <c r="G23" s="64">
        <v>70.45</v>
      </c>
      <c r="H23" s="64">
        <v>35.06</v>
      </c>
      <c r="I23" s="64">
        <v>7.04</v>
      </c>
      <c r="J23" s="64">
        <v>0.95</v>
      </c>
      <c r="K23" s="64">
        <v>342.84</v>
      </c>
      <c r="L23" s="64">
        <v>15.22</v>
      </c>
      <c r="M23" s="64">
        <v>95.53</v>
      </c>
      <c r="N23" s="64">
        <v>89.4</v>
      </c>
      <c r="O23" s="64">
        <v>0</v>
      </c>
      <c r="P23" s="64">
        <v>0.82</v>
      </c>
      <c r="Q23" s="64">
        <v>8.2100000000000009</v>
      </c>
      <c r="R23" s="198"/>
      <c r="S23" s="198"/>
      <c r="T23" s="198"/>
      <c r="U23" s="198"/>
    </row>
    <row r="24" spans="1:21" s="12" customFormat="1" x14ac:dyDescent="0.25">
      <c r="A24" s="215" t="s">
        <v>2087</v>
      </c>
      <c r="B24" s="64">
        <v>6.43</v>
      </c>
      <c r="C24" s="64">
        <v>49.3</v>
      </c>
      <c r="D24" s="64">
        <v>29.54</v>
      </c>
      <c r="E24" s="64">
        <v>4.37</v>
      </c>
      <c r="F24" s="64">
        <v>3.81</v>
      </c>
      <c r="G24" s="64">
        <v>70.45</v>
      </c>
      <c r="H24" s="64">
        <v>35.06</v>
      </c>
      <c r="I24" s="64">
        <v>6.85</v>
      </c>
      <c r="J24" s="64">
        <v>1.02</v>
      </c>
      <c r="K24" s="64">
        <v>346.08</v>
      </c>
      <c r="L24" s="64">
        <v>15.05</v>
      </c>
      <c r="M24" s="64">
        <v>96.67</v>
      </c>
      <c r="N24" s="64">
        <v>89.1</v>
      </c>
      <c r="O24" s="64">
        <v>0</v>
      </c>
      <c r="P24" s="64">
        <v>0.8</v>
      </c>
      <c r="Q24" s="64">
        <v>8.2100000000000009</v>
      </c>
      <c r="R24" s="198"/>
      <c r="S24" s="198"/>
      <c r="T24" s="198"/>
      <c r="U24" s="198"/>
    </row>
    <row r="25" spans="1:21" s="12" customFormat="1" x14ac:dyDescent="0.25">
      <c r="A25" s="215" t="s">
        <v>2088</v>
      </c>
      <c r="B25" s="64">
        <v>6.24</v>
      </c>
      <c r="C25" s="64">
        <v>48.9</v>
      </c>
      <c r="D25" s="64">
        <v>29.17</v>
      </c>
      <c r="E25" s="64">
        <v>4.47</v>
      </c>
      <c r="F25" s="64">
        <v>3.63</v>
      </c>
      <c r="G25" s="64">
        <v>68.52</v>
      </c>
      <c r="H25" s="64">
        <v>36.47</v>
      </c>
      <c r="I25" s="64">
        <v>6.67</v>
      </c>
      <c r="J25" s="64">
        <v>1.36</v>
      </c>
      <c r="K25" s="64">
        <v>58.79</v>
      </c>
      <c r="L25" s="64">
        <v>14.95</v>
      </c>
      <c r="M25" s="64">
        <v>97.37</v>
      </c>
      <c r="N25" s="64">
        <v>88.5</v>
      </c>
      <c r="O25" s="64">
        <v>0</v>
      </c>
      <c r="P25" s="64">
        <v>0.8</v>
      </c>
      <c r="Q25" s="64">
        <v>8.2100000000000009</v>
      </c>
      <c r="R25" s="198"/>
      <c r="S25" s="198"/>
      <c r="T25" s="198"/>
      <c r="U25" s="198"/>
    </row>
    <row r="26" spans="1:21" s="12" customFormat="1" x14ac:dyDescent="0.25">
      <c r="A26" s="215" t="s">
        <v>2089</v>
      </c>
      <c r="B26" s="64">
        <v>6.23</v>
      </c>
      <c r="C26" s="64">
        <v>44.95</v>
      </c>
      <c r="D26" s="64">
        <v>27.11</v>
      </c>
      <c r="E26" s="64">
        <v>4.38</v>
      </c>
      <c r="F26" s="64">
        <v>4.58</v>
      </c>
      <c r="G26" s="64">
        <v>63.49</v>
      </c>
      <c r="H26" s="64">
        <v>39.01</v>
      </c>
      <c r="I26" s="64">
        <v>6.51</v>
      </c>
      <c r="J26" s="64">
        <v>0.48</v>
      </c>
      <c r="K26" s="64">
        <v>90.09</v>
      </c>
      <c r="L26" s="64">
        <v>14.82</v>
      </c>
      <c r="M26" s="64">
        <v>98.13</v>
      </c>
      <c r="N26" s="64">
        <v>88.3</v>
      </c>
      <c r="O26" s="64">
        <v>0</v>
      </c>
      <c r="P26" s="64">
        <v>0.8</v>
      </c>
      <c r="Q26" s="64">
        <v>8.2100000000000009</v>
      </c>
      <c r="R26" s="198"/>
      <c r="S26" s="198"/>
      <c r="T26" s="198"/>
      <c r="U26" s="198"/>
    </row>
    <row r="27" spans="1:21" s="12" customFormat="1" x14ac:dyDescent="0.25">
      <c r="A27" s="215" t="s">
        <v>2090</v>
      </c>
      <c r="B27" s="64">
        <v>6.47</v>
      </c>
      <c r="C27" s="64">
        <v>45.86</v>
      </c>
      <c r="D27" s="64">
        <v>27.77</v>
      </c>
      <c r="E27" s="64">
        <v>4.58</v>
      </c>
      <c r="F27" s="64">
        <v>4.25</v>
      </c>
      <c r="G27" s="64">
        <v>63.49</v>
      </c>
      <c r="H27" s="64">
        <v>39.01</v>
      </c>
      <c r="I27" s="64">
        <v>6.58</v>
      </c>
      <c r="J27" s="64">
        <v>1.2</v>
      </c>
      <c r="K27" s="64">
        <v>36.79</v>
      </c>
      <c r="L27" s="64">
        <v>14.64</v>
      </c>
      <c r="M27" s="64">
        <v>99.32</v>
      </c>
      <c r="N27" s="64">
        <v>87.9</v>
      </c>
      <c r="O27" s="64">
        <v>0</v>
      </c>
      <c r="P27" s="64">
        <v>0.8</v>
      </c>
      <c r="Q27" s="64">
        <v>8.2100000000000009</v>
      </c>
      <c r="R27" s="198"/>
      <c r="S27" s="198"/>
      <c r="T27" s="198"/>
      <c r="U27" s="198"/>
    </row>
    <row r="28" spans="1:21" s="12" customFormat="1" x14ac:dyDescent="0.25">
      <c r="A28" s="215" t="s">
        <v>2091</v>
      </c>
      <c r="B28" s="64">
        <v>7.01</v>
      </c>
      <c r="C28" s="64">
        <v>46.77</v>
      </c>
      <c r="D28" s="64">
        <v>28.68</v>
      </c>
      <c r="E28" s="64">
        <v>4.33</v>
      </c>
      <c r="F28" s="64">
        <v>3.94</v>
      </c>
      <c r="G28" s="64">
        <v>63.49</v>
      </c>
      <c r="H28" s="64">
        <v>39.01</v>
      </c>
      <c r="I28" s="64">
        <v>6.73</v>
      </c>
      <c r="J28" s="64">
        <v>2.63</v>
      </c>
      <c r="K28" s="64">
        <v>354.73</v>
      </c>
      <c r="L28" s="64">
        <v>14.5</v>
      </c>
      <c r="M28" s="64">
        <v>100.66</v>
      </c>
      <c r="N28" s="64">
        <v>88.1</v>
      </c>
      <c r="O28" s="64">
        <v>0</v>
      </c>
      <c r="P28" s="64">
        <v>0.81</v>
      </c>
      <c r="Q28" s="64">
        <v>8.2100000000000009</v>
      </c>
      <c r="R28" s="198"/>
      <c r="S28" s="198"/>
      <c r="T28" s="198"/>
      <c r="U28" s="198"/>
    </row>
    <row r="29" spans="1:21" s="12" customFormat="1" x14ac:dyDescent="0.25">
      <c r="A29" s="215" t="s">
        <v>2092</v>
      </c>
      <c r="B29" s="64">
        <v>7.55</v>
      </c>
      <c r="C29" s="64">
        <v>47.21</v>
      </c>
      <c r="D29" s="64">
        <v>29.34</v>
      </c>
      <c r="E29" s="64">
        <v>4.49</v>
      </c>
      <c r="F29" s="64">
        <v>4.3099999999999996</v>
      </c>
      <c r="G29" s="64">
        <v>66.819999999999993</v>
      </c>
      <c r="H29" s="64">
        <v>39.47</v>
      </c>
      <c r="I29" s="64">
        <v>6.78</v>
      </c>
      <c r="J29" s="64">
        <v>1.72</v>
      </c>
      <c r="K29" s="64">
        <v>347.04</v>
      </c>
      <c r="L29" s="64">
        <v>14.44</v>
      </c>
      <c r="M29" s="64">
        <v>100.9</v>
      </c>
      <c r="N29" s="64">
        <v>87.8</v>
      </c>
      <c r="O29" s="64">
        <v>0</v>
      </c>
      <c r="P29" s="64">
        <v>0.8</v>
      </c>
      <c r="Q29" s="64">
        <v>8.2100000000000009</v>
      </c>
      <c r="R29" s="198"/>
      <c r="S29" s="198"/>
      <c r="T29" s="198"/>
      <c r="U29" s="198"/>
    </row>
    <row r="30" spans="1:21" s="12" customFormat="1" x14ac:dyDescent="0.25">
      <c r="A30" s="215" t="s">
        <v>2093</v>
      </c>
      <c r="B30" s="64">
        <v>8.11</v>
      </c>
      <c r="C30" s="64">
        <v>47.13</v>
      </c>
      <c r="D30" s="64">
        <v>29.75</v>
      </c>
      <c r="E30" s="64">
        <v>4.71</v>
      </c>
      <c r="F30" s="64">
        <v>3.99</v>
      </c>
      <c r="G30" s="64">
        <v>75.489999999999995</v>
      </c>
      <c r="H30" s="64">
        <v>41.43</v>
      </c>
      <c r="I30" s="64">
        <v>6.76</v>
      </c>
      <c r="J30" s="64">
        <v>1.42</v>
      </c>
      <c r="K30" s="64">
        <v>0.51</v>
      </c>
      <c r="L30" s="64">
        <v>14.48</v>
      </c>
      <c r="M30" s="64">
        <v>100.79</v>
      </c>
      <c r="N30" s="64">
        <v>87.2</v>
      </c>
      <c r="O30" s="64">
        <v>0</v>
      </c>
      <c r="P30" s="64">
        <v>0.8</v>
      </c>
      <c r="Q30" s="64">
        <v>8.2100000000000009</v>
      </c>
      <c r="R30" s="198"/>
      <c r="S30" s="198"/>
      <c r="T30" s="198"/>
      <c r="U30" s="198"/>
    </row>
    <row r="31" spans="1:21" s="12" customFormat="1" x14ac:dyDescent="0.25">
      <c r="A31" s="215" t="s">
        <v>2094</v>
      </c>
      <c r="B31" s="64">
        <v>8.68</v>
      </c>
      <c r="C31" s="64">
        <v>47.28</v>
      </c>
      <c r="D31" s="64">
        <v>30.29</v>
      </c>
      <c r="E31" s="64">
        <v>4.91</v>
      </c>
      <c r="F31" s="64">
        <v>3.97</v>
      </c>
      <c r="G31" s="64">
        <v>75.489999999999995</v>
      </c>
      <c r="H31" s="64">
        <v>41.43</v>
      </c>
      <c r="I31" s="64">
        <v>6.22</v>
      </c>
      <c r="J31" s="64">
        <v>0.91</v>
      </c>
      <c r="K31" s="64">
        <v>43.52</v>
      </c>
      <c r="L31" s="64">
        <v>14.41</v>
      </c>
      <c r="M31" s="64">
        <v>100.78</v>
      </c>
      <c r="N31" s="64">
        <v>87.3</v>
      </c>
      <c r="O31" s="64">
        <v>0</v>
      </c>
      <c r="P31" s="64">
        <v>0.8</v>
      </c>
      <c r="Q31" s="64">
        <v>8.2100000000000009</v>
      </c>
      <c r="R31" s="198"/>
      <c r="S31" s="198"/>
      <c r="T31" s="198"/>
      <c r="U31" s="198"/>
    </row>
    <row r="32" spans="1:21" s="12" customFormat="1" x14ac:dyDescent="0.25">
      <c r="A32" s="215" t="s">
        <v>2095</v>
      </c>
      <c r="B32" s="64">
        <v>8.99</v>
      </c>
      <c r="C32" s="64">
        <v>46.44</v>
      </c>
      <c r="D32" s="64">
        <v>30.1</v>
      </c>
      <c r="E32" s="64">
        <v>5.0599999999999996</v>
      </c>
      <c r="F32" s="64">
        <v>4.22</v>
      </c>
      <c r="G32" s="64">
        <v>75.489999999999995</v>
      </c>
      <c r="H32" s="64">
        <v>41.43</v>
      </c>
      <c r="I32" s="64">
        <v>6.3</v>
      </c>
      <c r="J32" s="64">
        <v>0.71</v>
      </c>
      <c r="K32" s="64">
        <v>15.43</v>
      </c>
      <c r="L32" s="64">
        <v>14.32</v>
      </c>
      <c r="M32" s="64">
        <v>101.36</v>
      </c>
      <c r="N32" s="64">
        <v>87.3</v>
      </c>
      <c r="O32" s="64">
        <v>0</v>
      </c>
      <c r="P32" s="64">
        <v>0.8</v>
      </c>
      <c r="Q32" s="64">
        <v>8.2100000000000009</v>
      </c>
      <c r="R32" s="198"/>
      <c r="S32" s="198"/>
      <c r="T32" s="198"/>
      <c r="U32" s="198"/>
    </row>
    <row r="33" spans="1:21" s="12" customFormat="1" x14ac:dyDescent="0.25">
      <c r="A33" s="215" t="s">
        <v>2096</v>
      </c>
      <c r="B33" s="64">
        <v>9.3699999999999992</v>
      </c>
      <c r="C33" s="64">
        <v>47.72</v>
      </c>
      <c r="D33" s="64">
        <v>31.07</v>
      </c>
      <c r="E33" s="64">
        <v>4.93</v>
      </c>
      <c r="F33" s="64">
        <v>3.79</v>
      </c>
      <c r="G33" s="64">
        <v>75.73</v>
      </c>
      <c r="H33" s="64">
        <v>39.659999999999997</v>
      </c>
      <c r="I33" s="64">
        <v>6.48</v>
      </c>
      <c r="J33" s="64">
        <v>0.55000000000000004</v>
      </c>
      <c r="K33" s="64">
        <v>53.1</v>
      </c>
      <c r="L33" s="64">
        <v>14.24</v>
      </c>
      <c r="M33" s="64">
        <v>101.62</v>
      </c>
      <c r="N33" s="64">
        <v>87.6</v>
      </c>
      <c r="O33" s="64">
        <v>0</v>
      </c>
      <c r="P33" s="64">
        <v>0.8</v>
      </c>
      <c r="Q33" s="64">
        <v>8.2100000000000009</v>
      </c>
      <c r="R33" s="198"/>
      <c r="S33" s="198"/>
      <c r="T33" s="198"/>
      <c r="U33" s="198"/>
    </row>
    <row r="34" spans="1:21" s="12" customFormat="1" x14ac:dyDescent="0.25">
      <c r="A34" s="215" t="s">
        <v>2097</v>
      </c>
      <c r="B34" s="64">
        <v>9.93</v>
      </c>
      <c r="C34" s="64">
        <v>48.44</v>
      </c>
      <c r="D34" s="64">
        <v>31.89</v>
      </c>
      <c r="E34" s="64">
        <v>5.3</v>
      </c>
      <c r="F34" s="64">
        <v>4.0599999999999996</v>
      </c>
      <c r="G34" s="64">
        <v>76.36</v>
      </c>
      <c r="H34" s="64">
        <v>36.49</v>
      </c>
      <c r="I34" s="64">
        <v>6.52</v>
      </c>
      <c r="J34" s="64">
        <v>1.43</v>
      </c>
      <c r="K34" s="64">
        <v>20.55</v>
      </c>
      <c r="L34" s="64">
        <v>14.13</v>
      </c>
      <c r="M34" s="64">
        <v>101.67</v>
      </c>
      <c r="N34" s="64">
        <v>87.7</v>
      </c>
      <c r="O34" s="64">
        <v>0</v>
      </c>
      <c r="P34" s="64">
        <v>0.81</v>
      </c>
      <c r="Q34" s="64">
        <v>8.2100000000000009</v>
      </c>
      <c r="R34" s="198"/>
      <c r="S34" s="198"/>
      <c r="T34" s="198"/>
      <c r="U34" s="198"/>
    </row>
    <row r="35" spans="1:21" s="12" customFormat="1" x14ac:dyDescent="0.25">
      <c r="A35" s="215" t="s">
        <v>2098</v>
      </c>
      <c r="B35" s="64">
        <v>10.97</v>
      </c>
      <c r="C35" s="64">
        <v>48.78</v>
      </c>
      <c r="D35" s="64">
        <v>32.9</v>
      </c>
      <c r="E35" s="64">
        <v>5.16</v>
      </c>
      <c r="F35" s="64">
        <v>4.72</v>
      </c>
      <c r="G35" s="64">
        <v>76.36</v>
      </c>
      <c r="H35" s="64">
        <v>36.49</v>
      </c>
      <c r="I35" s="64">
        <v>6.56</v>
      </c>
      <c r="J35" s="64">
        <v>1.75</v>
      </c>
      <c r="K35" s="64">
        <v>47.56</v>
      </c>
      <c r="L35" s="64">
        <v>14.12</v>
      </c>
      <c r="M35" s="64">
        <v>101.68</v>
      </c>
      <c r="N35" s="64">
        <v>91.7</v>
      </c>
      <c r="O35" s="64">
        <v>0</v>
      </c>
      <c r="P35" s="64">
        <v>0.82</v>
      </c>
      <c r="Q35" s="64">
        <v>8.2100000000000009</v>
      </c>
      <c r="R35" s="198"/>
      <c r="S35" s="198"/>
      <c r="T35" s="198"/>
      <c r="U35" s="198"/>
    </row>
    <row r="36" spans="1:21" s="12" customFormat="1" x14ac:dyDescent="0.25">
      <c r="A36" s="215" t="s">
        <v>2099</v>
      </c>
      <c r="B36" s="64">
        <v>12.6</v>
      </c>
      <c r="C36" s="64">
        <v>49.58</v>
      </c>
      <c r="D36" s="64">
        <v>34.630000000000003</v>
      </c>
      <c r="E36" s="64">
        <v>4.92</v>
      </c>
      <c r="F36" s="64">
        <v>4.24</v>
      </c>
      <c r="G36" s="64">
        <v>76.36</v>
      </c>
      <c r="H36" s="64">
        <v>36.49</v>
      </c>
      <c r="I36" s="64">
        <v>6.5</v>
      </c>
      <c r="J36" s="64">
        <v>2.13</v>
      </c>
      <c r="K36" s="64">
        <v>347.37</v>
      </c>
      <c r="L36" s="64">
        <v>14.2</v>
      </c>
      <c r="M36" s="64">
        <v>101.68</v>
      </c>
      <c r="N36" s="64">
        <v>107</v>
      </c>
      <c r="O36" s="64">
        <v>0</v>
      </c>
      <c r="P36" s="64">
        <v>0.84</v>
      </c>
      <c r="Q36" s="64">
        <v>8.2100000000000009</v>
      </c>
      <c r="R36" s="198"/>
      <c r="S36" s="198"/>
      <c r="T36" s="198"/>
      <c r="U36" s="198"/>
    </row>
    <row r="37" spans="1:21" s="12" customFormat="1" x14ac:dyDescent="0.25">
      <c r="A37" s="215" t="s">
        <v>2100</v>
      </c>
      <c r="B37" s="64">
        <v>14.49</v>
      </c>
      <c r="C37" s="64">
        <v>50.05</v>
      </c>
      <c r="D37" s="64">
        <v>36.4</v>
      </c>
      <c r="E37" s="64">
        <v>5.04</v>
      </c>
      <c r="F37" s="64">
        <v>3.79</v>
      </c>
      <c r="G37" s="64">
        <v>77.67</v>
      </c>
      <c r="H37" s="64">
        <v>38.909999999999997</v>
      </c>
      <c r="I37" s="64">
        <v>6.42</v>
      </c>
      <c r="J37" s="64">
        <v>3.38</v>
      </c>
      <c r="K37" s="64">
        <v>350.65</v>
      </c>
      <c r="L37" s="64">
        <v>14.67</v>
      </c>
      <c r="M37" s="64">
        <v>100.54</v>
      </c>
      <c r="N37" s="64">
        <v>128.9</v>
      </c>
      <c r="O37" s="64">
        <v>0</v>
      </c>
      <c r="P37" s="64">
        <v>0.84</v>
      </c>
      <c r="Q37" s="64">
        <v>8.2100000000000009</v>
      </c>
      <c r="R37" s="198"/>
      <c r="S37" s="198"/>
      <c r="T37" s="198"/>
      <c r="U37" s="198"/>
    </row>
    <row r="38" spans="1:21" s="12" customFormat="1" x14ac:dyDescent="0.25">
      <c r="A38" s="215" t="s">
        <v>2101</v>
      </c>
      <c r="B38" s="64">
        <v>15.46</v>
      </c>
      <c r="C38" s="64">
        <v>50.69</v>
      </c>
      <c r="D38" s="64">
        <v>37.5</v>
      </c>
      <c r="E38" s="64">
        <v>5.24</v>
      </c>
      <c r="F38" s="64">
        <v>3.6</v>
      </c>
      <c r="G38" s="64">
        <v>81.05</v>
      </c>
      <c r="H38" s="64">
        <v>43.24</v>
      </c>
      <c r="I38" s="64">
        <v>6.36</v>
      </c>
      <c r="J38" s="64">
        <v>2.75</v>
      </c>
      <c r="K38" s="64">
        <v>343.77</v>
      </c>
      <c r="L38" s="64">
        <v>15.17</v>
      </c>
      <c r="M38" s="64">
        <v>97.31</v>
      </c>
      <c r="N38" s="64">
        <v>153.1</v>
      </c>
      <c r="O38" s="64">
        <v>0</v>
      </c>
      <c r="P38" s="64">
        <v>0.87</v>
      </c>
      <c r="Q38" s="64">
        <v>8.2100000000000009</v>
      </c>
      <c r="R38" s="198"/>
      <c r="S38" s="198"/>
      <c r="T38" s="198"/>
      <c r="U38" s="198"/>
    </row>
    <row r="39" spans="1:21" s="12" customFormat="1" x14ac:dyDescent="0.25">
      <c r="A39" s="215" t="s">
        <v>2102</v>
      </c>
      <c r="B39" s="64">
        <v>15.77</v>
      </c>
      <c r="C39" s="64">
        <v>50.99</v>
      </c>
      <c r="D39" s="64">
        <v>37.909999999999997</v>
      </c>
      <c r="E39" s="64">
        <v>5.62</v>
      </c>
      <c r="F39" s="64">
        <v>4.03</v>
      </c>
      <c r="G39" s="64">
        <v>81.05</v>
      </c>
      <c r="H39" s="64">
        <v>43.24</v>
      </c>
      <c r="I39" s="64">
        <v>6.36</v>
      </c>
      <c r="J39" s="64">
        <v>0.66</v>
      </c>
      <c r="K39" s="64">
        <v>34.69</v>
      </c>
      <c r="L39" s="64">
        <v>15.5</v>
      </c>
      <c r="M39" s="64">
        <v>95.88</v>
      </c>
      <c r="N39" s="64">
        <v>180.9</v>
      </c>
      <c r="O39" s="64">
        <v>0</v>
      </c>
      <c r="P39" s="64">
        <v>0.88</v>
      </c>
      <c r="Q39" s="64">
        <v>8.2100000000000009</v>
      </c>
      <c r="R39" s="198"/>
      <c r="S39" s="198"/>
      <c r="T39" s="198"/>
      <c r="U39" s="198"/>
    </row>
    <row r="40" spans="1:21" s="12" customFormat="1" x14ac:dyDescent="0.25">
      <c r="A40" s="215" t="s">
        <v>2103</v>
      </c>
      <c r="B40" s="64">
        <v>16.760000000000002</v>
      </c>
      <c r="C40" s="64">
        <v>51.88</v>
      </c>
      <c r="D40" s="64">
        <v>39.17</v>
      </c>
      <c r="E40" s="64">
        <v>6.5</v>
      </c>
      <c r="F40" s="64">
        <v>3.78</v>
      </c>
      <c r="G40" s="64">
        <v>81.05</v>
      </c>
      <c r="H40" s="64">
        <v>43.24</v>
      </c>
      <c r="I40" s="64">
        <v>6.33</v>
      </c>
      <c r="J40" s="64">
        <v>1.65</v>
      </c>
      <c r="K40" s="64">
        <v>355.91</v>
      </c>
      <c r="L40" s="64">
        <v>16.579999999999998</v>
      </c>
      <c r="M40" s="64">
        <v>90.51</v>
      </c>
      <c r="N40" s="64">
        <v>255.2</v>
      </c>
      <c r="O40" s="64">
        <v>0</v>
      </c>
      <c r="P40" s="64">
        <v>0.9</v>
      </c>
      <c r="Q40" s="64">
        <v>8.2100000000000009</v>
      </c>
      <c r="R40" s="198"/>
      <c r="S40" s="198"/>
      <c r="T40" s="198"/>
      <c r="U40" s="198"/>
    </row>
    <row r="41" spans="1:21" s="12" customFormat="1" x14ac:dyDescent="0.25">
      <c r="A41" s="215" t="s">
        <v>2104</v>
      </c>
      <c r="B41" s="64">
        <v>17.940000000000001</v>
      </c>
      <c r="C41" s="64">
        <v>51.4</v>
      </c>
      <c r="D41" s="64">
        <v>39.86</v>
      </c>
      <c r="E41" s="64">
        <v>7.56</v>
      </c>
      <c r="F41" s="64">
        <v>3.79</v>
      </c>
      <c r="G41" s="64">
        <v>84.81</v>
      </c>
      <c r="H41" s="64">
        <v>43.69</v>
      </c>
      <c r="I41" s="64">
        <v>6.35</v>
      </c>
      <c r="J41" s="64">
        <v>0.78</v>
      </c>
      <c r="K41" s="64">
        <v>18.239999999999998</v>
      </c>
      <c r="L41" s="64">
        <v>18.11</v>
      </c>
      <c r="M41" s="64">
        <v>83.19</v>
      </c>
      <c r="N41" s="64">
        <v>306.3</v>
      </c>
      <c r="O41" s="64">
        <v>0</v>
      </c>
      <c r="P41" s="64">
        <v>0.91</v>
      </c>
      <c r="Q41" s="64">
        <v>8.2100000000000009</v>
      </c>
      <c r="R41" s="198"/>
      <c r="S41" s="198"/>
      <c r="T41" s="198"/>
      <c r="U41" s="198"/>
    </row>
    <row r="42" spans="1:21" s="12" customFormat="1" x14ac:dyDescent="0.25">
      <c r="A42" s="215" t="s">
        <v>2105</v>
      </c>
      <c r="B42" s="64">
        <v>18.649999999999999</v>
      </c>
      <c r="C42" s="64">
        <v>52.97</v>
      </c>
      <c r="D42" s="64">
        <v>41.25</v>
      </c>
      <c r="E42" s="64">
        <v>7.06</v>
      </c>
      <c r="F42" s="64">
        <v>3.6</v>
      </c>
      <c r="G42" s="64">
        <v>94.6</v>
      </c>
      <c r="H42" s="64">
        <v>44.49</v>
      </c>
      <c r="I42" s="64">
        <v>6.34</v>
      </c>
      <c r="J42" s="64">
        <v>0.94</v>
      </c>
      <c r="K42" s="64">
        <v>84.26</v>
      </c>
      <c r="L42" s="64">
        <v>18.77</v>
      </c>
      <c r="M42" s="64">
        <v>80.400000000000006</v>
      </c>
      <c r="N42" s="64">
        <v>360.1</v>
      </c>
      <c r="O42" s="64">
        <v>0</v>
      </c>
      <c r="P42" s="64">
        <v>0.93</v>
      </c>
      <c r="Q42" s="64">
        <v>8.2100000000000009</v>
      </c>
      <c r="R42" s="198"/>
      <c r="S42" s="198"/>
      <c r="T42" s="198"/>
      <c r="U42" s="198"/>
    </row>
    <row r="43" spans="1:21" s="12" customFormat="1" x14ac:dyDescent="0.25">
      <c r="A43" s="215" t="s">
        <v>2106</v>
      </c>
      <c r="B43" s="64">
        <v>18.670000000000002</v>
      </c>
      <c r="C43" s="64">
        <v>50.53</v>
      </c>
      <c r="D43" s="64">
        <v>40</v>
      </c>
      <c r="E43" s="64">
        <v>6.64</v>
      </c>
      <c r="F43" s="64">
        <v>4.29</v>
      </c>
      <c r="G43" s="64">
        <v>94.6</v>
      </c>
      <c r="H43" s="64">
        <v>44.49</v>
      </c>
      <c r="I43" s="64">
        <v>6.37</v>
      </c>
      <c r="J43" s="64">
        <v>1.6</v>
      </c>
      <c r="K43" s="64">
        <v>88.88</v>
      </c>
      <c r="L43" s="64">
        <v>18.940000000000001</v>
      </c>
      <c r="M43" s="64">
        <v>79.400000000000006</v>
      </c>
      <c r="N43" s="64">
        <v>405.1</v>
      </c>
      <c r="O43" s="64">
        <v>0</v>
      </c>
      <c r="P43" s="64">
        <v>0.93</v>
      </c>
      <c r="Q43" s="64">
        <v>8.2100000000000009</v>
      </c>
      <c r="R43" s="198"/>
      <c r="S43" s="198"/>
      <c r="T43" s="198"/>
      <c r="U43" s="198"/>
    </row>
    <row r="44" spans="1:21" s="12" customFormat="1" x14ac:dyDescent="0.25">
      <c r="A44" s="215" t="s">
        <v>2107</v>
      </c>
      <c r="B44" s="64">
        <v>18.3</v>
      </c>
      <c r="C44" s="64">
        <v>51.89</v>
      </c>
      <c r="D44" s="64">
        <v>40.409999999999997</v>
      </c>
      <c r="E44" s="64">
        <v>7.01</v>
      </c>
      <c r="F44" s="64">
        <v>4.3899999999999997</v>
      </c>
      <c r="G44" s="64">
        <v>94.6</v>
      </c>
      <c r="H44" s="64">
        <v>44.49</v>
      </c>
      <c r="I44" s="64">
        <v>6.5</v>
      </c>
      <c r="J44" s="64">
        <v>1.1100000000000001</v>
      </c>
      <c r="K44" s="64">
        <v>40.71</v>
      </c>
      <c r="L44" s="64">
        <v>19.3</v>
      </c>
      <c r="M44" s="64">
        <v>78.069999999999993</v>
      </c>
      <c r="N44" s="64">
        <v>431.7</v>
      </c>
      <c r="O44" s="64">
        <v>0</v>
      </c>
      <c r="P44" s="64">
        <v>0.93</v>
      </c>
      <c r="Q44" s="64">
        <v>8.2100000000000009</v>
      </c>
      <c r="R44" s="198"/>
      <c r="S44" s="198"/>
      <c r="T44" s="198"/>
      <c r="U44" s="198"/>
    </row>
    <row r="45" spans="1:21" s="12" customFormat="1" x14ac:dyDescent="0.25">
      <c r="A45" s="215" t="s">
        <v>2108</v>
      </c>
      <c r="B45" s="64">
        <v>18</v>
      </c>
      <c r="C45" s="64">
        <v>52.62</v>
      </c>
      <c r="D45" s="64">
        <v>40.549999999999997</v>
      </c>
      <c r="E45" s="64">
        <v>7.6</v>
      </c>
      <c r="F45" s="64">
        <v>4.3899999999999997</v>
      </c>
      <c r="G45" s="64">
        <v>94.7</v>
      </c>
      <c r="H45" s="64">
        <v>44.4</v>
      </c>
      <c r="I45" s="64">
        <v>6.88</v>
      </c>
      <c r="J45" s="64">
        <v>1.1000000000000001</v>
      </c>
      <c r="K45" s="64">
        <v>71.42</v>
      </c>
      <c r="L45" s="64">
        <v>19.95</v>
      </c>
      <c r="M45" s="64">
        <v>75.48</v>
      </c>
      <c r="N45" s="64">
        <v>451.7</v>
      </c>
      <c r="O45" s="64">
        <v>0</v>
      </c>
      <c r="P45" s="64">
        <v>0.93</v>
      </c>
      <c r="Q45" s="64">
        <v>8.2100000000000009</v>
      </c>
      <c r="R45" s="198"/>
      <c r="S45" s="198"/>
      <c r="T45" s="198"/>
      <c r="U45" s="198"/>
    </row>
    <row r="46" spans="1:21" s="12" customFormat="1" x14ac:dyDescent="0.25">
      <c r="A46" s="215" t="s">
        <v>2109</v>
      </c>
      <c r="B46" s="64">
        <v>17.53</v>
      </c>
      <c r="C46" s="64">
        <v>52.85</v>
      </c>
      <c r="D46" s="64">
        <v>40.29</v>
      </c>
      <c r="E46" s="64">
        <v>7.22</v>
      </c>
      <c r="F46" s="64">
        <v>4.71</v>
      </c>
      <c r="G46" s="64">
        <v>94.96</v>
      </c>
      <c r="H46" s="64">
        <v>44.03</v>
      </c>
      <c r="I46" s="64">
        <v>7.18</v>
      </c>
      <c r="J46" s="64">
        <v>1.04</v>
      </c>
      <c r="K46" s="64">
        <v>7.52</v>
      </c>
      <c r="L46" s="64">
        <v>21.39</v>
      </c>
      <c r="M46" s="64">
        <v>69.97</v>
      </c>
      <c r="N46" s="64">
        <v>471.5</v>
      </c>
      <c r="O46" s="64">
        <v>0</v>
      </c>
      <c r="P46" s="64">
        <v>0.92</v>
      </c>
      <c r="Q46" s="64">
        <v>8.2100000000000009</v>
      </c>
      <c r="R46" s="198"/>
      <c r="S46" s="198"/>
      <c r="T46" s="198"/>
      <c r="U46" s="198"/>
    </row>
    <row r="47" spans="1:21" s="12" customFormat="1" x14ac:dyDescent="0.25">
      <c r="A47" s="215" t="s">
        <v>2110</v>
      </c>
      <c r="B47" s="64">
        <v>16.95</v>
      </c>
      <c r="C47" s="64">
        <v>53.28</v>
      </c>
      <c r="D47" s="64">
        <v>40.049999999999997</v>
      </c>
      <c r="E47" s="64">
        <v>7.21</v>
      </c>
      <c r="F47" s="64">
        <v>4.3099999999999996</v>
      </c>
      <c r="G47" s="64">
        <v>94.96</v>
      </c>
      <c r="H47" s="64">
        <v>44.03</v>
      </c>
      <c r="I47" s="64">
        <v>7.24</v>
      </c>
      <c r="J47" s="64">
        <v>0.99</v>
      </c>
      <c r="K47" s="64">
        <v>25.19</v>
      </c>
      <c r="L47" s="64">
        <v>21.91</v>
      </c>
      <c r="M47" s="64">
        <v>67.819999999999993</v>
      </c>
      <c r="N47" s="64">
        <v>514.20000000000005</v>
      </c>
      <c r="O47" s="64">
        <v>0</v>
      </c>
      <c r="P47" s="64">
        <v>0.92</v>
      </c>
      <c r="Q47" s="64">
        <v>8.2100000000000009</v>
      </c>
      <c r="R47" s="198"/>
      <c r="S47" s="198"/>
      <c r="T47" s="198"/>
      <c r="U47" s="198"/>
    </row>
    <row r="48" spans="1:21" s="12" customFormat="1" x14ac:dyDescent="0.25">
      <c r="A48" s="215" t="s">
        <v>2111</v>
      </c>
      <c r="B48" s="64">
        <v>16.18</v>
      </c>
      <c r="C48" s="64">
        <v>53.52</v>
      </c>
      <c r="D48" s="64">
        <v>39.56</v>
      </c>
      <c r="E48" s="64">
        <v>6.95</v>
      </c>
      <c r="F48" s="64">
        <v>3.96</v>
      </c>
      <c r="G48" s="64">
        <v>94.96</v>
      </c>
      <c r="H48" s="64">
        <v>44.03</v>
      </c>
      <c r="I48" s="64">
        <v>7.38</v>
      </c>
      <c r="J48" s="64">
        <v>1.39</v>
      </c>
      <c r="K48" s="64">
        <v>23.01</v>
      </c>
      <c r="L48" s="64">
        <v>22.23</v>
      </c>
      <c r="M48" s="64">
        <v>67.099999999999994</v>
      </c>
      <c r="N48" s="64">
        <v>572.70000000000005</v>
      </c>
      <c r="O48" s="64">
        <v>0</v>
      </c>
      <c r="P48" s="64">
        <v>0.92</v>
      </c>
      <c r="Q48" s="64">
        <v>8.2100000000000009</v>
      </c>
      <c r="R48" s="198"/>
      <c r="S48" s="198"/>
      <c r="T48" s="198"/>
      <c r="U48" s="198"/>
    </row>
    <row r="49" spans="1:21" s="12" customFormat="1" x14ac:dyDescent="0.25">
      <c r="A49" s="215" t="s">
        <v>2112</v>
      </c>
      <c r="B49" s="64">
        <v>15.53</v>
      </c>
      <c r="C49" s="64">
        <v>53.41</v>
      </c>
      <c r="D49" s="64">
        <v>38.979999999999997</v>
      </c>
      <c r="E49" s="64">
        <v>7.11</v>
      </c>
      <c r="F49" s="64">
        <v>4.08</v>
      </c>
      <c r="G49" s="64">
        <v>91.41</v>
      </c>
      <c r="H49" s="64">
        <v>42.47</v>
      </c>
      <c r="I49" s="64">
        <v>7.87</v>
      </c>
      <c r="J49" s="64">
        <v>1.74</v>
      </c>
      <c r="K49" s="64">
        <v>346.35</v>
      </c>
      <c r="L49" s="64">
        <v>23.93</v>
      </c>
      <c r="M49" s="64">
        <v>60.4</v>
      </c>
      <c r="N49" s="64">
        <v>605.6</v>
      </c>
      <c r="O49" s="64">
        <v>0</v>
      </c>
      <c r="P49" s="64">
        <v>0.91</v>
      </c>
      <c r="Q49" s="64">
        <v>8.2100000000000009</v>
      </c>
      <c r="R49" s="198"/>
      <c r="S49" s="198"/>
      <c r="T49" s="198"/>
      <c r="U49" s="198"/>
    </row>
    <row r="50" spans="1:21" s="12" customFormat="1" x14ac:dyDescent="0.25">
      <c r="A50" s="215" t="s">
        <v>2113</v>
      </c>
      <c r="B50" s="64">
        <v>15.01</v>
      </c>
      <c r="C50" s="64">
        <v>56.28</v>
      </c>
      <c r="D50" s="64">
        <v>40.07</v>
      </c>
      <c r="E50" s="64">
        <v>6.69</v>
      </c>
      <c r="F50" s="64">
        <v>4.68</v>
      </c>
      <c r="G50" s="64">
        <v>82.19</v>
      </c>
      <c r="H50" s="64">
        <v>39.68</v>
      </c>
      <c r="I50" s="64">
        <v>7.86</v>
      </c>
      <c r="J50" s="64">
        <v>1.17</v>
      </c>
      <c r="K50" s="64">
        <v>32.79</v>
      </c>
      <c r="L50" s="64">
        <v>23.93</v>
      </c>
      <c r="M50" s="64">
        <v>60.52</v>
      </c>
      <c r="N50" s="64">
        <v>620</v>
      </c>
      <c r="O50" s="64">
        <v>0</v>
      </c>
      <c r="P50" s="64">
        <v>0.9</v>
      </c>
      <c r="Q50" s="64">
        <v>8.2100000000000009</v>
      </c>
      <c r="R50" s="198"/>
      <c r="S50" s="198"/>
      <c r="T50" s="198"/>
      <c r="U50" s="198"/>
    </row>
    <row r="51" spans="1:21" s="12" customFormat="1" x14ac:dyDescent="0.25">
      <c r="A51" s="215" t="s">
        <v>2114</v>
      </c>
      <c r="B51" s="64">
        <v>13.78</v>
      </c>
      <c r="C51" s="64">
        <v>56.26</v>
      </c>
      <c r="D51" s="64">
        <v>39.07</v>
      </c>
      <c r="E51" s="64">
        <v>7.53</v>
      </c>
      <c r="F51" s="64">
        <v>5.4</v>
      </c>
      <c r="G51" s="64">
        <v>82.19</v>
      </c>
      <c r="H51" s="64">
        <v>39.68</v>
      </c>
      <c r="I51" s="64">
        <v>8.0299999999999994</v>
      </c>
      <c r="J51" s="64">
        <v>1.5</v>
      </c>
      <c r="K51" s="64">
        <v>22.89</v>
      </c>
      <c r="L51" s="64">
        <v>24.75</v>
      </c>
      <c r="M51" s="64">
        <v>57.96</v>
      </c>
      <c r="N51" s="64">
        <v>625.79999999999995</v>
      </c>
      <c r="O51" s="64">
        <v>0</v>
      </c>
      <c r="P51" s="64">
        <v>0.9</v>
      </c>
      <c r="Q51" s="64">
        <v>8.2100000000000009</v>
      </c>
      <c r="R51" s="198"/>
      <c r="S51" s="198"/>
      <c r="T51" s="198"/>
      <c r="U51" s="198"/>
    </row>
    <row r="52" spans="1:21" s="12" customFormat="1" x14ac:dyDescent="0.25">
      <c r="A52" s="215" t="s">
        <v>2115</v>
      </c>
      <c r="B52" s="64">
        <v>9.02</v>
      </c>
      <c r="C52" s="64">
        <v>56.1</v>
      </c>
      <c r="D52" s="64">
        <v>35.17</v>
      </c>
      <c r="E52" s="64">
        <v>8.24</v>
      </c>
      <c r="F52" s="64">
        <v>6.76</v>
      </c>
      <c r="G52" s="64">
        <v>82.19</v>
      </c>
      <c r="H52" s="64">
        <v>39.68</v>
      </c>
      <c r="I52" s="64">
        <v>8.4600000000000009</v>
      </c>
      <c r="J52" s="64">
        <v>1.45</v>
      </c>
      <c r="K52" s="64">
        <v>87.12</v>
      </c>
      <c r="L52" s="64">
        <v>23.97</v>
      </c>
      <c r="M52" s="64">
        <v>60.18</v>
      </c>
      <c r="N52" s="64">
        <v>623.4</v>
      </c>
      <c r="O52" s="64">
        <v>0</v>
      </c>
      <c r="P52" s="64">
        <v>0.85</v>
      </c>
      <c r="Q52" s="64">
        <v>8.2100000000000009</v>
      </c>
      <c r="R52" s="198"/>
      <c r="S52" s="198"/>
      <c r="T52" s="198"/>
      <c r="U52" s="198"/>
    </row>
    <row r="53" spans="1:21" s="12" customFormat="1" x14ac:dyDescent="0.25">
      <c r="A53" s="215" t="s">
        <v>2116</v>
      </c>
      <c r="B53" s="64">
        <v>5.63</v>
      </c>
      <c r="C53" s="64">
        <v>57.68</v>
      </c>
      <c r="D53" s="64">
        <v>33.270000000000003</v>
      </c>
      <c r="E53" s="64">
        <v>8.2200000000000006</v>
      </c>
      <c r="F53" s="64">
        <v>6.39</v>
      </c>
      <c r="G53" s="64">
        <v>76.09</v>
      </c>
      <c r="H53" s="64">
        <v>36.409999999999997</v>
      </c>
      <c r="I53" s="64">
        <v>7.91</v>
      </c>
      <c r="J53" s="64">
        <v>1.65</v>
      </c>
      <c r="K53" s="64">
        <v>87.59</v>
      </c>
      <c r="L53" s="64">
        <v>23.71</v>
      </c>
      <c r="M53" s="64">
        <v>61.13</v>
      </c>
      <c r="N53" s="64">
        <v>651.5</v>
      </c>
      <c r="O53" s="64">
        <v>0</v>
      </c>
      <c r="P53" s="64">
        <v>0.83</v>
      </c>
      <c r="Q53" s="64">
        <v>8.2100000000000009</v>
      </c>
      <c r="R53" s="198"/>
      <c r="S53" s="198"/>
      <c r="T53" s="198"/>
      <c r="U53" s="198"/>
    </row>
    <row r="54" spans="1:21" s="12" customFormat="1" x14ac:dyDescent="0.25">
      <c r="A54" s="215" t="s">
        <v>2117</v>
      </c>
      <c r="B54" s="64">
        <v>4.63</v>
      </c>
      <c r="C54" s="64">
        <v>58.89</v>
      </c>
      <c r="D54" s="64">
        <v>33.1</v>
      </c>
      <c r="E54" s="64">
        <v>9.39</v>
      </c>
      <c r="F54" s="64">
        <v>6.44</v>
      </c>
      <c r="G54" s="64">
        <v>60.2</v>
      </c>
      <c r="H54" s="64">
        <v>30.54</v>
      </c>
      <c r="I54" s="64">
        <v>7.1</v>
      </c>
      <c r="J54" s="64">
        <v>1.1000000000000001</v>
      </c>
      <c r="K54" s="64">
        <v>51.72</v>
      </c>
      <c r="L54" s="64">
        <v>24.58</v>
      </c>
      <c r="M54" s="64">
        <v>58.37</v>
      </c>
      <c r="N54" s="64">
        <v>655.1</v>
      </c>
      <c r="O54" s="64">
        <v>0</v>
      </c>
      <c r="P54" s="64">
        <v>0.81</v>
      </c>
      <c r="Q54" s="64">
        <v>8.2100000000000009</v>
      </c>
      <c r="R54" s="198"/>
      <c r="S54" s="198"/>
      <c r="T54" s="198"/>
      <c r="U54" s="198"/>
    </row>
    <row r="55" spans="1:21" s="12" customFormat="1" x14ac:dyDescent="0.25">
      <c r="A55" s="215" t="s">
        <v>2118</v>
      </c>
      <c r="B55" s="64">
        <v>4.3600000000000003</v>
      </c>
      <c r="C55" s="64">
        <v>55.09</v>
      </c>
      <c r="D55" s="64">
        <v>30.9</v>
      </c>
      <c r="E55" s="64">
        <v>9.5</v>
      </c>
      <c r="F55" s="64">
        <v>6.2</v>
      </c>
      <c r="G55" s="64">
        <v>60.2</v>
      </c>
      <c r="H55" s="64">
        <v>30.54</v>
      </c>
      <c r="I55" s="64">
        <v>6.71</v>
      </c>
      <c r="J55" s="64">
        <v>2.06</v>
      </c>
      <c r="K55" s="64">
        <v>108.03</v>
      </c>
      <c r="L55" s="64">
        <v>24.95</v>
      </c>
      <c r="M55" s="64">
        <v>56.93</v>
      </c>
      <c r="N55" s="64">
        <v>637</v>
      </c>
      <c r="O55" s="64">
        <v>0</v>
      </c>
      <c r="P55" s="64">
        <v>0.78</v>
      </c>
      <c r="Q55" s="64">
        <v>8.2100000000000009</v>
      </c>
      <c r="R55" s="198"/>
      <c r="S55" s="198"/>
      <c r="T55" s="198"/>
      <c r="U55" s="198"/>
    </row>
    <row r="56" spans="1:21" s="12" customFormat="1" x14ac:dyDescent="0.25">
      <c r="A56" s="215" t="s">
        <v>2119</v>
      </c>
      <c r="B56" s="64">
        <v>3.26</v>
      </c>
      <c r="C56" s="64">
        <v>57.4</v>
      </c>
      <c r="D56" s="64">
        <v>31.23</v>
      </c>
      <c r="E56" s="64">
        <v>9.02</v>
      </c>
      <c r="F56" s="64">
        <v>6.38</v>
      </c>
      <c r="G56" s="64">
        <v>60.2</v>
      </c>
      <c r="H56" s="64">
        <v>30.54</v>
      </c>
      <c r="I56" s="64">
        <v>6.6</v>
      </c>
      <c r="J56" s="64">
        <v>1.04</v>
      </c>
      <c r="K56" s="64">
        <v>38.770000000000003</v>
      </c>
      <c r="L56" s="64">
        <v>24.79</v>
      </c>
      <c r="M56" s="64">
        <v>57.15</v>
      </c>
      <c r="N56" s="64">
        <v>595.70000000000005</v>
      </c>
      <c r="O56" s="64">
        <v>0</v>
      </c>
      <c r="P56" s="64">
        <v>0.74</v>
      </c>
      <c r="Q56" s="64">
        <v>8.2100000000000009</v>
      </c>
      <c r="R56" s="198"/>
      <c r="S56" s="198"/>
      <c r="T56" s="198"/>
      <c r="U56" s="198"/>
    </row>
    <row r="57" spans="1:21" s="12" customFormat="1" x14ac:dyDescent="0.25">
      <c r="A57" s="215" t="s">
        <v>2120</v>
      </c>
      <c r="B57" s="64">
        <v>2.9</v>
      </c>
      <c r="C57" s="64">
        <v>51.46</v>
      </c>
      <c r="D57" s="64">
        <v>27.83</v>
      </c>
      <c r="E57" s="64">
        <v>8.1199999999999992</v>
      </c>
      <c r="F57" s="64">
        <v>5.39</v>
      </c>
      <c r="G57" s="64">
        <v>63.03</v>
      </c>
      <c r="H57" s="64">
        <v>29.84</v>
      </c>
      <c r="I57" s="64">
        <v>6.39</v>
      </c>
      <c r="J57" s="64">
        <v>1.97</v>
      </c>
      <c r="K57" s="64">
        <v>93.4</v>
      </c>
      <c r="L57" s="64">
        <v>24.8</v>
      </c>
      <c r="M57" s="64">
        <v>57.58</v>
      </c>
      <c r="N57" s="64">
        <v>615.79999999999995</v>
      </c>
      <c r="O57" s="64">
        <v>0</v>
      </c>
      <c r="P57" s="64">
        <v>0.73</v>
      </c>
      <c r="Q57" s="64">
        <v>8.2100000000000009</v>
      </c>
      <c r="R57" s="198"/>
      <c r="S57" s="198"/>
      <c r="T57" s="198"/>
      <c r="U57" s="198"/>
    </row>
    <row r="58" spans="1:21" s="12" customFormat="1" x14ac:dyDescent="0.25">
      <c r="A58" s="215" t="s">
        <v>2121</v>
      </c>
      <c r="B58" s="64">
        <v>3.03</v>
      </c>
      <c r="C58" s="64">
        <v>55.95</v>
      </c>
      <c r="D58" s="64">
        <v>30.29</v>
      </c>
      <c r="E58" s="64">
        <v>7.77</v>
      </c>
      <c r="F58" s="64">
        <v>4.6100000000000003</v>
      </c>
      <c r="G58" s="64">
        <v>70.39</v>
      </c>
      <c r="H58" s="64">
        <v>28.61</v>
      </c>
      <c r="I58" s="64">
        <v>6.6</v>
      </c>
      <c r="J58" s="64">
        <v>2.57</v>
      </c>
      <c r="K58" s="64">
        <v>119.5</v>
      </c>
      <c r="L58" s="64">
        <v>24.68</v>
      </c>
      <c r="M58" s="64">
        <v>57.68</v>
      </c>
      <c r="N58" s="64">
        <v>611.1</v>
      </c>
      <c r="O58" s="64">
        <v>0</v>
      </c>
      <c r="P58" s="64">
        <v>0.72</v>
      </c>
      <c r="Q58" s="64">
        <v>8.2100000000000009</v>
      </c>
      <c r="R58" s="198"/>
      <c r="S58" s="198"/>
      <c r="T58" s="198"/>
      <c r="U58" s="198"/>
    </row>
    <row r="59" spans="1:21" s="12" customFormat="1" x14ac:dyDescent="0.25">
      <c r="A59" s="215" t="s">
        <v>2122</v>
      </c>
      <c r="B59" s="64">
        <v>3.3</v>
      </c>
      <c r="C59" s="64">
        <v>49.42</v>
      </c>
      <c r="D59" s="64">
        <v>27.09</v>
      </c>
      <c r="E59" s="64">
        <v>7.2</v>
      </c>
      <c r="F59" s="64">
        <v>4.6100000000000003</v>
      </c>
      <c r="G59" s="64">
        <v>70.39</v>
      </c>
      <c r="H59" s="64">
        <v>28.61</v>
      </c>
      <c r="I59" s="64">
        <v>6.86</v>
      </c>
      <c r="J59" s="64">
        <v>2.57</v>
      </c>
      <c r="K59" s="64">
        <v>342.66</v>
      </c>
      <c r="L59" s="64">
        <v>26.32</v>
      </c>
      <c r="M59" s="64">
        <v>52.15</v>
      </c>
      <c r="N59" s="64">
        <v>587.1</v>
      </c>
      <c r="O59" s="64">
        <v>0</v>
      </c>
      <c r="P59" s="64">
        <v>0.69</v>
      </c>
      <c r="Q59" s="64">
        <v>8.2100000000000009</v>
      </c>
      <c r="R59" s="198"/>
      <c r="S59" s="198"/>
      <c r="T59" s="198"/>
      <c r="U59" s="198"/>
    </row>
    <row r="60" spans="1:21" s="12" customFormat="1" x14ac:dyDescent="0.25">
      <c r="A60" s="215" t="s">
        <v>2123</v>
      </c>
      <c r="B60" s="64">
        <v>3.78</v>
      </c>
      <c r="C60" s="64">
        <v>48.97</v>
      </c>
      <c r="D60" s="64">
        <v>27.24</v>
      </c>
      <c r="E60" s="64">
        <v>6.9</v>
      </c>
      <c r="F60" s="64">
        <v>5</v>
      </c>
      <c r="G60" s="64">
        <v>70.39</v>
      </c>
      <c r="H60" s="64">
        <v>28.61</v>
      </c>
      <c r="I60" s="64">
        <v>7.21</v>
      </c>
      <c r="J60" s="64">
        <v>1.06</v>
      </c>
      <c r="K60" s="64">
        <v>39.24</v>
      </c>
      <c r="L60" s="64">
        <v>26.27</v>
      </c>
      <c r="M60" s="64">
        <v>52.63</v>
      </c>
      <c r="N60" s="64">
        <v>581.29999999999995</v>
      </c>
      <c r="O60" s="64">
        <v>0</v>
      </c>
      <c r="P60" s="64">
        <v>0.68</v>
      </c>
      <c r="Q60" s="64">
        <v>8.2100000000000009</v>
      </c>
      <c r="R60" s="198"/>
      <c r="S60" s="198"/>
      <c r="T60" s="198"/>
      <c r="U60" s="198"/>
    </row>
    <row r="61" spans="1:21" s="12" customFormat="1" x14ac:dyDescent="0.25">
      <c r="A61" s="215" t="s">
        <v>2124</v>
      </c>
      <c r="B61" s="64">
        <v>4.21</v>
      </c>
      <c r="C61" s="64">
        <v>50.19</v>
      </c>
      <c r="D61" s="64">
        <v>28.22</v>
      </c>
      <c r="E61" s="64">
        <v>6.13</v>
      </c>
      <c r="F61" s="64">
        <v>4.8099999999999996</v>
      </c>
      <c r="G61" s="64">
        <v>66.97</v>
      </c>
      <c r="H61" s="64">
        <v>28.13</v>
      </c>
      <c r="I61" s="64">
        <v>6.03</v>
      </c>
      <c r="J61" s="64">
        <v>1.88</v>
      </c>
      <c r="K61" s="64">
        <v>18.3</v>
      </c>
      <c r="L61" s="64">
        <v>25.78</v>
      </c>
      <c r="M61" s="64">
        <v>53.67</v>
      </c>
      <c r="N61" s="64">
        <v>480.7</v>
      </c>
      <c r="O61" s="64">
        <v>0</v>
      </c>
      <c r="P61" s="64">
        <v>0.64</v>
      </c>
      <c r="Q61" s="64">
        <v>8.2100000000000009</v>
      </c>
      <c r="R61" s="198"/>
      <c r="S61" s="198"/>
      <c r="T61" s="198"/>
      <c r="U61" s="198"/>
    </row>
    <row r="62" spans="1:21" s="12" customFormat="1" x14ac:dyDescent="0.25">
      <c r="A62" s="215" t="s">
        <v>2125</v>
      </c>
      <c r="B62" s="64">
        <v>4.6900000000000004</v>
      </c>
      <c r="C62" s="64">
        <v>51.09</v>
      </c>
      <c r="D62" s="64">
        <v>29.08</v>
      </c>
      <c r="E62" s="64">
        <v>6.11</v>
      </c>
      <c r="F62" s="64">
        <v>4.6500000000000004</v>
      </c>
      <c r="G62" s="64">
        <v>58.08</v>
      </c>
      <c r="H62" s="64">
        <v>26.06</v>
      </c>
      <c r="I62" s="64">
        <v>5.37</v>
      </c>
      <c r="J62" s="64">
        <v>2.38</v>
      </c>
      <c r="K62" s="64">
        <v>114.89</v>
      </c>
      <c r="L62" s="64">
        <v>25.46</v>
      </c>
      <c r="M62" s="64">
        <v>54.74</v>
      </c>
      <c r="N62" s="64">
        <v>352.8</v>
      </c>
      <c r="O62" s="64">
        <v>0</v>
      </c>
      <c r="P62" s="64">
        <v>0.66</v>
      </c>
      <c r="Q62" s="64">
        <v>8.2100000000000009</v>
      </c>
      <c r="R62" s="198"/>
      <c r="S62" s="198"/>
      <c r="T62" s="198"/>
      <c r="U62" s="198"/>
    </row>
    <row r="63" spans="1:21" s="12" customFormat="1" x14ac:dyDescent="0.25">
      <c r="A63" s="215" t="s">
        <v>2126</v>
      </c>
      <c r="B63" s="64">
        <v>4.88</v>
      </c>
      <c r="C63" s="64">
        <v>50.66</v>
      </c>
      <c r="D63" s="64">
        <v>29.01</v>
      </c>
      <c r="E63" s="64">
        <v>6.18</v>
      </c>
      <c r="F63" s="64">
        <v>4.49</v>
      </c>
      <c r="G63" s="64">
        <v>58.08</v>
      </c>
      <c r="H63" s="64">
        <v>26.06</v>
      </c>
      <c r="I63" s="64">
        <v>5.29</v>
      </c>
      <c r="J63" s="64">
        <v>2.15</v>
      </c>
      <c r="K63" s="64">
        <v>102.67</v>
      </c>
      <c r="L63" s="64">
        <v>24.55</v>
      </c>
      <c r="M63" s="64">
        <v>57.57</v>
      </c>
      <c r="N63" s="64">
        <v>339.2</v>
      </c>
      <c r="O63" s="64">
        <v>0</v>
      </c>
      <c r="P63" s="64">
        <v>0.63</v>
      </c>
      <c r="Q63" s="64">
        <v>8.2100000000000009</v>
      </c>
      <c r="R63" s="198"/>
      <c r="S63" s="198"/>
      <c r="T63" s="198"/>
      <c r="U63" s="198"/>
    </row>
    <row r="64" spans="1:21" s="12" customFormat="1" x14ac:dyDescent="0.25">
      <c r="A64" s="215" t="s">
        <v>2127</v>
      </c>
      <c r="B64" s="64">
        <v>4.9000000000000004</v>
      </c>
      <c r="C64" s="64">
        <v>50.31</v>
      </c>
      <c r="D64" s="64">
        <v>28.84</v>
      </c>
      <c r="E64" s="64">
        <v>6.05</v>
      </c>
      <c r="F64" s="64">
        <v>4.68</v>
      </c>
      <c r="G64" s="64">
        <v>58.08</v>
      </c>
      <c r="H64" s="64">
        <v>26.06</v>
      </c>
      <c r="I64" s="64">
        <v>4.7300000000000004</v>
      </c>
      <c r="J64" s="64">
        <v>2.0099999999999998</v>
      </c>
      <c r="K64" s="64">
        <v>349.15</v>
      </c>
      <c r="L64" s="64">
        <v>24.83</v>
      </c>
      <c r="M64" s="64">
        <v>56.51</v>
      </c>
      <c r="N64" s="64">
        <v>196.8</v>
      </c>
      <c r="O64" s="64">
        <v>0</v>
      </c>
      <c r="P64" s="64">
        <v>0.63</v>
      </c>
      <c r="Q64" s="64">
        <v>8.2100000000000009</v>
      </c>
      <c r="R64" s="198"/>
      <c r="S64" s="198"/>
      <c r="T64" s="198"/>
      <c r="U64" s="198"/>
    </row>
    <row r="65" spans="1:21" s="12" customFormat="1" x14ac:dyDescent="0.25">
      <c r="A65" s="215" t="s">
        <v>2128</v>
      </c>
      <c r="B65" s="64">
        <v>5.14</v>
      </c>
      <c r="C65" s="64">
        <v>50.22</v>
      </c>
      <c r="D65" s="64">
        <v>28.98</v>
      </c>
      <c r="E65" s="64">
        <v>5.89</v>
      </c>
      <c r="F65" s="64">
        <v>4.3099999999999996</v>
      </c>
      <c r="G65" s="64">
        <v>55.25</v>
      </c>
      <c r="H65" s="64">
        <v>24.09</v>
      </c>
      <c r="I65" s="64">
        <v>4.7300000000000004</v>
      </c>
      <c r="J65" s="64">
        <v>1.51</v>
      </c>
      <c r="K65" s="64">
        <v>52.4</v>
      </c>
      <c r="L65" s="64">
        <v>24.59</v>
      </c>
      <c r="M65" s="64">
        <v>56.45</v>
      </c>
      <c r="N65" s="64">
        <v>175</v>
      </c>
      <c r="O65" s="64">
        <v>0</v>
      </c>
      <c r="P65" s="64">
        <v>0.68</v>
      </c>
      <c r="Q65" s="64">
        <v>8.2100000000000009</v>
      </c>
      <c r="R65" s="198"/>
      <c r="S65" s="198"/>
      <c r="T65" s="198"/>
      <c r="U65" s="198"/>
    </row>
    <row r="66" spans="1:21" s="12" customFormat="1" x14ac:dyDescent="0.25">
      <c r="A66" s="215" t="s">
        <v>2129</v>
      </c>
      <c r="B66" s="64">
        <v>5.48</v>
      </c>
      <c r="C66" s="64">
        <v>51.24</v>
      </c>
      <c r="D66" s="64">
        <v>29.79</v>
      </c>
      <c r="E66" s="64">
        <v>6.23</v>
      </c>
      <c r="F66" s="64">
        <v>3.99</v>
      </c>
      <c r="G66" s="64">
        <v>47.9</v>
      </c>
      <c r="H66" s="64">
        <v>20.56</v>
      </c>
      <c r="I66" s="64">
        <v>5.35</v>
      </c>
      <c r="J66" s="64">
        <v>0.44</v>
      </c>
      <c r="K66" s="64">
        <v>57.4</v>
      </c>
      <c r="L66" s="64">
        <v>24.34</v>
      </c>
      <c r="M66" s="64">
        <v>57.44</v>
      </c>
      <c r="N66" s="64">
        <v>186.2</v>
      </c>
      <c r="O66" s="64">
        <v>0</v>
      </c>
      <c r="P66" s="64">
        <v>0.61</v>
      </c>
      <c r="Q66" s="64">
        <v>8.2100000000000009</v>
      </c>
      <c r="R66" s="198"/>
      <c r="S66" s="198"/>
      <c r="T66" s="198"/>
      <c r="U66" s="198"/>
    </row>
    <row r="67" spans="1:21" s="12" customFormat="1" x14ac:dyDescent="0.25">
      <c r="A67" s="215" t="s">
        <v>2130</v>
      </c>
      <c r="B67" s="64">
        <v>6.06</v>
      </c>
      <c r="C67" s="64">
        <v>54.96</v>
      </c>
      <c r="D67" s="64">
        <v>32.200000000000003</v>
      </c>
      <c r="E67" s="64">
        <v>6.21</v>
      </c>
      <c r="F67" s="64">
        <v>4.28</v>
      </c>
      <c r="G67" s="64">
        <v>47.9</v>
      </c>
      <c r="H67" s="64">
        <v>20.56</v>
      </c>
      <c r="I67" s="64">
        <v>4.32</v>
      </c>
      <c r="J67" s="64">
        <v>1.07</v>
      </c>
      <c r="K67" s="64">
        <v>39.270000000000003</v>
      </c>
      <c r="L67" s="64">
        <v>24.6</v>
      </c>
      <c r="M67" s="64">
        <v>56.57</v>
      </c>
      <c r="N67" s="64">
        <v>202.8</v>
      </c>
      <c r="O67" s="64">
        <v>0</v>
      </c>
      <c r="P67" s="64">
        <v>0.68</v>
      </c>
      <c r="Q67" s="64">
        <v>8.2100000000000009</v>
      </c>
      <c r="R67" s="198"/>
      <c r="S67" s="198"/>
      <c r="T67" s="198"/>
      <c r="U67" s="198"/>
    </row>
    <row r="68" spans="1:21" s="12" customFormat="1" x14ac:dyDescent="0.25">
      <c r="A68" s="215" t="s">
        <v>2131</v>
      </c>
      <c r="B68" s="64">
        <v>6.7</v>
      </c>
      <c r="C68" s="64">
        <v>48.79</v>
      </c>
      <c r="D68" s="64">
        <v>29.49</v>
      </c>
      <c r="E68" s="64">
        <v>5.75</v>
      </c>
      <c r="F68" s="64">
        <v>4.32</v>
      </c>
      <c r="G68" s="64">
        <v>47.9</v>
      </c>
      <c r="H68" s="64">
        <v>20.56</v>
      </c>
      <c r="I68" s="64">
        <v>6.44</v>
      </c>
      <c r="J68" s="64">
        <v>0.97</v>
      </c>
      <c r="K68" s="64">
        <v>23.86</v>
      </c>
      <c r="L68" s="64">
        <v>25.61</v>
      </c>
      <c r="M68" s="64">
        <v>53.01</v>
      </c>
      <c r="N68" s="64">
        <v>179.5</v>
      </c>
      <c r="O68" s="64">
        <v>0</v>
      </c>
      <c r="P68" s="64">
        <v>0.7</v>
      </c>
      <c r="Q68" s="64">
        <v>8.2100000000000009</v>
      </c>
      <c r="R68" s="198"/>
      <c r="S68" s="198"/>
      <c r="T68" s="198"/>
      <c r="U68" s="198"/>
    </row>
    <row r="69" spans="1:21" s="12" customFormat="1" x14ac:dyDescent="0.25">
      <c r="A69" s="215" t="s">
        <v>2132</v>
      </c>
      <c r="B69" s="64">
        <v>6.96</v>
      </c>
      <c r="C69" s="64">
        <v>53.15</v>
      </c>
      <c r="D69" s="64">
        <v>31.98</v>
      </c>
      <c r="E69" s="64">
        <v>5.8</v>
      </c>
      <c r="F69" s="64">
        <v>4.25</v>
      </c>
      <c r="G69" s="64">
        <v>47.65</v>
      </c>
      <c r="H69" s="64">
        <v>20</v>
      </c>
      <c r="I69" s="64">
        <v>5.96</v>
      </c>
      <c r="J69" s="64">
        <v>0.89</v>
      </c>
      <c r="K69" s="64">
        <v>43.9</v>
      </c>
      <c r="L69" s="64">
        <v>24.38</v>
      </c>
      <c r="M69" s="64">
        <v>57.2</v>
      </c>
      <c r="N69" s="64">
        <v>139.4</v>
      </c>
      <c r="O69" s="64">
        <v>0</v>
      </c>
      <c r="P69" s="64">
        <v>0.7</v>
      </c>
      <c r="Q69" s="64">
        <v>8.2100000000000009</v>
      </c>
      <c r="R69" s="198"/>
      <c r="S69" s="198"/>
      <c r="T69" s="198"/>
      <c r="U69" s="198"/>
    </row>
    <row r="70" spans="1:21" s="12" customFormat="1" x14ac:dyDescent="0.25">
      <c r="A70" s="215" t="s">
        <v>2133</v>
      </c>
      <c r="B70" s="64">
        <v>6.98</v>
      </c>
      <c r="C70" s="64">
        <v>49.96</v>
      </c>
      <c r="D70" s="64">
        <v>30.32</v>
      </c>
      <c r="E70" s="64">
        <v>5.98</v>
      </c>
      <c r="F70" s="64">
        <v>4.04</v>
      </c>
      <c r="G70" s="64">
        <v>47</v>
      </c>
      <c r="H70" s="64">
        <v>18.989999999999998</v>
      </c>
      <c r="I70" s="64">
        <v>6.69</v>
      </c>
      <c r="J70" s="64">
        <v>1.36</v>
      </c>
      <c r="K70" s="64">
        <v>84.49</v>
      </c>
      <c r="L70" s="64">
        <v>24.11</v>
      </c>
      <c r="M70" s="64">
        <v>57.31</v>
      </c>
      <c r="N70" s="64">
        <v>129.1</v>
      </c>
      <c r="O70" s="64">
        <v>0</v>
      </c>
      <c r="P70" s="64">
        <v>0.69</v>
      </c>
      <c r="Q70" s="64">
        <v>8.2100000000000009</v>
      </c>
      <c r="R70" s="198"/>
      <c r="S70" s="198"/>
      <c r="T70" s="198"/>
      <c r="U70" s="198"/>
    </row>
    <row r="71" spans="1:21" s="12" customFormat="1" x14ac:dyDescent="0.25">
      <c r="A71" s="215" t="s">
        <v>2134</v>
      </c>
      <c r="B71" s="64">
        <v>6.99</v>
      </c>
      <c r="C71" s="64">
        <v>53.87</v>
      </c>
      <c r="D71" s="64">
        <v>32.380000000000003</v>
      </c>
      <c r="E71" s="64">
        <v>6.09</v>
      </c>
      <c r="F71" s="64">
        <v>3.86</v>
      </c>
      <c r="G71" s="64">
        <v>47</v>
      </c>
      <c r="H71" s="64">
        <v>18.989999999999998</v>
      </c>
      <c r="I71" s="64">
        <v>5.4</v>
      </c>
      <c r="J71" s="64">
        <v>1.28</v>
      </c>
      <c r="K71" s="64">
        <v>89.18</v>
      </c>
      <c r="L71" s="64">
        <v>23.94</v>
      </c>
      <c r="M71" s="64">
        <v>57.18</v>
      </c>
      <c r="N71" s="64">
        <v>112.7</v>
      </c>
      <c r="O71" s="64">
        <v>0</v>
      </c>
      <c r="P71" s="64">
        <v>0.69</v>
      </c>
      <c r="Q71" s="64">
        <v>8.2100000000000009</v>
      </c>
      <c r="R71" s="198"/>
      <c r="S71" s="198"/>
      <c r="T71" s="198"/>
      <c r="U71" s="198"/>
    </row>
    <row r="72" spans="1:21" s="12" customFormat="1" x14ac:dyDescent="0.25">
      <c r="A72" s="215" t="s">
        <v>2135</v>
      </c>
      <c r="B72" s="64">
        <v>7</v>
      </c>
      <c r="C72" s="64">
        <v>49.67</v>
      </c>
      <c r="D72" s="64">
        <v>30.18</v>
      </c>
      <c r="E72" s="64">
        <v>5.96</v>
      </c>
      <c r="F72" s="64">
        <v>3.99</v>
      </c>
      <c r="G72" s="64">
        <v>47</v>
      </c>
      <c r="H72" s="64">
        <v>18.989999999999998</v>
      </c>
      <c r="I72" s="64">
        <v>6.56</v>
      </c>
      <c r="J72" s="64">
        <v>2.5099999999999998</v>
      </c>
      <c r="K72" s="64">
        <v>113.47</v>
      </c>
      <c r="L72" s="64">
        <v>23.53</v>
      </c>
      <c r="M72" s="64">
        <v>58.62</v>
      </c>
      <c r="N72" s="64">
        <v>102.7</v>
      </c>
      <c r="O72" s="64">
        <v>0</v>
      </c>
      <c r="P72" s="64">
        <v>0.67</v>
      </c>
      <c r="Q72" s="64">
        <v>8.2100000000000009</v>
      </c>
      <c r="R72" s="198"/>
      <c r="S72" s="198"/>
      <c r="T72" s="198"/>
      <c r="U72" s="198"/>
    </row>
    <row r="73" spans="1:21" s="12" customFormat="1" x14ac:dyDescent="0.25">
      <c r="A73" s="215" t="s">
        <v>2136</v>
      </c>
      <c r="B73" s="64">
        <v>6.53</v>
      </c>
      <c r="C73" s="64">
        <v>54.3</v>
      </c>
      <c r="D73" s="64">
        <v>32.229999999999997</v>
      </c>
      <c r="E73" s="64">
        <v>6.21</v>
      </c>
      <c r="F73" s="64">
        <v>3.56</v>
      </c>
      <c r="G73" s="64">
        <v>46.82</v>
      </c>
      <c r="H73" s="64">
        <v>19.36</v>
      </c>
      <c r="I73" s="64">
        <v>5.5</v>
      </c>
      <c r="J73" s="64">
        <v>1.64</v>
      </c>
      <c r="K73" s="64">
        <v>83.48</v>
      </c>
      <c r="L73" s="64">
        <v>23.58</v>
      </c>
      <c r="M73" s="64">
        <v>58.9</v>
      </c>
      <c r="N73" s="64">
        <v>97.1</v>
      </c>
      <c r="O73" s="64">
        <v>0</v>
      </c>
      <c r="P73" s="64">
        <v>0.67</v>
      </c>
      <c r="Q73" s="64">
        <v>8.2100000000000009</v>
      </c>
      <c r="R73" s="198"/>
      <c r="S73" s="198"/>
      <c r="T73" s="198"/>
      <c r="U73" s="198"/>
    </row>
    <row r="74" spans="1:21" s="12" customFormat="1" x14ac:dyDescent="0.25">
      <c r="A74" s="215" t="s">
        <v>2137</v>
      </c>
      <c r="B74" s="64">
        <v>6.24</v>
      </c>
      <c r="C74" s="64">
        <v>54.21</v>
      </c>
      <c r="D74" s="64">
        <v>31.95</v>
      </c>
      <c r="E74" s="64">
        <v>6.56</v>
      </c>
      <c r="F74" s="64">
        <v>3.68</v>
      </c>
      <c r="G74" s="64">
        <v>46.38</v>
      </c>
      <c r="H74" s="64">
        <v>20.02</v>
      </c>
      <c r="I74" s="64">
        <v>6.98</v>
      </c>
      <c r="J74" s="64">
        <v>2.2799999999999998</v>
      </c>
      <c r="K74" s="64">
        <v>104.99</v>
      </c>
      <c r="L74" s="64">
        <v>23.29</v>
      </c>
      <c r="M74" s="64">
        <v>59.2</v>
      </c>
      <c r="N74" s="64">
        <v>82.7</v>
      </c>
      <c r="O74" s="64">
        <v>0</v>
      </c>
      <c r="P74" s="64">
        <v>0.68</v>
      </c>
      <c r="Q74" s="64">
        <v>8.2100000000000009</v>
      </c>
      <c r="R74" s="198"/>
      <c r="S74" s="198"/>
      <c r="T74" s="198"/>
      <c r="U74" s="198"/>
    </row>
    <row r="75" spans="1:21" s="12" customFormat="1" x14ac:dyDescent="0.25">
      <c r="A75" s="215" t="s">
        <v>2138</v>
      </c>
      <c r="B75" s="64">
        <v>5.9</v>
      </c>
      <c r="C75" s="64">
        <v>53.24</v>
      </c>
      <c r="D75" s="64">
        <v>31.17</v>
      </c>
      <c r="E75" s="64">
        <v>6.42</v>
      </c>
      <c r="F75" s="64">
        <v>3.69</v>
      </c>
      <c r="G75" s="64">
        <v>46.38</v>
      </c>
      <c r="H75" s="64">
        <v>20.02</v>
      </c>
      <c r="I75" s="64">
        <v>4.93</v>
      </c>
      <c r="J75" s="64">
        <v>1.65</v>
      </c>
      <c r="K75" s="64">
        <v>89.46</v>
      </c>
      <c r="L75" s="64">
        <v>23.1</v>
      </c>
      <c r="M75" s="64">
        <v>60.12</v>
      </c>
      <c r="N75" s="64">
        <v>75.3</v>
      </c>
      <c r="O75" s="64">
        <v>0</v>
      </c>
      <c r="P75" s="64">
        <v>0.66</v>
      </c>
      <c r="Q75" s="64">
        <v>8.2100000000000009</v>
      </c>
      <c r="R75" s="198"/>
      <c r="S75" s="198"/>
      <c r="T75" s="198"/>
      <c r="U75" s="198"/>
    </row>
    <row r="76" spans="1:21" s="12" customFormat="1" x14ac:dyDescent="0.25">
      <c r="A76" s="215" t="s">
        <v>2139</v>
      </c>
      <c r="B76" s="64">
        <v>5.62</v>
      </c>
      <c r="C76" s="64">
        <v>50.22</v>
      </c>
      <c r="D76" s="64">
        <v>29.37</v>
      </c>
      <c r="E76" s="64">
        <v>6.22</v>
      </c>
      <c r="F76" s="64">
        <v>4.1500000000000004</v>
      </c>
      <c r="G76" s="64">
        <v>46.38</v>
      </c>
      <c r="H76" s="64">
        <v>20.02</v>
      </c>
      <c r="I76" s="64">
        <v>4.6399999999999997</v>
      </c>
      <c r="J76" s="64">
        <v>0.55000000000000004</v>
      </c>
      <c r="K76" s="64">
        <v>47.49</v>
      </c>
      <c r="L76" s="64">
        <v>22.89</v>
      </c>
      <c r="M76" s="64">
        <v>61.2</v>
      </c>
      <c r="N76" s="64">
        <v>64.900000000000006</v>
      </c>
      <c r="O76" s="64">
        <v>0</v>
      </c>
      <c r="P76" s="64">
        <v>0.69</v>
      </c>
      <c r="Q76" s="64">
        <v>8.2100000000000009</v>
      </c>
      <c r="R76" s="198"/>
      <c r="S76" s="198"/>
      <c r="T76" s="198"/>
      <c r="U76" s="198"/>
    </row>
    <row r="77" spans="1:21" s="12" customFormat="1" x14ac:dyDescent="0.25">
      <c r="A77" s="215" t="s">
        <v>2140</v>
      </c>
      <c r="B77" s="64">
        <v>5.71</v>
      </c>
      <c r="C77" s="64">
        <v>49.79</v>
      </c>
      <c r="D77" s="64">
        <v>29.22</v>
      </c>
      <c r="E77" s="64">
        <v>6.13</v>
      </c>
      <c r="F77" s="64">
        <v>4.3899999999999997</v>
      </c>
      <c r="G77" s="64">
        <v>46.17</v>
      </c>
      <c r="H77" s="64">
        <v>20.149999999999999</v>
      </c>
      <c r="I77" s="64">
        <v>4.9400000000000004</v>
      </c>
      <c r="J77" s="64">
        <v>1.51</v>
      </c>
      <c r="K77" s="64">
        <v>100.68</v>
      </c>
      <c r="L77" s="64">
        <v>22.58</v>
      </c>
      <c r="M77" s="64">
        <v>62.19</v>
      </c>
      <c r="N77" s="64">
        <v>56.2</v>
      </c>
      <c r="O77" s="64">
        <v>0</v>
      </c>
      <c r="P77" s="64">
        <v>0.75</v>
      </c>
      <c r="Q77" s="64">
        <v>8.2100000000000009</v>
      </c>
      <c r="R77" s="198"/>
      <c r="S77" s="198"/>
      <c r="T77" s="198"/>
      <c r="U77" s="198"/>
    </row>
    <row r="78" spans="1:21" s="12" customFormat="1" x14ac:dyDescent="0.25">
      <c r="A78" s="215" t="s">
        <v>2141</v>
      </c>
      <c r="B78" s="64">
        <v>5.97</v>
      </c>
      <c r="C78" s="64">
        <v>51.38</v>
      </c>
      <c r="D78" s="64">
        <v>30.26</v>
      </c>
      <c r="E78" s="64">
        <v>6.14</v>
      </c>
      <c r="F78" s="64">
        <v>4.38</v>
      </c>
      <c r="G78" s="64">
        <v>45.65</v>
      </c>
      <c r="H78" s="64">
        <v>20.67</v>
      </c>
      <c r="I78" s="64">
        <v>4.03</v>
      </c>
      <c r="J78" s="64">
        <v>0.85</v>
      </c>
      <c r="K78" s="64">
        <v>64.44</v>
      </c>
      <c r="L78" s="64">
        <v>22.1</v>
      </c>
      <c r="M78" s="64">
        <v>64.510000000000005</v>
      </c>
      <c r="N78" s="64">
        <v>49.3</v>
      </c>
      <c r="O78" s="64">
        <v>0</v>
      </c>
      <c r="P78" s="64">
        <v>0.75</v>
      </c>
      <c r="Q78" s="64">
        <v>8.2100000000000009</v>
      </c>
      <c r="R78" s="198"/>
      <c r="S78" s="198"/>
      <c r="T78" s="198"/>
      <c r="U78" s="198"/>
    </row>
    <row r="79" spans="1:21" s="12" customFormat="1" x14ac:dyDescent="0.25">
      <c r="A79" s="215" t="s">
        <v>2142</v>
      </c>
      <c r="B79" s="64">
        <v>6.11</v>
      </c>
      <c r="C79" s="64">
        <v>51.4</v>
      </c>
      <c r="D79" s="64">
        <v>30.38</v>
      </c>
      <c r="E79" s="64">
        <v>6.6</v>
      </c>
      <c r="F79" s="64">
        <v>4.38</v>
      </c>
      <c r="G79" s="64">
        <v>45.65</v>
      </c>
      <c r="H79" s="64">
        <v>20.67</v>
      </c>
      <c r="I79" s="64">
        <v>2.91</v>
      </c>
      <c r="J79" s="64">
        <v>0.78</v>
      </c>
      <c r="K79" s="64">
        <v>105.89</v>
      </c>
      <c r="L79" s="64">
        <v>21.68</v>
      </c>
      <c r="M79" s="64">
        <v>66.48</v>
      </c>
      <c r="N79" s="64">
        <v>47.2</v>
      </c>
      <c r="O79" s="64">
        <v>0</v>
      </c>
      <c r="P79" s="64">
        <v>0.8</v>
      </c>
      <c r="Q79" s="64">
        <v>8.2100000000000009</v>
      </c>
      <c r="R79" s="198"/>
      <c r="S79" s="198"/>
      <c r="T79" s="198"/>
      <c r="U79" s="198"/>
    </row>
    <row r="80" spans="1:21" s="12" customFormat="1" x14ac:dyDescent="0.25">
      <c r="A80" s="215" t="s">
        <v>2143</v>
      </c>
      <c r="B80" s="64">
        <v>6.25</v>
      </c>
      <c r="C80" s="64">
        <v>51.22</v>
      </c>
      <c r="D80" s="64">
        <v>30.39</v>
      </c>
      <c r="E80" s="64">
        <v>6.07</v>
      </c>
      <c r="F80" s="64">
        <v>3.95</v>
      </c>
      <c r="G80" s="64">
        <v>45.65</v>
      </c>
      <c r="H80" s="64">
        <v>20.67</v>
      </c>
      <c r="I80" s="64">
        <v>3.02</v>
      </c>
      <c r="J80" s="64">
        <v>0.47</v>
      </c>
      <c r="K80" s="64">
        <v>89.88</v>
      </c>
      <c r="L80" s="64">
        <v>21.32</v>
      </c>
      <c r="M80" s="64">
        <v>68.459999999999994</v>
      </c>
      <c r="N80" s="64">
        <v>46.5</v>
      </c>
      <c r="O80" s="64">
        <v>0</v>
      </c>
      <c r="P80" s="64">
        <v>0.93</v>
      </c>
      <c r="Q80" s="64">
        <v>8.2100000000000009</v>
      </c>
      <c r="R80" s="198"/>
      <c r="S80" s="198"/>
      <c r="T80" s="198"/>
      <c r="U80" s="198"/>
    </row>
    <row r="81" spans="1:26" s="12" customFormat="1" x14ac:dyDescent="0.25">
      <c r="A81" s="215" t="s">
        <v>2144</v>
      </c>
      <c r="B81" s="64">
        <v>6.4</v>
      </c>
      <c r="C81" s="64">
        <v>51.03</v>
      </c>
      <c r="D81" s="64">
        <v>30.41</v>
      </c>
      <c r="E81" s="64">
        <v>6.28</v>
      </c>
      <c r="F81" s="64">
        <v>3.61</v>
      </c>
      <c r="G81" s="64">
        <v>47.88</v>
      </c>
      <c r="H81" s="64">
        <v>20.58</v>
      </c>
      <c r="I81" s="64">
        <v>3.46</v>
      </c>
      <c r="J81" s="64">
        <v>1.92</v>
      </c>
      <c r="K81" s="64">
        <v>104.27</v>
      </c>
      <c r="L81" s="64">
        <v>21.09</v>
      </c>
      <c r="M81" s="64">
        <v>69.52</v>
      </c>
      <c r="N81" s="64">
        <v>46.2</v>
      </c>
      <c r="O81" s="64">
        <v>0</v>
      </c>
      <c r="P81" s="64">
        <v>0.88</v>
      </c>
      <c r="Q81" s="64">
        <v>8.2100000000000009</v>
      </c>
      <c r="R81" s="198"/>
      <c r="S81" s="198"/>
      <c r="T81" s="198"/>
      <c r="U81" s="198"/>
    </row>
    <row r="82" spans="1:26" s="12" customFormat="1" x14ac:dyDescent="0.25">
      <c r="A82" s="215" t="s">
        <v>2145</v>
      </c>
      <c r="B82" s="64">
        <v>6.59</v>
      </c>
      <c r="C82" s="64">
        <v>50.8</v>
      </c>
      <c r="D82" s="64">
        <v>30.45</v>
      </c>
      <c r="E82" s="64">
        <v>6.7</v>
      </c>
      <c r="F82" s="64">
        <v>3.53</v>
      </c>
      <c r="G82" s="64">
        <v>53.69</v>
      </c>
      <c r="H82" s="64">
        <v>20.420000000000002</v>
      </c>
      <c r="I82" s="64">
        <v>4.25</v>
      </c>
      <c r="J82" s="64">
        <v>2.63</v>
      </c>
      <c r="K82" s="64">
        <v>112.8</v>
      </c>
      <c r="L82" s="64">
        <v>21.16</v>
      </c>
      <c r="M82" s="64">
        <v>69.2</v>
      </c>
      <c r="N82" s="64">
        <v>46</v>
      </c>
      <c r="O82" s="64">
        <v>0</v>
      </c>
      <c r="P82" s="64">
        <v>0.83</v>
      </c>
      <c r="Q82" s="64">
        <v>8.2100000000000009</v>
      </c>
      <c r="R82" s="198"/>
      <c r="S82" s="198"/>
      <c r="T82" s="198"/>
      <c r="U82" s="198"/>
    </row>
    <row r="83" spans="1:26" s="12" customFormat="1" x14ac:dyDescent="0.25">
      <c r="A83" s="215" t="s">
        <v>2146</v>
      </c>
      <c r="B83" s="64">
        <v>6.77</v>
      </c>
      <c r="C83" s="64">
        <v>50.25</v>
      </c>
      <c r="D83" s="64">
        <v>30.31</v>
      </c>
      <c r="E83" s="64">
        <v>6.32</v>
      </c>
      <c r="F83" s="64">
        <v>3.86</v>
      </c>
      <c r="G83" s="64">
        <v>53.69</v>
      </c>
      <c r="H83" s="64">
        <v>20.420000000000002</v>
      </c>
      <c r="I83" s="64">
        <v>4.62</v>
      </c>
      <c r="J83" s="64">
        <v>1.89</v>
      </c>
      <c r="K83" s="64">
        <v>101.47</v>
      </c>
      <c r="L83" s="64">
        <v>21.09</v>
      </c>
      <c r="M83" s="64">
        <v>69.930000000000007</v>
      </c>
      <c r="N83" s="64">
        <v>46.4</v>
      </c>
      <c r="O83" s="64">
        <v>0</v>
      </c>
      <c r="P83" s="64">
        <v>0.78</v>
      </c>
      <c r="Q83" s="64">
        <v>8.2100000000000009</v>
      </c>
      <c r="R83" s="198"/>
      <c r="S83" s="198"/>
      <c r="T83" s="198"/>
      <c r="U83" s="198"/>
    </row>
    <row r="84" spans="1:26" s="12" customFormat="1" x14ac:dyDescent="0.25">
      <c r="A84" s="215" t="s">
        <v>2147</v>
      </c>
      <c r="B84" s="64">
        <v>6.77</v>
      </c>
      <c r="C84" s="64">
        <v>51.49</v>
      </c>
      <c r="D84" s="64">
        <v>30.96</v>
      </c>
      <c r="E84" s="64">
        <v>6.94</v>
      </c>
      <c r="F84" s="64">
        <v>4.05</v>
      </c>
      <c r="G84" s="64">
        <v>53.69</v>
      </c>
      <c r="H84" s="64">
        <v>20.420000000000002</v>
      </c>
      <c r="I84" s="64">
        <v>5.26</v>
      </c>
      <c r="J84" s="64">
        <v>2.72</v>
      </c>
      <c r="K84" s="64">
        <v>123.1</v>
      </c>
      <c r="L84" s="64">
        <v>21.08</v>
      </c>
      <c r="M84" s="64">
        <v>70.34</v>
      </c>
      <c r="N84" s="64">
        <v>46.5</v>
      </c>
      <c r="O84" s="64">
        <v>0</v>
      </c>
      <c r="P84" s="64">
        <v>0.76</v>
      </c>
      <c r="Q84" s="64">
        <v>8.2100000000000009</v>
      </c>
      <c r="R84" s="198"/>
      <c r="S84" s="198"/>
      <c r="T84" s="198"/>
      <c r="U84" s="198"/>
    </row>
    <row r="85" spans="1:26" s="12" customFormat="1" x14ac:dyDescent="0.25">
      <c r="A85" s="215" t="s">
        <v>2148</v>
      </c>
      <c r="B85" s="64">
        <v>6.59</v>
      </c>
      <c r="C85" s="64">
        <v>50.58</v>
      </c>
      <c r="D85" s="64">
        <v>30.34</v>
      </c>
      <c r="E85" s="64">
        <v>6.77</v>
      </c>
      <c r="F85" s="64">
        <v>4.55</v>
      </c>
      <c r="G85" s="64">
        <v>56.69</v>
      </c>
      <c r="H85" s="64">
        <v>22.39</v>
      </c>
      <c r="I85" s="64">
        <v>7.34</v>
      </c>
      <c r="J85" s="64">
        <v>1.75</v>
      </c>
      <c r="K85" s="64">
        <v>149.88999999999999</v>
      </c>
      <c r="L85" s="64">
        <v>21.01</v>
      </c>
      <c r="M85" s="64">
        <v>71.400000000000006</v>
      </c>
      <c r="N85" s="64">
        <v>46.8</v>
      </c>
      <c r="O85" s="64">
        <v>0</v>
      </c>
      <c r="P85" s="64">
        <v>0.75</v>
      </c>
      <c r="Q85" s="64">
        <v>8.2100000000000009</v>
      </c>
      <c r="R85" s="198"/>
      <c r="S85" s="198"/>
      <c r="T85" s="198"/>
      <c r="U85" s="198"/>
    </row>
    <row r="86" spans="1:26" s="12" customFormat="1" x14ac:dyDescent="0.25">
      <c r="A86" s="215" t="s">
        <v>2149</v>
      </c>
      <c r="B86" s="64">
        <v>6.43</v>
      </c>
      <c r="C86" s="64">
        <v>49.66</v>
      </c>
      <c r="D86" s="64">
        <v>29.73</v>
      </c>
      <c r="E86" s="64">
        <v>6.91</v>
      </c>
      <c r="F86" s="64">
        <v>4.3899999999999997</v>
      </c>
      <c r="G86" s="64">
        <v>64.5</v>
      </c>
      <c r="H86" s="64">
        <v>25.92</v>
      </c>
      <c r="I86" s="64">
        <v>7.3</v>
      </c>
      <c r="J86" s="64">
        <v>0.85</v>
      </c>
      <c r="K86" s="64">
        <v>116.79</v>
      </c>
      <c r="L86" s="64">
        <v>20.64</v>
      </c>
      <c r="M86" s="64">
        <v>74.39</v>
      </c>
      <c r="N86" s="64">
        <v>46.8</v>
      </c>
      <c r="O86" s="64">
        <v>0</v>
      </c>
      <c r="P86" s="64">
        <v>0.76</v>
      </c>
      <c r="Q86" s="64">
        <v>8.2100000000000009</v>
      </c>
      <c r="R86" s="198"/>
      <c r="S86" s="198"/>
      <c r="T86" s="198"/>
      <c r="U86" s="198"/>
    </row>
    <row r="87" spans="1:26" s="12" customFormat="1" x14ac:dyDescent="0.25">
      <c r="A87" s="215" t="s">
        <v>2150</v>
      </c>
      <c r="B87" s="64">
        <v>6.32</v>
      </c>
      <c r="C87" s="64">
        <v>50.69</v>
      </c>
      <c r="D87" s="64">
        <v>29.84</v>
      </c>
      <c r="E87" s="64">
        <v>6.87</v>
      </c>
      <c r="F87" s="64">
        <v>3.79</v>
      </c>
      <c r="G87" s="64">
        <v>64.5</v>
      </c>
      <c r="H87" s="64">
        <v>25.92</v>
      </c>
      <c r="I87" s="64">
        <v>7.92</v>
      </c>
      <c r="J87" s="64">
        <v>1.54</v>
      </c>
      <c r="K87" s="64">
        <v>167.33</v>
      </c>
      <c r="L87" s="64">
        <v>20.190000000000001</v>
      </c>
      <c r="M87" s="64">
        <v>77.459999999999994</v>
      </c>
      <c r="N87" s="64">
        <v>46.5</v>
      </c>
      <c r="O87" s="64">
        <v>0</v>
      </c>
      <c r="P87" s="64">
        <v>0.74</v>
      </c>
      <c r="Q87" s="64">
        <v>8.2100000000000009</v>
      </c>
      <c r="R87" s="198"/>
      <c r="S87" s="198"/>
      <c r="T87" s="198"/>
      <c r="U87" s="198"/>
    </row>
    <row r="88" spans="1:26" s="12" customFormat="1" x14ac:dyDescent="0.25">
      <c r="A88" s="215" t="s">
        <v>2151</v>
      </c>
      <c r="B88" s="64">
        <v>6.34</v>
      </c>
      <c r="C88" s="64">
        <v>49.38</v>
      </c>
      <c r="D88" s="64">
        <v>29.51</v>
      </c>
      <c r="E88" s="64">
        <v>6.07</v>
      </c>
      <c r="F88" s="64">
        <v>3.54</v>
      </c>
      <c r="G88" s="64">
        <v>64.5</v>
      </c>
      <c r="H88" s="64">
        <v>25.92</v>
      </c>
      <c r="I88" s="64">
        <v>7.62</v>
      </c>
      <c r="J88" s="64">
        <v>1.22</v>
      </c>
      <c r="K88" s="64">
        <v>114.24</v>
      </c>
      <c r="L88" s="64">
        <v>19.850000000000001</v>
      </c>
      <c r="M88" s="64">
        <v>79.78</v>
      </c>
      <c r="N88" s="64">
        <v>46.5</v>
      </c>
      <c r="O88" s="64">
        <v>0</v>
      </c>
      <c r="P88" s="64">
        <v>0.73</v>
      </c>
      <c r="Q88" s="64">
        <v>8.2100000000000009</v>
      </c>
      <c r="R88" s="198"/>
      <c r="S88" s="198"/>
      <c r="T88" s="198"/>
      <c r="U88" s="198"/>
    </row>
    <row r="89" spans="1:26" s="12" customFormat="1" x14ac:dyDescent="0.25">
      <c r="A89" s="215" t="s">
        <v>2152</v>
      </c>
      <c r="B89" s="64">
        <v>6.35</v>
      </c>
      <c r="C89" s="64">
        <v>48.63</v>
      </c>
      <c r="D89" s="64">
        <v>29.12</v>
      </c>
      <c r="E89" s="64">
        <v>6.35</v>
      </c>
      <c r="F89" s="64">
        <v>3.77</v>
      </c>
      <c r="G89" s="64">
        <v>60</v>
      </c>
      <c r="H89" s="64">
        <v>24.35</v>
      </c>
      <c r="I89" s="64">
        <v>7.45</v>
      </c>
      <c r="J89" s="64">
        <v>1.98</v>
      </c>
      <c r="K89" s="64">
        <v>109.72</v>
      </c>
      <c r="L89" s="64">
        <v>19.61</v>
      </c>
      <c r="M89" s="64">
        <v>81.5</v>
      </c>
      <c r="N89" s="64">
        <v>46.4</v>
      </c>
      <c r="O89" s="64">
        <v>0</v>
      </c>
      <c r="P89" s="64">
        <v>0.72</v>
      </c>
      <c r="Q89" s="64">
        <v>8.2100000000000009</v>
      </c>
      <c r="R89" s="198"/>
      <c r="S89" s="198"/>
      <c r="T89" s="198"/>
      <c r="U89" s="198"/>
    </row>
    <row r="90" spans="1:26" s="12" customFormat="1" x14ac:dyDescent="0.25">
      <c r="A90" s="215" t="s">
        <v>2153</v>
      </c>
      <c r="B90" s="64">
        <v>6.41</v>
      </c>
      <c r="C90" s="64">
        <v>48.43</v>
      </c>
      <c r="D90" s="64">
        <v>29.07</v>
      </c>
      <c r="E90" s="64">
        <v>5.92</v>
      </c>
      <c r="F90" s="64">
        <v>3.33</v>
      </c>
      <c r="G90" s="64">
        <v>48.29</v>
      </c>
      <c r="H90" s="64">
        <v>21.54</v>
      </c>
      <c r="I90" s="64">
        <v>7.39</v>
      </c>
      <c r="J90" s="64">
        <v>1.34</v>
      </c>
      <c r="K90" s="64">
        <v>92.9</v>
      </c>
      <c r="L90" s="64">
        <v>19.39</v>
      </c>
      <c r="M90" s="64">
        <v>83.3</v>
      </c>
      <c r="N90" s="64">
        <v>46.4</v>
      </c>
      <c r="O90" s="64">
        <v>0</v>
      </c>
      <c r="P90" s="64">
        <v>0.71</v>
      </c>
      <c r="Q90" s="64">
        <v>8.2100000000000009</v>
      </c>
      <c r="R90" s="198"/>
      <c r="S90" s="198"/>
      <c r="T90" s="198"/>
      <c r="U90" s="198"/>
    </row>
    <row r="91" spans="1:26" s="12" customFormat="1" x14ac:dyDescent="0.25">
      <c r="A91" s="215" t="s">
        <v>2154</v>
      </c>
      <c r="B91" s="64">
        <v>6.52</v>
      </c>
      <c r="C91" s="64">
        <v>47.18</v>
      </c>
      <c r="D91" s="64">
        <v>28.5</v>
      </c>
      <c r="E91" s="64">
        <v>6.11</v>
      </c>
      <c r="F91" s="64">
        <v>3.52</v>
      </c>
      <c r="G91" s="64">
        <v>48.29</v>
      </c>
      <c r="H91" s="64">
        <v>21.54</v>
      </c>
      <c r="I91" s="64">
        <v>7.42</v>
      </c>
      <c r="J91" s="64">
        <v>0.96</v>
      </c>
      <c r="K91" s="64">
        <v>85.76</v>
      </c>
      <c r="L91" s="64">
        <v>19.170000000000002</v>
      </c>
      <c r="M91" s="64">
        <v>85.14</v>
      </c>
      <c r="N91" s="64">
        <v>46.4</v>
      </c>
      <c r="O91" s="64">
        <v>0</v>
      </c>
      <c r="P91" s="64">
        <v>0.69</v>
      </c>
      <c r="Q91" s="64">
        <v>8.2100000000000009</v>
      </c>
      <c r="R91" s="198"/>
      <c r="S91" s="198"/>
      <c r="T91" s="198"/>
      <c r="U91" s="198"/>
    </row>
    <row r="92" spans="1:26" s="12" customFormat="1" x14ac:dyDescent="0.25">
      <c r="A92" s="215" t="s">
        <v>2155</v>
      </c>
      <c r="B92" s="64">
        <v>6.66</v>
      </c>
      <c r="C92" s="64">
        <v>46.21</v>
      </c>
      <c r="D92" s="64">
        <v>28.11</v>
      </c>
      <c r="E92" s="64">
        <v>6.04</v>
      </c>
      <c r="F92" s="64">
        <v>3.62</v>
      </c>
      <c r="G92" s="64">
        <v>48.29</v>
      </c>
      <c r="H92" s="64">
        <v>21.54</v>
      </c>
      <c r="I92" s="64">
        <v>7.48</v>
      </c>
      <c r="J92" s="64">
        <v>0.72</v>
      </c>
      <c r="K92" s="64">
        <v>96.15</v>
      </c>
      <c r="L92" s="64">
        <v>18.98</v>
      </c>
      <c r="M92" s="64">
        <v>86.61</v>
      </c>
      <c r="N92" s="64">
        <v>46.4</v>
      </c>
      <c r="O92" s="64">
        <v>0</v>
      </c>
      <c r="P92" s="64">
        <v>0.65</v>
      </c>
      <c r="Q92" s="64">
        <v>8.2100000000000009</v>
      </c>
      <c r="R92" s="198"/>
      <c r="S92" s="198"/>
      <c r="T92" s="198"/>
      <c r="U92" s="198"/>
    </row>
    <row r="93" spans="1:26" s="12" customFormat="1" x14ac:dyDescent="0.25">
      <c r="A93" s="215" t="s">
        <v>2156</v>
      </c>
      <c r="B93" s="64">
        <v>6.84</v>
      </c>
      <c r="C93" s="64">
        <v>43.68</v>
      </c>
      <c r="D93" s="64">
        <v>26.93</v>
      </c>
      <c r="E93" s="64">
        <v>6.02</v>
      </c>
      <c r="F93" s="64">
        <v>4.3600000000000003</v>
      </c>
      <c r="G93" s="64">
        <v>45.55</v>
      </c>
      <c r="H93" s="64">
        <v>20.38</v>
      </c>
      <c r="I93" s="64">
        <v>7.29</v>
      </c>
      <c r="J93" s="64">
        <v>1.21</v>
      </c>
      <c r="K93" s="64">
        <v>106.16</v>
      </c>
      <c r="L93" s="64">
        <v>18.850000000000001</v>
      </c>
      <c r="M93" s="64">
        <v>87.75</v>
      </c>
      <c r="N93" s="64">
        <v>46.2</v>
      </c>
      <c r="O93" s="64">
        <v>0</v>
      </c>
      <c r="P93" s="64">
        <v>0.61</v>
      </c>
      <c r="Q93" s="64">
        <v>8.2100000000000009</v>
      </c>
      <c r="R93" s="198"/>
      <c r="S93" s="198"/>
      <c r="T93" s="198"/>
      <c r="U93" s="198"/>
    </row>
    <row r="94" spans="1:26" s="12" customFormat="1" x14ac:dyDescent="0.25">
      <c r="A94" s="215" t="s">
        <v>2157</v>
      </c>
      <c r="B94" s="64">
        <v>7.23</v>
      </c>
      <c r="C94" s="64">
        <v>44.4</v>
      </c>
      <c r="D94" s="64">
        <v>27.62</v>
      </c>
      <c r="E94" s="64">
        <v>5.71</v>
      </c>
      <c r="F94" s="64">
        <v>3.63</v>
      </c>
      <c r="G94" s="64">
        <v>38.42</v>
      </c>
      <c r="H94" s="64">
        <v>15.86</v>
      </c>
      <c r="I94" s="64">
        <v>5.92</v>
      </c>
      <c r="J94" s="64">
        <v>2.2599999999999998</v>
      </c>
      <c r="K94" s="64">
        <v>97.94</v>
      </c>
      <c r="L94" s="64">
        <v>18.73</v>
      </c>
      <c r="M94" s="64">
        <v>88.57</v>
      </c>
      <c r="N94" s="64">
        <v>46.1</v>
      </c>
      <c r="O94" s="64">
        <v>0</v>
      </c>
      <c r="P94" s="64">
        <v>0.61</v>
      </c>
      <c r="Q94" s="64">
        <v>8.2100000000000009</v>
      </c>
      <c r="R94" s="198"/>
      <c r="S94" s="198"/>
      <c r="T94" s="198"/>
      <c r="U94" s="198"/>
    </row>
    <row r="95" spans="1:26" s="12" customFormat="1" x14ac:dyDescent="0.25">
      <c r="A95" s="215" t="s">
        <v>2158</v>
      </c>
      <c r="B95" s="64">
        <v>7.66</v>
      </c>
      <c r="C95" s="64">
        <v>44.23</v>
      </c>
      <c r="D95" s="64">
        <v>27.87</v>
      </c>
      <c r="E95" s="64">
        <v>5.68</v>
      </c>
      <c r="F95" s="64">
        <v>3.11</v>
      </c>
      <c r="G95" s="64">
        <v>38.42</v>
      </c>
      <c r="H95" s="64">
        <v>15.86</v>
      </c>
      <c r="I95" s="64">
        <v>5.65</v>
      </c>
      <c r="J95" s="64">
        <v>1.55</v>
      </c>
      <c r="K95" s="64">
        <v>141</v>
      </c>
      <c r="L95" s="64">
        <v>18.57</v>
      </c>
      <c r="M95" s="64">
        <v>89.51</v>
      </c>
      <c r="N95" s="64">
        <v>46.3</v>
      </c>
      <c r="O95" s="64">
        <v>0</v>
      </c>
      <c r="P95" s="64">
        <v>0.62</v>
      </c>
      <c r="Q95" s="64">
        <v>8.2100000000000009</v>
      </c>
      <c r="R95" s="198"/>
      <c r="S95" s="198"/>
      <c r="T95" s="198"/>
      <c r="U95" s="198"/>
    </row>
    <row r="96" spans="1:26" s="12" customFormat="1" x14ac:dyDescent="0.25">
      <c r="A96" s="215" t="s">
        <v>2159</v>
      </c>
      <c r="B96" s="64">
        <v>8.02</v>
      </c>
      <c r="C96" s="64">
        <v>44.17</v>
      </c>
      <c r="D96" s="64">
        <v>28.14</v>
      </c>
      <c r="E96" s="64">
        <v>5.96</v>
      </c>
      <c r="F96" s="64">
        <v>3.81</v>
      </c>
      <c r="G96" s="64">
        <v>38.42</v>
      </c>
      <c r="H96" s="64">
        <v>15.86</v>
      </c>
      <c r="I96" s="64">
        <v>5.42</v>
      </c>
      <c r="J96" s="64">
        <v>1.5</v>
      </c>
      <c r="K96" s="64">
        <v>163.86</v>
      </c>
      <c r="L96" s="64">
        <v>18.38</v>
      </c>
      <c r="M96" s="64">
        <v>91.01</v>
      </c>
      <c r="N96" s="64">
        <v>46.4</v>
      </c>
      <c r="O96" s="64">
        <v>0</v>
      </c>
      <c r="P96" s="64">
        <v>0.59</v>
      </c>
      <c r="Q96" s="64">
        <v>8.2100000000000009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2160</v>
      </c>
      <c r="B97" s="64">
        <v>8.34</v>
      </c>
      <c r="C97" s="64">
        <v>43.38</v>
      </c>
      <c r="D97" s="64">
        <v>27.98</v>
      </c>
      <c r="E97" s="64">
        <v>5.73</v>
      </c>
      <c r="F97" s="64">
        <v>3.61</v>
      </c>
      <c r="G97" s="64">
        <v>36.51</v>
      </c>
      <c r="H97" s="64">
        <v>14.01</v>
      </c>
      <c r="I97" s="64">
        <v>5.68</v>
      </c>
      <c r="J97" s="64">
        <v>1.4</v>
      </c>
      <c r="K97" s="64">
        <v>134.66</v>
      </c>
      <c r="L97" s="64">
        <v>18.12</v>
      </c>
      <c r="M97" s="64">
        <v>92.5</v>
      </c>
      <c r="N97" s="64">
        <v>46.4</v>
      </c>
      <c r="O97" s="64">
        <v>0</v>
      </c>
      <c r="P97" s="64">
        <v>0.57999999999999996</v>
      </c>
      <c r="Q97" s="64">
        <v>8.2100000000000009</v>
      </c>
      <c r="R97" s="198"/>
      <c r="S97" s="198"/>
      <c r="T97" s="198"/>
      <c r="U97" s="198"/>
    </row>
    <row r="98" spans="1:33" s="12" customFormat="1" x14ac:dyDescent="0.25">
      <c r="A98" s="215" t="s">
        <v>2161</v>
      </c>
      <c r="B98" s="64">
        <v>8.64</v>
      </c>
      <c r="C98" s="64">
        <v>43.06</v>
      </c>
      <c r="D98" s="64">
        <v>28.05</v>
      </c>
      <c r="E98" s="64">
        <v>5.84</v>
      </c>
      <c r="F98" s="64">
        <v>3.66</v>
      </c>
      <c r="G98" s="64">
        <v>31.55</v>
      </c>
      <c r="H98" s="64">
        <v>10.69</v>
      </c>
      <c r="I98" s="64">
        <v>6.27</v>
      </c>
      <c r="J98" s="64">
        <v>1.67</v>
      </c>
      <c r="K98" s="64">
        <v>94.23</v>
      </c>
      <c r="L98" s="64">
        <v>17.920000000000002</v>
      </c>
      <c r="M98" s="64">
        <v>93.5</v>
      </c>
      <c r="N98" s="64">
        <v>46.4</v>
      </c>
      <c r="O98" s="64">
        <v>0</v>
      </c>
      <c r="P98" s="64">
        <v>0.56999999999999995</v>
      </c>
      <c r="Q98" s="64">
        <v>8.2100000000000009</v>
      </c>
      <c r="R98" s="198"/>
      <c r="S98" s="198"/>
      <c r="T98" s="198"/>
      <c r="U98" s="198"/>
    </row>
    <row r="99" spans="1:33" s="12" customFormat="1" x14ac:dyDescent="0.25">
      <c r="A99" s="215" t="s">
        <v>2162</v>
      </c>
      <c r="B99" s="64">
        <v>8.85</v>
      </c>
      <c r="C99" s="64">
        <v>42.36</v>
      </c>
      <c r="D99" s="64">
        <v>27.85</v>
      </c>
      <c r="E99" s="64">
        <v>5.66</v>
      </c>
      <c r="F99" s="64">
        <v>3.34</v>
      </c>
      <c r="G99" s="64">
        <v>31.55</v>
      </c>
      <c r="H99" s="64">
        <v>10.69</v>
      </c>
      <c r="I99" s="64">
        <v>5.57</v>
      </c>
      <c r="J99" s="64">
        <v>0.99</v>
      </c>
      <c r="K99" s="64">
        <v>108.4</v>
      </c>
      <c r="L99" s="64">
        <v>17.79</v>
      </c>
      <c r="M99" s="64">
        <v>94.28</v>
      </c>
      <c r="N99" s="64">
        <v>46.3</v>
      </c>
      <c r="O99" s="64">
        <v>0</v>
      </c>
      <c r="P99" s="64">
        <v>0.56000000000000005</v>
      </c>
      <c r="Q99" s="64">
        <v>8.2100000000000009</v>
      </c>
      <c r="R99" s="198"/>
      <c r="S99" s="198"/>
      <c r="T99" s="198"/>
      <c r="U99" s="198"/>
    </row>
    <row r="100" spans="1:33" s="12" customFormat="1" x14ac:dyDescent="0.25">
      <c r="A100" s="215" t="s">
        <v>2163</v>
      </c>
      <c r="B100" s="64">
        <v>9.1</v>
      </c>
      <c r="C100" s="64">
        <v>44.14</v>
      </c>
      <c r="D100" s="64">
        <v>28.98</v>
      </c>
      <c r="E100" s="64">
        <v>5.59</v>
      </c>
      <c r="F100" s="64">
        <v>3.34</v>
      </c>
      <c r="G100" s="64">
        <v>31.55</v>
      </c>
      <c r="H100" s="64">
        <v>10.69</v>
      </c>
      <c r="I100" s="64">
        <v>6.4</v>
      </c>
      <c r="J100" s="64">
        <v>1.64</v>
      </c>
      <c r="K100" s="64">
        <v>109.57</v>
      </c>
      <c r="L100" s="64">
        <v>17.739999999999998</v>
      </c>
      <c r="M100" s="64">
        <v>94.2</v>
      </c>
      <c r="N100" s="64">
        <v>46.1</v>
      </c>
      <c r="O100" s="64">
        <v>0</v>
      </c>
      <c r="P100" s="64">
        <v>0.59</v>
      </c>
      <c r="Q100" s="64">
        <v>8.2100000000000009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2164</v>
      </c>
      <c r="B101" s="64">
        <v>9.24</v>
      </c>
      <c r="C101" s="64">
        <v>44.05</v>
      </c>
      <c r="D101" s="64">
        <v>29.05</v>
      </c>
      <c r="E101" s="64">
        <v>5.52</v>
      </c>
      <c r="F101" s="64">
        <v>3.33</v>
      </c>
      <c r="G101" s="64">
        <v>31.79</v>
      </c>
      <c r="H101" s="64">
        <v>9.82</v>
      </c>
      <c r="I101" s="64">
        <v>6.04</v>
      </c>
      <c r="J101" s="64">
        <v>2.87</v>
      </c>
      <c r="K101" s="64">
        <v>101.72</v>
      </c>
      <c r="L101" s="64">
        <v>17.75</v>
      </c>
      <c r="M101" s="64">
        <v>93.4</v>
      </c>
      <c r="N101" s="64">
        <v>46</v>
      </c>
      <c r="O101" s="64">
        <v>0</v>
      </c>
      <c r="P101" s="64">
        <v>0.56999999999999995</v>
      </c>
      <c r="Q101" s="64">
        <v>8.2100000000000009</v>
      </c>
      <c r="R101" s="198"/>
      <c r="S101" s="198"/>
      <c r="T101" s="198"/>
      <c r="U101" s="198"/>
    </row>
    <row r="102" spans="1:33" s="12" customFormat="1" x14ac:dyDescent="0.25">
      <c r="A102" s="215" t="s">
        <v>2165</v>
      </c>
      <c r="B102" s="64">
        <v>9.2200000000000006</v>
      </c>
      <c r="C102" s="64">
        <v>43.11</v>
      </c>
      <c r="D102" s="64">
        <v>28.54</v>
      </c>
      <c r="E102" s="64">
        <v>5.78</v>
      </c>
      <c r="F102" s="64">
        <v>3.4</v>
      </c>
      <c r="G102" s="64">
        <v>32.409999999999997</v>
      </c>
      <c r="H102" s="64">
        <v>8.27</v>
      </c>
      <c r="I102" s="64">
        <v>7.27</v>
      </c>
      <c r="J102" s="64">
        <v>2.21</v>
      </c>
      <c r="K102" s="64">
        <v>102.68</v>
      </c>
      <c r="L102" s="64">
        <v>17.59</v>
      </c>
      <c r="M102" s="64">
        <v>94.48</v>
      </c>
      <c r="N102" s="64">
        <v>46.3</v>
      </c>
      <c r="O102" s="64">
        <v>0</v>
      </c>
      <c r="P102" s="64">
        <v>0.56000000000000005</v>
      </c>
      <c r="Q102" s="64">
        <v>8.2100000000000009</v>
      </c>
      <c r="R102" s="198"/>
      <c r="S102" s="198"/>
      <c r="T102" s="198"/>
      <c r="U102" s="198"/>
    </row>
    <row r="103" spans="1:33" s="12" customFormat="1" x14ac:dyDescent="0.25">
      <c r="A103" s="215" t="s">
        <v>2166</v>
      </c>
      <c r="B103" s="64">
        <v>9.2100000000000009</v>
      </c>
      <c r="C103" s="64">
        <v>41.37</v>
      </c>
      <c r="D103" s="64">
        <v>27.63</v>
      </c>
      <c r="E103" s="64">
        <v>5.8</v>
      </c>
      <c r="F103" s="64">
        <v>3.27</v>
      </c>
      <c r="G103" s="64">
        <v>32.409999999999997</v>
      </c>
      <c r="H103" s="64">
        <v>8.27</v>
      </c>
      <c r="I103" s="64">
        <v>7.61</v>
      </c>
      <c r="J103" s="64">
        <v>2.64</v>
      </c>
      <c r="K103" s="64">
        <v>103.83</v>
      </c>
      <c r="L103" s="64">
        <v>17.420000000000002</v>
      </c>
      <c r="M103" s="64">
        <v>95.92</v>
      </c>
      <c r="N103" s="64">
        <v>46.4</v>
      </c>
      <c r="O103" s="64">
        <v>0</v>
      </c>
      <c r="P103" s="64">
        <v>0.54</v>
      </c>
      <c r="Q103" s="64">
        <v>8.2100000000000009</v>
      </c>
      <c r="R103" s="198"/>
      <c r="S103" s="198"/>
      <c r="T103" s="198"/>
      <c r="U103" s="198"/>
    </row>
    <row r="104" spans="1:33" s="12" customFormat="1" x14ac:dyDescent="0.25">
      <c r="A104" s="215" t="s">
        <v>2167</v>
      </c>
      <c r="B104" s="64">
        <v>9.26</v>
      </c>
      <c r="C104" s="64">
        <v>41.96</v>
      </c>
      <c r="D104" s="64">
        <v>27.97</v>
      </c>
      <c r="E104" s="64">
        <v>5.59</v>
      </c>
      <c r="F104" s="64">
        <v>3.51</v>
      </c>
      <c r="G104" s="64">
        <v>32.409999999999997</v>
      </c>
      <c r="H104" s="64">
        <v>8.27</v>
      </c>
      <c r="I104" s="64">
        <v>7.65</v>
      </c>
      <c r="J104" s="64">
        <v>2.83</v>
      </c>
      <c r="K104" s="64">
        <v>97.84</v>
      </c>
      <c r="L104" s="64">
        <v>17.11</v>
      </c>
      <c r="M104" s="64">
        <v>98.46</v>
      </c>
      <c r="N104" s="64">
        <v>46.4</v>
      </c>
      <c r="O104" s="64">
        <v>0</v>
      </c>
      <c r="P104" s="64">
        <v>0.53</v>
      </c>
      <c r="Q104" s="64">
        <v>8.2100000000000009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2.9</v>
      </c>
      <c r="C106" s="67">
        <f>MIN(C9:C104)</f>
        <v>41.37</v>
      </c>
      <c r="D106" s="67">
        <f t="shared" ref="D106:Q106" si="0">MIN(D9:D104)</f>
        <v>26.93</v>
      </c>
      <c r="E106" s="67">
        <f t="shared" si="0"/>
        <v>4.13</v>
      </c>
      <c r="F106" s="67">
        <f t="shared" si="0"/>
        <v>3.11</v>
      </c>
      <c r="G106" s="67">
        <f t="shared" si="0"/>
        <v>31.55</v>
      </c>
      <c r="H106" s="67">
        <f t="shared" si="0"/>
        <v>8.27</v>
      </c>
      <c r="I106" s="67">
        <f t="shared" si="0"/>
        <v>2.91</v>
      </c>
      <c r="J106" s="67">
        <f t="shared" si="0"/>
        <v>0.34</v>
      </c>
      <c r="K106" s="67">
        <f t="shared" si="0"/>
        <v>0.51</v>
      </c>
      <c r="L106" s="67">
        <f t="shared" si="0"/>
        <v>14.12</v>
      </c>
      <c r="M106" s="67">
        <f t="shared" si="0"/>
        <v>52.15</v>
      </c>
      <c r="N106" s="67">
        <f t="shared" si="0"/>
        <v>46</v>
      </c>
      <c r="O106" s="67">
        <f t="shared" si="0"/>
        <v>0</v>
      </c>
      <c r="P106" s="67">
        <f t="shared" si="0"/>
        <v>0.53</v>
      </c>
      <c r="Q106" s="67">
        <f t="shared" si="0"/>
        <v>8.2100000000000009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18.670000000000002</v>
      </c>
      <c r="C107" s="66">
        <f t="shared" ref="C107:Q107" si="1">MAX(C9:C104)</f>
        <v>58.89</v>
      </c>
      <c r="D107" s="66">
        <f t="shared" si="1"/>
        <v>41.25</v>
      </c>
      <c r="E107" s="66">
        <f t="shared" si="1"/>
        <v>9.5</v>
      </c>
      <c r="F107" s="66">
        <f t="shared" si="1"/>
        <v>6.76</v>
      </c>
      <c r="G107" s="66">
        <f t="shared" si="1"/>
        <v>94.96</v>
      </c>
      <c r="H107" s="66">
        <f t="shared" si="1"/>
        <v>44.49</v>
      </c>
      <c r="I107" s="66">
        <f t="shared" si="1"/>
        <v>9.18</v>
      </c>
      <c r="J107" s="66">
        <f t="shared" si="1"/>
        <v>3.38</v>
      </c>
      <c r="K107" s="66">
        <f t="shared" si="1"/>
        <v>358.34</v>
      </c>
      <c r="L107" s="66">
        <f t="shared" si="1"/>
        <v>26.32</v>
      </c>
      <c r="M107" s="66">
        <f t="shared" si="1"/>
        <v>101.68</v>
      </c>
      <c r="N107" s="66">
        <f t="shared" si="1"/>
        <v>655.1</v>
      </c>
      <c r="O107" s="66">
        <f t="shared" si="1"/>
        <v>0</v>
      </c>
      <c r="P107" s="66">
        <f t="shared" si="1"/>
        <v>0.94</v>
      </c>
      <c r="Q107" s="66">
        <f t="shared" si="1"/>
        <v>8.2100000000000009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8.6813541666666669</v>
      </c>
      <c r="C108" s="67">
        <f t="shared" ref="C108:Q108" si="2">AVERAGE(C9:C104)</f>
        <v>50.168229166666663</v>
      </c>
      <c r="D108" s="67">
        <f t="shared" si="2"/>
        <v>31.793020833333326</v>
      </c>
      <c r="E108" s="67">
        <f t="shared" si="2"/>
        <v>5.9865624999999989</v>
      </c>
      <c r="F108" s="67">
        <f t="shared" si="2"/>
        <v>4.1789583333333322</v>
      </c>
      <c r="G108" s="67">
        <f t="shared" si="2"/>
        <v>62.150833333333289</v>
      </c>
      <c r="H108" s="67">
        <f t="shared" si="2"/>
        <v>29.262812500000006</v>
      </c>
      <c r="I108" s="67">
        <f t="shared" si="2"/>
        <v>6.4588541666666641</v>
      </c>
      <c r="J108" s="67">
        <f t="shared" si="2"/>
        <v>1.5103125000000002</v>
      </c>
      <c r="K108" s="67">
        <f t="shared" si="2"/>
        <v>119.57104166666663</v>
      </c>
      <c r="L108" s="67">
        <f t="shared" si="2"/>
        <v>19.614270833333325</v>
      </c>
      <c r="M108" s="67">
        <f t="shared" si="2"/>
        <v>78.537708333333313</v>
      </c>
      <c r="N108" s="67">
        <f t="shared" si="2"/>
        <v>191.77395833333344</v>
      </c>
      <c r="O108" s="67">
        <f t="shared" si="2"/>
        <v>0</v>
      </c>
      <c r="P108" s="67">
        <f t="shared" si="2"/>
        <v>0.76958333333333329</v>
      </c>
      <c r="Q108" s="67">
        <f t="shared" si="2"/>
        <v>8.210000000000008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3.9370762915997952</v>
      </c>
      <c r="C109" s="67">
        <f t="shared" ref="C109:Q109" si="3">STDEV(C9:C104)</f>
        <v>3.6900623286111438</v>
      </c>
      <c r="D109" s="67">
        <f t="shared" si="3"/>
        <v>3.8727208223654537</v>
      </c>
      <c r="E109" s="67">
        <f t="shared" si="3"/>
        <v>1.1640318571558459</v>
      </c>
      <c r="F109" s="67">
        <f t="shared" si="3"/>
        <v>0.69270557148902534</v>
      </c>
      <c r="G109" s="67">
        <f t="shared" si="3"/>
        <v>17.05255354649692</v>
      </c>
      <c r="H109" s="67">
        <f t="shared" si="3"/>
        <v>10.441581116722958</v>
      </c>
      <c r="I109" s="67">
        <f t="shared" si="3"/>
        <v>1.1601940579890135</v>
      </c>
      <c r="J109" s="67">
        <f t="shared" si="3"/>
        <v>0.6985028397259837</v>
      </c>
      <c r="K109" s="67">
        <f t="shared" si="3"/>
        <v>101.45289955628273</v>
      </c>
      <c r="L109" s="67">
        <f t="shared" si="3"/>
        <v>3.8144654712214536</v>
      </c>
      <c r="M109" s="67">
        <f t="shared" si="3"/>
        <v>16.621932972600252</v>
      </c>
      <c r="N109" s="67">
        <f t="shared" si="3"/>
        <v>200.18074266958246</v>
      </c>
      <c r="O109" s="67">
        <f t="shared" si="3"/>
        <v>0</v>
      </c>
      <c r="P109" s="67">
        <f t="shared" si="3"/>
        <v>0.11360056214340998</v>
      </c>
      <c r="Q109" s="67">
        <f t="shared" si="3"/>
        <v>7.1427264451533946E-15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9" sqref="G11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247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21/12/2024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231</v>
      </c>
      <c r="C7" s="198" t="s">
        <v>232</v>
      </c>
      <c r="D7" s="198" t="s">
        <v>233</v>
      </c>
      <c r="E7" s="198" t="s">
        <v>234</v>
      </c>
      <c r="F7" s="198" t="s">
        <v>235</v>
      </c>
      <c r="G7" s="198" t="s">
        <v>236</v>
      </c>
      <c r="H7" s="198" t="s">
        <v>237</v>
      </c>
      <c r="I7" s="198" t="s">
        <v>238</v>
      </c>
      <c r="J7" s="198" t="s">
        <v>239</v>
      </c>
      <c r="K7" s="198" t="s">
        <v>240</v>
      </c>
      <c r="L7" s="198" t="s">
        <v>241</v>
      </c>
      <c r="M7" s="198" t="s">
        <v>242</v>
      </c>
      <c r="N7" s="198" t="s">
        <v>243</v>
      </c>
      <c r="O7" s="198" t="s">
        <v>244</v>
      </c>
      <c r="P7" s="198" t="s">
        <v>245</v>
      </c>
      <c r="Q7" s="198" t="s">
        <v>246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2168</v>
      </c>
      <c r="B9" s="64">
        <v>9.2799999999999994</v>
      </c>
      <c r="C9" s="64">
        <v>41.53</v>
      </c>
      <c r="D9" s="64">
        <v>27.76</v>
      </c>
      <c r="E9" s="64">
        <v>6.08</v>
      </c>
      <c r="F9" s="64">
        <v>3.36</v>
      </c>
      <c r="G9" s="64">
        <v>28.87</v>
      </c>
      <c r="H9" s="64">
        <v>9.2200000000000006</v>
      </c>
      <c r="I9" s="64">
        <v>7.62</v>
      </c>
      <c r="J9" s="64">
        <v>1.89</v>
      </c>
      <c r="K9" s="64">
        <v>102.37</v>
      </c>
      <c r="L9" s="64">
        <v>16.91</v>
      </c>
      <c r="M9" s="64">
        <v>99.8</v>
      </c>
      <c r="N9" s="64">
        <v>46.4</v>
      </c>
      <c r="O9" s="64">
        <v>0</v>
      </c>
      <c r="P9" s="64">
        <v>0.52</v>
      </c>
      <c r="Q9" s="64">
        <v>8.2100000000000009</v>
      </c>
      <c r="R9" s="198"/>
      <c r="S9" s="198"/>
      <c r="T9" s="198"/>
      <c r="U9" s="198"/>
    </row>
    <row r="10" spans="1:21" s="12" customFormat="1" x14ac:dyDescent="0.25">
      <c r="A10" s="215" t="s">
        <v>2169</v>
      </c>
      <c r="B10" s="64">
        <v>9.25</v>
      </c>
      <c r="C10" s="64">
        <v>41.72</v>
      </c>
      <c r="D10" s="64">
        <v>27.84</v>
      </c>
      <c r="E10" s="64">
        <v>5.9</v>
      </c>
      <c r="F10" s="64">
        <v>3.04</v>
      </c>
      <c r="G10" s="64">
        <v>19.670000000000002</v>
      </c>
      <c r="H10" s="64">
        <v>10.92</v>
      </c>
      <c r="I10" s="64">
        <v>7.91</v>
      </c>
      <c r="J10" s="64">
        <v>1.1200000000000001</v>
      </c>
      <c r="K10" s="64">
        <v>117.57</v>
      </c>
      <c r="L10" s="64">
        <v>16.78</v>
      </c>
      <c r="M10" s="64">
        <v>100.17</v>
      </c>
      <c r="N10" s="64">
        <v>46.4</v>
      </c>
      <c r="O10" s="64">
        <v>0</v>
      </c>
      <c r="P10" s="64">
        <v>0.51</v>
      </c>
      <c r="Q10" s="64">
        <v>8.2100000000000009</v>
      </c>
      <c r="R10" s="198"/>
      <c r="S10" s="198"/>
      <c r="T10" s="198"/>
      <c r="U10" s="198"/>
    </row>
    <row r="11" spans="1:21" s="12" customFormat="1" x14ac:dyDescent="0.25">
      <c r="A11" s="215" t="s">
        <v>2170</v>
      </c>
      <c r="B11" s="64">
        <v>9.25</v>
      </c>
      <c r="C11" s="64">
        <v>40.08</v>
      </c>
      <c r="D11" s="64">
        <v>26.98</v>
      </c>
      <c r="E11" s="64">
        <v>5.84</v>
      </c>
      <c r="F11" s="64">
        <v>3.42</v>
      </c>
      <c r="G11" s="64">
        <v>19.670000000000002</v>
      </c>
      <c r="H11" s="64">
        <v>10.92</v>
      </c>
      <c r="I11" s="64">
        <v>7.84</v>
      </c>
      <c r="J11" s="64">
        <v>2.92</v>
      </c>
      <c r="K11" s="64">
        <v>103.17</v>
      </c>
      <c r="L11" s="64">
        <v>16.7</v>
      </c>
      <c r="M11" s="64">
        <v>100.56</v>
      </c>
      <c r="N11" s="64">
        <v>46.3</v>
      </c>
      <c r="O11" s="64">
        <v>0</v>
      </c>
      <c r="P11" s="64">
        <v>0.5</v>
      </c>
      <c r="Q11" s="64">
        <v>8.2100000000000009</v>
      </c>
      <c r="R11" s="198"/>
      <c r="S11" s="198"/>
      <c r="T11" s="198"/>
      <c r="U11" s="198"/>
    </row>
    <row r="12" spans="1:21" s="12" customFormat="1" x14ac:dyDescent="0.25">
      <c r="A12" s="215" t="s">
        <v>2171</v>
      </c>
      <c r="B12" s="64">
        <v>9.16</v>
      </c>
      <c r="C12" s="64">
        <v>40.47</v>
      </c>
      <c r="D12" s="64">
        <v>27.12</v>
      </c>
      <c r="E12" s="64">
        <v>6.01</v>
      </c>
      <c r="F12" s="64">
        <v>3.11</v>
      </c>
      <c r="G12" s="64">
        <v>19.670000000000002</v>
      </c>
      <c r="H12" s="64">
        <v>10.92</v>
      </c>
      <c r="I12" s="64">
        <v>7.78</v>
      </c>
      <c r="J12" s="64">
        <v>2.48</v>
      </c>
      <c r="K12" s="64">
        <v>107.95</v>
      </c>
      <c r="L12" s="64">
        <v>16.55</v>
      </c>
      <c r="M12" s="64">
        <v>101.53</v>
      </c>
      <c r="N12" s="64">
        <v>46.5</v>
      </c>
      <c r="O12" s="64">
        <v>0</v>
      </c>
      <c r="P12" s="64">
        <v>0.49</v>
      </c>
      <c r="Q12" s="64">
        <v>8.2100000000000009</v>
      </c>
      <c r="R12" s="198"/>
      <c r="S12" s="198"/>
      <c r="T12" s="198"/>
      <c r="U12" s="198"/>
    </row>
    <row r="13" spans="1:21" s="12" customFormat="1" x14ac:dyDescent="0.25">
      <c r="A13" s="215" t="s">
        <v>2172</v>
      </c>
      <c r="B13" s="64">
        <v>9.1199999999999992</v>
      </c>
      <c r="C13" s="64">
        <v>39.630000000000003</v>
      </c>
      <c r="D13" s="64">
        <v>26.64</v>
      </c>
      <c r="E13" s="64">
        <v>6.14</v>
      </c>
      <c r="F13" s="64">
        <v>2.91</v>
      </c>
      <c r="G13" s="64">
        <v>19.809999999999999</v>
      </c>
      <c r="H13" s="64">
        <v>10.72</v>
      </c>
      <c r="I13" s="64">
        <v>7.75</v>
      </c>
      <c r="J13" s="64">
        <v>2.8</v>
      </c>
      <c r="K13" s="64">
        <v>111.97</v>
      </c>
      <c r="L13" s="64">
        <v>16.37</v>
      </c>
      <c r="M13" s="64">
        <v>101.65</v>
      </c>
      <c r="N13" s="64">
        <v>46.6</v>
      </c>
      <c r="O13" s="64">
        <v>0</v>
      </c>
      <c r="P13" s="64">
        <v>0.49</v>
      </c>
      <c r="Q13" s="64">
        <v>8.2100000000000009</v>
      </c>
      <c r="R13" s="198"/>
      <c r="S13" s="198"/>
      <c r="T13" s="198"/>
      <c r="U13" s="198"/>
    </row>
    <row r="14" spans="1:21" s="12" customFormat="1" x14ac:dyDescent="0.25">
      <c r="A14" s="215" t="s">
        <v>2173</v>
      </c>
      <c r="B14" s="64">
        <v>9.2200000000000006</v>
      </c>
      <c r="C14" s="64">
        <v>38.03</v>
      </c>
      <c r="D14" s="64">
        <v>25.89</v>
      </c>
      <c r="E14" s="64">
        <v>5.61</v>
      </c>
      <c r="F14" s="64">
        <v>3.56</v>
      </c>
      <c r="G14" s="64">
        <v>20.170000000000002</v>
      </c>
      <c r="H14" s="64">
        <v>9.86</v>
      </c>
      <c r="I14" s="64">
        <v>7.76</v>
      </c>
      <c r="J14" s="64">
        <v>3.35</v>
      </c>
      <c r="K14" s="64">
        <v>111.37</v>
      </c>
      <c r="L14" s="64">
        <v>16.309999999999999</v>
      </c>
      <c r="M14" s="64">
        <v>101.65</v>
      </c>
      <c r="N14" s="64">
        <v>46.4</v>
      </c>
      <c r="O14" s="64">
        <v>0</v>
      </c>
      <c r="P14" s="64">
        <v>0.51</v>
      </c>
      <c r="Q14" s="64">
        <v>8.2100000000000009</v>
      </c>
      <c r="R14" s="198"/>
      <c r="S14" s="198"/>
      <c r="T14" s="198"/>
      <c r="U14" s="198"/>
    </row>
    <row r="15" spans="1:21" s="12" customFormat="1" x14ac:dyDescent="0.25">
      <c r="A15" s="215" t="s">
        <v>2174</v>
      </c>
      <c r="B15" s="64">
        <v>9.41</v>
      </c>
      <c r="C15" s="64">
        <v>39.15</v>
      </c>
      <c r="D15" s="64">
        <v>26.62</v>
      </c>
      <c r="E15" s="64">
        <v>5.96</v>
      </c>
      <c r="F15" s="64">
        <v>3.28</v>
      </c>
      <c r="G15" s="64">
        <v>20.170000000000002</v>
      </c>
      <c r="H15" s="64">
        <v>9.86</v>
      </c>
      <c r="I15" s="64">
        <v>6.86</v>
      </c>
      <c r="J15" s="64">
        <v>2.8</v>
      </c>
      <c r="K15" s="64">
        <v>109.79</v>
      </c>
      <c r="L15" s="64">
        <v>16.2</v>
      </c>
      <c r="M15" s="64">
        <v>101.65</v>
      </c>
      <c r="N15" s="64">
        <v>46.4</v>
      </c>
      <c r="O15" s="64">
        <v>0</v>
      </c>
      <c r="P15" s="64">
        <v>0.5</v>
      </c>
      <c r="Q15" s="64">
        <v>8.2100000000000009</v>
      </c>
      <c r="R15" s="198"/>
      <c r="S15" s="198"/>
      <c r="T15" s="198"/>
      <c r="U15" s="198"/>
    </row>
    <row r="16" spans="1:21" s="12" customFormat="1" x14ac:dyDescent="0.25">
      <c r="A16" s="215" t="s">
        <v>2175</v>
      </c>
      <c r="B16" s="64">
        <v>9.61</v>
      </c>
      <c r="C16" s="64">
        <v>39.29</v>
      </c>
      <c r="D16" s="64">
        <v>26.86</v>
      </c>
      <c r="E16" s="64">
        <v>5.9</v>
      </c>
      <c r="F16" s="64">
        <v>2.9</v>
      </c>
      <c r="G16" s="64">
        <v>20.170000000000002</v>
      </c>
      <c r="H16" s="64">
        <v>9.86</v>
      </c>
      <c r="I16" s="64">
        <v>7.24</v>
      </c>
      <c r="J16" s="64">
        <v>3.23</v>
      </c>
      <c r="K16" s="64">
        <v>113.7</v>
      </c>
      <c r="L16" s="64">
        <v>16.14</v>
      </c>
      <c r="M16" s="64">
        <v>101.65</v>
      </c>
      <c r="N16" s="64">
        <v>46.2</v>
      </c>
      <c r="O16" s="64">
        <v>0</v>
      </c>
      <c r="P16" s="64">
        <v>0.5</v>
      </c>
      <c r="Q16" s="64">
        <v>8.2100000000000009</v>
      </c>
      <c r="R16" s="198"/>
      <c r="S16" s="198"/>
      <c r="T16" s="198"/>
      <c r="U16" s="198"/>
    </row>
    <row r="17" spans="1:21" s="12" customFormat="1" x14ac:dyDescent="0.25">
      <c r="A17" s="215" t="s">
        <v>2176</v>
      </c>
      <c r="B17" s="64">
        <v>9.81</v>
      </c>
      <c r="C17" s="64">
        <v>38.909999999999997</v>
      </c>
      <c r="D17" s="64">
        <v>26.82</v>
      </c>
      <c r="E17" s="64">
        <v>5.98</v>
      </c>
      <c r="F17" s="64">
        <v>3.55</v>
      </c>
      <c r="G17" s="64">
        <v>19.5</v>
      </c>
      <c r="H17" s="64">
        <v>9.75</v>
      </c>
      <c r="I17" s="64">
        <v>7.56</v>
      </c>
      <c r="J17" s="64">
        <v>3.26</v>
      </c>
      <c r="K17" s="64">
        <v>114.18</v>
      </c>
      <c r="L17" s="64">
        <v>16.010000000000002</v>
      </c>
      <c r="M17" s="64">
        <v>101.65</v>
      </c>
      <c r="N17" s="64">
        <v>46.4</v>
      </c>
      <c r="O17" s="64">
        <v>0</v>
      </c>
      <c r="P17" s="64">
        <v>0.49</v>
      </c>
      <c r="Q17" s="64">
        <v>8.2100000000000009</v>
      </c>
      <c r="R17" s="198"/>
      <c r="S17" s="198"/>
      <c r="T17" s="198"/>
      <c r="U17" s="198"/>
    </row>
    <row r="18" spans="1:21" s="12" customFormat="1" x14ac:dyDescent="0.25">
      <c r="A18" s="215" t="s">
        <v>2177</v>
      </c>
      <c r="B18" s="64">
        <v>9.99</v>
      </c>
      <c r="C18" s="64">
        <v>39.19</v>
      </c>
      <c r="D18" s="64">
        <v>27.11</v>
      </c>
      <c r="E18" s="64">
        <v>6.18</v>
      </c>
      <c r="F18" s="64">
        <v>3.57</v>
      </c>
      <c r="G18" s="64">
        <v>17.75</v>
      </c>
      <c r="H18" s="64">
        <v>9.5500000000000007</v>
      </c>
      <c r="I18" s="64">
        <v>7.14</v>
      </c>
      <c r="J18" s="64">
        <v>3.35</v>
      </c>
      <c r="K18" s="64">
        <v>108.04</v>
      </c>
      <c r="L18" s="64">
        <v>15.84</v>
      </c>
      <c r="M18" s="64">
        <v>101.65</v>
      </c>
      <c r="N18" s="64">
        <v>46.4</v>
      </c>
      <c r="O18" s="64">
        <v>0</v>
      </c>
      <c r="P18" s="64">
        <v>0.49</v>
      </c>
      <c r="Q18" s="64">
        <v>8.2100000000000009</v>
      </c>
      <c r="R18" s="198"/>
      <c r="S18" s="198"/>
      <c r="T18" s="198"/>
      <c r="U18" s="198"/>
    </row>
    <row r="19" spans="1:21" s="12" customFormat="1" x14ac:dyDescent="0.25">
      <c r="A19" s="215" t="s">
        <v>2178</v>
      </c>
      <c r="B19" s="64">
        <v>10</v>
      </c>
      <c r="C19" s="64">
        <v>38.409999999999997</v>
      </c>
      <c r="D19" s="64">
        <v>26.71</v>
      </c>
      <c r="E19" s="64">
        <v>6.19</v>
      </c>
      <c r="F19" s="64">
        <v>3.24</v>
      </c>
      <c r="G19" s="64">
        <v>17.75</v>
      </c>
      <c r="H19" s="64">
        <v>9.5500000000000007</v>
      </c>
      <c r="I19" s="64">
        <v>7.1</v>
      </c>
      <c r="J19" s="64">
        <v>3.12</v>
      </c>
      <c r="K19" s="64">
        <v>102.26</v>
      </c>
      <c r="L19" s="64">
        <v>15.71</v>
      </c>
      <c r="M19" s="64">
        <v>101.65</v>
      </c>
      <c r="N19" s="64">
        <v>46.4</v>
      </c>
      <c r="O19" s="64">
        <v>0</v>
      </c>
      <c r="P19" s="64">
        <v>0.49</v>
      </c>
      <c r="Q19" s="64">
        <v>8.2100000000000009</v>
      </c>
      <c r="R19" s="198"/>
      <c r="S19" s="198"/>
      <c r="T19" s="198"/>
      <c r="U19" s="198"/>
    </row>
    <row r="20" spans="1:21" s="12" customFormat="1" x14ac:dyDescent="0.25">
      <c r="A20" s="215" t="s">
        <v>2179</v>
      </c>
      <c r="B20" s="64">
        <v>9.94</v>
      </c>
      <c r="C20" s="64">
        <v>38.79</v>
      </c>
      <c r="D20" s="64">
        <v>26.86</v>
      </c>
      <c r="E20" s="64">
        <v>6.28</v>
      </c>
      <c r="F20" s="64">
        <v>3.75</v>
      </c>
      <c r="G20" s="64">
        <v>17.75</v>
      </c>
      <c r="H20" s="64">
        <v>9.5500000000000007</v>
      </c>
      <c r="I20" s="64">
        <v>8.01</v>
      </c>
      <c r="J20" s="64">
        <v>2.2000000000000002</v>
      </c>
      <c r="K20" s="64">
        <v>102.39</v>
      </c>
      <c r="L20" s="64">
        <v>15.55</v>
      </c>
      <c r="M20" s="64">
        <v>101.64</v>
      </c>
      <c r="N20" s="64">
        <v>46.4</v>
      </c>
      <c r="O20" s="64">
        <v>0</v>
      </c>
      <c r="P20" s="64">
        <v>0.49</v>
      </c>
      <c r="Q20" s="64">
        <v>8.2100000000000009</v>
      </c>
      <c r="R20" s="198"/>
      <c r="S20" s="198"/>
      <c r="T20" s="198"/>
      <c r="U20" s="198"/>
    </row>
    <row r="21" spans="1:21" s="12" customFormat="1" x14ac:dyDescent="0.25">
      <c r="A21" s="215" t="s">
        <v>2180</v>
      </c>
      <c r="B21" s="64">
        <v>10.039999999999999</v>
      </c>
      <c r="C21" s="64">
        <v>41.26</v>
      </c>
      <c r="D21" s="64">
        <v>28.23</v>
      </c>
      <c r="E21" s="64">
        <v>6.31</v>
      </c>
      <c r="F21" s="64">
        <v>3.37</v>
      </c>
      <c r="G21" s="64">
        <v>18.260000000000002</v>
      </c>
      <c r="H21" s="64">
        <v>9.1300000000000008</v>
      </c>
      <c r="I21" s="64">
        <v>8.24</v>
      </c>
      <c r="J21" s="64">
        <v>2.02</v>
      </c>
      <c r="K21" s="64">
        <v>100.54</v>
      </c>
      <c r="L21" s="64">
        <v>15.46</v>
      </c>
      <c r="M21" s="64">
        <v>101.67</v>
      </c>
      <c r="N21" s="64">
        <v>46.3</v>
      </c>
      <c r="O21" s="64">
        <v>0</v>
      </c>
      <c r="P21" s="64">
        <v>0.49</v>
      </c>
      <c r="Q21" s="64">
        <v>8.2100000000000009</v>
      </c>
      <c r="R21" s="198"/>
      <c r="S21" s="198"/>
      <c r="T21" s="198"/>
      <c r="U21" s="198"/>
    </row>
    <row r="22" spans="1:21" s="12" customFormat="1" x14ac:dyDescent="0.25">
      <c r="A22" s="215" t="s">
        <v>2181</v>
      </c>
      <c r="B22" s="64">
        <v>10.14</v>
      </c>
      <c r="C22" s="64">
        <v>40.86</v>
      </c>
      <c r="D22" s="64">
        <v>28.1</v>
      </c>
      <c r="E22" s="64">
        <v>6.5</v>
      </c>
      <c r="F22" s="64">
        <v>3.5</v>
      </c>
      <c r="G22" s="64">
        <v>19.579999999999998</v>
      </c>
      <c r="H22" s="64">
        <v>8.3800000000000008</v>
      </c>
      <c r="I22" s="64">
        <v>8.5399999999999991</v>
      </c>
      <c r="J22" s="64">
        <v>2.99</v>
      </c>
      <c r="K22" s="64">
        <v>107.73</v>
      </c>
      <c r="L22" s="64">
        <v>15.31</v>
      </c>
      <c r="M22" s="64">
        <v>101.68</v>
      </c>
      <c r="N22" s="64">
        <v>46.4</v>
      </c>
      <c r="O22" s="64">
        <v>0</v>
      </c>
      <c r="P22" s="64">
        <v>0.48</v>
      </c>
      <c r="Q22" s="64">
        <v>8.2100000000000009</v>
      </c>
      <c r="R22" s="198"/>
      <c r="S22" s="198"/>
      <c r="T22" s="198"/>
      <c r="U22" s="198"/>
    </row>
    <row r="23" spans="1:21" s="12" customFormat="1" x14ac:dyDescent="0.25">
      <c r="A23" s="215" t="s">
        <v>2182</v>
      </c>
      <c r="B23" s="64">
        <v>10.08</v>
      </c>
      <c r="C23" s="64">
        <v>39.74</v>
      </c>
      <c r="D23" s="64">
        <v>27.47</v>
      </c>
      <c r="E23" s="64">
        <v>6.06</v>
      </c>
      <c r="F23" s="64">
        <v>4.09</v>
      </c>
      <c r="G23" s="64">
        <v>19.579999999999998</v>
      </c>
      <c r="H23" s="64">
        <v>8.3800000000000008</v>
      </c>
      <c r="I23" s="64">
        <v>8.5500000000000007</v>
      </c>
      <c r="J23" s="64">
        <v>2.5</v>
      </c>
      <c r="K23" s="64">
        <v>101.63</v>
      </c>
      <c r="L23" s="64">
        <v>15.13</v>
      </c>
      <c r="M23" s="64">
        <v>101.68</v>
      </c>
      <c r="N23" s="64">
        <v>46.4</v>
      </c>
      <c r="O23" s="64">
        <v>0</v>
      </c>
      <c r="P23" s="64">
        <v>0.48</v>
      </c>
      <c r="Q23" s="64">
        <v>8.2100000000000009</v>
      </c>
      <c r="R23" s="198"/>
      <c r="S23" s="198"/>
      <c r="T23" s="198"/>
      <c r="U23" s="198"/>
    </row>
    <row r="24" spans="1:21" s="12" customFormat="1" x14ac:dyDescent="0.25">
      <c r="A24" s="215" t="s">
        <v>2183</v>
      </c>
      <c r="B24" s="64">
        <v>10.029999999999999</v>
      </c>
      <c r="C24" s="64">
        <v>39.25</v>
      </c>
      <c r="D24" s="64">
        <v>27.17</v>
      </c>
      <c r="E24" s="64">
        <v>6.06</v>
      </c>
      <c r="F24" s="64">
        <v>3.77</v>
      </c>
      <c r="G24" s="64">
        <v>19.579999999999998</v>
      </c>
      <c r="H24" s="64">
        <v>8.3800000000000008</v>
      </c>
      <c r="I24" s="64">
        <v>8.49</v>
      </c>
      <c r="J24" s="64">
        <v>1.36</v>
      </c>
      <c r="K24" s="64">
        <v>68.03</v>
      </c>
      <c r="L24" s="64">
        <v>15</v>
      </c>
      <c r="M24" s="64">
        <v>101.68</v>
      </c>
      <c r="N24" s="64">
        <v>46.4</v>
      </c>
      <c r="O24" s="64">
        <v>0</v>
      </c>
      <c r="P24" s="64">
        <v>0.48</v>
      </c>
      <c r="Q24" s="64">
        <v>8.2100000000000009</v>
      </c>
      <c r="R24" s="198"/>
      <c r="S24" s="198"/>
      <c r="T24" s="198"/>
      <c r="U24" s="198"/>
    </row>
    <row r="25" spans="1:21" s="12" customFormat="1" x14ac:dyDescent="0.25">
      <c r="A25" s="215" t="s">
        <v>2184</v>
      </c>
      <c r="B25" s="64">
        <v>10.1</v>
      </c>
      <c r="C25" s="64">
        <v>38.79</v>
      </c>
      <c r="D25" s="64">
        <v>26.99</v>
      </c>
      <c r="E25" s="64">
        <v>6.06</v>
      </c>
      <c r="F25" s="64">
        <v>3.56</v>
      </c>
      <c r="G25" s="64">
        <v>20.149999999999999</v>
      </c>
      <c r="H25" s="64">
        <v>9.27</v>
      </c>
      <c r="I25" s="64">
        <v>8.42</v>
      </c>
      <c r="J25" s="64">
        <v>1.36</v>
      </c>
      <c r="K25" s="64">
        <v>73.400000000000006</v>
      </c>
      <c r="L25" s="64">
        <v>14.92</v>
      </c>
      <c r="M25" s="64">
        <v>101.68</v>
      </c>
      <c r="N25" s="64">
        <v>46.3</v>
      </c>
      <c r="O25" s="64">
        <v>0</v>
      </c>
      <c r="P25" s="64">
        <v>0.48</v>
      </c>
      <c r="Q25" s="64">
        <v>8.2100000000000009</v>
      </c>
      <c r="R25" s="198"/>
      <c r="S25" s="198"/>
      <c r="T25" s="198"/>
      <c r="U25" s="198"/>
    </row>
    <row r="26" spans="1:21" s="12" customFormat="1" x14ac:dyDescent="0.25">
      <c r="A26" s="215" t="s">
        <v>2185</v>
      </c>
      <c r="B26" s="64">
        <v>10.4</v>
      </c>
      <c r="C26" s="64">
        <v>39.39</v>
      </c>
      <c r="D26" s="64">
        <v>27.54</v>
      </c>
      <c r="E26" s="64">
        <v>5.93</v>
      </c>
      <c r="F26" s="64">
        <v>3.46</v>
      </c>
      <c r="G26" s="64">
        <v>21.62</v>
      </c>
      <c r="H26" s="64">
        <v>10.86</v>
      </c>
      <c r="I26" s="64">
        <v>8.16</v>
      </c>
      <c r="J26" s="64">
        <v>1.22</v>
      </c>
      <c r="K26" s="64">
        <v>357.77</v>
      </c>
      <c r="L26" s="64">
        <v>14.84</v>
      </c>
      <c r="M26" s="64">
        <v>101.68</v>
      </c>
      <c r="N26" s="64">
        <v>46.4</v>
      </c>
      <c r="O26" s="64">
        <v>0</v>
      </c>
      <c r="P26" s="64">
        <v>0.48</v>
      </c>
      <c r="Q26" s="64">
        <v>8.2100000000000009</v>
      </c>
      <c r="R26" s="198"/>
      <c r="S26" s="198"/>
      <c r="T26" s="198"/>
      <c r="U26" s="198"/>
    </row>
    <row r="27" spans="1:21" s="12" customFormat="1" x14ac:dyDescent="0.25">
      <c r="A27" s="215" t="s">
        <v>2186</v>
      </c>
      <c r="B27" s="64">
        <v>10.69</v>
      </c>
      <c r="C27" s="64">
        <v>39.270000000000003</v>
      </c>
      <c r="D27" s="64">
        <v>27.72</v>
      </c>
      <c r="E27" s="64">
        <v>6.39</v>
      </c>
      <c r="F27" s="64">
        <v>3.35</v>
      </c>
      <c r="G27" s="64">
        <v>21.62</v>
      </c>
      <c r="H27" s="64">
        <v>10.86</v>
      </c>
      <c r="I27" s="64">
        <v>7.95</v>
      </c>
      <c r="J27" s="64">
        <v>1.63</v>
      </c>
      <c r="K27" s="64">
        <v>344.62</v>
      </c>
      <c r="L27" s="64">
        <v>14.73</v>
      </c>
      <c r="M27" s="64">
        <v>101.68</v>
      </c>
      <c r="N27" s="64">
        <v>46.4</v>
      </c>
      <c r="O27" s="64">
        <v>0</v>
      </c>
      <c r="P27" s="64">
        <v>0.47</v>
      </c>
      <c r="Q27" s="64">
        <v>8.2100000000000009</v>
      </c>
      <c r="R27" s="198"/>
      <c r="S27" s="198"/>
      <c r="T27" s="198"/>
      <c r="U27" s="198"/>
    </row>
    <row r="28" spans="1:21" s="12" customFormat="1" x14ac:dyDescent="0.25">
      <c r="A28" s="215" t="s">
        <v>2187</v>
      </c>
      <c r="B28" s="64">
        <v>11.29</v>
      </c>
      <c r="C28" s="64">
        <v>39.450000000000003</v>
      </c>
      <c r="D28" s="64">
        <v>28.29</v>
      </c>
      <c r="E28" s="64">
        <v>6.17</v>
      </c>
      <c r="F28" s="64">
        <v>2.97</v>
      </c>
      <c r="G28" s="64">
        <v>21.62</v>
      </c>
      <c r="H28" s="64">
        <v>10.86</v>
      </c>
      <c r="I28" s="64">
        <v>7.68</v>
      </c>
      <c r="J28" s="64">
        <v>1.83</v>
      </c>
      <c r="K28" s="64">
        <v>347.01</v>
      </c>
      <c r="L28" s="64">
        <v>14.72</v>
      </c>
      <c r="M28" s="64">
        <v>101.68</v>
      </c>
      <c r="N28" s="64">
        <v>46.4</v>
      </c>
      <c r="O28" s="64">
        <v>0</v>
      </c>
      <c r="P28" s="64">
        <v>0.48</v>
      </c>
      <c r="Q28" s="64">
        <v>8.2100000000000009</v>
      </c>
      <c r="R28" s="198"/>
      <c r="S28" s="198"/>
      <c r="T28" s="198"/>
      <c r="U28" s="198"/>
    </row>
    <row r="29" spans="1:21" s="12" customFormat="1" x14ac:dyDescent="0.25">
      <c r="A29" s="215" t="s">
        <v>2188</v>
      </c>
      <c r="B29" s="64">
        <v>11.89</v>
      </c>
      <c r="C29" s="64">
        <v>39.58</v>
      </c>
      <c r="D29" s="64">
        <v>28.84</v>
      </c>
      <c r="E29" s="64">
        <v>6.03</v>
      </c>
      <c r="F29" s="64">
        <v>3.33</v>
      </c>
      <c r="G29" s="64">
        <v>22.63</v>
      </c>
      <c r="H29" s="64">
        <v>11.44</v>
      </c>
      <c r="I29" s="64">
        <v>7.36</v>
      </c>
      <c r="J29" s="64">
        <v>2.27</v>
      </c>
      <c r="K29" s="64">
        <v>350.01</v>
      </c>
      <c r="L29" s="64">
        <v>14.84</v>
      </c>
      <c r="M29" s="64">
        <v>101.68</v>
      </c>
      <c r="N29" s="64">
        <v>46.6</v>
      </c>
      <c r="O29" s="64">
        <v>0</v>
      </c>
      <c r="P29" s="64">
        <v>0.48</v>
      </c>
      <c r="Q29" s="64">
        <v>8.2100000000000009</v>
      </c>
      <c r="R29" s="198"/>
      <c r="S29" s="198"/>
      <c r="T29" s="198"/>
      <c r="U29" s="198"/>
    </row>
    <row r="30" spans="1:21" s="12" customFormat="1" x14ac:dyDescent="0.25">
      <c r="A30" s="215" t="s">
        <v>2189</v>
      </c>
      <c r="B30" s="64">
        <v>12.29</v>
      </c>
      <c r="C30" s="64">
        <v>35</v>
      </c>
      <c r="D30" s="64">
        <v>26.76</v>
      </c>
      <c r="E30" s="64">
        <v>6.11</v>
      </c>
      <c r="F30" s="64">
        <v>3.94</v>
      </c>
      <c r="G30" s="64">
        <v>25.27</v>
      </c>
      <c r="H30" s="64">
        <v>13.93</v>
      </c>
      <c r="I30" s="64">
        <v>7.09</v>
      </c>
      <c r="J30" s="64">
        <v>0.73</v>
      </c>
      <c r="K30" s="64">
        <v>43.43</v>
      </c>
      <c r="L30" s="64">
        <v>14.76</v>
      </c>
      <c r="M30" s="64">
        <v>101.67</v>
      </c>
      <c r="N30" s="64">
        <v>46.8</v>
      </c>
      <c r="O30" s="64">
        <v>0</v>
      </c>
      <c r="P30" s="64">
        <v>0.48</v>
      </c>
      <c r="Q30" s="64">
        <v>8.2100000000000009</v>
      </c>
      <c r="R30" s="198"/>
      <c r="S30" s="198"/>
      <c r="T30" s="198"/>
      <c r="U30" s="198"/>
    </row>
    <row r="31" spans="1:21" s="12" customFormat="1" x14ac:dyDescent="0.25">
      <c r="A31" s="215" t="s">
        <v>2190</v>
      </c>
      <c r="B31" s="64">
        <v>12.73</v>
      </c>
      <c r="C31" s="64">
        <v>35.92</v>
      </c>
      <c r="D31" s="64">
        <v>27.6</v>
      </c>
      <c r="E31" s="64">
        <v>6.04</v>
      </c>
      <c r="F31" s="64">
        <v>3.31</v>
      </c>
      <c r="G31" s="64">
        <v>25.27</v>
      </c>
      <c r="H31" s="64">
        <v>13.93</v>
      </c>
      <c r="I31" s="64">
        <v>6.18</v>
      </c>
      <c r="J31" s="64">
        <v>0.76</v>
      </c>
      <c r="K31" s="64">
        <v>11.2</v>
      </c>
      <c r="L31" s="64">
        <v>14.72</v>
      </c>
      <c r="M31" s="64">
        <v>101.66</v>
      </c>
      <c r="N31" s="64">
        <v>46.9</v>
      </c>
      <c r="O31" s="64">
        <v>0</v>
      </c>
      <c r="P31" s="64">
        <v>0.48</v>
      </c>
      <c r="Q31" s="64">
        <v>8.2100000000000009</v>
      </c>
      <c r="R31" s="198"/>
      <c r="S31" s="198"/>
      <c r="T31" s="198"/>
      <c r="U31" s="198"/>
    </row>
    <row r="32" spans="1:21" s="12" customFormat="1" x14ac:dyDescent="0.25">
      <c r="A32" s="215" t="s">
        <v>2191</v>
      </c>
      <c r="B32" s="64">
        <v>13.12</v>
      </c>
      <c r="C32" s="64">
        <v>36.29</v>
      </c>
      <c r="D32" s="64">
        <v>28.1</v>
      </c>
      <c r="E32" s="64">
        <v>6.22</v>
      </c>
      <c r="F32" s="64">
        <v>3.38</v>
      </c>
      <c r="G32" s="64">
        <v>25.27</v>
      </c>
      <c r="H32" s="64">
        <v>13.93</v>
      </c>
      <c r="I32" s="64">
        <v>6.52</v>
      </c>
      <c r="J32" s="64">
        <v>1.56</v>
      </c>
      <c r="K32" s="64">
        <v>106.35</v>
      </c>
      <c r="L32" s="64">
        <v>14.69</v>
      </c>
      <c r="M32" s="64">
        <v>101.7</v>
      </c>
      <c r="N32" s="64">
        <v>47</v>
      </c>
      <c r="O32" s="64">
        <v>0</v>
      </c>
      <c r="P32" s="64">
        <v>0.48</v>
      </c>
      <c r="Q32" s="64">
        <v>8.2100000000000009</v>
      </c>
      <c r="R32" s="198"/>
      <c r="S32" s="198"/>
      <c r="T32" s="198"/>
      <c r="U32" s="198"/>
    </row>
    <row r="33" spans="1:21" s="12" customFormat="1" x14ac:dyDescent="0.25">
      <c r="A33" s="215" t="s">
        <v>2192</v>
      </c>
      <c r="B33" s="64">
        <v>13.4</v>
      </c>
      <c r="C33" s="64">
        <v>36.28</v>
      </c>
      <c r="D33" s="64">
        <v>28.32</v>
      </c>
      <c r="E33" s="64">
        <v>5.87</v>
      </c>
      <c r="F33" s="64">
        <v>3.23</v>
      </c>
      <c r="G33" s="64">
        <v>25.66</v>
      </c>
      <c r="H33" s="64">
        <v>12.68</v>
      </c>
      <c r="I33" s="64">
        <v>6.56</v>
      </c>
      <c r="J33" s="64">
        <v>3.51</v>
      </c>
      <c r="K33" s="64">
        <v>110.2</v>
      </c>
      <c r="L33" s="64">
        <v>14.64</v>
      </c>
      <c r="M33" s="64">
        <v>101.7</v>
      </c>
      <c r="N33" s="64">
        <v>47.1</v>
      </c>
      <c r="O33" s="64">
        <v>0</v>
      </c>
      <c r="P33" s="64">
        <v>0.48</v>
      </c>
      <c r="Q33" s="64">
        <v>8.2100000000000009</v>
      </c>
      <c r="R33" s="198"/>
      <c r="S33" s="198"/>
      <c r="T33" s="198"/>
      <c r="U33" s="198"/>
    </row>
    <row r="34" spans="1:21" s="12" customFormat="1" x14ac:dyDescent="0.25">
      <c r="A34" s="215" t="s">
        <v>2193</v>
      </c>
      <c r="B34" s="64">
        <v>13.51</v>
      </c>
      <c r="C34" s="64">
        <v>36.200000000000003</v>
      </c>
      <c r="D34" s="64">
        <v>28.37</v>
      </c>
      <c r="E34" s="64">
        <v>6.05</v>
      </c>
      <c r="F34" s="64">
        <v>3.48</v>
      </c>
      <c r="G34" s="64">
        <v>26.68</v>
      </c>
      <c r="H34" s="64">
        <v>10.43</v>
      </c>
      <c r="I34" s="64">
        <v>6.2</v>
      </c>
      <c r="J34" s="64">
        <v>2.38</v>
      </c>
      <c r="K34" s="64">
        <v>119.24</v>
      </c>
      <c r="L34" s="64">
        <v>14.57</v>
      </c>
      <c r="M34" s="64">
        <v>101.7</v>
      </c>
      <c r="N34" s="64">
        <v>47.3</v>
      </c>
      <c r="O34" s="64">
        <v>0</v>
      </c>
      <c r="P34" s="64">
        <v>0.48</v>
      </c>
      <c r="Q34" s="64">
        <v>8.2100000000000009</v>
      </c>
      <c r="R34" s="198"/>
      <c r="S34" s="198"/>
      <c r="T34" s="198"/>
      <c r="U34" s="198"/>
    </row>
    <row r="35" spans="1:21" s="12" customFormat="1" x14ac:dyDescent="0.25">
      <c r="A35" s="215" t="s">
        <v>2194</v>
      </c>
      <c r="B35" s="64">
        <v>13.66</v>
      </c>
      <c r="C35" s="64">
        <v>36.29</v>
      </c>
      <c r="D35" s="64">
        <v>28.54</v>
      </c>
      <c r="E35" s="64">
        <v>6.33</v>
      </c>
      <c r="F35" s="64">
        <v>3.36</v>
      </c>
      <c r="G35" s="64">
        <v>26.68</v>
      </c>
      <c r="H35" s="64">
        <v>10.43</v>
      </c>
      <c r="I35" s="64">
        <v>6.66</v>
      </c>
      <c r="J35" s="64">
        <v>2.83</v>
      </c>
      <c r="K35" s="64">
        <v>108.58</v>
      </c>
      <c r="L35" s="64">
        <v>14.51</v>
      </c>
      <c r="M35" s="64">
        <v>101.7</v>
      </c>
      <c r="N35" s="64">
        <v>49.1</v>
      </c>
      <c r="O35" s="64">
        <v>0</v>
      </c>
      <c r="P35" s="64">
        <v>0.48</v>
      </c>
      <c r="Q35" s="64">
        <v>8.2100000000000009</v>
      </c>
      <c r="R35" s="198"/>
      <c r="S35" s="198"/>
      <c r="T35" s="198"/>
      <c r="U35" s="198"/>
    </row>
    <row r="36" spans="1:21" s="12" customFormat="1" x14ac:dyDescent="0.25">
      <c r="A36" s="215" t="s">
        <v>2195</v>
      </c>
      <c r="B36" s="64">
        <v>13.95</v>
      </c>
      <c r="C36" s="64">
        <v>35.81</v>
      </c>
      <c r="D36" s="64">
        <v>28.53</v>
      </c>
      <c r="E36" s="64">
        <v>6.31</v>
      </c>
      <c r="F36" s="64">
        <v>4.0999999999999996</v>
      </c>
      <c r="G36" s="64">
        <v>26.68</v>
      </c>
      <c r="H36" s="64">
        <v>10.43</v>
      </c>
      <c r="I36" s="64">
        <v>6.64</v>
      </c>
      <c r="J36" s="64">
        <v>1.23</v>
      </c>
      <c r="K36" s="64">
        <v>89.02</v>
      </c>
      <c r="L36" s="64">
        <v>14.6</v>
      </c>
      <c r="M36" s="64">
        <v>101.7</v>
      </c>
      <c r="N36" s="64">
        <v>53.2</v>
      </c>
      <c r="O36" s="64">
        <v>0</v>
      </c>
      <c r="P36" s="64">
        <v>0.48</v>
      </c>
      <c r="Q36" s="64">
        <v>8.2100000000000009</v>
      </c>
      <c r="R36" s="198"/>
      <c r="S36" s="198"/>
      <c r="T36" s="198"/>
      <c r="U36" s="198"/>
    </row>
    <row r="37" spans="1:21" s="12" customFormat="1" x14ac:dyDescent="0.25">
      <c r="A37" s="215" t="s">
        <v>2196</v>
      </c>
      <c r="B37" s="64">
        <v>14.79</v>
      </c>
      <c r="C37" s="64">
        <v>36.67</v>
      </c>
      <c r="D37" s="64">
        <v>29.64</v>
      </c>
      <c r="E37" s="64">
        <v>6.45</v>
      </c>
      <c r="F37" s="64">
        <v>2.71</v>
      </c>
      <c r="G37" s="64">
        <v>26.34</v>
      </c>
      <c r="H37" s="64">
        <v>11.6</v>
      </c>
      <c r="I37" s="64">
        <v>7.11</v>
      </c>
      <c r="J37" s="64">
        <v>1.1599999999999999</v>
      </c>
      <c r="K37" s="64">
        <v>32.020000000000003</v>
      </c>
      <c r="L37" s="64">
        <v>14.75</v>
      </c>
      <c r="M37" s="64">
        <v>101.7</v>
      </c>
      <c r="N37" s="64">
        <v>62.7</v>
      </c>
      <c r="O37" s="64">
        <v>0</v>
      </c>
      <c r="P37" s="64">
        <v>0.48</v>
      </c>
      <c r="Q37" s="64">
        <v>8.2100000000000009</v>
      </c>
      <c r="R37" s="198"/>
      <c r="S37" s="198"/>
      <c r="T37" s="198"/>
      <c r="U37" s="198"/>
    </row>
    <row r="38" spans="1:21" s="12" customFormat="1" x14ac:dyDescent="0.25">
      <c r="A38" s="215" t="s">
        <v>2197</v>
      </c>
      <c r="B38" s="64">
        <v>16.079999999999998</v>
      </c>
      <c r="C38" s="64">
        <v>37.89</v>
      </c>
      <c r="D38" s="64">
        <v>31.32</v>
      </c>
      <c r="E38" s="64">
        <v>6</v>
      </c>
      <c r="F38" s="64">
        <v>3.63</v>
      </c>
      <c r="G38" s="64">
        <v>25.45</v>
      </c>
      <c r="H38" s="64">
        <v>13.7</v>
      </c>
      <c r="I38" s="64">
        <v>6.68</v>
      </c>
      <c r="J38" s="64">
        <v>1.08</v>
      </c>
      <c r="K38" s="64">
        <v>40.46</v>
      </c>
      <c r="L38" s="64">
        <v>14.94</v>
      </c>
      <c r="M38" s="64">
        <v>101.69</v>
      </c>
      <c r="N38" s="64">
        <v>72.7</v>
      </c>
      <c r="O38" s="64">
        <v>0</v>
      </c>
      <c r="P38" s="64">
        <v>0.49</v>
      </c>
      <c r="Q38" s="64">
        <v>8.2100000000000009</v>
      </c>
      <c r="R38" s="198"/>
      <c r="S38" s="198"/>
      <c r="T38" s="198"/>
      <c r="U38" s="198"/>
    </row>
    <row r="39" spans="1:21" s="12" customFormat="1" x14ac:dyDescent="0.25">
      <c r="A39" s="215" t="s">
        <v>2198</v>
      </c>
      <c r="B39" s="64">
        <v>17.41</v>
      </c>
      <c r="C39" s="64">
        <v>37.82</v>
      </c>
      <c r="D39" s="64">
        <v>32.35</v>
      </c>
      <c r="E39" s="64">
        <v>6.88</v>
      </c>
      <c r="F39" s="64">
        <v>3.85</v>
      </c>
      <c r="G39" s="64">
        <v>25.45</v>
      </c>
      <c r="H39" s="64">
        <v>13.7</v>
      </c>
      <c r="I39" s="64">
        <v>6.99</v>
      </c>
      <c r="J39" s="64">
        <v>1.42</v>
      </c>
      <c r="K39" s="64">
        <v>88.57</v>
      </c>
      <c r="L39" s="64">
        <v>14.99</v>
      </c>
      <c r="M39" s="64">
        <v>101.7</v>
      </c>
      <c r="N39" s="64">
        <v>99.7</v>
      </c>
      <c r="O39" s="64">
        <v>0</v>
      </c>
      <c r="P39" s="64">
        <v>0.51</v>
      </c>
      <c r="Q39" s="64">
        <v>8.2100000000000009</v>
      </c>
      <c r="R39" s="198"/>
      <c r="S39" s="198"/>
      <c r="T39" s="198"/>
      <c r="U39" s="198"/>
    </row>
    <row r="40" spans="1:21" s="12" customFormat="1" x14ac:dyDescent="0.25">
      <c r="A40" s="215" t="s">
        <v>2199</v>
      </c>
      <c r="B40" s="64">
        <v>18.03</v>
      </c>
      <c r="C40" s="64">
        <v>37.28</v>
      </c>
      <c r="D40" s="64">
        <v>32.56</v>
      </c>
      <c r="E40" s="64">
        <v>3.96</v>
      </c>
      <c r="F40" s="64">
        <v>3.56</v>
      </c>
      <c r="G40" s="64">
        <v>25.45</v>
      </c>
      <c r="H40" s="64">
        <v>13.7</v>
      </c>
      <c r="I40" s="64">
        <v>7.05</v>
      </c>
      <c r="J40" s="64">
        <v>3.26</v>
      </c>
      <c r="K40" s="64">
        <v>107.38</v>
      </c>
      <c r="L40" s="64">
        <v>15.19</v>
      </c>
      <c r="M40" s="64">
        <v>101.67</v>
      </c>
      <c r="N40" s="64">
        <v>137.19999999999999</v>
      </c>
      <c r="O40" s="64">
        <v>0</v>
      </c>
      <c r="P40" s="64">
        <v>0.51</v>
      </c>
      <c r="Q40" s="64">
        <v>8.2100000000000009</v>
      </c>
      <c r="R40" s="198"/>
      <c r="S40" s="198"/>
      <c r="T40" s="198"/>
      <c r="U40" s="198"/>
    </row>
    <row r="41" spans="1:21" s="12" customFormat="1" x14ac:dyDescent="0.25">
      <c r="A41" s="215" t="s">
        <v>2200</v>
      </c>
      <c r="B41" s="64">
        <v>18.29</v>
      </c>
      <c r="C41" s="64">
        <v>36.659999999999997</v>
      </c>
      <c r="D41" s="64">
        <v>32.450000000000003</v>
      </c>
      <c r="E41" s="64">
        <v>4.78</v>
      </c>
      <c r="F41" s="64">
        <v>3.4</v>
      </c>
      <c r="G41" s="64">
        <v>27.06</v>
      </c>
      <c r="H41" s="64">
        <v>14.03</v>
      </c>
      <c r="I41" s="64">
        <v>6.99</v>
      </c>
      <c r="J41" s="64">
        <v>2.94</v>
      </c>
      <c r="K41" s="64">
        <v>111.97</v>
      </c>
      <c r="L41" s="64">
        <v>15.41</v>
      </c>
      <c r="M41" s="64">
        <v>101.67</v>
      </c>
      <c r="N41" s="64">
        <v>105.3</v>
      </c>
      <c r="O41" s="64">
        <v>0</v>
      </c>
      <c r="P41" s="64">
        <v>0.51</v>
      </c>
      <c r="Q41" s="64">
        <v>8.2100000000000009</v>
      </c>
      <c r="R41" s="198"/>
      <c r="S41" s="198"/>
      <c r="T41" s="198"/>
      <c r="U41" s="198"/>
    </row>
    <row r="42" spans="1:21" s="12" customFormat="1" x14ac:dyDescent="0.25">
      <c r="A42" s="215" t="s">
        <v>2201</v>
      </c>
      <c r="B42" s="64">
        <v>18.34</v>
      </c>
      <c r="C42" s="64">
        <v>38</v>
      </c>
      <c r="D42" s="64">
        <v>33.18</v>
      </c>
      <c r="E42" s="64">
        <v>4.3899999999999997</v>
      </c>
      <c r="F42" s="64">
        <v>3.55</v>
      </c>
      <c r="G42" s="64">
        <v>31.25</v>
      </c>
      <c r="H42" s="64">
        <v>14.62</v>
      </c>
      <c r="I42" s="64">
        <v>7.06</v>
      </c>
      <c r="J42" s="64">
        <v>3.46</v>
      </c>
      <c r="K42" s="64">
        <v>111.48</v>
      </c>
      <c r="L42" s="64">
        <v>15.23</v>
      </c>
      <c r="M42" s="64">
        <v>101.67</v>
      </c>
      <c r="N42" s="64">
        <v>117.6</v>
      </c>
      <c r="O42" s="64">
        <v>0</v>
      </c>
      <c r="P42" s="64">
        <v>0.52</v>
      </c>
      <c r="Q42" s="64">
        <v>8.2100000000000009</v>
      </c>
      <c r="R42" s="198"/>
      <c r="S42" s="198"/>
      <c r="T42" s="198"/>
      <c r="U42" s="198"/>
    </row>
    <row r="43" spans="1:21" s="12" customFormat="1" x14ac:dyDescent="0.25">
      <c r="A43" s="215" t="s">
        <v>2202</v>
      </c>
      <c r="B43" s="64">
        <v>18.2</v>
      </c>
      <c r="C43" s="64">
        <v>38.18</v>
      </c>
      <c r="D43" s="64">
        <v>33.17</v>
      </c>
      <c r="E43" s="64">
        <v>4.8499999999999996</v>
      </c>
      <c r="F43" s="64">
        <v>3.25</v>
      </c>
      <c r="G43" s="64">
        <v>31.25</v>
      </c>
      <c r="H43" s="64">
        <v>14.62</v>
      </c>
      <c r="I43" s="64">
        <v>7.18</v>
      </c>
      <c r="J43" s="64">
        <v>1.61</v>
      </c>
      <c r="K43" s="64">
        <v>100.68</v>
      </c>
      <c r="L43" s="64">
        <v>15.45</v>
      </c>
      <c r="M43" s="64">
        <v>101.67</v>
      </c>
      <c r="N43" s="64">
        <v>129</v>
      </c>
      <c r="O43" s="64">
        <v>0</v>
      </c>
      <c r="P43" s="64">
        <v>0.52</v>
      </c>
      <c r="Q43" s="64">
        <v>8.2100000000000009</v>
      </c>
      <c r="R43" s="198"/>
      <c r="S43" s="198"/>
      <c r="T43" s="198"/>
      <c r="U43" s="198"/>
    </row>
    <row r="44" spans="1:21" s="12" customFormat="1" x14ac:dyDescent="0.25">
      <c r="A44" s="215" t="s">
        <v>2203</v>
      </c>
      <c r="B44" s="64">
        <v>18.53</v>
      </c>
      <c r="C44" s="64">
        <v>37.99</v>
      </c>
      <c r="D44" s="64">
        <v>33.33</v>
      </c>
      <c r="E44" s="64">
        <v>4.46</v>
      </c>
      <c r="F44" s="64">
        <v>3.08</v>
      </c>
      <c r="G44" s="64">
        <v>31.25</v>
      </c>
      <c r="H44" s="64">
        <v>14.62</v>
      </c>
      <c r="I44" s="64">
        <v>7.45</v>
      </c>
      <c r="J44" s="64">
        <v>2.77</v>
      </c>
      <c r="K44" s="64">
        <v>108.35</v>
      </c>
      <c r="L44" s="64">
        <v>15.61</v>
      </c>
      <c r="M44" s="64">
        <v>101.67</v>
      </c>
      <c r="N44" s="64">
        <v>134.30000000000001</v>
      </c>
      <c r="O44" s="64">
        <v>0</v>
      </c>
      <c r="P44" s="64">
        <v>0.52</v>
      </c>
      <c r="Q44" s="64">
        <v>8.2100000000000009</v>
      </c>
      <c r="R44" s="198"/>
      <c r="S44" s="198"/>
      <c r="T44" s="198"/>
      <c r="U44" s="198"/>
    </row>
    <row r="45" spans="1:21" s="12" customFormat="1" x14ac:dyDescent="0.25">
      <c r="A45" s="215" t="s">
        <v>2204</v>
      </c>
      <c r="B45" s="64">
        <v>19.13</v>
      </c>
      <c r="C45" s="64">
        <v>37.92</v>
      </c>
      <c r="D45" s="64">
        <v>33.770000000000003</v>
      </c>
      <c r="E45" s="64">
        <v>4.84</v>
      </c>
      <c r="F45" s="64">
        <v>3.44</v>
      </c>
      <c r="G45" s="64">
        <v>30.65</v>
      </c>
      <c r="H45" s="64">
        <v>14.57</v>
      </c>
      <c r="I45" s="64">
        <v>7.57</v>
      </c>
      <c r="J45" s="64">
        <v>1.32</v>
      </c>
      <c r="K45" s="64">
        <v>7.72</v>
      </c>
      <c r="L45" s="64">
        <v>16.350000000000001</v>
      </c>
      <c r="M45" s="64">
        <v>101.65</v>
      </c>
      <c r="N45" s="64">
        <v>161.9</v>
      </c>
      <c r="O45" s="64">
        <v>0</v>
      </c>
      <c r="P45" s="64">
        <v>0.53</v>
      </c>
      <c r="Q45" s="64">
        <v>8.2100000000000009</v>
      </c>
      <c r="R45" s="198"/>
      <c r="S45" s="198"/>
      <c r="T45" s="198"/>
      <c r="U45" s="198"/>
    </row>
    <row r="46" spans="1:21" s="12" customFormat="1" x14ac:dyDescent="0.25">
      <c r="A46" s="215" t="s">
        <v>2205</v>
      </c>
      <c r="B46" s="64">
        <v>20.23</v>
      </c>
      <c r="C46" s="64">
        <v>40.08</v>
      </c>
      <c r="D46" s="64">
        <v>35.78</v>
      </c>
      <c r="E46" s="64">
        <v>4.93</v>
      </c>
      <c r="F46" s="64">
        <v>4.2300000000000004</v>
      </c>
      <c r="G46" s="64">
        <v>29.07</v>
      </c>
      <c r="H46" s="64">
        <v>14.38</v>
      </c>
      <c r="I46" s="64">
        <v>7.55</v>
      </c>
      <c r="J46" s="64">
        <v>2.19</v>
      </c>
      <c r="K46" s="64">
        <v>109.06</v>
      </c>
      <c r="L46" s="64">
        <v>16.54</v>
      </c>
      <c r="M46" s="64">
        <v>101.63</v>
      </c>
      <c r="N46" s="64">
        <v>216.1</v>
      </c>
      <c r="O46" s="64">
        <v>0</v>
      </c>
      <c r="P46" s="64">
        <v>0.55000000000000004</v>
      </c>
      <c r="Q46" s="64">
        <v>8.2100000000000009</v>
      </c>
      <c r="R46" s="198"/>
      <c r="S46" s="198"/>
      <c r="T46" s="198"/>
      <c r="U46" s="198"/>
    </row>
    <row r="47" spans="1:21" s="12" customFormat="1" x14ac:dyDescent="0.25">
      <c r="A47" s="215" t="s">
        <v>2206</v>
      </c>
      <c r="B47" s="64">
        <v>20.64</v>
      </c>
      <c r="C47" s="64">
        <v>37.83</v>
      </c>
      <c r="D47" s="64">
        <v>34.94</v>
      </c>
      <c r="E47" s="64">
        <v>4.6100000000000003</v>
      </c>
      <c r="F47" s="64">
        <v>3.42</v>
      </c>
      <c r="G47" s="64">
        <v>29.07</v>
      </c>
      <c r="H47" s="64">
        <v>14.38</v>
      </c>
      <c r="I47" s="64">
        <v>7.5</v>
      </c>
      <c r="J47" s="64">
        <v>0.91</v>
      </c>
      <c r="K47" s="64">
        <v>67.94</v>
      </c>
      <c r="L47" s="64">
        <v>16.989999999999998</v>
      </c>
      <c r="M47" s="64">
        <v>101.45</v>
      </c>
      <c r="N47" s="64">
        <v>207.9</v>
      </c>
      <c r="O47" s="64">
        <v>0</v>
      </c>
      <c r="P47" s="64">
        <v>0.55000000000000004</v>
      </c>
      <c r="Q47" s="64">
        <v>8.2100000000000009</v>
      </c>
      <c r="R47" s="198"/>
      <c r="S47" s="198"/>
      <c r="T47" s="198"/>
      <c r="U47" s="198"/>
    </row>
    <row r="48" spans="1:21" s="12" customFormat="1" x14ac:dyDescent="0.25">
      <c r="A48" s="215" t="s">
        <v>2207</v>
      </c>
      <c r="B48" s="64">
        <v>20.97</v>
      </c>
      <c r="C48" s="64">
        <v>38.369999999999997</v>
      </c>
      <c r="D48" s="64">
        <v>35.49</v>
      </c>
      <c r="E48" s="64">
        <v>4.83</v>
      </c>
      <c r="F48" s="64">
        <v>3.26</v>
      </c>
      <c r="G48" s="64">
        <v>29.07</v>
      </c>
      <c r="H48" s="64">
        <v>14.38</v>
      </c>
      <c r="I48" s="64">
        <v>7.51</v>
      </c>
      <c r="J48" s="64">
        <v>2.29</v>
      </c>
      <c r="K48" s="64">
        <v>105.18</v>
      </c>
      <c r="L48" s="64">
        <v>17.559999999999999</v>
      </c>
      <c r="M48" s="64">
        <v>99.13</v>
      </c>
      <c r="N48" s="64">
        <v>245.9</v>
      </c>
      <c r="O48" s="64">
        <v>0</v>
      </c>
      <c r="P48" s="64">
        <v>0.56999999999999995</v>
      </c>
      <c r="Q48" s="64">
        <v>8.2100000000000009</v>
      </c>
      <c r="R48" s="198"/>
      <c r="S48" s="198"/>
      <c r="T48" s="198"/>
      <c r="U48" s="198"/>
    </row>
    <row r="49" spans="1:21" s="12" customFormat="1" x14ac:dyDescent="0.25">
      <c r="A49" s="215" t="s">
        <v>2208</v>
      </c>
      <c r="B49" s="64">
        <v>21.15</v>
      </c>
      <c r="C49" s="64">
        <v>39.5</v>
      </c>
      <c r="D49" s="64">
        <v>36.22</v>
      </c>
      <c r="E49" s="64">
        <v>5.04</v>
      </c>
      <c r="F49" s="64">
        <v>3.14</v>
      </c>
      <c r="G49" s="64">
        <v>31.91</v>
      </c>
      <c r="H49" s="64">
        <v>14.38</v>
      </c>
      <c r="I49" s="64">
        <v>7.6</v>
      </c>
      <c r="J49" s="64">
        <v>3.19</v>
      </c>
      <c r="K49" s="64">
        <v>110.87</v>
      </c>
      <c r="L49" s="64">
        <v>17.3</v>
      </c>
      <c r="M49" s="64">
        <v>100.15</v>
      </c>
      <c r="N49" s="64">
        <v>287.60000000000002</v>
      </c>
      <c r="O49" s="64">
        <v>0</v>
      </c>
      <c r="P49" s="64">
        <v>0.56000000000000005</v>
      </c>
      <c r="Q49" s="64">
        <v>8.2100000000000009</v>
      </c>
      <c r="R49" s="198"/>
      <c r="S49" s="198"/>
      <c r="T49" s="198"/>
      <c r="U49" s="198"/>
    </row>
    <row r="50" spans="1:21" s="12" customFormat="1" x14ac:dyDescent="0.25">
      <c r="A50" s="215" t="s">
        <v>2209</v>
      </c>
      <c r="B50" s="64">
        <v>20.83</v>
      </c>
      <c r="C50" s="64">
        <v>40.04</v>
      </c>
      <c r="D50" s="64">
        <v>36.25</v>
      </c>
      <c r="E50" s="64">
        <v>5</v>
      </c>
      <c r="F50" s="64">
        <v>3.57</v>
      </c>
      <c r="G50" s="64">
        <v>39.299999999999997</v>
      </c>
      <c r="H50" s="64">
        <v>14.38</v>
      </c>
      <c r="I50" s="64">
        <v>7.53</v>
      </c>
      <c r="J50" s="64">
        <v>3.44</v>
      </c>
      <c r="K50" s="64">
        <v>108.84</v>
      </c>
      <c r="L50" s="64">
        <v>17.53</v>
      </c>
      <c r="M50" s="64">
        <v>99.04</v>
      </c>
      <c r="N50" s="64">
        <v>240.2</v>
      </c>
      <c r="O50" s="64">
        <v>0</v>
      </c>
      <c r="P50" s="64">
        <v>0.56000000000000005</v>
      </c>
      <c r="Q50" s="64">
        <v>8.2100000000000009</v>
      </c>
      <c r="R50" s="198"/>
      <c r="S50" s="198"/>
      <c r="T50" s="198"/>
      <c r="U50" s="198"/>
    </row>
    <row r="51" spans="1:21" s="12" customFormat="1" x14ac:dyDescent="0.25">
      <c r="A51" s="215" t="s">
        <v>2210</v>
      </c>
      <c r="B51" s="64">
        <v>20.34</v>
      </c>
      <c r="C51" s="64">
        <v>39.840000000000003</v>
      </c>
      <c r="D51" s="64">
        <v>35.75</v>
      </c>
      <c r="E51" s="64">
        <v>5.13</v>
      </c>
      <c r="F51" s="64">
        <v>3.32</v>
      </c>
      <c r="G51" s="64">
        <v>39.299999999999997</v>
      </c>
      <c r="H51" s="64">
        <v>14.38</v>
      </c>
      <c r="I51" s="64">
        <v>7.94</v>
      </c>
      <c r="J51" s="64">
        <v>3.41</v>
      </c>
      <c r="K51" s="64">
        <v>110.12</v>
      </c>
      <c r="L51" s="64">
        <v>17.510000000000002</v>
      </c>
      <c r="M51" s="64">
        <v>99.1</v>
      </c>
      <c r="N51" s="64">
        <v>285.10000000000002</v>
      </c>
      <c r="O51" s="64">
        <v>0</v>
      </c>
      <c r="P51" s="64">
        <v>0.56000000000000005</v>
      </c>
      <c r="Q51" s="64">
        <v>8.2100000000000009</v>
      </c>
      <c r="R51" s="198"/>
      <c r="S51" s="198"/>
      <c r="T51" s="198"/>
      <c r="U51" s="198"/>
    </row>
    <row r="52" spans="1:21" s="12" customFormat="1" x14ac:dyDescent="0.25">
      <c r="A52" s="215" t="s">
        <v>2211</v>
      </c>
      <c r="B52" s="64">
        <v>19.690000000000001</v>
      </c>
      <c r="C52" s="64">
        <v>40.049999999999997</v>
      </c>
      <c r="D52" s="64">
        <v>35.340000000000003</v>
      </c>
      <c r="E52" s="64">
        <v>5.24</v>
      </c>
      <c r="F52" s="64">
        <v>3.29</v>
      </c>
      <c r="G52" s="64">
        <v>39.299999999999997</v>
      </c>
      <c r="H52" s="64">
        <v>14.38</v>
      </c>
      <c r="I52" s="64">
        <v>8.27</v>
      </c>
      <c r="J52" s="64">
        <v>3.64</v>
      </c>
      <c r="K52" s="64">
        <v>112.86</v>
      </c>
      <c r="L52" s="64">
        <v>17.75</v>
      </c>
      <c r="M52" s="64">
        <v>98.01</v>
      </c>
      <c r="N52" s="64">
        <v>322.89999999999998</v>
      </c>
      <c r="O52" s="64">
        <v>0</v>
      </c>
      <c r="P52" s="64">
        <v>0.56999999999999995</v>
      </c>
      <c r="Q52" s="64">
        <v>8.2100000000000009</v>
      </c>
      <c r="R52" s="198"/>
      <c r="S52" s="198"/>
      <c r="T52" s="198"/>
      <c r="U52" s="198"/>
    </row>
    <row r="53" spans="1:21" s="12" customFormat="1" x14ac:dyDescent="0.25">
      <c r="A53" s="215" t="s">
        <v>2212</v>
      </c>
      <c r="B53" s="64">
        <v>19.04</v>
      </c>
      <c r="C53" s="64">
        <v>39.29</v>
      </c>
      <c r="D53" s="64">
        <v>34.42</v>
      </c>
      <c r="E53" s="64">
        <v>5.2</v>
      </c>
      <c r="F53" s="64">
        <v>3.68</v>
      </c>
      <c r="G53" s="64">
        <v>39.369999999999997</v>
      </c>
      <c r="H53" s="64">
        <v>14.83</v>
      </c>
      <c r="I53" s="64">
        <v>8.3699999999999992</v>
      </c>
      <c r="J53" s="64">
        <v>3.54</v>
      </c>
      <c r="K53" s="64">
        <v>114.19</v>
      </c>
      <c r="L53" s="64">
        <v>18.309999999999999</v>
      </c>
      <c r="M53" s="64">
        <v>94.89</v>
      </c>
      <c r="N53" s="64">
        <v>429.5</v>
      </c>
      <c r="O53" s="64">
        <v>0</v>
      </c>
      <c r="P53" s="64">
        <v>0.56000000000000005</v>
      </c>
      <c r="Q53" s="64">
        <v>8.2100000000000009</v>
      </c>
      <c r="R53" s="198"/>
      <c r="S53" s="198"/>
      <c r="T53" s="198"/>
      <c r="U53" s="198"/>
    </row>
    <row r="54" spans="1:21" s="12" customFormat="1" x14ac:dyDescent="0.25">
      <c r="A54" s="215" t="s">
        <v>2213</v>
      </c>
      <c r="B54" s="64">
        <v>18.32</v>
      </c>
      <c r="C54" s="64">
        <v>41.65</v>
      </c>
      <c r="D54" s="64">
        <v>35.08</v>
      </c>
      <c r="E54" s="64">
        <v>4.92</v>
      </c>
      <c r="F54" s="64">
        <v>3.66</v>
      </c>
      <c r="G54" s="64">
        <v>39.549999999999997</v>
      </c>
      <c r="H54" s="64">
        <v>15.65</v>
      </c>
      <c r="I54" s="64">
        <v>8.6300000000000008</v>
      </c>
      <c r="J54" s="64">
        <v>3.33</v>
      </c>
      <c r="K54" s="64">
        <v>109.97</v>
      </c>
      <c r="L54" s="64">
        <v>18.62</v>
      </c>
      <c r="M54" s="64">
        <v>93.25</v>
      </c>
      <c r="N54" s="64">
        <v>405.8</v>
      </c>
      <c r="O54" s="64">
        <v>0</v>
      </c>
      <c r="P54" s="64">
        <v>0.56999999999999995</v>
      </c>
      <c r="Q54" s="64">
        <v>8.2100000000000009</v>
      </c>
      <c r="R54" s="198"/>
      <c r="S54" s="198"/>
      <c r="T54" s="198"/>
      <c r="U54" s="198"/>
    </row>
    <row r="55" spans="1:21" s="12" customFormat="1" x14ac:dyDescent="0.25">
      <c r="A55" s="215" t="s">
        <v>2214</v>
      </c>
      <c r="B55" s="64">
        <v>17.559999999999999</v>
      </c>
      <c r="C55" s="64">
        <v>41.23</v>
      </c>
      <c r="D55" s="64">
        <v>34.25</v>
      </c>
      <c r="E55" s="64">
        <v>5.03</v>
      </c>
      <c r="F55" s="64">
        <v>3.42</v>
      </c>
      <c r="G55" s="64">
        <v>39.549999999999997</v>
      </c>
      <c r="H55" s="64">
        <v>15.65</v>
      </c>
      <c r="I55" s="64">
        <v>9.0399999999999991</v>
      </c>
      <c r="J55" s="64">
        <v>2.94</v>
      </c>
      <c r="K55" s="64">
        <v>123.9</v>
      </c>
      <c r="L55" s="64">
        <v>19.3</v>
      </c>
      <c r="M55" s="64">
        <v>88.57</v>
      </c>
      <c r="N55" s="64">
        <v>599.1</v>
      </c>
      <c r="O55" s="64">
        <v>0</v>
      </c>
      <c r="P55" s="64">
        <v>0.56000000000000005</v>
      </c>
      <c r="Q55" s="64">
        <v>8.2100000000000009</v>
      </c>
      <c r="R55" s="198"/>
      <c r="S55" s="198"/>
      <c r="T55" s="198"/>
      <c r="U55" s="198"/>
    </row>
    <row r="56" spans="1:21" s="12" customFormat="1" x14ac:dyDescent="0.25">
      <c r="A56" s="215" t="s">
        <v>2215</v>
      </c>
      <c r="B56" s="64">
        <v>16.45</v>
      </c>
      <c r="C56" s="64">
        <v>40.75</v>
      </c>
      <c r="D56" s="64">
        <v>33.11</v>
      </c>
      <c r="E56" s="64">
        <v>5.15</v>
      </c>
      <c r="F56" s="64">
        <v>3.81</v>
      </c>
      <c r="G56" s="64">
        <v>39.549999999999997</v>
      </c>
      <c r="H56" s="64">
        <v>15.65</v>
      </c>
      <c r="I56" s="64">
        <v>9.2799999999999994</v>
      </c>
      <c r="J56" s="64">
        <v>3.66</v>
      </c>
      <c r="K56" s="64">
        <v>123.73</v>
      </c>
      <c r="L56" s="64">
        <v>20.23</v>
      </c>
      <c r="M56" s="64">
        <v>83.61</v>
      </c>
      <c r="N56" s="64">
        <v>606.20000000000005</v>
      </c>
      <c r="O56" s="64">
        <v>0</v>
      </c>
      <c r="P56" s="64">
        <v>0.56000000000000005</v>
      </c>
      <c r="Q56" s="64">
        <v>8.2100000000000009</v>
      </c>
      <c r="R56" s="198"/>
      <c r="S56" s="198"/>
      <c r="T56" s="198"/>
      <c r="U56" s="198"/>
    </row>
    <row r="57" spans="1:21" s="12" customFormat="1" x14ac:dyDescent="0.25">
      <c r="A57" s="215" t="s">
        <v>2216</v>
      </c>
      <c r="B57" s="64">
        <v>15.38</v>
      </c>
      <c r="C57" s="64">
        <v>39.520000000000003</v>
      </c>
      <c r="D57" s="64">
        <v>31.61</v>
      </c>
      <c r="E57" s="64">
        <v>4.9000000000000004</v>
      </c>
      <c r="F57" s="64">
        <v>3.78</v>
      </c>
      <c r="G57" s="64">
        <v>39.11</v>
      </c>
      <c r="H57" s="64">
        <v>15.38</v>
      </c>
      <c r="I57" s="64">
        <v>9.27</v>
      </c>
      <c r="J57" s="64">
        <v>1.36</v>
      </c>
      <c r="K57" s="64">
        <v>65.98</v>
      </c>
      <c r="L57" s="64">
        <v>21.33</v>
      </c>
      <c r="M57" s="64">
        <v>78.8</v>
      </c>
      <c r="N57" s="64">
        <v>517.5</v>
      </c>
      <c r="O57" s="64">
        <v>0</v>
      </c>
      <c r="P57" s="64">
        <v>0.55000000000000004</v>
      </c>
      <c r="Q57" s="64">
        <v>8.2100000000000009</v>
      </c>
      <c r="R57" s="198"/>
      <c r="S57" s="198"/>
      <c r="T57" s="198"/>
      <c r="U57" s="198"/>
    </row>
    <row r="58" spans="1:21" s="12" customFormat="1" x14ac:dyDescent="0.25">
      <c r="A58" s="215" t="s">
        <v>2217</v>
      </c>
      <c r="B58" s="64">
        <v>14.87</v>
      </c>
      <c r="C58" s="64">
        <v>40.42</v>
      </c>
      <c r="D58" s="64">
        <v>31.67</v>
      </c>
      <c r="E58" s="64">
        <v>5.16</v>
      </c>
      <c r="F58" s="64">
        <v>3.1</v>
      </c>
      <c r="G58" s="64">
        <v>37.950000000000003</v>
      </c>
      <c r="H58" s="64">
        <v>14.89</v>
      </c>
      <c r="I58" s="64">
        <v>9.1</v>
      </c>
      <c r="J58" s="64">
        <v>1.52</v>
      </c>
      <c r="K58" s="64">
        <v>339.11</v>
      </c>
      <c r="L58" s="64">
        <v>23.68</v>
      </c>
      <c r="M58" s="64">
        <v>66.45</v>
      </c>
      <c r="N58" s="64">
        <v>527.5</v>
      </c>
      <c r="O58" s="64">
        <v>0</v>
      </c>
      <c r="P58" s="64">
        <v>0.56999999999999995</v>
      </c>
      <c r="Q58" s="64">
        <v>8.2100000000000009</v>
      </c>
      <c r="R58" s="198"/>
      <c r="S58" s="198"/>
      <c r="T58" s="198"/>
      <c r="U58" s="198"/>
    </row>
    <row r="59" spans="1:21" s="12" customFormat="1" x14ac:dyDescent="0.25">
      <c r="A59" s="215" t="s">
        <v>2218</v>
      </c>
      <c r="B59" s="64">
        <v>14.74</v>
      </c>
      <c r="C59" s="64">
        <v>42.22</v>
      </c>
      <c r="D59" s="64">
        <v>32.5</v>
      </c>
      <c r="E59" s="64">
        <v>5.08</v>
      </c>
      <c r="F59" s="64">
        <v>3.09</v>
      </c>
      <c r="G59" s="64">
        <v>37.950000000000003</v>
      </c>
      <c r="H59" s="64">
        <v>14.89</v>
      </c>
      <c r="I59" s="64">
        <v>8.9499999999999993</v>
      </c>
      <c r="J59" s="64">
        <v>1.06</v>
      </c>
      <c r="K59" s="64">
        <v>42.75</v>
      </c>
      <c r="L59" s="64">
        <v>23.56</v>
      </c>
      <c r="M59" s="64">
        <v>67.260000000000005</v>
      </c>
      <c r="N59" s="64">
        <v>568.1</v>
      </c>
      <c r="O59" s="64">
        <v>0</v>
      </c>
      <c r="P59" s="64">
        <v>0.57999999999999996</v>
      </c>
      <c r="Q59" s="64">
        <v>8.2100000000000009</v>
      </c>
      <c r="R59" s="198"/>
      <c r="S59" s="198"/>
      <c r="T59" s="198"/>
      <c r="U59" s="198"/>
    </row>
    <row r="60" spans="1:21" s="12" customFormat="1" x14ac:dyDescent="0.25">
      <c r="A60" s="215" t="s">
        <v>2219</v>
      </c>
      <c r="B60" s="64">
        <v>14.36</v>
      </c>
      <c r="C60" s="64">
        <v>42.59</v>
      </c>
      <c r="D60" s="64">
        <v>32.39</v>
      </c>
      <c r="E60" s="64">
        <v>5.05</v>
      </c>
      <c r="F60" s="64">
        <v>3.32</v>
      </c>
      <c r="G60" s="64">
        <v>37.950000000000003</v>
      </c>
      <c r="H60" s="64">
        <v>14.89</v>
      </c>
      <c r="I60" s="64">
        <v>8.76</v>
      </c>
      <c r="J60" s="64">
        <v>1.19</v>
      </c>
      <c r="K60" s="64">
        <v>345.31</v>
      </c>
      <c r="L60" s="64">
        <v>22.78</v>
      </c>
      <c r="M60" s="64">
        <v>69.510000000000005</v>
      </c>
      <c r="N60" s="64">
        <v>553.79999999999995</v>
      </c>
      <c r="O60" s="64">
        <v>0</v>
      </c>
      <c r="P60" s="64">
        <v>0.59</v>
      </c>
      <c r="Q60" s="64">
        <v>8.2100000000000009</v>
      </c>
      <c r="R60" s="198"/>
      <c r="S60" s="198"/>
      <c r="T60" s="198"/>
      <c r="U60" s="198"/>
    </row>
    <row r="61" spans="1:21" s="12" customFormat="1" x14ac:dyDescent="0.25">
      <c r="A61" s="215" t="s">
        <v>2220</v>
      </c>
      <c r="B61" s="64">
        <v>14.42</v>
      </c>
      <c r="C61" s="64">
        <v>43.66</v>
      </c>
      <c r="D61" s="64">
        <v>33</v>
      </c>
      <c r="E61" s="64">
        <v>4.95</v>
      </c>
      <c r="F61" s="64">
        <v>3.54</v>
      </c>
      <c r="G61" s="64">
        <v>39.03</v>
      </c>
      <c r="H61" s="64">
        <v>15.26</v>
      </c>
      <c r="I61" s="64">
        <v>8.52</v>
      </c>
      <c r="J61" s="64">
        <v>1.31</v>
      </c>
      <c r="K61" s="64">
        <v>358.5</v>
      </c>
      <c r="L61" s="64">
        <v>23.42</v>
      </c>
      <c r="M61" s="64">
        <v>67.06</v>
      </c>
      <c r="N61" s="64">
        <v>374.3</v>
      </c>
      <c r="O61" s="64">
        <v>0</v>
      </c>
      <c r="P61" s="64">
        <v>0.56999999999999995</v>
      </c>
      <c r="Q61" s="64">
        <v>8.2100000000000009</v>
      </c>
      <c r="R61" s="198"/>
      <c r="S61" s="198"/>
      <c r="T61" s="198"/>
      <c r="U61" s="198"/>
    </row>
    <row r="62" spans="1:21" s="12" customFormat="1" x14ac:dyDescent="0.25">
      <c r="A62" s="215" t="s">
        <v>2221</v>
      </c>
      <c r="B62" s="64">
        <v>14.45</v>
      </c>
      <c r="C62" s="64">
        <v>45.43</v>
      </c>
      <c r="D62" s="64">
        <v>33.950000000000003</v>
      </c>
      <c r="E62" s="64">
        <v>5.39</v>
      </c>
      <c r="F62" s="64">
        <v>3.54</v>
      </c>
      <c r="G62" s="64">
        <v>41.81</v>
      </c>
      <c r="H62" s="64">
        <v>16.82</v>
      </c>
      <c r="I62" s="64">
        <v>8.32</v>
      </c>
      <c r="J62" s="64">
        <v>3.85</v>
      </c>
      <c r="K62" s="64">
        <v>342.8</v>
      </c>
      <c r="L62" s="64">
        <v>23.54</v>
      </c>
      <c r="M62" s="64">
        <v>67.19</v>
      </c>
      <c r="N62" s="64">
        <v>141.5</v>
      </c>
      <c r="O62" s="64">
        <v>0</v>
      </c>
      <c r="P62" s="64">
        <v>0.61</v>
      </c>
      <c r="Q62" s="64">
        <v>8.2100000000000009</v>
      </c>
      <c r="R62" s="198"/>
      <c r="S62" s="198"/>
      <c r="T62" s="198"/>
      <c r="U62" s="198"/>
    </row>
    <row r="63" spans="1:21" s="12" customFormat="1" x14ac:dyDescent="0.25">
      <c r="A63" s="215" t="s">
        <v>2222</v>
      </c>
      <c r="B63" s="64">
        <v>14.73</v>
      </c>
      <c r="C63" s="64">
        <v>46.27</v>
      </c>
      <c r="D63" s="64">
        <v>34.61</v>
      </c>
      <c r="E63" s="64">
        <v>5.34</v>
      </c>
      <c r="F63" s="64">
        <v>3.73</v>
      </c>
      <c r="G63" s="64">
        <v>41.81</v>
      </c>
      <c r="H63" s="64">
        <v>16.82</v>
      </c>
      <c r="I63" s="64">
        <v>8.1300000000000008</v>
      </c>
      <c r="J63" s="64">
        <v>3.63</v>
      </c>
      <c r="K63" s="64">
        <v>345.91</v>
      </c>
      <c r="L63" s="64">
        <v>22.86</v>
      </c>
      <c r="M63" s="64">
        <v>69.67</v>
      </c>
      <c r="N63" s="64">
        <v>279.10000000000002</v>
      </c>
      <c r="O63" s="64">
        <v>0</v>
      </c>
      <c r="P63" s="64">
        <v>0.66</v>
      </c>
      <c r="Q63" s="64">
        <v>8.2100000000000009</v>
      </c>
      <c r="R63" s="198"/>
      <c r="S63" s="198"/>
      <c r="T63" s="198"/>
      <c r="U63" s="198"/>
    </row>
    <row r="64" spans="1:21" s="12" customFormat="1" x14ac:dyDescent="0.25">
      <c r="A64" s="215" t="s">
        <v>2223</v>
      </c>
      <c r="B64" s="64">
        <v>14.9</v>
      </c>
      <c r="C64" s="64">
        <v>42.84</v>
      </c>
      <c r="D64" s="64">
        <v>32.950000000000003</v>
      </c>
      <c r="E64" s="64">
        <v>5.54</v>
      </c>
      <c r="F64" s="64">
        <v>4.0199999999999996</v>
      </c>
      <c r="G64" s="64">
        <v>41.81</v>
      </c>
      <c r="H64" s="64">
        <v>16.82</v>
      </c>
      <c r="I64" s="64">
        <v>7.96</v>
      </c>
      <c r="J64" s="64">
        <v>3.55</v>
      </c>
      <c r="K64" s="64">
        <v>349.56</v>
      </c>
      <c r="L64" s="64">
        <v>23.1</v>
      </c>
      <c r="M64" s="64">
        <v>68.900000000000006</v>
      </c>
      <c r="N64" s="64">
        <v>233.2</v>
      </c>
      <c r="O64" s="64">
        <v>0</v>
      </c>
      <c r="P64" s="64">
        <v>0.68</v>
      </c>
      <c r="Q64" s="64">
        <v>8.2100000000000009</v>
      </c>
      <c r="R64" s="198"/>
      <c r="S64" s="198"/>
      <c r="T64" s="198"/>
      <c r="U64" s="198"/>
    </row>
    <row r="65" spans="1:21" s="12" customFormat="1" x14ac:dyDescent="0.25">
      <c r="A65" s="215" t="s">
        <v>2224</v>
      </c>
      <c r="B65" s="64">
        <v>15.02</v>
      </c>
      <c r="C65" s="64">
        <v>44.19</v>
      </c>
      <c r="D65" s="64">
        <v>33.75</v>
      </c>
      <c r="E65" s="64">
        <v>5.74</v>
      </c>
      <c r="F65" s="64">
        <v>4.12</v>
      </c>
      <c r="G65" s="64">
        <v>46.04</v>
      </c>
      <c r="H65" s="64">
        <v>18.149999999999999</v>
      </c>
      <c r="I65" s="64">
        <v>6.42</v>
      </c>
      <c r="J65" s="64">
        <v>3.19</v>
      </c>
      <c r="K65" s="64">
        <v>339.91</v>
      </c>
      <c r="L65" s="64">
        <v>23.1</v>
      </c>
      <c r="M65" s="64">
        <v>68.900000000000006</v>
      </c>
      <c r="N65" s="64">
        <v>225.1</v>
      </c>
      <c r="O65" s="64">
        <v>0</v>
      </c>
      <c r="P65" s="64">
        <v>0.78</v>
      </c>
      <c r="Q65" s="64">
        <v>8.2100000000000009</v>
      </c>
      <c r="R65" s="198"/>
      <c r="S65" s="198"/>
      <c r="T65" s="198"/>
      <c r="U65" s="198"/>
    </row>
    <row r="66" spans="1:21" s="12" customFormat="1" x14ac:dyDescent="0.25">
      <c r="A66" s="215" t="s">
        <v>2225</v>
      </c>
      <c r="B66" s="64">
        <v>15.27</v>
      </c>
      <c r="C66" s="64">
        <v>46.01</v>
      </c>
      <c r="D66" s="64">
        <v>34.909999999999997</v>
      </c>
      <c r="E66" s="64">
        <v>5.37</v>
      </c>
      <c r="F66" s="64">
        <v>3.88</v>
      </c>
      <c r="G66" s="64">
        <v>57.02</v>
      </c>
      <c r="H66" s="64">
        <v>20.53</v>
      </c>
      <c r="I66" s="64">
        <v>6.87</v>
      </c>
      <c r="J66" s="64">
        <v>2.59</v>
      </c>
      <c r="K66" s="64">
        <v>346.97</v>
      </c>
      <c r="L66" s="64">
        <v>22.99</v>
      </c>
      <c r="M66" s="64">
        <v>68.36</v>
      </c>
      <c r="N66" s="64">
        <v>175.5</v>
      </c>
      <c r="O66" s="64">
        <v>0</v>
      </c>
      <c r="P66" s="64">
        <v>0.76</v>
      </c>
      <c r="Q66" s="64">
        <v>8.2100000000000009</v>
      </c>
      <c r="R66" s="198"/>
      <c r="S66" s="198"/>
      <c r="T66" s="198"/>
      <c r="U66" s="198"/>
    </row>
    <row r="67" spans="1:21" s="12" customFormat="1" x14ac:dyDescent="0.25">
      <c r="A67" s="215" t="s">
        <v>2226</v>
      </c>
      <c r="B67" s="64">
        <v>15.63</v>
      </c>
      <c r="C67" s="64">
        <v>47.92</v>
      </c>
      <c r="D67" s="64">
        <v>36.200000000000003</v>
      </c>
      <c r="E67" s="64">
        <v>5.77</v>
      </c>
      <c r="F67" s="64">
        <v>4.12</v>
      </c>
      <c r="G67" s="64">
        <v>57.02</v>
      </c>
      <c r="H67" s="64">
        <v>20.53</v>
      </c>
      <c r="I67" s="64">
        <v>5.88</v>
      </c>
      <c r="J67" s="64">
        <v>2.57</v>
      </c>
      <c r="K67" s="64">
        <v>353.55</v>
      </c>
      <c r="L67" s="64">
        <v>22.69</v>
      </c>
      <c r="M67" s="64">
        <v>69.37</v>
      </c>
      <c r="N67" s="64">
        <v>176.5</v>
      </c>
      <c r="O67" s="64">
        <v>0</v>
      </c>
      <c r="P67" s="64">
        <v>0.77</v>
      </c>
      <c r="Q67" s="64">
        <v>8.2100000000000009</v>
      </c>
      <c r="R67" s="198"/>
      <c r="S67" s="198"/>
      <c r="T67" s="198"/>
      <c r="U67" s="198"/>
    </row>
    <row r="68" spans="1:21" s="12" customFormat="1" x14ac:dyDescent="0.25">
      <c r="A68" s="215" t="s">
        <v>2227</v>
      </c>
      <c r="B68" s="64">
        <v>15.97</v>
      </c>
      <c r="C68" s="64">
        <v>49.14</v>
      </c>
      <c r="D68" s="64">
        <v>37.11</v>
      </c>
      <c r="E68" s="64">
        <v>6.01</v>
      </c>
      <c r="F68" s="64">
        <v>4.13</v>
      </c>
      <c r="G68" s="64">
        <v>57.02</v>
      </c>
      <c r="H68" s="64">
        <v>20.53</v>
      </c>
      <c r="I68" s="64">
        <v>6.18</v>
      </c>
      <c r="J68" s="64">
        <v>3.15</v>
      </c>
      <c r="K68" s="64">
        <v>346.14</v>
      </c>
      <c r="L68" s="64">
        <v>22.34</v>
      </c>
      <c r="M68" s="64">
        <v>69.69</v>
      </c>
      <c r="N68" s="64">
        <v>162.5</v>
      </c>
      <c r="O68" s="64">
        <v>0</v>
      </c>
      <c r="P68" s="64">
        <v>0.79</v>
      </c>
      <c r="Q68" s="64">
        <v>8.2100000000000009</v>
      </c>
      <c r="R68" s="198"/>
      <c r="S68" s="198"/>
      <c r="T68" s="198"/>
      <c r="U68" s="198"/>
    </row>
    <row r="69" spans="1:21" s="12" customFormat="1" x14ac:dyDescent="0.25">
      <c r="A69" s="215" t="s">
        <v>2228</v>
      </c>
      <c r="B69" s="64">
        <v>16.559999999999999</v>
      </c>
      <c r="C69" s="64">
        <v>49.57</v>
      </c>
      <c r="D69" s="64">
        <v>37.799999999999997</v>
      </c>
      <c r="E69" s="64">
        <v>5.8</v>
      </c>
      <c r="F69" s="64">
        <v>4.22</v>
      </c>
      <c r="G69" s="64">
        <v>58.82</v>
      </c>
      <c r="H69" s="64">
        <v>21.28</v>
      </c>
      <c r="I69" s="64">
        <v>7.02</v>
      </c>
      <c r="J69" s="64">
        <v>0.98</v>
      </c>
      <c r="K69" s="64">
        <v>25.82</v>
      </c>
      <c r="L69" s="64">
        <v>22.22</v>
      </c>
      <c r="M69" s="64">
        <v>69.989999999999995</v>
      </c>
      <c r="N69" s="64">
        <v>163.5</v>
      </c>
      <c r="O69" s="64">
        <v>0</v>
      </c>
      <c r="P69" s="64">
        <v>0.79</v>
      </c>
      <c r="Q69" s="64">
        <v>8.2100000000000009</v>
      </c>
      <c r="R69" s="198"/>
      <c r="S69" s="198"/>
      <c r="T69" s="198"/>
      <c r="U69" s="198"/>
    </row>
    <row r="70" spans="1:21" s="12" customFormat="1" x14ac:dyDescent="0.25">
      <c r="A70" s="215" t="s">
        <v>2229</v>
      </c>
      <c r="B70" s="64">
        <v>17.04</v>
      </c>
      <c r="C70" s="64">
        <v>49.66</v>
      </c>
      <c r="D70" s="64">
        <v>38.229999999999997</v>
      </c>
      <c r="E70" s="64">
        <v>5.89</v>
      </c>
      <c r="F70" s="64">
        <v>4</v>
      </c>
      <c r="G70" s="64">
        <v>63.5</v>
      </c>
      <c r="H70" s="64">
        <v>22.63</v>
      </c>
      <c r="I70" s="64">
        <v>6.41</v>
      </c>
      <c r="J70" s="64">
        <v>1.69</v>
      </c>
      <c r="K70" s="64">
        <v>51.28</v>
      </c>
      <c r="L70" s="64">
        <v>22.03</v>
      </c>
      <c r="M70" s="64">
        <v>70.180000000000007</v>
      </c>
      <c r="N70" s="64">
        <v>141.19999999999999</v>
      </c>
      <c r="O70" s="64">
        <v>0</v>
      </c>
      <c r="P70" s="64">
        <v>0.82</v>
      </c>
      <c r="Q70" s="64">
        <v>8.2100000000000009</v>
      </c>
      <c r="R70" s="198"/>
      <c r="S70" s="198"/>
      <c r="T70" s="198"/>
      <c r="U70" s="198"/>
    </row>
    <row r="71" spans="1:21" s="12" customFormat="1" x14ac:dyDescent="0.25">
      <c r="A71" s="215" t="s">
        <v>2230</v>
      </c>
      <c r="B71" s="64">
        <v>17.09</v>
      </c>
      <c r="C71" s="64">
        <v>49.49</v>
      </c>
      <c r="D71" s="64">
        <v>38.18</v>
      </c>
      <c r="E71" s="64">
        <v>5.48</v>
      </c>
      <c r="F71" s="64">
        <v>4.1399999999999997</v>
      </c>
      <c r="G71" s="64">
        <v>63.5</v>
      </c>
      <c r="H71" s="64">
        <v>22.63</v>
      </c>
      <c r="I71" s="64">
        <v>5.24</v>
      </c>
      <c r="J71" s="64">
        <v>1.32</v>
      </c>
      <c r="K71" s="64">
        <v>78.89</v>
      </c>
      <c r="L71" s="64">
        <v>21.04</v>
      </c>
      <c r="M71" s="64">
        <v>73.59</v>
      </c>
      <c r="N71" s="64">
        <v>115.3</v>
      </c>
      <c r="O71" s="64">
        <v>0</v>
      </c>
      <c r="P71" s="64">
        <v>0.77</v>
      </c>
      <c r="Q71" s="64">
        <v>8.2100000000000009</v>
      </c>
      <c r="R71" s="198"/>
      <c r="S71" s="198"/>
      <c r="T71" s="198"/>
      <c r="U71" s="198"/>
    </row>
    <row r="72" spans="1:21" s="12" customFormat="1" x14ac:dyDescent="0.25">
      <c r="A72" s="215" t="s">
        <v>2231</v>
      </c>
      <c r="B72" s="64">
        <v>16.89</v>
      </c>
      <c r="C72" s="64">
        <v>48.42</v>
      </c>
      <c r="D72" s="64">
        <v>37.47</v>
      </c>
      <c r="E72" s="64">
        <v>5.34</v>
      </c>
      <c r="F72" s="64">
        <v>4.3600000000000003</v>
      </c>
      <c r="G72" s="64">
        <v>63.5</v>
      </c>
      <c r="H72" s="64">
        <v>22.63</v>
      </c>
      <c r="I72" s="64">
        <v>6.39</v>
      </c>
      <c r="J72" s="64">
        <v>2.4300000000000002</v>
      </c>
      <c r="K72" s="64">
        <v>113.87</v>
      </c>
      <c r="L72" s="64">
        <v>21.02</v>
      </c>
      <c r="M72" s="64">
        <v>74.25</v>
      </c>
      <c r="N72" s="64">
        <v>106.3</v>
      </c>
      <c r="O72" s="64">
        <v>0</v>
      </c>
      <c r="P72" s="64">
        <v>0.78</v>
      </c>
      <c r="Q72" s="64">
        <v>8.2100000000000009</v>
      </c>
      <c r="R72" s="198"/>
      <c r="S72" s="198"/>
      <c r="T72" s="198"/>
      <c r="U72" s="198"/>
    </row>
    <row r="73" spans="1:21" s="12" customFormat="1" x14ac:dyDescent="0.25">
      <c r="A73" s="215" t="s">
        <v>2232</v>
      </c>
      <c r="B73" s="64">
        <v>16.100000000000001</v>
      </c>
      <c r="C73" s="64">
        <v>48.37</v>
      </c>
      <c r="D73" s="64">
        <v>36.81</v>
      </c>
      <c r="E73" s="64">
        <v>5.18</v>
      </c>
      <c r="F73" s="64">
        <v>3.95</v>
      </c>
      <c r="G73" s="64">
        <v>63.36</v>
      </c>
      <c r="H73" s="64">
        <v>23.58</v>
      </c>
      <c r="I73" s="64">
        <v>7.45</v>
      </c>
      <c r="J73" s="64">
        <v>2.0099999999999998</v>
      </c>
      <c r="K73" s="64">
        <v>113.13</v>
      </c>
      <c r="L73" s="64">
        <v>20.75</v>
      </c>
      <c r="M73" s="64">
        <v>74.06</v>
      </c>
      <c r="N73" s="64">
        <v>92.8</v>
      </c>
      <c r="O73" s="64">
        <v>0</v>
      </c>
      <c r="P73" s="64">
        <v>0.76</v>
      </c>
      <c r="Q73" s="64">
        <v>8.2100000000000009</v>
      </c>
      <c r="R73" s="198"/>
      <c r="S73" s="198"/>
      <c r="T73" s="198"/>
      <c r="U73" s="198"/>
    </row>
    <row r="74" spans="1:21" s="12" customFormat="1" x14ac:dyDescent="0.25">
      <c r="A74" s="215" t="s">
        <v>2233</v>
      </c>
      <c r="B74" s="64">
        <v>14.95</v>
      </c>
      <c r="C74" s="64">
        <v>48.55</v>
      </c>
      <c r="D74" s="64">
        <v>35.979999999999997</v>
      </c>
      <c r="E74" s="64">
        <v>5.07</v>
      </c>
      <c r="F74" s="64">
        <v>3.71</v>
      </c>
      <c r="G74" s="64">
        <v>62.98</v>
      </c>
      <c r="H74" s="64">
        <v>25.27</v>
      </c>
      <c r="I74" s="64">
        <v>7.67</v>
      </c>
      <c r="J74" s="64">
        <v>2.3199999999999998</v>
      </c>
      <c r="K74" s="64">
        <v>113.81</v>
      </c>
      <c r="L74" s="64">
        <v>20.55</v>
      </c>
      <c r="M74" s="64">
        <v>74.62</v>
      </c>
      <c r="N74" s="64">
        <v>82.5</v>
      </c>
      <c r="O74" s="64">
        <v>0</v>
      </c>
      <c r="P74" s="64">
        <v>0.76</v>
      </c>
      <c r="Q74" s="64">
        <v>8.2100000000000009</v>
      </c>
      <c r="R74" s="198"/>
      <c r="S74" s="198"/>
      <c r="T74" s="198"/>
      <c r="U74" s="198"/>
    </row>
    <row r="75" spans="1:21" s="12" customFormat="1" x14ac:dyDescent="0.25">
      <c r="A75" s="215" t="s">
        <v>2234</v>
      </c>
      <c r="B75" s="64">
        <v>13.83</v>
      </c>
      <c r="C75" s="64">
        <v>48.26</v>
      </c>
      <c r="D75" s="64">
        <v>34.93</v>
      </c>
      <c r="E75" s="64">
        <v>4.88</v>
      </c>
      <c r="F75" s="64">
        <v>3.6</v>
      </c>
      <c r="G75" s="64">
        <v>62.98</v>
      </c>
      <c r="H75" s="64">
        <v>25.27</v>
      </c>
      <c r="I75" s="64">
        <v>7.67</v>
      </c>
      <c r="J75" s="64">
        <v>1.67</v>
      </c>
      <c r="K75" s="64">
        <v>102.12</v>
      </c>
      <c r="L75" s="64">
        <v>20.59</v>
      </c>
      <c r="M75" s="64">
        <v>75.34</v>
      </c>
      <c r="N75" s="64">
        <v>73.400000000000006</v>
      </c>
      <c r="O75" s="64">
        <v>0</v>
      </c>
      <c r="P75" s="64">
        <v>0.75</v>
      </c>
      <c r="Q75" s="64">
        <v>8.2100000000000009</v>
      </c>
      <c r="R75" s="198"/>
      <c r="S75" s="198"/>
      <c r="T75" s="198"/>
      <c r="U75" s="198"/>
    </row>
    <row r="76" spans="1:21" s="12" customFormat="1" x14ac:dyDescent="0.25">
      <c r="A76" s="215" t="s">
        <v>2235</v>
      </c>
      <c r="B76" s="64">
        <v>13.15</v>
      </c>
      <c r="C76" s="64">
        <v>48.58</v>
      </c>
      <c r="D76" s="64">
        <v>34.549999999999997</v>
      </c>
      <c r="E76" s="64">
        <v>4.58</v>
      </c>
      <c r="F76" s="64">
        <v>3.36</v>
      </c>
      <c r="G76" s="64">
        <v>62.98</v>
      </c>
      <c r="H76" s="64">
        <v>25.27</v>
      </c>
      <c r="I76" s="64">
        <v>7.7</v>
      </c>
      <c r="J76" s="64">
        <v>2.85</v>
      </c>
      <c r="K76" s="64">
        <v>107.11</v>
      </c>
      <c r="L76" s="64">
        <v>20.41</v>
      </c>
      <c r="M76" s="64">
        <v>74.489999999999995</v>
      </c>
      <c r="N76" s="64">
        <v>64</v>
      </c>
      <c r="O76" s="64">
        <v>0</v>
      </c>
      <c r="P76" s="64">
        <v>0.74</v>
      </c>
      <c r="Q76" s="64">
        <v>8.2100000000000009</v>
      </c>
      <c r="R76" s="198"/>
      <c r="S76" s="198"/>
      <c r="T76" s="198"/>
      <c r="U76" s="198"/>
    </row>
    <row r="77" spans="1:21" s="12" customFormat="1" x14ac:dyDescent="0.25">
      <c r="A77" s="215" t="s">
        <v>2236</v>
      </c>
      <c r="B77" s="64">
        <v>12.35</v>
      </c>
      <c r="C77" s="64">
        <v>45.43</v>
      </c>
      <c r="D77" s="64">
        <v>32.26</v>
      </c>
      <c r="E77" s="64">
        <v>4.72</v>
      </c>
      <c r="F77" s="64">
        <v>3.68</v>
      </c>
      <c r="G77" s="64">
        <v>60.25</v>
      </c>
      <c r="H77" s="64">
        <v>24.58</v>
      </c>
      <c r="I77" s="64">
        <v>7.59</v>
      </c>
      <c r="J77" s="64">
        <v>1.73</v>
      </c>
      <c r="K77" s="64">
        <v>115.02</v>
      </c>
      <c r="L77" s="64">
        <v>20.059999999999999</v>
      </c>
      <c r="M77" s="64">
        <v>75.95</v>
      </c>
      <c r="N77" s="64">
        <v>55.3</v>
      </c>
      <c r="O77" s="64">
        <v>0</v>
      </c>
      <c r="P77" s="64">
        <v>0.74</v>
      </c>
      <c r="Q77" s="64">
        <v>8.2100000000000009</v>
      </c>
      <c r="R77" s="198"/>
      <c r="S77" s="198"/>
      <c r="T77" s="198"/>
      <c r="U77" s="198"/>
    </row>
    <row r="78" spans="1:21" s="12" customFormat="1" x14ac:dyDescent="0.25">
      <c r="A78" s="215" t="s">
        <v>2237</v>
      </c>
      <c r="B78" s="64">
        <v>11.78</v>
      </c>
      <c r="C78" s="64">
        <v>48.7</v>
      </c>
      <c r="D78" s="64">
        <v>33.520000000000003</v>
      </c>
      <c r="E78" s="64">
        <v>4.83</v>
      </c>
      <c r="F78" s="64">
        <v>3.66</v>
      </c>
      <c r="G78" s="64">
        <v>53.17</v>
      </c>
      <c r="H78" s="64">
        <v>21.59</v>
      </c>
      <c r="I78" s="64">
        <v>7.44</v>
      </c>
      <c r="J78" s="64">
        <v>1.76</v>
      </c>
      <c r="K78" s="64">
        <v>79.650000000000006</v>
      </c>
      <c r="L78" s="64">
        <v>19.809999999999999</v>
      </c>
      <c r="M78" s="64">
        <v>77.209999999999994</v>
      </c>
      <c r="N78" s="64">
        <v>48.9</v>
      </c>
      <c r="O78" s="64">
        <v>0</v>
      </c>
      <c r="P78" s="64">
        <v>0.73</v>
      </c>
      <c r="Q78" s="64">
        <v>8.2100000000000009</v>
      </c>
      <c r="R78" s="198"/>
      <c r="S78" s="198"/>
      <c r="T78" s="198"/>
      <c r="U78" s="198"/>
    </row>
    <row r="79" spans="1:21" s="12" customFormat="1" x14ac:dyDescent="0.25">
      <c r="A79" s="215" t="s">
        <v>2238</v>
      </c>
      <c r="B79" s="64">
        <v>11.58</v>
      </c>
      <c r="C79" s="64">
        <v>47.67</v>
      </c>
      <c r="D79" s="64">
        <v>32.82</v>
      </c>
      <c r="E79" s="64">
        <v>4.75</v>
      </c>
      <c r="F79" s="64">
        <v>3.77</v>
      </c>
      <c r="G79" s="64">
        <v>53.17</v>
      </c>
      <c r="H79" s="64">
        <v>21.59</v>
      </c>
      <c r="I79" s="64">
        <v>7.74</v>
      </c>
      <c r="J79" s="64">
        <v>2.08</v>
      </c>
      <c r="K79" s="64">
        <v>73.260000000000005</v>
      </c>
      <c r="L79" s="64">
        <v>19.489999999999998</v>
      </c>
      <c r="M79" s="64">
        <v>79.02</v>
      </c>
      <c r="N79" s="64">
        <v>46.4</v>
      </c>
      <c r="O79" s="64">
        <v>0</v>
      </c>
      <c r="P79" s="64">
        <v>0.76</v>
      </c>
      <c r="Q79" s="64">
        <v>8.2100000000000009</v>
      </c>
      <c r="R79" s="198"/>
      <c r="S79" s="198"/>
      <c r="T79" s="198"/>
      <c r="U79" s="198"/>
    </row>
    <row r="80" spans="1:21" s="12" customFormat="1" x14ac:dyDescent="0.25">
      <c r="A80" s="215" t="s">
        <v>2239</v>
      </c>
      <c r="B80" s="64">
        <v>11.88</v>
      </c>
      <c r="C80" s="64">
        <v>49.1</v>
      </c>
      <c r="D80" s="64">
        <v>33.799999999999997</v>
      </c>
      <c r="E80" s="64">
        <v>4.72</v>
      </c>
      <c r="F80" s="64">
        <v>3.69</v>
      </c>
      <c r="G80" s="64">
        <v>53.17</v>
      </c>
      <c r="H80" s="64">
        <v>21.59</v>
      </c>
      <c r="I80" s="64">
        <v>6.86</v>
      </c>
      <c r="J80" s="64">
        <v>0.19</v>
      </c>
      <c r="K80" s="64">
        <v>342.72</v>
      </c>
      <c r="L80" s="64">
        <v>19.28</v>
      </c>
      <c r="M80" s="64">
        <v>80.42</v>
      </c>
      <c r="N80" s="64">
        <v>46</v>
      </c>
      <c r="O80" s="64">
        <v>0</v>
      </c>
      <c r="P80" s="64">
        <v>0.75</v>
      </c>
      <c r="Q80" s="64">
        <v>8.2100000000000009</v>
      </c>
      <c r="R80" s="198"/>
      <c r="S80" s="198"/>
      <c r="T80" s="198"/>
      <c r="U80" s="198"/>
    </row>
    <row r="81" spans="1:26" s="12" customFormat="1" x14ac:dyDescent="0.25">
      <c r="A81" s="215" t="s">
        <v>2240</v>
      </c>
      <c r="B81" s="64">
        <v>12.22</v>
      </c>
      <c r="C81" s="64">
        <v>44.72</v>
      </c>
      <c r="D81" s="64">
        <v>31.79</v>
      </c>
      <c r="E81" s="64">
        <v>4.47</v>
      </c>
      <c r="F81" s="64">
        <v>3.49</v>
      </c>
      <c r="G81" s="64">
        <v>52.84</v>
      </c>
      <c r="H81" s="64">
        <v>20.69</v>
      </c>
      <c r="I81" s="64">
        <v>6.26</v>
      </c>
      <c r="J81" s="64">
        <v>1.7</v>
      </c>
      <c r="K81" s="64">
        <v>48.36</v>
      </c>
      <c r="L81" s="64">
        <v>19.05</v>
      </c>
      <c r="M81" s="64">
        <v>81.97</v>
      </c>
      <c r="N81" s="64">
        <v>45.9</v>
      </c>
      <c r="O81" s="64">
        <v>0</v>
      </c>
      <c r="P81" s="64">
        <v>0.91</v>
      </c>
      <c r="Q81" s="64">
        <v>8.2100000000000009</v>
      </c>
      <c r="R81" s="198"/>
      <c r="S81" s="198"/>
      <c r="T81" s="198"/>
      <c r="U81" s="198"/>
    </row>
    <row r="82" spans="1:26" s="12" customFormat="1" x14ac:dyDescent="0.25">
      <c r="A82" s="215" t="s">
        <v>2241</v>
      </c>
      <c r="B82" s="64">
        <v>13.34</v>
      </c>
      <c r="C82" s="64">
        <v>44.98</v>
      </c>
      <c r="D82" s="64">
        <v>32.82</v>
      </c>
      <c r="E82" s="64">
        <v>4.63</v>
      </c>
      <c r="F82" s="64">
        <v>2.8</v>
      </c>
      <c r="G82" s="64">
        <v>51.95</v>
      </c>
      <c r="H82" s="64">
        <v>19.079999999999998</v>
      </c>
      <c r="I82" s="64">
        <v>5.12</v>
      </c>
      <c r="J82" s="64">
        <v>1.28</v>
      </c>
      <c r="K82" s="64">
        <v>104.08</v>
      </c>
      <c r="L82" s="64">
        <v>18.71</v>
      </c>
      <c r="M82" s="64">
        <v>83.03</v>
      </c>
      <c r="N82" s="64">
        <v>45.9</v>
      </c>
      <c r="O82" s="64">
        <v>0</v>
      </c>
      <c r="P82" s="64">
        <v>0.88</v>
      </c>
      <c r="Q82" s="64">
        <v>8.2100000000000009</v>
      </c>
      <c r="R82" s="198"/>
      <c r="S82" s="198"/>
      <c r="T82" s="198"/>
      <c r="U82" s="198"/>
    </row>
    <row r="83" spans="1:26" s="12" customFormat="1" x14ac:dyDescent="0.25">
      <c r="A83" s="215" t="s">
        <v>2242</v>
      </c>
      <c r="B83" s="64">
        <v>14.72</v>
      </c>
      <c r="C83" s="64">
        <v>45.99</v>
      </c>
      <c r="D83" s="64">
        <v>34.46</v>
      </c>
      <c r="E83" s="64">
        <v>4.58</v>
      </c>
      <c r="F83" s="64">
        <v>3.92</v>
      </c>
      <c r="G83" s="64">
        <v>51.95</v>
      </c>
      <c r="H83" s="64">
        <v>19.079999999999998</v>
      </c>
      <c r="I83" s="64">
        <v>6.02</v>
      </c>
      <c r="J83" s="64">
        <v>2.77</v>
      </c>
      <c r="K83" s="64">
        <v>2.1800000000000002</v>
      </c>
      <c r="L83" s="64">
        <v>18.510000000000002</v>
      </c>
      <c r="M83" s="64">
        <v>86.97</v>
      </c>
      <c r="N83" s="64">
        <v>46</v>
      </c>
      <c r="O83" s="64">
        <v>0</v>
      </c>
      <c r="P83" s="64">
        <v>1.31</v>
      </c>
      <c r="Q83" s="64">
        <v>8.2100000000000009</v>
      </c>
      <c r="R83" s="198"/>
      <c r="S83" s="198"/>
      <c r="T83" s="198"/>
      <c r="U83" s="198"/>
    </row>
    <row r="84" spans="1:26" s="12" customFormat="1" x14ac:dyDescent="0.25">
      <c r="A84" s="215" t="s">
        <v>2243</v>
      </c>
      <c r="B84" s="64">
        <v>17.559999999999999</v>
      </c>
      <c r="C84" s="64">
        <v>46.57</v>
      </c>
      <c r="D84" s="64">
        <v>37.04</v>
      </c>
      <c r="E84" s="64">
        <v>5.01</v>
      </c>
      <c r="F84" s="64">
        <v>3.56</v>
      </c>
      <c r="G84" s="64">
        <v>51.95</v>
      </c>
      <c r="H84" s="64">
        <v>19.079999999999998</v>
      </c>
      <c r="I84" s="64">
        <v>6.38</v>
      </c>
      <c r="J84" s="64">
        <v>2.68</v>
      </c>
      <c r="K84" s="64">
        <v>354.42</v>
      </c>
      <c r="L84" s="64">
        <v>18.04</v>
      </c>
      <c r="M84" s="64">
        <v>90.33</v>
      </c>
      <c r="N84" s="64">
        <v>45.9</v>
      </c>
      <c r="O84" s="64">
        <v>0</v>
      </c>
      <c r="P84" s="64">
        <v>1.1299999999999999</v>
      </c>
      <c r="Q84" s="64">
        <v>8.2100000000000009</v>
      </c>
      <c r="R84" s="198"/>
      <c r="S84" s="198"/>
      <c r="T84" s="198"/>
      <c r="U84" s="198"/>
    </row>
    <row r="85" spans="1:26" s="12" customFormat="1" x14ac:dyDescent="0.25">
      <c r="A85" s="215" t="s">
        <v>2244</v>
      </c>
      <c r="B85" s="64">
        <v>21.15</v>
      </c>
      <c r="C85" s="64">
        <v>47.23</v>
      </c>
      <c r="D85" s="64">
        <v>40.26</v>
      </c>
      <c r="E85" s="64">
        <v>5.63</v>
      </c>
      <c r="F85" s="64">
        <v>3.89</v>
      </c>
      <c r="G85" s="64">
        <v>55.54</v>
      </c>
      <c r="H85" s="64">
        <v>20.54</v>
      </c>
      <c r="I85" s="64">
        <v>7.68</v>
      </c>
      <c r="J85" s="64">
        <v>2.1</v>
      </c>
      <c r="K85" s="64">
        <v>359.48</v>
      </c>
      <c r="L85" s="64">
        <v>17.8</v>
      </c>
      <c r="M85" s="64">
        <v>92.26</v>
      </c>
      <c r="N85" s="64">
        <v>45.7</v>
      </c>
      <c r="O85" s="64">
        <v>0</v>
      </c>
      <c r="P85" s="64">
        <v>1.24</v>
      </c>
      <c r="Q85" s="64">
        <v>8.2100000000000009</v>
      </c>
      <c r="R85" s="198"/>
      <c r="S85" s="198"/>
      <c r="T85" s="198"/>
      <c r="U85" s="198"/>
    </row>
    <row r="86" spans="1:26" s="12" customFormat="1" x14ac:dyDescent="0.25">
      <c r="A86" s="215" t="s">
        <v>2245</v>
      </c>
      <c r="B86" s="64">
        <v>25.02</v>
      </c>
      <c r="C86" s="64">
        <v>47.01</v>
      </c>
      <c r="D86" s="64">
        <v>43.25</v>
      </c>
      <c r="E86" s="64">
        <v>5.75</v>
      </c>
      <c r="F86" s="64">
        <v>3.6</v>
      </c>
      <c r="G86" s="64">
        <v>64.849999999999994</v>
      </c>
      <c r="H86" s="64">
        <v>23.16</v>
      </c>
      <c r="I86" s="64">
        <v>8.1199999999999992</v>
      </c>
      <c r="J86" s="64">
        <v>2.4700000000000002</v>
      </c>
      <c r="K86" s="64">
        <v>324.76</v>
      </c>
      <c r="L86" s="64">
        <v>17.68</v>
      </c>
      <c r="M86" s="64">
        <v>92.67</v>
      </c>
      <c r="N86" s="64">
        <v>45.8</v>
      </c>
      <c r="O86" s="64">
        <v>0</v>
      </c>
      <c r="P86" s="64">
        <v>1.23</v>
      </c>
      <c r="Q86" s="64">
        <v>8.25</v>
      </c>
      <c r="R86" s="198"/>
      <c r="S86" s="198"/>
      <c r="T86" s="198"/>
      <c r="U86" s="198"/>
    </row>
    <row r="87" spans="1:26" s="12" customFormat="1" x14ac:dyDescent="0.25">
      <c r="A87" s="215" t="s">
        <v>2246</v>
      </c>
      <c r="B87" s="64">
        <v>28.14</v>
      </c>
      <c r="C87" s="64">
        <v>46.43</v>
      </c>
      <c r="D87" s="64">
        <v>45.44</v>
      </c>
      <c r="E87" s="64">
        <v>6.3</v>
      </c>
      <c r="F87" s="64">
        <v>3.34</v>
      </c>
      <c r="G87" s="64">
        <v>64.849999999999994</v>
      </c>
      <c r="H87" s="64">
        <v>23.16</v>
      </c>
      <c r="I87" s="64">
        <v>8.41</v>
      </c>
      <c r="J87" s="64">
        <v>1.1100000000000001</v>
      </c>
      <c r="K87" s="64">
        <v>112.76</v>
      </c>
      <c r="L87" s="64">
        <v>17.54</v>
      </c>
      <c r="M87" s="64">
        <v>93.85</v>
      </c>
      <c r="N87" s="64">
        <v>45.5</v>
      </c>
      <c r="O87" s="64">
        <v>0</v>
      </c>
      <c r="P87" s="64">
        <v>1.1299999999999999</v>
      </c>
      <c r="Q87" s="64">
        <v>8.5</v>
      </c>
      <c r="R87" s="198"/>
      <c r="S87" s="198"/>
      <c r="T87" s="198"/>
      <c r="U87" s="198"/>
    </row>
    <row r="88" spans="1:26" s="12" customFormat="1" x14ac:dyDescent="0.25">
      <c r="A88" s="215" t="s">
        <v>2247</v>
      </c>
      <c r="B88" s="64">
        <v>30.14</v>
      </c>
      <c r="C88" s="64">
        <v>47.49</v>
      </c>
      <c r="D88" s="64">
        <v>47.6</v>
      </c>
      <c r="E88" s="64">
        <v>6.04</v>
      </c>
      <c r="F88" s="64">
        <v>3.96</v>
      </c>
      <c r="G88" s="64">
        <v>64.849999999999994</v>
      </c>
      <c r="H88" s="64">
        <v>23.16</v>
      </c>
      <c r="I88" s="64">
        <v>8.35</v>
      </c>
      <c r="J88" s="64">
        <v>2.56</v>
      </c>
      <c r="K88" s="64">
        <v>115.7</v>
      </c>
      <c r="L88" s="64">
        <v>17.88</v>
      </c>
      <c r="M88" s="64">
        <v>90.14</v>
      </c>
      <c r="N88" s="64">
        <v>45.2</v>
      </c>
      <c r="O88" s="64">
        <v>0</v>
      </c>
      <c r="P88" s="64">
        <v>1.06</v>
      </c>
      <c r="Q88" s="64">
        <v>8.7100000000000009</v>
      </c>
      <c r="R88" s="198"/>
      <c r="S88" s="198"/>
      <c r="T88" s="198"/>
      <c r="U88" s="198"/>
    </row>
    <row r="89" spans="1:26" s="12" customFormat="1" x14ac:dyDescent="0.25">
      <c r="A89" s="215" t="s">
        <v>2248</v>
      </c>
      <c r="B89" s="64">
        <v>31.07</v>
      </c>
      <c r="C89" s="64">
        <v>44.39</v>
      </c>
      <c r="D89" s="64">
        <v>46.73</v>
      </c>
      <c r="E89" s="64">
        <v>6.19</v>
      </c>
      <c r="F89" s="64">
        <v>4.1100000000000003</v>
      </c>
      <c r="G89" s="64">
        <v>67.19</v>
      </c>
      <c r="H89" s="64">
        <v>22.89</v>
      </c>
      <c r="I89" s="64">
        <v>8.6199999999999992</v>
      </c>
      <c r="J89" s="64">
        <v>0.74</v>
      </c>
      <c r="K89" s="64">
        <v>30.4</v>
      </c>
      <c r="L89" s="64">
        <v>17.940000000000001</v>
      </c>
      <c r="M89" s="64">
        <v>89.35</v>
      </c>
      <c r="N89" s="64">
        <v>45.6</v>
      </c>
      <c r="O89" s="64">
        <v>0</v>
      </c>
      <c r="P89" s="64">
        <v>1.07</v>
      </c>
      <c r="Q89" s="64">
        <v>8.84</v>
      </c>
      <c r="R89" s="198"/>
      <c r="S89" s="198"/>
      <c r="T89" s="198"/>
      <c r="U89" s="198"/>
    </row>
    <row r="90" spans="1:26" s="12" customFormat="1" x14ac:dyDescent="0.25">
      <c r="A90" s="215" t="s">
        <v>2249</v>
      </c>
      <c r="B90" s="64">
        <v>31.92</v>
      </c>
      <c r="C90" s="64">
        <v>45.62</v>
      </c>
      <c r="D90" s="64">
        <v>48.06</v>
      </c>
      <c r="E90" s="64">
        <v>6.36</v>
      </c>
      <c r="F90" s="64">
        <v>4.0999999999999996</v>
      </c>
      <c r="G90" s="64">
        <v>73.260000000000005</v>
      </c>
      <c r="H90" s="64">
        <v>22.42</v>
      </c>
      <c r="I90" s="64">
        <v>8.44</v>
      </c>
      <c r="J90" s="64">
        <v>0.82</v>
      </c>
      <c r="K90" s="64">
        <v>67.91</v>
      </c>
      <c r="L90" s="64">
        <v>17.82</v>
      </c>
      <c r="M90" s="64">
        <v>89.31</v>
      </c>
      <c r="N90" s="64">
        <v>45.6</v>
      </c>
      <c r="O90" s="64">
        <v>0</v>
      </c>
      <c r="P90" s="64">
        <v>1.0900000000000001</v>
      </c>
      <c r="Q90" s="64">
        <v>8.8800000000000008</v>
      </c>
      <c r="R90" s="198"/>
      <c r="S90" s="198"/>
      <c r="T90" s="198"/>
      <c r="U90" s="198"/>
    </row>
    <row r="91" spans="1:26" s="12" customFormat="1" x14ac:dyDescent="0.25">
      <c r="A91" s="215" t="s">
        <v>2250</v>
      </c>
      <c r="B91" s="64">
        <v>32.89</v>
      </c>
      <c r="C91" s="64">
        <v>45.26</v>
      </c>
      <c r="D91" s="64">
        <v>48.64</v>
      </c>
      <c r="E91" s="64">
        <v>5.48</v>
      </c>
      <c r="F91" s="64">
        <v>3.58</v>
      </c>
      <c r="G91" s="64">
        <v>73.260000000000005</v>
      </c>
      <c r="H91" s="64">
        <v>22.42</v>
      </c>
      <c r="I91" s="64">
        <v>8.57</v>
      </c>
      <c r="J91" s="64">
        <v>1.88</v>
      </c>
      <c r="K91" s="64">
        <v>103.66</v>
      </c>
      <c r="L91" s="64">
        <v>17.68</v>
      </c>
      <c r="M91" s="64">
        <v>90.49</v>
      </c>
      <c r="N91" s="64">
        <v>45.7</v>
      </c>
      <c r="O91" s="64">
        <v>0</v>
      </c>
      <c r="P91" s="64">
        <v>1.1100000000000001</v>
      </c>
      <c r="Q91" s="64">
        <v>8.9499999999999993</v>
      </c>
      <c r="R91" s="198"/>
      <c r="S91" s="198"/>
      <c r="T91" s="198"/>
      <c r="U91" s="198"/>
    </row>
    <row r="92" spans="1:26" s="12" customFormat="1" x14ac:dyDescent="0.25">
      <c r="A92" s="215" t="s">
        <v>2251</v>
      </c>
      <c r="B92" s="64">
        <v>33.69</v>
      </c>
      <c r="C92" s="64">
        <v>45.34</v>
      </c>
      <c r="D92" s="64">
        <v>49.33</v>
      </c>
      <c r="E92" s="64">
        <v>5.79</v>
      </c>
      <c r="F92" s="64">
        <v>3.7</v>
      </c>
      <c r="G92" s="64">
        <v>73.260000000000005</v>
      </c>
      <c r="H92" s="64">
        <v>22.42</v>
      </c>
      <c r="I92" s="64">
        <v>8.58</v>
      </c>
      <c r="J92" s="64">
        <v>2.87</v>
      </c>
      <c r="K92" s="64">
        <v>105.17</v>
      </c>
      <c r="L92" s="64">
        <v>17.91</v>
      </c>
      <c r="M92" s="64">
        <v>89.15</v>
      </c>
      <c r="N92" s="64">
        <v>45.1</v>
      </c>
      <c r="O92" s="64">
        <v>0</v>
      </c>
      <c r="P92" s="64">
        <v>1.1200000000000001</v>
      </c>
      <c r="Q92" s="64">
        <v>9.02</v>
      </c>
      <c r="R92" s="198"/>
      <c r="S92" s="198"/>
      <c r="T92" s="198"/>
      <c r="U92" s="198"/>
    </row>
    <row r="93" spans="1:26" s="12" customFormat="1" x14ac:dyDescent="0.25">
      <c r="A93" s="215" t="s">
        <v>2252</v>
      </c>
      <c r="B93" s="64">
        <v>35.17</v>
      </c>
      <c r="C93" s="64">
        <v>46.06</v>
      </c>
      <c r="D93" s="64">
        <v>50.89</v>
      </c>
      <c r="E93" s="64">
        <v>5.68</v>
      </c>
      <c r="F93" s="64">
        <v>3.55</v>
      </c>
      <c r="G93" s="64">
        <v>73.19</v>
      </c>
      <c r="H93" s="64">
        <v>22.6</v>
      </c>
      <c r="I93" s="64">
        <v>8.4700000000000006</v>
      </c>
      <c r="J93" s="64">
        <v>1.1599999999999999</v>
      </c>
      <c r="K93" s="64">
        <v>72.36</v>
      </c>
      <c r="L93" s="64">
        <v>17.71</v>
      </c>
      <c r="M93" s="64">
        <v>91.12</v>
      </c>
      <c r="N93" s="64">
        <v>45.6</v>
      </c>
      <c r="O93" s="64">
        <v>0</v>
      </c>
      <c r="P93" s="64">
        <v>1.1299999999999999</v>
      </c>
      <c r="Q93" s="64">
        <v>9.07</v>
      </c>
      <c r="R93" s="198"/>
      <c r="S93" s="198"/>
      <c r="T93" s="198"/>
      <c r="U93" s="198"/>
    </row>
    <row r="94" spans="1:26" s="12" customFormat="1" x14ac:dyDescent="0.25">
      <c r="A94" s="215" t="s">
        <v>2253</v>
      </c>
      <c r="B94" s="64">
        <v>37.39</v>
      </c>
      <c r="C94" s="64">
        <v>46.6</v>
      </c>
      <c r="D94" s="64">
        <v>52.95</v>
      </c>
      <c r="E94" s="64">
        <v>5.52</v>
      </c>
      <c r="F94" s="64">
        <v>3.54</v>
      </c>
      <c r="G94" s="64">
        <v>73.03</v>
      </c>
      <c r="H94" s="64">
        <v>23.4</v>
      </c>
      <c r="I94" s="64">
        <v>8.44</v>
      </c>
      <c r="J94" s="64">
        <v>3.09</v>
      </c>
      <c r="K94" s="64">
        <v>104.23</v>
      </c>
      <c r="L94" s="64">
        <v>17.75</v>
      </c>
      <c r="M94" s="64">
        <v>91.38</v>
      </c>
      <c r="N94" s="64">
        <v>45.3</v>
      </c>
      <c r="O94" s="64">
        <v>0</v>
      </c>
      <c r="P94" s="64">
        <v>1.1399999999999999</v>
      </c>
      <c r="Q94" s="64">
        <v>9.24</v>
      </c>
      <c r="R94" s="198"/>
      <c r="S94" s="198"/>
      <c r="T94" s="198"/>
      <c r="U94" s="198"/>
    </row>
    <row r="95" spans="1:26" s="12" customFormat="1" x14ac:dyDescent="0.25">
      <c r="A95" s="215" t="s">
        <v>2254</v>
      </c>
      <c r="B95" s="64">
        <v>38.01</v>
      </c>
      <c r="C95" s="64">
        <v>45.11</v>
      </c>
      <c r="D95" s="64">
        <v>52.67</v>
      </c>
      <c r="E95" s="64">
        <v>5.73</v>
      </c>
      <c r="F95" s="64">
        <v>3.31</v>
      </c>
      <c r="G95" s="64">
        <v>73.03</v>
      </c>
      <c r="H95" s="64">
        <v>23.4</v>
      </c>
      <c r="I95" s="64">
        <v>8.35</v>
      </c>
      <c r="J95" s="64">
        <v>4.2</v>
      </c>
      <c r="K95" s="64">
        <v>108.23</v>
      </c>
      <c r="L95" s="64">
        <v>17.829999999999998</v>
      </c>
      <c r="M95" s="64">
        <v>90.15</v>
      </c>
      <c r="N95" s="64">
        <v>44.9</v>
      </c>
      <c r="O95" s="64">
        <v>0</v>
      </c>
      <c r="P95" s="64">
        <v>1.1399999999999999</v>
      </c>
      <c r="Q95" s="64">
        <v>9.34</v>
      </c>
      <c r="R95" s="198"/>
      <c r="S95" s="198"/>
      <c r="T95" s="198"/>
      <c r="U95" s="198"/>
    </row>
    <row r="96" spans="1:26" s="12" customFormat="1" x14ac:dyDescent="0.25">
      <c r="A96" s="215" t="s">
        <v>2255</v>
      </c>
      <c r="B96" s="64">
        <v>37.590000000000003</v>
      </c>
      <c r="C96" s="64">
        <v>47.03</v>
      </c>
      <c r="D96" s="64">
        <v>53.34</v>
      </c>
      <c r="E96" s="64">
        <v>5.6</v>
      </c>
      <c r="F96" s="64">
        <v>3.12</v>
      </c>
      <c r="G96" s="64">
        <v>73.03</v>
      </c>
      <c r="H96" s="64">
        <v>23.4</v>
      </c>
      <c r="I96" s="64">
        <v>8.2200000000000006</v>
      </c>
      <c r="J96" s="64">
        <v>3.95</v>
      </c>
      <c r="K96" s="64">
        <v>112.18</v>
      </c>
      <c r="L96" s="64">
        <v>17.68</v>
      </c>
      <c r="M96" s="64">
        <v>89.82</v>
      </c>
      <c r="N96" s="64">
        <v>45.5</v>
      </c>
      <c r="O96" s="64">
        <v>0</v>
      </c>
      <c r="P96" s="64">
        <v>1.08</v>
      </c>
      <c r="Q96" s="64">
        <v>9.35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2256</v>
      </c>
      <c r="B97" s="64">
        <v>36.89</v>
      </c>
      <c r="C97" s="64">
        <v>42.86</v>
      </c>
      <c r="D97" s="64">
        <v>50.6</v>
      </c>
      <c r="E97" s="64">
        <v>5.45</v>
      </c>
      <c r="F97" s="64">
        <v>3.64</v>
      </c>
      <c r="G97" s="64">
        <v>71.739999999999995</v>
      </c>
      <c r="H97" s="64">
        <v>22.13</v>
      </c>
      <c r="I97" s="64">
        <v>8.56</v>
      </c>
      <c r="J97" s="64">
        <v>3.18</v>
      </c>
      <c r="K97" s="64">
        <v>106.47</v>
      </c>
      <c r="L97" s="64">
        <v>17.510000000000002</v>
      </c>
      <c r="M97" s="64">
        <v>89.57</v>
      </c>
      <c r="N97" s="64">
        <v>45.5</v>
      </c>
      <c r="O97" s="64">
        <v>0</v>
      </c>
      <c r="P97" s="64">
        <v>1.0900000000000001</v>
      </c>
      <c r="Q97" s="64">
        <v>9.25</v>
      </c>
      <c r="R97" s="198"/>
      <c r="S97" s="198"/>
      <c r="T97" s="198"/>
      <c r="U97" s="198"/>
    </row>
    <row r="98" spans="1:33" s="12" customFormat="1" x14ac:dyDescent="0.25">
      <c r="A98" s="215" t="s">
        <v>2257</v>
      </c>
      <c r="B98" s="64">
        <v>35.89</v>
      </c>
      <c r="C98" s="64">
        <v>43.72</v>
      </c>
      <c r="D98" s="64">
        <v>50.25</v>
      </c>
      <c r="E98" s="64">
        <v>5.25</v>
      </c>
      <c r="F98" s="64">
        <v>3.76</v>
      </c>
      <c r="G98" s="64">
        <v>68.39</v>
      </c>
      <c r="H98" s="64">
        <v>19.86</v>
      </c>
      <c r="I98" s="64">
        <v>7.8</v>
      </c>
      <c r="J98" s="64">
        <v>2.2999999999999998</v>
      </c>
      <c r="K98" s="64">
        <v>114.09</v>
      </c>
      <c r="L98" s="64">
        <v>17.25</v>
      </c>
      <c r="M98" s="64">
        <v>90.54</v>
      </c>
      <c r="N98" s="64">
        <v>45.7</v>
      </c>
      <c r="O98" s="64">
        <v>0</v>
      </c>
      <c r="P98" s="64">
        <v>1.07</v>
      </c>
      <c r="Q98" s="64">
        <v>9.1199999999999992</v>
      </c>
      <c r="R98" s="198"/>
      <c r="S98" s="198"/>
      <c r="T98" s="198"/>
      <c r="U98" s="198"/>
    </row>
    <row r="99" spans="1:33" s="12" customFormat="1" x14ac:dyDescent="0.25">
      <c r="A99" s="215" t="s">
        <v>2258</v>
      </c>
      <c r="B99" s="64">
        <v>34.65</v>
      </c>
      <c r="C99" s="64">
        <v>44.09</v>
      </c>
      <c r="D99" s="64">
        <v>49.45</v>
      </c>
      <c r="E99" s="64">
        <v>5.07</v>
      </c>
      <c r="F99" s="64">
        <v>3.87</v>
      </c>
      <c r="G99" s="64">
        <v>68.39</v>
      </c>
      <c r="H99" s="64">
        <v>19.86</v>
      </c>
      <c r="I99" s="64">
        <v>8.39</v>
      </c>
      <c r="J99" s="64">
        <v>2.87</v>
      </c>
      <c r="K99" s="64">
        <v>100.47</v>
      </c>
      <c r="L99" s="64">
        <v>17.03</v>
      </c>
      <c r="M99" s="64">
        <v>91.44</v>
      </c>
      <c r="N99" s="64">
        <v>45.6</v>
      </c>
      <c r="O99" s="64">
        <v>0</v>
      </c>
      <c r="P99" s="64">
        <v>1.02</v>
      </c>
      <c r="Q99" s="64">
        <v>9.0500000000000007</v>
      </c>
      <c r="R99" s="198"/>
      <c r="S99" s="198"/>
      <c r="T99" s="198"/>
      <c r="U99" s="198"/>
    </row>
    <row r="100" spans="1:33" s="12" customFormat="1" x14ac:dyDescent="0.25">
      <c r="A100" s="215" t="s">
        <v>2259</v>
      </c>
      <c r="B100" s="64">
        <v>33.409999999999997</v>
      </c>
      <c r="C100" s="64">
        <v>44.54</v>
      </c>
      <c r="D100" s="64">
        <v>48.68</v>
      </c>
      <c r="E100" s="64">
        <v>5.65</v>
      </c>
      <c r="F100" s="64">
        <v>3.81</v>
      </c>
      <c r="G100" s="64">
        <v>68.39</v>
      </c>
      <c r="H100" s="64">
        <v>19.86</v>
      </c>
      <c r="I100" s="64">
        <v>8.5399999999999991</v>
      </c>
      <c r="J100" s="64">
        <v>3.46</v>
      </c>
      <c r="K100" s="64">
        <v>110.65</v>
      </c>
      <c r="L100" s="64">
        <v>16.79</v>
      </c>
      <c r="M100" s="64">
        <v>93.23</v>
      </c>
      <c r="N100" s="64">
        <v>45.6</v>
      </c>
      <c r="O100" s="64">
        <v>0</v>
      </c>
      <c r="P100" s="64">
        <v>0.98</v>
      </c>
      <c r="Q100" s="64">
        <v>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2260</v>
      </c>
      <c r="B101" s="64">
        <v>32.29</v>
      </c>
      <c r="C101" s="64">
        <v>43.87</v>
      </c>
      <c r="D101" s="64">
        <v>47.44</v>
      </c>
      <c r="E101" s="64">
        <v>5.28</v>
      </c>
      <c r="F101" s="64">
        <v>4.03</v>
      </c>
      <c r="G101" s="64">
        <v>65.12</v>
      </c>
      <c r="H101" s="64">
        <v>20.71</v>
      </c>
      <c r="I101" s="64">
        <v>8.5500000000000007</v>
      </c>
      <c r="J101" s="64">
        <v>3.76</v>
      </c>
      <c r="K101" s="64">
        <v>110.89</v>
      </c>
      <c r="L101" s="64">
        <v>16.5</v>
      </c>
      <c r="M101" s="64">
        <v>94.76</v>
      </c>
      <c r="N101" s="64">
        <v>45.6</v>
      </c>
      <c r="O101" s="64">
        <v>0</v>
      </c>
      <c r="P101" s="64">
        <v>1</v>
      </c>
      <c r="Q101" s="64">
        <v>8.94</v>
      </c>
      <c r="R101" s="198"/>
      <c r="S101" s="198"/>
      <c r="T101" s="198"/>
      <c r="U101" s="198"/>
    </row>
    <row r="102" spans="1:33" s="12" customFormat="1" x14ac:dyDescent="0.25">
      <c r="A102" s="215" t="s">
        <v>2261</v>
      </c>
      <c r="B102" s="64">
        <v>31.08</v>
      </c>
      <c r="C102" s="64">
        <v>44.03</v>
      </c>
      <c r="D102" s="64">
        <v>46.55</v>
      </c>
      <c r="E102" s="64">
        <v>5.15</v>
      </c>
      <c r="F102" s="64">
        <v>3.83</v>
      </c>
      <c r="G102" s="64">
        <v>56.62</v>
      </c>
      <c r="H102" s="64">
        <v>22.2</v>
      </c>
      <c r="I102" s="64">
        <v>8.0500000000000007</v>
      </c>
      <c r="J102" s="64">
        <v>3.88</v>
      </c>
      <c r="K102" s="64">
        <v>117.42</v>
      </c>
      <c r="L102" s="64">
        <v>16.27</v>
      </c>
      <c r="M102" s="64">
        <v>95.55</v>
      </c>
      <c r="N102" s="64">
        <v>45.5</v>
      </c>
      <c r="O102" s="64">
        <v>0</v>
      </c>
      <c r="P102" s="64">
        <v>0.95</v>
      </c>
      <c r="Q102" s="64">
        <v>8.86</v>
      </c>
      <c r="R102" s="198"/>
      <c r="S102" s="198"/>
      <c r="T102" s="198"/>
      <c r="U102" s="198"/>
    </row>
    <row r="103" spans="1:33" s="12" customFormat="1" x14ac:dyDescent="0.25">
      <c r="A103" s="215" t="s">
        <v>2262</v>
      </c>
      <c r="B103" s="64">
        <v>29.6</v>
      </c>
      <c r="C103" s="64">
        <v>42.89</v>
      </c>
      <c r="D103" s="64">
        <v>44.77</v>
      </c>
      <c r="E103" s="64">
        <v>5.47</v>
      </c>
      <c r="F103" s="64">
        <v>3.72</v>
      </c>
      <c r="G103" s="64">
        <v>56.62</v>
      </c>
      <c r="H103" s="64">
        <v>22.2</v>
      </c>
      <c r="I103" s="64">
        <v>8.02</v>
      </c>
      <c r="J103" s="64">
        <v>4.8600000000000003</v>
      </c>
      <c r="K103" s="64">
        <v>115.29</v>
      </c>
      <c r="L103" s="64">
        <v>16.11</v>
      </c>
      <c r="M103" s="64">
        <v>95.63</v>
      </c>
      <c r="N103" s="64">
        <v>45.6</v>
      </c>
      <c r="O103" s="64">
        <v>0</v>
      </c>
      <c r="P103" s="64">
        <v>0.97</v>
      </c>
      <c r="Q103" s="64">
        <v>8.74</v>
      </c>
      <c r="R103" s="198"/>
      <c r="S103" s="198"/>
      <c r="T103" s="198"/>
      <c r="U103" s="198"/>
    </row>
    <row r="104" spans="1:33" s="12" customFormat="1" x14ac:dyDescent="0.25">
      <c r="A104" s="215" t="s">
        <v>2263</v>
      </c>
      <c r="B104" s="64">
        <v>27.61</v>
      </c>
      <c r="C104" s="64">
        <v>45.37</v>
      </c>
      <c r="D104" s="64">
        <v>44.47</v>
      </c>
      <c r="E104" s="64">
        <v>5.41</v>
      </c>
      <c r="F104" s="64">
        <v>4.05</v>
      </c>
      <c r="G104" s="64">
        <v>56.62</v>
      </c>
      <c r="H104" s="64">
        <v>22.2</v>
      </c>
      <c r="I104" s="64">
        <v>8.84</v>
      </c>
      <c r="J104" s="64">
        <v>5.07</v>
      </c>
      <c r="K104" s="64">
        <v>110.01</v>
      </c>
      <c r="L104" s="64">
        <v>15.94</v>
      </c>
      <c r="M104" s="64">
        <v>96.17</v>
      </c>
      <c r="N104" s="64">
        <v>45.7</v>
      </c>
      <c r="O104" s="64">
        <v>0</v>
      </c>
      <c r="P104" s="64">
        <v>0.95</v>
      </c>
      <c r="Q104" s="64">
        <v>8.56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9.1199999999999992</v>
      </c>
      <c r="C106" s="67">
        <f>MIN(C9:C104)</f>
        <v>35</v>
      </c>
      <c r="D106" s="67">
        <f t="shared" ref="D106:Q106" si="0">MIN(D9:D104)</f>
        <v>25.89</v>
      </c>
      <c r="E106" s="67">
        <f t="shared" si="0"/>
        <v>3.96</v>
      </c>
      <c r="F106" s="67">
        <f t="shared" si="0"/>
        <v>2.71</v>
      </c>
      <c r="G106" s="67">
        <f t="shared" si="0"/>
        <v>17.75</v>
      </c>
      <c r="H106" s="67">
        <f t="shared" si="0"/>
        <v>8.3800000000000008</v>
      </c>
      <c r="I106" s="67">
        <f t="shared" si="0"/>
        <v>5.12</v>
      </c>
      <c r="J106" s="67">
        <f t="shared" si="0"/>
        <v>0.19</v>
      </c>
      <c r="K106" s="67">
        <f t="shared" si="0"/>
        <v>2.1800000000000002</v>
      </c>
      <c r="L106" s="67">
        <f t="shared" si="0"/>
        <v>14.51</v>
      </c>
      <c r="M106" s="67">
        <f t="shared" si="0"/>
        <v>66.45</v>
      </c>
      <c r="N106" s="67">
        <f t="shared" si="0"/>
        <v>44.9</v>
      </c>
      <c r="O106" s="67">
        <f t="shared" si="0"/>
        <v>0</v>
      </c>
      <c r="P106" s="67">
        <f t="shared" si="0"/>
        <v>0.47</v>
      </c>
      <c r="Q106" s="67">
        <f t="shared" si="0"/>
        <v>8.2100000000000009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38.01</v>
      </c>
      <c r="C107" s="66">
        <f t="shared" ref="C107:Q107" si="1">MAX(C9:C104)</f>
        <v>49.66</v>
      </c>
      <c r="D107" s="66">
        <f t="shared" si="1"/>
        <v>53.34</v>
      </c>
      <c r="E107" s="66">
        <f t="shared" si="1"/>
        <v>6.88</v>
      </c>
      <c r="F107" s="66">
        <f t="shared" si="1"/>
        <v>4.3600000000000003</v>
      </c>
      <c r="G107" s="66">
        <f t="shared" si="1"/>
        <v>73.260000000000005</v>
      </c>
      <c r="H107" s="66">
        <f t="shared" si="1"/>
        <v>25.27</v>
      </c>
      <c r="I107" s="66">
        <f t="shared" si="1"/>
        <v>9.2799999999999994</v>
      </c>
      <c r="J107" s="66">
        <f t="shared" si="1"/>
        <v>5.07</v>
      </c>
      <c r="K107" s="66">
        <f t="shared" si="1"/>
        <v>359.48</v>
      </c>
      <c r="L107" s="66">
        <f t="shared" si="1"/>
        <v>23.68</v>
      </c>
      <c r="M107" s="66">
        <f t="shared" si="1"/>
        <v>101.7</v>
      </c>
      <c r="N107" s="66">
        <f t="shared" si="1"/>
        <v>606.20000000000005</v>
      </c>
      <c r="O107" s="66">
        <f t="shared" si="1"/>
        <v>0</v>
      </c>
      <c r="P107" s="66">
        <f t="shared" si="1"/>
        <v>1.31</v>
      </c>
      <c r="Q107" s="66">
        <f t="shared" si="1"/>
        <v>9.35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18.018333333333342</v>
      </c>
      <c r="C108" s="67">
        <f t="shared" ref="C108:Q108" si="2">AVERAGE(C9:C104)</f>
        <v>42.300312499999997</v>
      </c>
      <c r="D108" s="67">
        <f t="shared" si="2"/>
        <v>35.173541666666672</v>
      </c>
      <c r="E108" s="67">
        <f t="shared" si="2"/>
        <v>5.5128124999999999</v>
      </c>
      <c r="F108" s="67">
        <f t="shared" si="2"/>
        <v>3.5828124999999993</v>
      </c>
      <c r="G108" s="67">
        <f t="shared" si="2"/>
        <v>42.313645833333325</v>
      </c>
      <c r="H108" s="67">
        <f t="shared" si="2"/>
        <v>16.509791666666672</v>
      </c>
      <c r="I108" s="67">
        <f t="shared" si="2"/>
        <v>7.639895833333334</v>
      </c>
      <c r="J108" s="67">
        <f t="shared" si="2"/>
        <v>2.3856249999999997</v>
      </c>
      <c r="K108" s="67">
        <f t="shared" si="2"/>
        <v>141.17864583333332</v>
      </c>
      <c r="L108" s="67">
        <f t="shared" si="2"/>
        <v>17.829583333333328</v>
      </c>
      <c r="M108" s="67">
        <f t="shared" si="2"/>
        <v>90.888229166666648</v>
      </c>
      <c r="N108" s="67">
        <f t="shared" si="2"/>
        <v>127.528125</v>
      </c>
      <c r="O108" s="67">
        <f t="shared" si="2"/>
        <v>0</v>
      </c>
      <c r="P108" s="67">
        <f t="shared" si="2"/>
        <v>0.70083333333333364</v>
      </c>
      <c r="Q108" s="67">
        <f t="shared" si="2"/>
        <v>8.3525000000000027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8.194876533756231</v>
      </c>
      <c r="C109" s="67">
        <f t="shared" ref="C109:Q109" si="3">STDEV(C9:C104)</f>
        <v>4.0942132341365598</v>
      </c>
      <c r="D109" s="67">
        <f t="shared" si="3"/>
        <v>7.5606550787149338</v>
      </c>
      <c r="E109" s="67">
        <f t="shared" si="3"/>
        <v>0.59999421598090374</v>
      </c>
      <c r="F109" s="67">
        <f t="shared" si="3"/>
        <v>0.34975992706276027</v>
      </c>
      <c r="G109" s="67">
        <f t="shared" si="3"/>
        <v>18.610336749677685</v>
      </c>
      <c r="H109" s="67">
        <f t="shared" si="3"/>
        <v>5.1224473959779537</v>
      </c>
      <c r="I109" s="67">
        <f t="shared" si="3"/>
        <v>0.8866239869855822</v>
      </c>
      <c r="J109" s="67">
        <f t="shared" si="3"/>
        <v>1.0176534540950464</v>
      </c>
      <c r="K109" s="67">
        <f t="shared" si="3"/>
        <v>103.02110752165819</v>
      </c>
      <c r="L109" s="67">
        <f t="shared" si="3"/>
        <v>2.6796688391888113</v>
      </c>
      <c r="M109" s="67">
        <f t="shared" si="3"/>
        <v>12.147403707423974</v>
      </c>
      <c r="N109" s="67">
        <f t="shared" si="3"/>
        <v>142.84967343560112</v>
      </c>
      <c r="O109" s="67">
        <f t="shared" si="3"/>
        <v>0</v>
      </c>
      <c r="P109" s="67">
        <f t="shared" si="3"/>
        <v>0.24282836332497737</v>
      </c>
      <c r="Q109" s="67">
        <f t="shared" si="3"/>
        <v>0.31474300293213292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>COUNT(C9:C104)</f>
        <v>96</v>
      </c>
      <c r="D110" s="66">
        <f>COUNT(D9:D104)</f>
        <v>96</v>
      </c>
      <c r="E110" s="66">
        <f t="shared" ref="E110:Q110" si="4">COUNT(E9:E104)</f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2" sqref="G12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247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22/12/2024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231</v>
      </c>
      <c r="C7" s="198" t="s">
        <v>232</v>
      </c>
      <c r="D7" s="198" t="s">
        <v>233</v>
      </c>
      <c r="E7" s="198" t="s">
        <v>234</v>
      </c>
      <c r="F7" s="198" t="s">
        <v>235</v>
      </c>
      <c r="G7" s="198" t="s">
        <v>236</v>
      </c>
      <c r="H7" s="198" t="s">
        <v>237</v>
      </c>
      <c r="I7" s="198" t="s">
        <v>238</v>
      </c>
      <c r="J7" s="198" t="s">
        <v>239</v>
      </c>
      <c r="K7" s="198" t="s">
        <v>240</v>
      </c>
      <c r="L7" s="198" t="s">
        <v>241</v>
      </c>
      <c r="M7" s="198" t="s">
        <v>242</v>
      </c>
      <c r="N7" s="198" t="s">
        <v>243</v>
      </c>
      <c r="O7" s="198" t="s">
        <v>244</v>
      </c>
      <c r="P7" s="198" t="s">
        <v>245</v>
      </c>
      <c r="Q7" s="198" t="s">
        <v>246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2264</v>
      </c>
      <c r="B9" s="64">
        <v>25.13</v>
      </c>
      <c r="C9" s="64">
        <v>46.96</v>
      </c>
      <c r="D9" s="64">
        <v>43.31</v>
      </c>
      <c r="E9" s="64">
        <v>5.9</v>
      </c>
      <c r="F9" s="64">
        <v>4.05</v>
      </c>
      <c r="G9" s="64">
        <v>55.56</v>
      </c>
      <c r="H9" s="64">
        <v>21.53</v>
      </c>
      <c r="I9" s="64">
        <v>9.74</v>
      </c>
      <c r="J9" s="64">
        <v>4.72</v>
      </c>
      <c r="K9" s="64">
        <v>104.11</v>
      </c>
      <c r="L9" s="64">
        <v>15.8</v>
      </c>
      <c r="M9" s="64">
        <v>96.39</v>
      </c>
      <c r="N9" s="64">
        <v>45.9</v>
      </c>
      <c r="O9" s="64">
        <v>0</v>
      </c>
      <c r="P9" s="64">
        <v>0.91</v>
      </c>
      <c r="Q9" s="64">
        <v>8.3800000000000008</v>
      </c>
      <c r="R9" s="198"/>
      <c r="S9" s="198"/>
      <c r="T9" s="198"/>
      <c r="U9" s="198"/>
    </row>
    <row r="10" spans="1:21" s="12" customFormat="1" x14ac:dyDescent="0.25">
      <c r="A10" s="215" t="s">
        <v>2265</v>
      </c>
      <c r="B10" s="64">
        <v>22.42</v>
      </c>
      <c r="C10" s="64">
        <v>45.05</v>
      </c>
      <c r="D10" s="64">
        <v>40.14</v>
      </c>
      <c r="E10" s="64">
        <v>6.06</v>
      </c>
      <c r="F10" s="64">
        <v>4</v>
      </c>
      <c r="G10" s="64">
        <v>52.79</v>
      </c>
      <c r="H10" s="64">
        <v>20.36</v>
      </c>
      <c r="I10" s="64">
        <v>10.19</v>
      </c>
      <c r="J10" s="64">
        <v>3.87</v>
      </c>
      <c r="K10" s="64">
        <v>103.55</v>
      </c>
      <c r="L10" s="64">
        <v>15.61</v>
      </c>
      <c r="M10" s="64">
        <v>97.55</v>
      </c>
      <c r="N10" s="64">
        <v>45.5</v>
      </c>
      <c r="O10" s="64">
        <v>0</v>
      </c>
      <c r="P10" s="64">
        <v>0.86</v>
      </c>
      <c r="Q10" s="64">
        <v>8.23</v>
      </c>
      <c r="R10" s="198"/>
      <c r="S10" s="198"/>
      <c r="T10" s="198"/>
      <c r="U10" s="198"/>
    </row>
    <row r="11" spans="1:21" s="12" customFormat="1" x14ac:dyDescent="0.25">
      <c r="A11" s="215" t="s">
        <v>2266</v>
      </c>
      <c r="B11" s="64">
        <v>20.18</v>
      </c>
      <c r="C11" s="64">
        <v>44.04</v>
      </c>
      <c r="D11" s="64">
        <v>37.82</v>
      </c>
      <c r="E11" s="64">
        <v>6.15</v>
      </c>
      <c r="F11" s="64">
        <v>3.93</v>
      </c>
      <c r="G11" s="64">
        <v>52.79</v>
      </c>
      <c r="H11" s="64">
        <v>20.36</v>
      </c>
      <c r="I11" s="64">
        <v>10.3</v>
      </c>
      <c r="J11" s="64">
        <v>3.87</v>
      </c>
      <c r="K11" s="64">
        <v>107.87</v>
      </c>
      <c r="L11" s="64">
        <v>15.48</v>
      </c>
      <c r="M11" s="64">
        <v>98.4</v>
      </c>
      <c r="N11" s="64">
        <v>45.3</v>
      </c>
      <c r="O11" s="64">
        <v>0</v>
      </c>
      <c r="P11" s="64">
        <v>0.83</v>
      </c>
      <c r="Q11" s="64">
        <v>8.2100000000000009</v>
      </c>
      <c r="R11" s="198"/>
      <c r="S11" s="198"/>
      <c r="T11" s="198"/>
      <c r="U11" s="198"/>
    </row>
    <row r="12" spans="1:21" s="12" customFormat="1" x14ac:dyDescent="0.25">
      <c r="A12" s="215" t="s">
        <v>2267</v>
      </c>
      <c r="B12" s="64">
        <v>18.29</v>
      </c>
      <c r="C12" s="64">
        <v>43.18</v>
      </c>
      <c r="D12" s="64">
        <v>35.85</v>
      </c>
      <c r="E12" s="64">
        <v>5.68</v>
      </c>
      <c r="F12" s="64">
        <v>3.73</v>
      </c>
      <c r="G12" s="64">
        <v>52.79</v>
      </c>
      <c r="H12" s="64">
        <v>20.36</v>
      </c>
      <c r="I12" s="64">
        <v>10.23</v>
      </c>
      <c r="J12" s="64">
        <v>3.48</v>
      </c>
      <c r="K12" s="64">
        <v>106.06</v>
      </c>
      <c r="L12" s="64">
        <v>15.39</v>
      </c>
      <c r="M12" s="64">
        <v>99</v>
      </c>
      <c r="N12" s="64">
        <v>45.2</v>
      </c>
      <c r="O12" s="64">
        <v>0</v>
      </c>
      <c r="P12" s="64">
        <v>0.79</v>
      </c>
      <c r="Q12" s="64">
        <v>8.2100000000000009</v>
      </c>
      <c r="R12" s="198"/>
      <c r="S12" s="198"/>
      <c r="T12" s="198"/>
      <c r="U12" s="198"/>
    </row>
    <row r="13" spans="1:21" s="12" customFormat="1" x14ac:dyDescent="0.25">
      <c r="A13" s="215" t="s">
        <v>2268</v>
      </c>
      <c r="B13" s="64">
        <v>16.91</v>
      </c>
      <c r="C13" s="64">
        <v>43.59</v>
      </c>
      <c r="D13" s="64">
        <v>34.950000000000003</v>
      </c>
      <c r="E13" s="64">
        <v>5.81</v>
      </c>
      <c r="F13" s="64">
        <v>3.68</v>
      </c>
      <c r="G13" s="64">
        <v>50.35</v>
      </c>
      <c r="H13" s="64">
        <v>20.27</v>
      </c>
      <c r="I13" s="64">
        <v>10.07</v>
      </c>
      <c r="J13" s="64">
        <v>1.62</v>
      </c>
      <c r="K13" s="64">
        <v>103.63</v>
      </c>
      <c r="L13" s="64">
        <v>15.32</v>
      </c>
      <c r="M13" s="64">
        <v>99.27</v>
      </c>
      <c r="N13" s="64">
        <v>45.2</v>
      </c>
      <c r="O13" s="64">
        <v>0</v>
      </c>
      <c r="P13" s="64">
        <v>0.74</v>
      </c>
      <c r="Q13" s="64">
        <v>8.2100000000000009</v>
      </c>
      <c r="R13" s="198"/>
      <c r="S13" s="198"/>
      <c r="T13" s="198"/>
      <c r="U13" s="198"/>
    </row>
    <row r="14" spans="1:21" s="12" customFormat="1" x14ac:dyDescent="0.25">
      <c r="A14" s="215" t="s">
        <v>2269</v>
      </c>
      <c r="B14" s="64">
        <v>16.13</v>
      </c>
      <c r="C14" s="64">
        <v>42.43</v>
      </c>
      <c r="D14" s="64">
        <v>33.729999999999997</v>
      </c>
      <c r="E14" s="64">
        <v>5.72</v>
      </c>
      <c r="F14" s="64">
        <v>3.74</v>
      </c>
      <c r="G14" s="64">
        <v>44</v>
      </c>
      <c r="H14" s="64">
        <v>19.86</v>
      </c>
      <c r="I14" s="64">
        <v>9.9499999999999993</v>
      </c>
      <c r="J14" s="64">
        <v>1.58</v>
      </c>
      <c r="K14" s="64">
        <v>170.46</v>
      </c>
      <c r="L14" s="64">
        <v>15.25</v>
      </c>
      <c r="M14" s="64">
        <v>99.6</v>
      </c>
      <c r="N14" s="64">
        <v>44.9</v>
      </c>
      <c r="O14" s="64">
        <v>0</v>
      </c>
      <c r="P14" s="64">
        <v>0.74</v>
      </c>
      <c r="Q14" s="64">
        <v>8.2100000000000009</v>
      </c>
      <c r="R14" s="198"/>
      <c r="S14" s="198"/>
      <c r="T14" s="198"/>
      <c r="U14" s="198"/>
    </row>
    <row r="15" spans="1:21" s="12" customFormat="1" x14ac:dyDescent="0.25">
      <c r="A15" s="215" t="s">
        <v>2270</v>
      </c>
      <c r="B15" s="64">
        <v>15.51</v>
      </c>
      <c r="C15" s="64">
        <v>42.75</v>
      </c>
      <c r="D15" s="64">
        <v>33.4</v>
      </c>
      <c r="E15" s="64">
        <v>5.16</v>
      </c>
      <c r="F15" s="64">
        <v>3.12</v>
      </c>
      <c r="G15" s="64">
        <v>44</v>
      </c>
      <c r="H15" s="64">
        <v>19.86</v>
      </c>
      <c r="I15" s="64">
        <v>9.69</v>
      </c>
      <c r="J15" s="64">
        <v>1.1200000000000001</v>
      </c>
      <c r="K15" s="64">
        <v>221.56</v>
      </c>
      <c r="L15" s="64">
        <v>15.13</v>
      </c>
      <c r="M15" s="64">
        <v>100.28</v>
      </c>
      <c r="N15" s="64">
        <v>45.1</v>
      </c>
      <c r="O15" s="64">
        <v>0</v>
      </c>
      <c r="P15" s="64">
        <v>0.73</v>
      </c>
      <c r="Q15" s="64">
        <v>8.2100000000000009</v>
      </c>
      <c r="R15" s="198"/>
      <c r="S15" s="198"/>
      <c r="T15" s="198"/>
      <c r="U15" s="198"/>
    </row>
    <row r="16" spans="1:21" s="12" customFormat="1" x14ac:dyDescent="0.25">
      <c r="A16" s="215" t="s">
        <v>2271</v>
      </c>
      <c r="B16" s="64">
        <v>14.96</v>
      </c>
      <c r="C16" s="64">
        <v>41.7</v>
      </c>
      <c r="D16" s="64">
        <v>32.409999999999997</v>
      </c>
      <c r="E16" s="64">
        <v>5.36</v>
      </c>
      <c r="F16" s="64">
        <v>3.4</v>
      </c>
      <c r="G16" s="64">
        <v>44</v>
      </c>
      <c r="H16" s="64">
        <v>19.86</v>
      </c>
      <c r="I16" s="64">
        <v>8.98</v>
      </c>
      <c r="J16" s="64">
        <v>1.23</v>
      </c>
      <c r="K16" s="64">
        <v>228.33</v>
      </c>
      <c r="L16" s="64">
        <v>14.91</v>
      </c>
      <c r="M16" s="64">
        <v>101.42</v>
      </c>
      <c r="N16" s="64">
        <v>45</v>
      </c>
      <c r="O16" s="64">
        <v>0</v>
      </c>
      <c r="P16" s="64">
        <v>0.7</v>
      </c>
      <c r="Q16" s="64">
        <v>8.2100000000000009</v>
      </c>
      <c r="R16" s="198"/>
      <c r="S16" s="198"/>
      <c r="T16" s="198"/>
      <c r="U16" s="198"/>
    </row>
    <row r="17" spans="1:21" s="12" customFormat="1" x14ac:dyDescent="0.25">
      <c r="A17" s="215" t="s">
        <v>2272</v>
      </c>
      <c r="B17" s="64">
        <v>14.55</v>
      </c>
      <c r="C17" s="64">
        <v>37.93</v>
      </c>
      <c r="D17" s="64">
        <v>30.11</v>
      </c>
      <c r="E17" s="64">
        <v>5.44</v>
      </c>
      <c r="F17" s="64">
        <v>3.65</v>
      </c>
      <c r="G17" s="64">
        <v>42.25</v>
      </c>
      <c r="H17" s="64">
        <v>18.670000000000002</v>
      </c>
      <c r="I17" s="64">
        <v>8.48</v>
      </c>
      <c r="J17" s="64">
        <v>2.2200000000000002</v>
      </c>
      <c r="K17" s="64">
        <v>175.46</v>
      </c>
      <c r="L17" s="64">
        <v>14.92</v>
      </c>
      <c r="M17" s="64">
        <v>101.52</v>
      </c>
      <c r="N17" s="64">
        <v>44.8</v>
      </c>
      <c r="O17" s="64">
        <v>0</v>
      </c>
      <c r="P17" s="64">
        <v>0.68</v>
      </c>
      <c r="Q17" s="64">
        <v>8.2100000000000009</v>
      </c>
      <c r="R17" s="198"/>
      <c r="S17" s="198"/>
      <c r="T17" s="198"/>
      <c r="U17" s="198"/>
    </row>
    <row r="18" spans="1:21" s="12" customFormat="1" x14ac:dyDescent="0.25">
      <c r="A18" s="215" t="s">
        <v>2273</v>
      </c>
      <c r="B18" s="64">
        <v>14.27</v>
      </c>
      <c r="C18" s="64">
        <v>37.31</v>
      </c>
      <c r="D18" s="64">
        <v>29.56</v>
      </c>
      <c r="E18" s="64">
        <v>4.99</v>
      </c>
      <c r="F18" s="64">
        <v>3.66</v>
      </c>
      <c r="G18" s="64">
        <v>37.71</v>
      </c>
      <c r="H18" s="64">
        <v>16.52</v>
      </c>
      <c r="I18" s="64">
        <v>8.11</v>
      </c>
      <c r="J18" s="64">
        <v>0.48</v>
      </c>
      <c r="K18" s="64">
        <v>96.39</v>
      </c>
      <c r="L18" s="64">
        <v>15</v>
      </c>
      <c r="M18" s="64">
        <v>101.26</v>
      </c>
      <c r="N18" s="64">
        <v>44.8</v>
      </c>
      <c r="O18" s="64">
        <v>0</v>
      </c>
      <c r="P18" s="64">
        <v>0.67</v>
      </c>
      <c r="Q18" s="64">
        <v>8.2100000000000009</v>
      </c>
      <c r="R18" s="198"/>
      <c r="S18" s="198"/>
      <c r="T18" s="198"/>
      <c r="U18" s="198"/>
    </row>
    <row r="19" spans="1:21" s="12" customFormat="1" x14ac:dyDescent="0.25">
      <c r="A19" s="215" t="s">
        <v>2274</v>
      </c>
      <c r="B19" s="64">
        <v>14.1</v>
      </c>
      <c r="C19" s="64">
        <v>38.299999999999997</v>
      </c>
      <c r="D19" s="64">
        <v>29.94</v>
      </c>
      <c r="E19" s="64">
        <v>5.47</v>
      </c>
      <c r="F19" s="64">
        <v>3.51</v>
      </c>
      <c r="G19" s="64">
        <v>37.71</v>
      </c>
      <c r="H19" s="64">
        <v>16.52</v>
      </c>
      <c r="I19" s="64">
        <v>7.69</v>
      </c>
      <c r="J19" s="64">
        <v>0.84</v>
      </c>
      <c r="K19" s="64">
        <v>342.04</v>
      </c>
      <c r="L19" s="64">
        <v>14.97</v>
      </c>
      <c r="M19" s="64">
        <v>101.6</v>
      </c>
      <c r="N19" s="64">
        <v>45</v>
      </c>
      <c r="O19" s="64">
        <v>0</v>
      </c>
      <c r="P19" s="64">
        <v>0.65</v>
      </c>
      <c r="Q19" s="64">
        <v>8.2100000000000009</v>
      </c>
      <c r="R19" s="198"/>
      <c r="S19" s="198"/>
      <c r="T19" s="198"/>
      <c r="U19" s="198"/>
    </row>
    <row r="20" spans="1:21" s="12" customFormat="1" x14ac:dyDescent="0.25">
      <c r="A20" s="215" t="s">
        <v>2275</v>
      </c>
      <c r="B20" s="64">
        <v>14</v>
      </c>
      <c r="C20" s="64">
        <v>38.340000000000003</v>
      </c>
      <c r="D20" s="64">
        <v>29.88</v>
      </c>
      <c r="E20" s="64">
        <v>5.44</v>
      </c>
      <c r="F20" s="64">
        <v>3.94</v>
      </c>
      <c r="G20" s="64">
        <v>37.71</v>
      </c>
      <c r="H20" s="64">
        <v>16.52</v>
      </c>
      <c r="I20" s="64">
        <v>7.58</v>
      </c>
      <c r="J20" s="64">
        <v>2.7</v>
      </c>
      <c r="K20" s="64">
        <v>348.67</v>
      </c>
      <c r="L20" s="64">
        <v>14.75</v>
      </c>
      <c r="M20" s="64">
        <v>101.65</v>
      </c>
      <c r="N20" s="64">
        <v>45.1</v>
      </c>
      <c r="O20" s="64">
        <v>0</v>
      </c>
      <c r="P20" s="64">
        <v>0.64</v>
      </c>
      <c r="Q20" s="64">
        <v>8.2100000000000009</v>
      </c>
      <c r="R20" s="198"/>
      <c r="S20" s="198"/>
      <c r="T20" s="198"/>
      <c r="U20" s="198"/>
    </row>
    <row r="21" spans="1:21" s="12" customFormat="1" x14ac:dyDescent="0.25">
      <c r="A21" s="215" t="s">
        <v>2276</v>
      </c>
      <c r="B21" s="64">
        <v>13.84</v>
      </c>
      <c r="C21" s="64">
        <v>38.409999999999997</v>
      </c>
      <c r="D21" s="64">
        <v>29.79</v>
      </c>
      <c r="E21" s="64">
        <v>5.47</v>
      </c>
      <c r="F21" s="64">
        <v>3.3</v>
      </c>
      <c r="G21" s="64">
        <v>36.880000000000003</v>
      </c>
      <c r="H21" s="64">
        <v>15.11</v>
      </c>
      <c r="I21" s="64">
        <v>7.42</v>
      </c>
      <c r="J21" s="64">
        <v>2.4500000000000002</v>
      </c>
      <c r="K21" s="64">
        <v>344.94</v>
      </c>
      <c r="L21" s="64">
        <v>14.39</v>
      </c>
      <c r="M21" s="64">
        <v>101.65</v>
      </c>
      <c r="N21" s="64">
        <v>45.1</v>
      </c>
      <c r="O21" s="64">
        <v>0</v>
      </c>
      <c r="P21" s="64">
        <v>0.63</v>
      </c>
      <c r="Q21" s="64">
        <v>8.2100000000000009</v>
      </c>
      <c r="R21" s="198"/>
      <c r="S21" s="198"/>
      <c r="T21" s="198"/>
      <c r="U21" s="198"/>
    </row>
    <row r="22" spans="1:21" s="12" customFormat="1" x14ac:dyDescent="0.25">
      <c r="A22" s="215" t="s">
        <v>2277</v>
      </c>
      <c r="B22" s="64">
        <v>13.78</v>
      </c>
      <c r="C22" s="64">
        <v>37.979999999999997</v>
      </c>
      <c r="D22" s="64">
        <v>29.51</v>
      </c>
      <c r="E22" s="64">
        <v>5.82</v>
      </c>
      <c r="F22" s="64">
        <v>3.83</v>
      </c>
      <c r="G22" s="64">
        <v>34.74</v>
      </c>
      <c r="H22" s="64">
        <v>12.58</v>
      </c>
      <c r="I22" s="64">
        <v>7.26</v>
      </c>
      <c r="J22" s="64">
        <v>1.97</v>
      </c>
      <c r="K22" s="64">
        <v>346.74</v>
      </c>
      <c r="L22" s="64">
        <v>14.19</v>
      </c>
      <c r="M22" s="64">
        <v>101.66</v>
      </c>
      <c r="N22" s="64">
        <v>44.8</v>
      </c>
      <c r="O22" s="64">
        <v>0</v>
      </c>
      <c r="P22" s="64">
        <v>0.62</v>
      </c>
      <c r="Q22" s="64">
        <v>8.2100000000000009</v>
      </c>
      <c r="R22" s="198"/>
      <c r="S22" s="198"/>
      <c r="T22" s="198"/>
      <c r="U22" s="198"/>
    </row>
    <row r="23" spans="1:21" s="12" customFormat="1" x14ac:dyDescent="0.25">
      <c r="A23" s="215" t="s">
        <v>2278</v>
      </c>
      <c r="B23" s="64">
        <v>13.74</v>
      </c>
      <c r="C23" s="64">
        <v>38.14</v>
      </c>
      <c r="D23" s="64">
        <v>29.57</v>
      </c>
      <c r="E23" s="64">
        <v>6</v>
      </c>
      <c r="F23" s="64">
        <v>3.67</v>
      </c>
      <c r="G23" s="64">
        <v>34.74</v>
      </c>
      <c r="H23" s="64">
        <v>12.58</v>
      </c>
      <c r="I23" s="64">
        <v>6.75</v>
      </c>
      <c r="J23" s="64">
        <v>2.09</v>
      </c>
      <c r="K23" s="64">
        <v>348.39</v>
      </c>
      <c r="L23" s="64">
        <v>14.3</v>
      </c>
      <c r="M23" s="64">
        <v>101.66</v>
      </c>
      <c r="N23" s="64">
        <v>44.9</v>
      </c>
      <c r="O23" s="64">
        <v>0</v>
      </c>
      <c r="P23" s="64">
        <v>0.62</v>
      </c>
      <c r="Q23" s="64">
        <v>8.2100000000000009</v>
      </c>
      <c r="R23" s="198"/>
      <c r="S23" s="198"/>
      <c r="T23" s="198"/>
      <c r="U23" s="198"/>
    </row>
    <row r="24" spans="1:21" s="12" customFormat="1" x14ac:dyDescent="0.25">
      <c r="A24" s="215" t="s">
        <v>2279</v>
      </c>
      <c r="B24" s="64">
        <v>13.65</v>
      </c>
      <c r="C24" s="64">
        <v>37.479999999999997</v>
      </c>
      <c r="D24" s="64">
        <v>29.15</v>
      </c>
      <c r="E24" s="64">
        <v>6.18</v>
      </c>
      <c r="F24" s="64">
        <v>3.88</v>
      </c>
      <c r="G24" s="64">
        <v>34.74</v>
      </c>
      <c r="H24" s="64">
        <v>12.58</v>
      </c>
      <c r="I24" s="64">
        <v>6.84</v>
      </c>
      <c r="J24" s="64">
        <v>1.38</v>
      </c>
      <c r="K24" s="64">
        <v>354.07</v>
      </c>
      <c r="L24" s="64">
        <v>14.5</v>
      </c>
      <c r="M24" s="64">
        <v>101.65</v>
      </c>
      <c r="N24" s="64">
        <v>45.2</v>
      </c>
      <c r="O24" s="64">
        <v>0</v>
      </c>
      <c r="P24" s="64">
        <v>0.62</v>
      </c>
      <c r="Q24" s="64">
        <v>8.2100000000000009</v>
      </c>
      <c r="R24" s="198"/>
      <c r="S24" s="198"/>
      <c r="T24" s="198"/>
      <c r="U24" s="198"/>
    </row>
    <row r="25" spans="1:21" s="12" customFormat="1" x14ac:dyDescent="0.25">
      <c r="A25" s="215" t="s">
        <v>2280</v>
      </c>
      <c r="B25" s="64">
        <v>13.7</v>
      </c>
      <c r="C25" s="64">
        <v>37.72</v>
      </c>
      <c r="D25" s="64">
        <v>29.32</v>
      </c>
      <c r="E25" s="64">
        <v>5.67</v>
      </c>
      <c r="F25" s="64">
        <v>3.98</v>
      </c>
      <c r="G25" s="64">
        <v>36.44</v>
      </c>
      <c r="H25" s="64">
        <v>14.15</v>
      </c>
      <c r="I25" s="64">
        <v>6.67</v>
      </c>
      <c r="J25" s="64">
        <v>2.3199999999999998</v>
      </c>
      <c r="K25" s="64">
        <v>348.25</v>
      </c>
      <c r="L25" s="64">
        <v>14.57</v>
      </c>
      <c r="M25" s="64">
        <v>101.65</v>
      </c>
      <c r="N25" s="64">
        <v>45.3</v>
      </c>
      <c r="O25" s="64">
        <v>0</v>
      </c>
      <c r="P25" s="64">
        <v>0.61</v>
      </c>
      <c r="Q25" s="64">
        <v>8.2100000000000009</v>
      </c>
      <c r="R25" s="198"/>
      <c r="S25" s="198"/>
      <c r="T25" s="198"/>
      <c r="U25" s="198"/>
    </row>
    <row r="26" spans="1:21" s="12" customFormat="1" x14ac:dyDescent="0.25">
      <c r="A26" s="215" t="s">
        <v>2281</v>
      </c>
      <c r="B26" s="64">
        <v>13.82</v>
      </c>
      <c r="C26" s="64">
        <v>39.659999999999997</v>
      </c>
      <c r="D26" s="64">
        <v>30.43</v>
      </c>
      <c r="E26" s="64">
        <v>5.91</v>
      </c>
      <c r="F26" s="64">
        <v>3.92</v>
      </c>
      <c r="G26" s="64">
        <v>40.869999999999997</v>
      </c>
      <c r="H26" s="64">
        <v>16.96</v>
      </c>
      <c r="I26" s="64">
        <v>6.71</v>
      </c>
      <c r="J26" s="64">
        <v>2.57</v>
      </c>
      <c r="K26" s="64">
        <v>348.36</v>
      </c>
      <c r="L26" s="64">
        <v>14.58</v>
      </c>
      <c r="M26" s="64">
        <v>101.65</v>
      </c>
      <c r="N26" s="64">
        <v>45.1</v>
      </c>
      <c r="O26" s="64">
        <v>0</v>
      </c>
      <c r="P26" s="64">
        <v>0.61</v>
      </c>
      <c r="Q26" s="64">
        <v>8.2100000000000009</v>
      </c>
      <c r="R26" s="198"/>
      <c r="S26" s="198"/>
      <c r="T26" s="198"/>
      <c r="U26" s="198"/>
    </row>
    <row r="27" spans="1:21" s="12" customFormat="1" x14ac:dyDescent="0.25">
      <c r="A27" s="215" t="s">
        <v>2282</v>
      </c>
      <c r="B27" s="64">
        <v>13.87</v>
      </c>
      <c r="C27" s="64">
        <v>38.51</v>
      </c>
      <c r="D27" s="64">
        <v>29.87</v>
      </c>
      <c r="E27" s="64">
        <v>6.14</v>
      </c>
      <c r="F27" s="64">
        <v>4.01</v>
      </c>
      <c r="G27" s="64">
        <v>40.869999999999997</v>
      </c>
      <c r="H27" s="64">
        <v>16.96</v>
      </c>
      <c r="I27" s="64">
        <v>6.77</v>
      </c>
      <c r="J27" s="64">
        <v>1.99</v>
      </c>
      <c r="K27" s="64">
        <v>351.57</v>
      </c>
      <c r="L27" s="64">
        <v>14.59</v>
      </c>
      <c r="M27" s="64">
        <v>101.65</v>
      </c>
      <c r="N27" s="64">
        <v>45.1</v>
      </c>
      <c r="O27" s="64">
        <v>0</v>
      </c>
      <c r="P27" s="64">
        <v>0.6</v>
      </c>
      <c r="Q27" s="64">
        <v>8.2100000000000009</v>
      </c>
      <c r="R27" s="198"/>
      <c r="S27" s="198"/>
      <c r="T27" s="198"/>
      <c r="U27" s="198"/>
    </row>
    <row r="28" spans="1:21" s="12" customFormat="1" x14ac:dyDescent="0.25">
      <c r="A28" s="215" t="s">
        <v>2283</v>
      </c>
      <c r="B28" s="64">
        <v>14.13</v>
      </c>
      <c r="C28" s="64">
        <v>38.72</v>
      </c>
      <c r="D28" s="64">
        <v>30.18</v>
      </c>
      <c r="E28" s="64">
        <v>5.97</v>
      </c>
      <c r="F28" s="64">
        <v>3.82</v>
      </c>
      <c r="G28" s="64">
        <v>40.869999999999997</v>
      </c>
      <c r="H28" s="64">
        <v>16.96</v>
      </c>
      <c r="I28" s="64">
        <v>6.54</v>
      </c>
      <c r="J28" s="64">
        <v>2.0499999999999998</v>
      </c>
      <c r="K28" s="64">
        <v>346.74</v>
      </c>
      <c r="L28" s="64">
        <v>14.68</v>
      </c>
      <c r="M28" s="64">
        <v>101.65</v>
      </c>
      <c r="N28" s="64">
        <v>45</v>
      </c>
      <c r="O28" s="64">
        <v>0</v>
      </c>
      <c r="P28" s="64">
        <v>0.6</v>
      </c>
      <c r="Q28" s="64">
        <v>8.2100000000000009</v>
      </c>
      <c r="R28" s="198"/>
      <c r="S28" s="198"/>
      <c r="T28" s="198"/>
      <c r="U28" s="198"/>
    </row>
    <row r="29" spans="1:21" s="12" customFormat="1" x14ac:dyDescent="0.25">
      <c r="A29" s="215" t="s">
        <v>2284</v>
      </c>
      <c r="B29" s="64">
        <v>14.44</v>
      </c>
      <c r="C29" s="64">
        <v>38.93</v>
      </c>
      <c r="D29" s="64">
        <v>30.54</v>
      </c>
      <c r="E29" s="64">
        <v>5.59</v>
      </c>
      <c r="F29" s="64">
        <v>3.86</v>
      </c>
      <c r="G29" s="64">
        <v>41.71</v>
      </c>
      <c r="H29" s="64">
        <v>17.23</v>
      </c>
      <c r="I29" s="64">
        <v>6.34</v>
      </c>
      <c r="J29" s="64">
        <v>0.99</v>
      </c>
      <c r="K29" s="64">
        <v>8.81</v>
      </c>
      <c r="L29" s="64">
        <v>14.69</v>
      </c>
      <c r="M29" s="64">
        <v>101.65</v>
      </c>
      <c r="N29" s="64">
        <v>45.3</v>
      </c>
      <c r="O29" s="64">
        <v>0</v>
      </c>
      <c r="P29" s="64">
        <v>0.61</v>
      </c>
      <c r="Q29" s="64">
        <v>8.2100000000000009</v>
      </c>
      <c r="R29" s="198"/>
      <c r="S29" s="198"/>
      <c r="T29" s="198"/>
      <c r="U29" s="198"/>
    </row>
    <row r="30" spans="1:21" s="12" customFormat="1" x14ac:dyDescent="0.25">
      <c r="A30" s="215" t="s">
        <v>2285</v>
      </c>
      <c r="B30" s="64">
        <v>14.97</v>
      </c>
      <c r="C30" s="64">
        <v>40.299999999999997</v>
      </c>
      <c r="D30" s="64">
        <v>31.68</v>
      </c>
      <c r="E30" s="64">
        <v>5.47</v>
      </c>
      <c r="F30" s="64">
        <v>3.65</v>
      </c>
      <c r="G30" s="64">
        <v>43.9</v>
      </c>
      <c r="H30" s="64">
        <v>18.41</v>
      </c>
      <c r="I30" s="64">
        <v>6.2</v>
      </c>
      <c r="J30" s="64">
        <v>0.97</v>
      </c>
      <c r="K30" s="64">
        <v>90.33</v>
      </c>
      <c r="L30" s="64">
        <v>14.59</v>
      </c>
      <c r="M30" s="64">
        <v>101.65</v>
      </c>
      <c r="N30" s="64">
        <v>45.3</v>
      </c>
      <c r="O30" s="64">
        <v>0</v>
      </c>
      <c r="P30" s="64">
        <v>0.6</v>
      </c>
      <c r="Q30" s="64">
        <v>8.2100000000000009</v>
      </c>
      <c r="R30" s="198"/>
      <c r="S30" s="198"/>
      <c r="T30" s="198"/>
      <c r="U30" s="198"/>
    </row>
    <row r="31" spans="1:21" s="12" customFormat="1" x14ac:dyDescent="0.25">
      <c r="A31" s="215" t="s">
        <v>2286</v>
      </c>
      <c r="B31" s="64">
        <v>15.98</v>
      </c>
      <c r="C31" s="64">
        <v>39.78</v>
      </c>
      <c r="D31" s="64">
        <v>32.229999999999997</v>
      </c>
      <c r="E31" s="64">
        <v>5.49</v>
      </c>
      <c r="F31" s="64">
        <v>3.85</v>
      </c>
      <c r="G31" s="64">
        <v>43.9</v>
      </c>
      <c r="H31" s="64">
        <v>18.41</v>
      </c>
      <c r="I31" s="64">
        <v>6.04</v>
      </c>
      <c r="J31" s="64">
        <v>0.51</v>
      </c>
      <c r="K31" s="64">
        <v>15.68</v>
      </c>
      <c r="L31" s="64">
        <v>14.41</v>
      </c>
      <c r="M31" s="64">
        <v>101.65</v>
      </c>
      <c r="N31" s="64">
        <v>45.1</v>
      </c>
      <c r="O31" s="64">
        <v>0</v>
      </c>
      <c r="P31" s="64">
        <v>0.61</v>
      </c>
      <c r="Q31" s="64">
        <v>8.2100000000000009</v>
      </c>
      <c r="R31" s="198"/>
      <c r="S31" s="198"/>
      <c r="T31" s="198"/>
      <c r="U31" s="198"/>
    </row>
    <row r="32" spans="1:21" s="12" customFormat="1" x14ac:dyDescent="0.25">
      <c r="A32" s="215" t="s">
        <v>2287</v>
      </c>
      <c r="B32" s="64">
        <v>16.8</v>
      </c>
      <c r="C32" s="64">
        <v>40.39</v>
      </c>
      <c r="D32" s="64">
        <v>33.200000000000003</v>
      </c>
      <c r="E32" s="64">
        <v>5.49</v>
      </c>
      <c r="F32" s="64">
        <v>3.65</v>
      </c>
      <c r="G32" s="64">
        <v>43.9</v>
      </c>
      <c r="H32" s="64">
        <v>18.41</v>
      </c>
      <c r="I32" s="64">
        <v>5.94</v>
      </c>
      <c r="J32" s="64">
        <v>0.94</v>
      </c>
      <c r="K32" s="64">
        <v>338.74</v>
      </c>
      <c r="L32" s="64">
        <v>14.35</v>
      </c>
      <c r="M32" s="64">
        <v>101.65</v>
      </c>
      <c r="N32" s="64">
        <v>45.1</v>
      </c>
      <c r="O32" s="64">
        <v>0</v>
      </c>
      <c r="P32" s="64">
        <v>0.61</v>
      </c>
      <c r="Q32" s="64">
        <v>8.2100000000000009</v>
      </c>
      <c r="R32" s="198"/>
      <c r="S32" s="198"/>
      <c r="T32" s="198"/>
      <c r="U32" s="198"/>
    </row>
    <row r="33" spans="1:21" s="12" customFormat="1" x14ac:dyDescent="0.25">
      <c r="A33" s="215" t="s">
        <v>2288</v>
      </c>
      <c r="B33" s="64">
        <v>17.489999999999998</v>
      </c>
      <c r="C33" s="64">
        <v>40.54</v>
      </c>
      <c r="D33" s="64">
        <v>33.83</v>
      </c>
      <c r="E33" s="64">
        <v>5.81</v>
      </c>
      <c r="F33" s="64">
        <v>3.65</v>
      </c>
      <c r="G33" s="64">
        <v>45.02</v>
      </c>
      <c r="H33" s="64">
        <v>19.239999999999998</v>
      </c>
      <c r="I33" s="64">
        <v>5.82</v>
      </c>
      <c r="J33" s="64">
        <v>1.88</v>
      </c>
      <c r="K33" s="64">
        <v>337.19</v>
      </c>
      <c r="L33" s="64">
        <v>14.43</v>
      </c>
      <c r="M33" s="64">
        <v>101.65</v>
      </c>
      <c r="N33" s="64">
        <v>45</v>
      </c>
      <c r="O33" s="64">
        <v>0</v>
      </c>
      <c r="P33" s="64">
        <v>0.62</v>
      </c>
      <c r="Q33" s="64">
        <v>8.2100000000000009</v>
      </c>
      <c r="R33" s="198"/>
      <c r="S33" s="198"/>
      <c r="T33" s="198"/>
      <c r="U33" s="198"/>
    </row>
    <row r="34" spans="1:21" s="12" customFormat="1" x14ac:dyDescent="0.25">
      <c r="A34" s="215" t="s">
        <v>2289</v>
      </c>
      <c r="B34" s="64">
        <v>18.36</v>
      </c>
      <c r="C34" s="64">
        <v>38.68</v>
      </c>
      <c r="D34" s="64">
        <v>33.56</v>
      </c>
      <c r="E34" s="64">
        <v>5.82</v>
      </c>
      <c r="F34" s="64">
        <v>4.0599999999999996</v>
      </c>
      <c r="G34" s="64">
        <v>47.94</v>
      </c>
      <c r="H34" s="64">
        <v>20.72</v>
      </c>
      <c r="I34" s="64">
        <v>5.73</v>
      </c>
      <c r="J34" s="64">
        <v>1.43</v>
      </c>
      <c r="K34" s="64">
        <v>6.97</v>
      </c>
      <c r="L34" s="64">
        <v>14.54</v>
      </c>
      <c r="M34" s="64">
        <v>101.64</v>
      </c>
      <c r="N34" s="64">
        <v>45.5</v>
      </c>
      <c r="O34" s="64">
        <v>0</v>
      </c>
      <c r="P34" s="64">
        <v>0.61</v>
      </c>
      <c r="Q34" s="64">
        <v>8.2100000000000009</v>
      </c>
      <c r="R34" s="198"/>
      <c r="S34" s="198"/>
      <c r="T34" s="198"/>
      <c r="U34" s="198"/>
    </row>
    <row r="35" spans="1:21" s="12" customFormat="1" x14ac:dyDescent="0.25">
      <c r="A35" s="215" t="s">
        <v>2290</v>
      </c>
      <c r="B35" s="64">
        <v>19.100000000000001</v>
      </c>
      <c r="C35" s="64">
        <v>38.630000000000003</v>
      </c>
      <c r="D35" s="64">
        <v>34.119999999999997</v>
      </c>
      <c r="E35" s="64">
        <v>5.65</v>
      </c>
      <c r="F35" s="64">
        <v>3.96</v>
      </c>
      <c r="G35" s="64">
        <v>47.94</v>
      </c>
      <c r="H35" s="64">
        <v>20.72</v>
      </c>
      <c r="I35" s="64">
        <v>5.5</v>
      </c>
      <c r="J35" s="64">
        <v>1.49</v>
      </c>
      <c r="K35" s="64">
        <v>91.04</v>
      </c>
      <c r="L35" s="64">
        <v>14.31</v>
      </c>
      <c r="M35" s="64">
        <v>101.63</v>
      </c>
      <c r="N35" s="64">
        <v>47.6</v>
      </c>
      <c r="O35" s="64">
        <v>0</v>
      </c>
      <c r="P35" s="64">
        <v>0.62</v>
      </c>
      <c r="Q35" s="64">
        <v>8.2100000000000009</v>
      </c>
      <c r="R35" s="198"/>
      <c r="S35" s="198"/>
      <c r="T35" s="198"/>
      <c r="U35" s="198"/>
    </row>
    <row r="36" spans="1:21" s="12" customFormat="1" x14ac:dyDescent="0.25">
      <c r="A36" s="215" t="s">
        <v>2291</v>
      </c>
      <c r="B36" s="64">
        <v>19.73</v>
      </c>
      <c r="C36" s="64">
        <v>39.06</v>
      </c>
      <c r="D36" s="64">
        <v>34.85</v>
      </c>
      <c r="E36" s="64">
        <v>5.62</v>
      </c>
      <c r="F36" s="64">
        <v>3.84</v>
      </c>
      <c r="G36" s="64">
        <v>47.94</v>
      </c>
      <c r="H36" s="64">
        <v>20.72</v>
      </c>
      <c r="I36" s="64">
        <v>5.59</v>
      </c>
      <c r="J36" s="64">
        <v>2.04</v>
      </c>
      <c r="K36" s="64">
        <v>105.6</v>
      </c>
      <c r="L36" s="64">
        <v>14.12</v>
      </c>
      <c r="M36" s="64">
        <v>101.68</v>
      </c>
      <c r="N36" s="64">
        <v>57</v>
      </c>
      <c r="O36" s="64">
        <v>0</v>
      </c>
      <c r="P36" s="64">
        <v>0.63</v>
      </c>
      <c r="Q36" s="64">
        <v>8.2100000000000009</v>
      </c>
      <c r="R36" s="198"/>
      <c r="S36" s="198"/>
      <c r="T36" s="198"/>
      <c r="U36" s="198"/>
    </row>
    <row r="37" spans="1:21" s="12" customFormat="1" x14ac:dyDescent="0.25">
      <c r="A37" s="215" t="s">
        <v>2292</v>
      </c>
      <c r="B37" s="64">
        <v>20.56</v>
      </c>
      <c r="C37" s="64">
        <v>39.53</v>
      </c>
      <c r="D37" s="64">
        <v>35.76</v>
      </c>
      <c r="E37" s="64">
        <v>5.8</v>
      </c>
      <c r="F37" s="64">
        <v>3.65</v>
      </c>
      <c r="G37" s="64">
        <v>48.79</v>
      </c>
      <c r="H37" s="64">
        <v>21.11</v>
      </c>
      <c r="I37" s="64">
        <v>5.72</v>
      </c>
      <c r="J37" s="64">
        <v>0.26</v>
      </c>
      <c r="K37" s="64">
        <v>333.31</v>
      </c>
      <c r="L37" s="64">
        <v>14.16</v>
      </c>
      <c r="M37" s="64">
        <v>101.68</v>
      </c>
      <c r="N37" s="64">
        <v>71.8</v>
      </c>
      <c r="O37" s="64">
        <v>0</v>
      </c>
      <c r="P37" s="64">
        <v>0.65</v>
      </c>
      <c r="Q37" s="64">
        <v>8.2100000000000009</v>
      </c>
      <c r="R37" s="198"/>
      <c r="S37" s="198"/>
      <c r="T37" s="198"/>
      <c r="U37" s="198"/>
    </row>
    <row r="38" spans="1:21" s="12" customFormat="1" x14ac:dyDescent="0.25">
      <c r="A38" s="215" t="s">
        <v>2293</v>
      </c>
      <c r="B38" s="64">
        <v>22</v>
      </c>
      <c r="C38" s="64">
        <v>39.11</v>
      </c>
      <c r="D38" s="64">
        <v>36.700000000000003</v>
      </c>
      <c r="E38" s="64">
        <v>5.5</v>
      </c>
      <c r="F38" s="64">
        <v>4.12</v>
      </c>
      <c r="G38" s="64">
        <v>50.98</v>
      </c>
      <c r="H38" s="64">
        <v>21.81</v>
      </c>
      <c r="I38" s="64">
        <v>5.96</v>
      </c>
      <c r="J38" s="64">
        <v>1.01</v>
      </c>
      <c r="K38" s="64">
        <v>97.94</v>
      </c>
      <c r="L38" s="64">
        <v>14.32</v>
      </c>
      <c r="M38" s="64">
        <v>101.65</v>
      </c>
      <c r="N38" s="64">
        <v>90.7</v>
      </c>
      <c r="O38" s="64">
        <v>0</v>
      </c>
      <c r="P38" s="64">
        <v>0.68</v>
      </c>
      <c r="Q38" s="64">
        <v>8.2100000000000009</v>
      </c>
      <c r="R38" s="198"/>
      <c r="S38" s="198"/>
      <c r="T38" s="198"/>
      <c r="U38" s="198"/>
    </row>
    <row r="39" spans="1:21" s="12" customFormat="1" x14ac:dyDescent="0.25">
      <c r="A39" s="215" t="s">
        <v>2294</v>
      </c>
      <c r="B39" s="64">
        <v>23.12</v>
      </c>
      <c r="C39" s="64">
        <v>39.369999999999997</v>
      </c>
      <c r="D39" s="64">
        <v>37.729999999999997</v>
      </c>
      <c r="E39" s="64">
        <v>6.5</v>
      </c>
      <c r="F39" s="64">
        <v>3.45</v>
      </c>
      <c r="G39" s="64">
        <v>50.98</v>
      </c>
      <c r="H39" s="64">
        <v>21.81</v>
      </c>
      <c r="I39" s="64">
        <v>5.89</v>
      </c>
      <c r="J39" s="64">
        <v>0.98</v>
      </c>
      <c r="K39" s="64">
        <v>88.11</v>
      </c>
      <c r="L39" s="64">
        <v>14.51</v>
      </c>
      <c r="M39" s="64">
        <v>101.63</v>
      </c>
      <c r="N39" s="64">
        <v>115.3</v>
      </c>
      <c r="O39" s="64">
        <v>0</v>
      </c>
      <c r="P39" s="64">
        <v>0.68</v>
      </c>
      <c r="Q39" s="64">
        <v>8.2100000000000009</v>
      </c>
      <c r="R39" s="198"/>
      <c r="S39" s="198"/>
      <c r="T39" s="198"/>
      <c r="U39" s="198"/>
    </row>
    <row r="40" spans="1:21" s="12" customFormat="1" x14ac:dyDescent="0.25">
      <c r="A40" s="215" t="s">
        <v>2295</v>
      </c>
      <c r="B40" s="64">
        <v>23.78</v>
      </c>
      <c r="C40" s="64">
        <v>38.47</v>
      </c>
      <c r="D40" s="64">
        <v>37.79</v>
      </c>
      <c r="E40" s="64">
        <v>5.59</v>
      </c>
      <c r="F40" s="64">
        <v>3.83</v>
      </c>
      <c r="G40" s="64">
        <v>50.98</v>
      </c>
      <c r="H40" s="64">
        <v>21.81</v>
      </c>
      <c r="I40" s="64">
        <v>6</v>
      </c>
      <c r="J40" s="64">
        <v>0.36</v>
      </c>
      <c r="K40" s="64">
        <v>65.37</v>
      </c>
      <c r="L40" s="64">
        <v>15.07</v>
      </c>
      <c r="M40" s="64">
        <v>101.17</v>
      </c>
      <c r="N40" s="64">
        <v>163.9</v>
      </c>
      <c r="O40" s="64">
        <v>0</v>
      </c>
      <c r="P40" s="64">
        <v>0.69</v>
      </c>
      <c r="Q40" s="64">
        <v>8.2100000000000009</v>
      </c>
      <c r="R40" s="198"/>
      <c r="S40" s="198"/>
      <c r="T40" s="198"/>
      <c r="U40" s="198"/>
    </row>
    <row r="41" spans="1:21" s="12" customFormat="1" x14ac:dyDescent="0.25">
      <c r="A41" s="215" t="s">
        <v>2296</v>
      </c>
      <c r="B41" s="64">
        <v>24.45</v>
      </c>
      <c r="C41" s="64">
        <v>37.979999999999997</v>
      </c>
      <c r="D41" s="64">
        <v>38.07</v>
      </c>
      <c r="E41" s="64">
        <v>5.92</v>
      </c>
      <c r="F41" s="64">
        <v>3.91</v>
      </c>
      <c r="G41" s="64">
        <v>51.55</v>
      </c>
      <c r="H41" s="64">
        <v>21.84</v>
      </c>
      <c r="I41" s="64">
        <v>6.19</v>
      </c>
      <c r="J41" s="64">
        <v>1.63</v>
      </c>
      <c r="K41" s="64">
        <v>102.3</v>
      </c>
      <c r="L41" s="64">
        <v>15.69</v>
      </c>
      <c r="M41" s="64">
        <v>99.64</v>
      </c>
      <c r="N41" s="64">
        <v>203.7</v>
      </c>
      <c r="O41" s="64">
        <v>0</v>
      </c>
      <c r="P41" s="64">
        <v>0.69</v>
      </c>
      <c r="Q41" s="64">
        <v>8.2100000000000009</v>
      </c>
      <c r="R41" s="198"/>
      <c r="S41" s="198"/>
      <c r="T41" s="198"/>
      <c r="U41" s="198"/>
    </row>
    <row r="42" spans="1:21" s="12" customFormat="1" x14ac:dyDescent="0.25">
      <c r="A42" s="215" t="s">
        <v>2297</v>
      </c>
      <c r="B42" s="64">
        <v>24.87</v>
      </c>
      <c r="C42" s="64">
        <v>38.04</v>
      </c>
      <c r="D42" s="64">
        <v>38.44</v>
      </c>
      <c r="E42" s="64">
        <v>6.17</v>
      </c>
      <c r="F42" s="64">
        <v>3.84</v>
      </c>
      <c r="G42" s="64">
        <v>53.03</v>
      </c>
      <c r="H42" s="64">
        <v>21.89</v>
      </c>
      <c r="I42" s="64">
        <v>6.16</v>
      </c>
      <c r="J42" s="64">
        <v>0.81</v>
      </c>
      <c r="K42" s="64">
        <v>85.77</v>
      </c>
      <c r="L42" s="64">
        <v>16.37</v>
      </c>
      <c r="M42" s="64">
        <v>95.24</v>
      </c>
      <c r="N42" s="64">
        <v>256.2</v>
      </c>
      <c r="O42" s="64">
        <v>0</v>
      </c>
      <c r="P42" s="64">
        <v>0.7</v>
      </c>
      <c r="Q42" s="64">
        <v>8.2100000000000009</v>
      </c>
      <c r="R42" s="198"/>
      <c r="S42" s="198"/>
      <c r="T42" s="198"/>
      <c r="U42" s="198"/>
    </row>
    <row r="43" spans="1:21" s="12" customFormat="1" x14ac:dyDescent="0.25">
      <c r="A43" s="215" t="s">
        <v>2298</v>
      </c>
      <c r="B43" s="64">
        <v>25.11</v>
      </c>
      <c r="C43" s="64">
        <v>38.659999999999997</v>
      </c>
      <c r="D43" s="64">
        <v>38.96</v>
      </c>
      <c r="E43" s="64">
        <v>6.02</v>
      </c>
      <c r="F43" s="64">
        <v>4.04</v>
      </c>
      <c r="G43" s="64">
        <v>53.03</v>
      </c>
      <c r="H43" s="64">
        <v>21.89</v>
      </c>
      <c r="I43" s="64">
        <v>6.5</v>
      </c>
      <c r="J43" s="64">
        <v>4.82</v>
      </c>
      <c r="K43" s="64">
        <v>116.48</v>
      </c>
      <c r="L43" s="64">
        <v>16.25</v>
      </c>
      <c r="M43" s="64">
        <v>94.65</v>
      </c>
      <c r="N43" s="64">
        <v>301.89999999999998</v>
      </c>
      <c r="O43" s="64">
        <v>0</v>
      </c>
      <c r="P43" s="64">
        <v>0.69</v>
      </c>
      <c r="Q43" s="64">
        <v>8.2100000000000009</v>
      </c>
      <c r="R43" s="198"/>
      <c r="S43" s="198"/>
      <c r="T43" s="198"/>
      <c r="U43" s="198"/>
    </row>
    <row r="44" spans="1:21" s="12" customFormat="1" x14ac:dyDescent="0.25">
      <c r="A44" s="215" t="s">
        <v>2299</v>
      </c>
      <c r="B44" s="64">
        <v>24.31</v>
      </c>
      <c r="C44" s="64">
        <v>38.47</v>
      </c>
      <c r="D44" s="64">
        <v>38.22</v>
      </c>
      <c r="E44" s="64">
        <v>5.8</v>
      </c>
      <c r="F44" s="64">
        <v>3.83</v>
      </c>
      <c r="G44" s="64">
        <v>53.03</v>
      </c>
      <c r="H44" s="64">
        <v>21.89</v>
      </c>
      <c r="I44" s="64">
        <v>6.67</v>
      </c>
      <c r="J44" s="64">
        <v>5.12</v>
      </c>
      <c r="K44" s="64">
        <v>117.85</v>
      </c>
      <c r="L44" s="64">
        <v>15.99</v>
      </c>
      <c r="M44" s="64">
        <v>96.07</v>
      </c>
      <c r="N44" s="64">
        <v>342.6</v>
      </c>
      <c r="O44" s="64">
        <v>0</v>
      </c>
      <c r="P44" s="64">
        <v>0.69</v>
      </c>
      <c r="Q44" s="64">
        <v>8.2100000000000009</v>
      </c>
      <c r="R44" s="198"/>
      <c r="S44" s="198"/>
      <c r="T44" s="198"/>
      <c r="U44" s="198"/>
    </row>
    <row r="45" spans="1:21" s="12" customFormat="1" x14ac:dyDescent="0.25">
      <c r="A45" s="215" t="s">
        <v>2300</v>
      </c>
      <c r="B45" s="64">
        <v>23.19</v>
      </c>
      <c r="C45" s="64">
        <v>39.049999999999997</v>
      </c>
      <c r="D45" s="64">
        <v>37.619999999999997</v>
      </c>
      <c r="E45" s="64">
        <v>5.72</v>
      </c>
      <c r="F45" s="64">
        <v>3.65</v>
      </c>
      <c r="G45" s="64">
        <v>51.97</v>
      </c>
      <c r="H45" s="64">
        <v>21.03</v>
      </c>
      <c r="I45" s="64">
        <v>6.97</v>
      </c>
      <c r="J45" s="64">
        <v>4.22</v>
      </c>
      <c r="K45" s="64">
        <v>115.26</v>
      </c>
      <c r="L45" s="64">
        <v>16.73</v>
      </c>
      <c r="M45" s="64">
        <v>92.92</v>
      </c>
      <c r="N45" s="64">
        <v>381.5</v>
      </c>
      <c r="O45" s="64">
        <v>0</v>
      </c>
      <c r="P45" s="64">
        <v>0.67</v>
      </c>
      <c r="Q45" s="64">
        <v>8.2100000000000009</v>
      </c>
      <c r="R45" s="198"/>
      <c r="S45" s="198"/>
      <c r="T45" s="198"/>
      <c r="U45" s="198"/>
    </row>
    <row r="46" spans="1:21" s="12" customFormat="1" x14ac:dyDescent="0.25">
      <c r="A46" s="215" t="s">
        <v>2301</v>
      </c>
      <c r="B46" s="64">
        <v>22.04</v>
      </c>
      <c r="C46" s="64">
        <v>39.04</v>
      </c>
      <c r="D46" s="64">
        <v>36.69</v>
      </c>
      <c r="E46" s="64">
        <v>5.34</v>
      </c>
      <c r="F46" s="64">
        <v>3.33</v>
      </c>
      <c r="G46" s="64">
        <v>49.19</v>
      </c>
      <c r="H46" s="64">
        <v>17.329999999999998</v>
      </c>
      <c r="I46" s="64">
        <v>7.51</v>
      </c>
      <c r="J46" s="64">
        <v>4.0599999999999996</v>
      </c>
      <c r="K46" s="64">
        <v>112.52</v>
      </c>
      <c r="L46" s="64">
        <v>17.12</v>
      </c>
      <c r="M46" s="64">
        <v>91.06</v>
      </c>
      <c r="N46" s="64">
        <v>409.5</v>
      </c>
      <c r="O46" s="64">
        <v>0</v>
      </c>
      <c r="P46" s="64">
        <v>0.66</v>
      </c>
      <c r="Q46" s="64">
        <v>8.2100000000000009</v>
      </c>
      <c r="R46" s="198"/>
      <c r="S46" s="198"/>
      <c r="T46" s="198"/>
      <c r="U46" s="198"/>
    </row>
    <row r="47" spans="1:21" s="12" customFormat="1" x14ac:dyDescent="0.25">
      <c r="A47" s="215" t="s">
        <v>2302</v>
      </c>
      <c r="B47" s="64">
        <v>20.77</v>
      </c>
      <c r="C47" s="64">
        <v>39.9</v>
      </c>
      <c r="D47" s="64">
        <v>36.119999999999997</v>
      </c>
      <c r="E47" s="64">
        <v>5.27</v>
      </c>
      <c r="F47" s="64">
        <v>3.68</v>
      </c>
      <c r="G47" s="64">
        <v>49.19</v>
      </c>
      <c r="H47" s="64">
        <v>17.329999999999998</v>
      </c>
      <c r="I47" s="64">
        <v>7.79</v>
      </c>
      <c r="J47" s="64">
        <v>2.65</v>
      </c>
      <c r="K47" s="64">
        <v>105.64</v>
      </c>
      <c r="L47" s="64">
        <v>18.010000000000002</v>
      </c>
      <c r="M47" s="64">
        <v>85.6</v>
      </c>
      <c r="N47" s="64">
        <v>453.1</v>
      </c>
      <c r="O47" s="64">
        <v>0</v>
      </c>
      <c r="P47" s="64">
        <v>0.65</v>
      </c>
      <c r="Q47" s="64">
        <v>8.2100000000000009</v>
      </c>
      <c r="R47" s="198"/>
      <c r="S47" s="198"/>
      <c r="T47" s="198"/>
      <c r="U47" s="198"/>
    </row>
    <row r="48" spans="1:21" s="12" customFormat="1" x14ac:dyDescent="0.25">
      <c r="A48" s="215" t="s">
        <v>2303</v>
      </c>
      <c r="B48" s="64">
        <v>19.91</v>
      </c>
      <c r="C48" s="64">
        <v>39.770000000000003</v>
      </c>
      <c r="D48" s="64">
        <v>35.369999999999997</v>
      </c>
      <c r="E48" s="64">
        <v>5.17</v>
      </c>
      <c r="F48" s="64">
        <v>3.66</v>
      </c>
      <c r="G48" s="64">
        <v>49.19</v>
      </c>
      <c r="H48" s="64">
        <v>17.329999999999998</v>
      </c>
      <c r="I48" s="64">
        <v>7.96</v>
      </c>
      <c r="J48" s="64">
        <v>3.61</v>
      </c>
      <c r="K48" s="64">
        <v>110.33</v>
      </c>
      <c r="L48" s="64">
        <v>18.39</v>
      </c>
      <c r="M48" s="64">
        <v>83.64</v>
      </c>
      <c r="N48" s="64">
        <v>483.1</v>
      </c>
      <c r="O48" s="64">
        <v>0</v>
      </c>
      <c r="P48" s="64">
        <v>0.63</v>
      </c>
      <c r="Q48" s="64">
        <v>8.2100000000000009</v>
      </c>
      <c r="R48" s="198"/>
      <c r="S48" s="198"/>
      <c r="T48" s="198"/>
      <c r="U48" s="198"/>
    </row>
    <row r="49" spans="1:21" s="12" customFormat="1" x14ac:dyDescent="0.25">
      <c r="A49" s="215" t="s">
        <v>2304</v>
      </c>
      <c r="B49" s="64">
        <v>18.98</v>
      </c>
      <c r="C49" s="64">
        <v>39.700000000000003</v>
      </c>
      <c r="D49" s="64">
        <v>34.590000000000003</v>
      </c>
      <c r="E49" s="64">
        <v>5.28</v>
      </c>
      <c r="F49" s="64">
        <v>3.47</v>
      </c>
      <c r="G49" s="64">
        <v>48.47</v>
      </c>
      <c r="H49" s="64">
        <v>17.739999999999998</v>
      </c>
      <c r="I49" s="64">
        <v>8.02</v>
      </c>
      <c r="J49" s="64">
        <v>3.57</v>
      </c>
      <c r="K49" s="64">
        <v>107.79</v>
      </c>
      <c r="L49" s="64">
        <v>18.97</v>
      </c>
      <c r="M49" s="64">
        <v>81.05</v>
      </c>
      <c r="N49" s="64">
        <v>521.20000000000005</v>
      </c>
      <c r="O49" s="64">
        <v>0</v>
      </c>
      <c r="P49" s="64">
        <v>0.62</v>
      </c>
      <c r="Q49" s="64">
        <v>8.2100000000000009</v>
      </c>
      <c r="R49" s="198"/>
      <c r="S49" s="198"/>
      <c r="T49" s="198"/>
      <c r="U49" s="198"/>
    </row>
    <row r="50" spans="1:21" s="12" customFormat="1" x14ac:dyDescent="0.25">
      <c r="A50" s="215" t="s">
        <v>2305</v>
      </c>
      <c r="B50" s="64">
        <v>17.95</v>
      </c>
      <c r="C50" s="64">
        <v>41.63</v>
      </c>
      <c r="D50" s="64">
        <v>34.770000000000003</v>
      </c>
      <c r="E50" s="64">
        <v>5.3</v>
      </c>
      <c r="F50" s="64">
        <v>3.36</v>
      </c>
      <c r="G50" s="64">
        <v>46.59</v>
      </c>
      <c r="H50" s="64">
        <v>18.48</v>
      </c>
      <c r="I50" s="64">
        <v>8.11</v>
      </c>
      <c r="J50" s="64">
        <v>4.29</v>
      </c>
      <c r="K50" s="64">
        <v>111.13</v>
      </c>
      <c r="L50" s="64">
        <v>18.87</v>
      </c>
      <c r="M50" s="64">
        <v>80.260000000000005</v>
      </c>
      <c r="N50" s="64">
        <v>563.20000000000005</v>
      </c>
      <c r="O50" s="64">
        <v>0</v>
      </c>
      <c r="P50" s="64">
        <v>0.61</v>
      </c>
      <c r="Q50" s="64">
        <v>8.2100000000000009</v>
      </c>
      <c r="R50" s="198"/>
      <c r="S50" s="198"/>
      <c r="T50" s="198"/>
      <c r="U50" s="198"/>
    </row>
    <row r="51" spans="1:21" s="12" customFormat="1" x14ac:dyDescent="0.25">
      <c r="A51" s="215" t="s">
        <v>2306</v>
      </c>
      <c r="B51" s="64">
        <v>16.88</v>
      </c>
      <c r="C51" s="64">
        <v>38.32</v>
      </c>
      <c r="D51" s="64">
        <v>32.18</v>
      </c>
      <c r="E51" s="64">
        <v>5.83</v>
      </c>
      <c r="F51" s="64">
        <v>3.28</v>
      </c>
      <c r="G51" s="64">
        <v>46.59</v>
      </c>
      <c r="H51" s="64">
        <v>18.48</v>
      </c>
      <c r="I51" s="64">
        <v>8.16</v>
      </c>
      <c r="J51" s="64">
        <v>2.8</v>
      </c>
      <c r="K51" s="64">
        <v>109.4</v>
      </c>
      <c r="L51" s="64">
        <v>19.829999999999998</v>
      </c>
      <c r="M51" s="64">
        <v>76.03</v>
      </c>
      <c r="N51" s="64">
        <v>609</v>
      </c>
      <c r="O51" s="64">
        <v>0</v>
      </c>
      <c r="P51" s="64">
        <v>0.59</v>
      </c>
      <c r="Q51" s="64">
        <v>8.2100000000000009</v>
      </c>
      <c r="R51" s="198"/>
      <c r="S51" s="198"/>
      <c r="T51" s="198"/>
      <c r="U51" s="198"/>
    </row>
    <row r="52" spans="1:21" s="12" customFormat="1" x14ac:dyDescent="0.25">
      <c r="A52" s="215" t="s">
        <v>2307</v>
      </c>
      <c r="B52" s="64">
        <v>16.05</v>
      </c>
      <c r="C52" s="64">
        <v>39.119999999999997</v>
      </c>
      <c r="D52" s="64">
        <v>31.93</v>
      </c>
      <c r="E52" s="64">
        <v>4.9400000000000004</v>
      </c>
      <c r="F52" s="64">
        <v>3.41</v>
      </c>
      <c r="G52" s="64">
        <v>46.59</v>
      </c>
      <c r="H52" s="64">
        <v>18.48</v>
      </c>
      <c r="I52" s="64">
        <v>8.26</v>
      </c>
      <c r="J52" s="64">
        <v>2.69</v>
      </c>
      <c r="K52" s="64">
        <v>110.15</v>
      </c>
      <c r="L52" s="64">
        <v>20.37</v>
      </c>
      <c r="M52" s="64">
        <v>72.13</v>
      </c>
      <c r="N52" s="64">
        <v>663</v>
      </c>
      <c r="O52" s="64">
        <v>0</v>
      </c>
      <c r="P52" s="64">
        <v>0.57999999999999996</v>
      </c>
      <c r="Q52" s="64">
        <v>8.2100000000000009</v>
      </c>
      <c r="R52" s="198"/>
      <c r="S52" s="198"/>
      <c r="T52" s="198"/>
      <c r="U52" s="198"/>
    </row>
    <row r="53" spans="1:21" s="12" customFormat="1" x14ac:dyDescent="0.25">
      <c r="A53" s="215" t="s">
        <v>2308</v>
      </c>
      <c r="B53" s="64">
        <v>15.36</v>
      </c>
      <c r="C53" s="64">
        <v>41.01</v>
      </c>
      <c r="D53" s="64">
        <v>32.369999999999997</v>
      </c>
      <c r="E53" s="64">
        <v>5.21</v>
      </c>
      <c r="F53" s="64">
        <v>3.84</v>
      </c>
      <c r="G53" s="64">
        <v>44.61</v>
      </c>
      <c r="H53" s="64">
        <v>16.18</v>
      </c>
      <c r="I53" s="64">
        <v>8.33</v>
      </c>
      <c r="J53" s="64">
        <v>2.4</v>
      </c>
      <c r="K53" s="64">
        <v>103.02</v>
      </c>
      <c r="L53" s="64">
        <v>21.27</v>
      </c>
      <c r="M53" s="64">
        <v>66.44</v>
      </c>
      <c r="N53" s="64">
        <v>689.9</v>
      </c>
      <c r="O53" s="64">
        <v>0</v>
      </c>
      <c r="P53" s="64">
        <v>0.57999999999999996</v>
      </c>
      <c r="Q53" s="64">
        <v>8.2100000000000009</v>
      </c>
      <c r="R53" s="198"/>
      <c r="S53" s="198"/>
      <c r="T53" s="198"/>
      <c r="U53" s="198"/>
    </row>
    <row r="54" spans="1:21" s="12" customFormat="1" x14ac:dyDescent="0.25">
      <c r="A54" s="215" t="s">
        <v>2309</v>
      </c>
      <c r="B54" s="64">
        <v>14.78</v>
      </c>
      <c r="C54" s="64">
        <v>41.54</v>
      </c>
      <c r="D54" s="64">
        <v>32.18</v>
      </c>
      <c r="E54" s="64">
        <v>5.08</v>
      </c>
      <c r="F54" s="64">
        <v>3.78</v>
      </c>
      <c r="G54" s="64">
        <v>39.450000000000003</v>
      </c>
      <c r="H54" s="64">
        <v>12.07</v>
      </c>
      <c r="I54" s="64">
        <v>8.41</v>
      </c>
      <c r="J54" s="64">
        <v>2.65</v>
      </c>
      <c r="K54" s="64">
        <v>108.19</v>
      </c>
      <c r="L54" s="64">
        <v>20.9</v>
      </c>
      <c r="M54" s="64">
        <v>68.31</v>
      </c>
      <c r="N54" s="64">
        <v>700.7</v>
      </c>
      <c r="O54" s="64">
        <v>0</v>
      </c>
      <c r="P54" s="64">
        <v>0.56999999999999995</v>
      </c>
      <c r="Q54" s="64">
        <v>8.2100000000000009</v>
      </c>
      <c r="R54" s="198"/>
      <c r="S54" s="198"/>
      <c r="T54" s="198"/>
      <c r="U54" s="198"/>
    </row>
    <row r="55" spans="1:21" s="12" customFormat="1" x14ac:dyDescent="0.25">
      <c r="A55" s="215" t="s">
        <v>2310</v>
      </c>
      <c r="B55" s="64">
        <v>14.12</v>
      </c>
      <c r="C55" s="64">
        <v>41.57</v>
      </c>
      <c r="D55" s="64">
        <v>31.67</v>
      </c>
      <c r="E55" s="64">
        <v>5.2</v>
      </c>
      <c r="F55" s="64">
        <v>3.37</v>
      </c>
      <c r="G55" s="64">
        <v>39.450000000000003</v>
      </c>
      <c r="H55" s="64">
        <v>12.07</v>
      </c>
      <c r="I55" s="64">
        <v>8.3699999999999992</v>
      </c>
      <c r="J55" s="64">
        <v>1</v>
      </c>
      <c r="K55" s="64">
        <v>72.77</v>
      </c>
      <c r="L55" s="64">
        <v>21.99</v>
      </c>
      <c r="M55" s="64">
        <v>63.81</v>
      </c>
      <c r="N55" s="64">
        <v>533.5</v>
      </c>
      <c r="O55" s="64">
        <v>0</v>
      </c>
      <c r="P55" s="64">
        <v>0.56000000000000005</v>
      </c>
      <c r="Q55" s="64">
        <v>8.2100000000000009</v>
      </c>
      <c r="R55" s="198"/>
      <c r="S55" s="198"/>
      <c r="T55" s="198"/>
      <c r="U55" s="198"/>
    </row>
    <row r="56" spans="1:21" s="12" customFormat="1" x14ac:dyDescent="0.25">
      <c r="A56" s="215" t="s">
        <v>2311</v>
      </c>
      <c r="B56" s="64">
        <v>13.75</v>
      </c>
      <c r="C56" s="64">
        <v>41.44</v>
      </c>
      <c r="D56" s="64">
        <v>31.3</v>
      </c>
      <c r="E56" s="64">
        <v>5.42</v>
      </c>
      <c r="F56" s="64">
        <v>3.59</v>
      </c>
      <c r="G56" s="64">
        <v>39.450000000000003</v>
      </c>
      <c r="H56" s="64">
        <v>12.07</v>
      </c>
      <c r="I56" s="64">
        <v>8.5399999999999991</v>
      </c>
      <c r="J56" s="64">
        <v>2.06</v>
      </c>
      <c r="K56" s="64">
        <v>100.15</v>
      </c>
      <c r="L56" s="64">
        <v>21.42</v>
      </c>
      <c r="M56" s="64">
        <v>64.88</v>
      </c>
      <c r="N56" s="64">
        <v>311.89999999999998</v>
      </c>
      <c r="O56" s="64">
        <v>0</v>
      </c>
      <c r="P56" s="64">
        <v>0.56000000000000005</v>
      </c>
      <c r="Q56" s="64">
        <v>8.2100000000000009</v>
      </c>
      <c r="R56" s="198"/>
      <c r="S56" s="198"/>
      <c r="T56" s="198"/>
      <c r="U56" s="198"/>
    </row>
    <row r="57" spans="1:21" s="12" customFormat="1" x14ac:dyDescent="0.25">
      <c r="A57" s="215" t="s">
        <v>2312</v>
      </c>
      <c r="B57" s="64">
        <v>13.42</v>
      </c>
      <c r="C57" s="64">
        <v>41.04</v>
      </c>
      <c r="D57" s="64">
        <v>30.83</v>
      </c>
      <c r="E57" s="64">
        <v>5.04</v>
      </c>
      <c r="F57" s="64">
        <v>3.83</v>
      </c>
      <c r="G57" s="64">
        <v>37.950000000000003</v>
      </c>
      <c r="H57" s="64">
        <v>10.64</v>
      </c>
      <c r="I57" s="64">
        <v>8.69</v>
      </c>
      <c r="J57" s="64">
        <v>1.1499999999999999</v>
      </c>
      <c r="K57" s="64">
        <v>66.510000000000005</v>
      </c>
      <c r="L57" s="64">
        <v>20.83</v>
      </c>
      <c r="M57" s="64">
        <v>67.239999999999995</v>
      </c>
      <c r="N57" s="64">
        <v>333.8</v>
      </c>
      <c r="O57" s="64">
        <v>0</v>
      </c>
      <c r="P57" s="64">
        <v>0.54</v>
      </c>
      <c r="Q57" s="64">
        <v>8.2100000000000009</v>
      </c>
      <c r="R57" s="198"/>
      <c r="S57" s="198"/>
      <c r="T57" s="198"/>
      <c r="U57" s="198"/>
    </row>
    <row r="58" spans="1:21" s="12" customFormat="1" x14ac:dyDescent="0.25">
      <c r="A58" s="215" t="s">
        <v>2313</v>
      </c>
      <c r="B58" s="64">
        <v>13.66</v>
      </c>
      <c r="C58" s="64">
        <v>41.29</v>
      </c>
      <c r="D58" s="64">
        <v>31.14</v>
      </c>
      <c r="E58" s="64">
        <v>5.38</v>
      </c>
      <c r="F58" s="64">
        <v>3.77</v>
      </c>
      <c r="G58" s="64">
        <v>34.06</v>
      </c>
      <c r="H58" s="64">
        <v>8.09</v>
      </c>
      <c r="I58" s="64">
        <v>8.3699999999999992</v>
      </c>
      <c r="J58" s="64">
        <v>1.42</v>
      </c>
      <c r="K58" s="64">
        <v>357.36</v>
      </c>
      <c r="L58" s="64">
        <v>21.95</v>
      </c>
      <c r="M58" s="64">
        <v>62.13</v>
      </c>
      <c r="N58" s="64">
        <v>354.8</v>
      </c>
      <c r="O58" s="64">
        <v>0</v>
      </c>
      <c r="P58" s="64">
        <v>0.55000000000000004</v>
      </c>
      <c r="Q58" s="64">
        <v>8.2100000000000009</v>
      </c>
      <c r="R58" s="198"/>
      <c r="S58" s="198"/>
      <c r="T58" s="198"/>
      <c r="U58" s="198"/>
    </row>
    <row r="59" spans="1:21" s="12" customFormat="1" x14ac:dyDescent="0.25">
      <c r="A59" s="215" t="s">
        <v>2314</v>
      </c>
      <c r="B59" s="64">
        <v>13.91</v>
      </c>
      <c r="C59" s="64">
        <v>41.25</v>
      </c>
      <c r="D59" s="64">
        <v>31.33</v>
      </c>
      <c r="E59" s="64">
        <v>5.21</v>
      </c>
      <c r="F59" s="64">
        <v>3.93</v>
      </c>
      <c r="G59" s="64">
        <v>34.06</v>
      </c>
      <c r="H59" s="64">
        <v>8.09</v>
      </c>
      <c r="I59" s="64">
        <v>8.11</v>
      </c>
      <c r="J59" s="64">
        <v>2.66</v>
      </c>
      <c r="K59" s="64">
        <v>111.84</v>
      </c>
      <c r="L59" s="64">
        <v>20.82</v>
      </c>
      <c r="M59" s="64">
        <v>66.099999999999994</v>
      </c>
      <c r="N59" s="64">
        <v>354.2</v>
      </c>
      <c r="O59" s="64">
        <v>0</v>
      </c>
      <c r="P59" s="64">
        <v>0.55000000000000004</v>
      </c>
      <c r="Q59" s="64">
        <v>8.2100000000000009</v>
      </c>
      <c r="R59" s="198"/>
      <c r="S59" s="198"/>
      <c r="T59" s="198"/>
      <c r="U59" s="198"/>
    </row>
    <row r="60" spans="1:21" s="12" customFormat="1" x14ac:dyDescent="0.25">
      <c r="A60" s="215" t="s">
        <v>2315</v>
      </c>
      <c r="B60" s="64">
        <v>13.27</v>
      </c>
      <c r="C60" s="64">
        <v>40.72</v>
      </c>
      <c r="D60" s="64">
        <v>30.54</v>
      </c>
      <c r="E60" s="64">
        <v>5.19</v>
      </c>
      <c r="F60" s="64">
        <v>4.09</v>
      </c>
      <c r="G60" s="64">
        <v>34.06</v>
      </c>
      <c r="H60" s="64">
        <v>8.09</v>
      </c>
      <c r="I60" s="64">
        <v>8.42</v>
      </c>
      <c r="J60" s="64">
        <v>0.87</v>
      </c>
      <c r="K60" s="64">
        <v>53.48</v>
      </c>
      <c r="L60" s="64">
        <v>22.03</v>
      </c>
      <c r="M60" s="64">
        <v>60.56</v>
      </c>
      <c r="N60" s="64">
        <v>557.9</v>
      </c>
      <c r="O60" s="64">
        <v>0</v>
      </c>
      <c r="P60" s="64">
        <v>0.56000000000000005</v>
      </c>
      <c r="Q60" s="64">
        <v>8.2100000000000009</v>
      </c>
      <c r="R60" s="198"/>
      <c r="S60" s="198"/>
      <c r="T60" s="198"/>
      <c r="U60" s="198"/>
    </row>
    <row r="61" spans="1:21" s="12" customFormat="1" x14ac:dyDescent="0.25">
      <c r="A61" s="215" t="s">
        <v>2316</v>
      </c>
      <c r="B61" s="64">
        <v>12.36</v>
      </c>
      <c r="C61" s="64">
        <v>41.23</v>
      </c>
      <c r="D61" s="64">
        <v>30.07</v>
      </c>
      <c r="E61" s="64">
        <v>5.07</v>
      </c>
      <c r="F61" s="64">
        <v>3.8</v>
      </c>
      <c r="G61" s="64">
        <v>35.21</v>
      </c>
      <c r="H61" s="64">
        <v>8.7100000000000009</v>
      </c>
      <c r="I61" s="64">
        <v>8.48</v>
      </c>
      <c r="J61" s="64">
        <v>3.06</v>
      </c>
      <c r="K61" s="64">
        <v>111.93</v>
      </c>
      <c r="L61" s="64">
        <v>21</v>
      </c>
      <c r="M61" s="64">
        <v>64.37</v>
      </c>
      <c r="N61" s="64">
        <v>394.7</v>
      </c>
      <c r="O61" s="64">
        <v>0</v>
      </c>
      <c r="P61" s="64">
        <v>0.49</v>
      </c>
      <c r="Q61" s="64">
        <v>8.2100000000000009</v>
      </c>
      <c r="R61" s="198"/>
      <c r="S61" s="198"/>
      <c r="T61" s="198"/>
      <c r="U61" s="198"/>
    </row>
    <row r="62" spans="1:21" s="12" customFormat="1" x14ac:dyDescent="0.25">
      <c r="A62" s="215" t="s">
        <v>2317</v>
      </c>
      <c r="B62" s="64">
        <v>11.3</v>
      </c>
      <c r="C62" s="64">
        <v>42.08</v>
      </c>
      <c r="D62" s="64">
        <v>29.67</v>
      </c>
      <c r="E62" s="64">
        <v>5.13</v>
      </c>
      <c r="F62" s="64">
        <v>3.51</v>
      </c>
      <c r="G62" s="64">
        <v>38.21</v>
      </c>
      <c r="H62" s="64">
        <v>11.3</v>
      </c>
      <c r="I62" s="64">
        <v>8.32</v>
      </c>
      <c r="J62" s="64">
        <v>3.43</v>
      </c>
      <c r="K62" s="64">
        <v>118.52</v>
      </c>
      <c r="L62" s="64">
        <v>20.74</v>
      </c>
      <c r="M62" s="64">
        <v>64.47</v>
      </c>
      <c r="N62" s="64">
        <v>316.89999999999998</v>
      </c>
      <c r="O62" s="64">
        <v>0</v>
      </c>
      <c r="P62" s="64">
        <v>0.51</v>
      </c>
      <c r="Q62" s="64">
        <v>8.2100000000000009</v>
      </c>
      <c r="R62" s="198"/>
      <c r="S62" s="198"/>
      <c r="T62" s="198"/>
      <c r="U62" s="198"/>
    </row>
    <row r="63" spans="1:21" s="12" customFormat="1" x14ac:dyDescent="0.25">
      <c r="A63" s="215" t="s">
        <v>2318</v>
      </c>
      <c r="B63" s="64">
        <v>10.119999999999999</v>
      </c>
      <c r="C63" s="64">
        <v>40.64</v>
      </c>
      <c r="D63" s="64">
        <v>27.97</v>
      </c>
      <c r="E63" s="64">
        <v>5.5</v>
      </c>
      <c r="F63" s="64">
        <v>3.69</v>
      </c>
      <c r="G63" s="64">
        <v>38.21</v>
      </c>
      <c r="H63" s="64">
        <v>11.3</v>
      </c>
      <c r="I63" s="64">
        <v>8.3699999999999992</v>
      </c>
      <c r="J63" s="64">
        <v>4.32</v>
      </c>
      <c r="K63" s="64">
        <v>113.49</v>
      </c>
      <c r="L63" s="64">
        <v>20.87</v>
      </c>
      <c r="M63" s="64">
        <v>63.69</v>
      </c>
      <c r="N63" s="64">
        <v>491.4</v>
      </c>
      <c r="O63" s="64">
        <v>0</v>
      </c>
      <c r="P63" s="64">
        <v>0.49</v>
      </c>
      <c r="Q63" s="64">
        <v>8.2100000000000009</v>
      </c>
      <c r="R63" s="198"/>
      <c r="S63" s="198"/>
      <c r="T63" s="198"/>
      <c r="U63" s="198"/>
    </row>
    <row r="64" spans="1:21" s="12" customFormat="1" x14ac:dyDescent="0.25">
      <c r="A64" s="215" t="s">
        <v>2319</v>
      </c>
      <c r="B64" s="64">
        <v>9.0500000000000007</v>
      </c>
      <c r="C64" s="64">
        <v>40.78</v>
      </c>
      <c r="D64" s="64">
        <v>27.19</v>
      </c>
      <c r="E64" s="64">
        <v>5.45</v>
      </c>
      <c r="F64" s="64">
        <v>3.81</v>
      </c>
      <c r="G64" s="64">
        <v>38.21</v>
      </c>
      <c r="H64" s="64">
        <v>11.3</v>
      </c>
      <c r="I64" s="64">
        <v>8.3699999999999992</v>
      </c>
      <c r="J64" s="64">
        <v>2.23</v>
      </c>
      <c r="K64" s="64">
        <v>101</v>
      </c>
      <c r="L64" s="64">
        <v>21.79</v>
      </c>
      <c r="M64" s="64">
        <v>59.5</v>
      </c>
      <c r="N64" s="64">
        <v>419.7</v>
      </c>
      <c r="O64" s="64">
        <v>0</v>
      </c>
      <c r="P64" s="64">
        <v>0.49</v>
      </c>
      <c r="Q64" s="64">
        <v>8.2100000000000009</v>
      </c>
      <c r="R64" s="198"/>
      <c r="S64" s="198"/>
      <c r="T64" s="198"/>
      <c r="U64" s="198"/>
    </row>
    <row r="65" spans="1:21" s="12" customFormat="1" x14ac:dyDescent="0.25">
      <c r="A65" s="215" t="s">
        <v>2320</v>
      </c>
      <c r="B65" s="64">
        <v>8.35</v>
      </c>
      <c r="C65" s="64">
        <v>42.13</v>
      </c>
      <c r="D65" s="64">
        <v>27.33</v>
      </c>
      <c r="E65" s="64">
        <v>5.19</v>
      </c>
      <c r="F65" s="64">
        <v>3.45</v>
      </c>
      <c r="G65" s="64">
        <v>37.520000000000003</v>
      </c>
      <c r="H65" s="64">
        <v>10.17</v>
      </c>
      <c r="I65" s="64">
        <v>8.4</v>
      </c>
      <c r="J65" s="64">
        <v>3.03</v>
      </c>
      <c r="K65" s="64">
        <v>114.02</v>
      </c>
      <c r="L65" s="64">
        <v>21.64</v>
      </c>
      <c r="M65" s="64">
        <v>59.57</v>
      </c>
      <c r="N65" s="64">
        <v>253.4</v>
      </c>
      <c r="O65" s="64">
        <v>0</v>
      </c>
      <c r="P65" s="64">
        <v>0.48</v>
      </c>
      <c r="Q65" s="64">
        <v>8.2100000000000009</v>
      </c>
      <c r="R65" s="198"/>
      <c r="S65" s="198"/>
      <c r="T65" s="198"/>
      <c r="U65" s="198"/>
    </row>
    <row r="66" spans="1:21" s="12" customFormat="1" x14ac:dyDescent="0.25">
      <c r="A66" s="215" t="s">
        <v>2321</v>
      </c>
      <c r="B66" s="64">
        <v>7.62</v>
      </c>
      <c r="C66" s="64">
        <v>42.35</v>
      </c>
      <c r="D66" s="64">
        <v>26.86</v>
      </c>
      <c r="E66" s="64">
        <v>5.21</v>
      </c>
      <c r="F66" s="64">
        <v>3.54</v>
      </c>
      <c r="G66" s="64">
        <v>35.72</v>
      </c>
      <c r="H66" s="64">
        <v>8.16</v>
      </c>
      <c r="I66" s="64">
        <v>8.3000000000000007</v>
      </c>
      <c r="J66" s="64">
        <v>2.98</v>
      </c>
      <c r="K66" s="64">
        <v>102.08</v>
      </c>
      <c r="L66" s="64">
        <v>21.57</v>
      </c>
      <c r="M66" s="64">
        <v>59.37</v>
      </c>
      <c r="N66" s="64">
        <v>198.2</v>
      </c>
      <c r="O66" s="64">
        <v>0</v>
      </c>
      <c r="P66" s="64">
        <v>0.47</v>
      </c>
      <c r="Q66" s="64">
        <v>8.2100000000000009</v>
      </c>
      <c r="R66" s="198"/>
      <c r="S66" s="198"/>
      <c r="T66" s="198"/>
      <c r="U66" s="198"/>
    </row>
    <row r="67" spans="1:21" s="12" customFormat="1" x14ac:dyDescent="0.25">
      <c r="A67" s="215" t="s">
        <v>2322</v>
      </c>
      <c r="B67" s="64">
        <v>6.97</v>
      </c>
      <c r="C67" s="64">
        <v>43.09</v>
      </c>
      <c r="D67" s="64">
        <v>26.72</v>
      </c>
      <c r="E67" s="64">
        <v>5.2</v>
      </c>
      <c r="F67" s="64">
        <v>3.64</v>
      </c>
      <c r="G67" s="64">
        <v>35.72</v>
      </c>
      <c r="H67" s="64">
        <v>8.16</v>
      </c>
      <c r="I67" s="64">
        <v>8.19</v>
      </c>
      <c r="J67" s="64">
        <v>3.25</v>
      </c>
      <c r="K67" s="64">
        <v>123.3</v>
      </c>
      <c r="L67" s="64">
        <v>21.54</v>
      </c>
      <c r="M67" s="64">
        <v>59.99</v>
      </c>
      <c r="N67" s="64">
        <v>206.8</v>
      </c>
      <c r="O67" s="64">
        <v>0</v>
      </c>
      <c r="P67" s="64">
        <v>0.45</v>
      </c>
      <c r="Q67" s="64">
        <v>8.2100000000000009</v>
      </c>
      <c r="R67" s="198"/>
      <c r="S67" s="198"/>
      <c r="T67" s="198"/>
      <c r="U67" s="198"/>
    </row>
    <row r="68" spans="1:21" s="12" customFormat="1" x14ac:dyDescent="0.25">
      <c r="A68" s="215" t="s">
        <v>2323</v>
      </c>
      <c r="B68" s="64">
        <v>6.49</v>
      </c>
      <c r="C68" s="64">
        <v>41.34</v>
      </c>
      <c r="D68" s="64">
        <v>25.43</v>
      </c>
      <c r="E68" s="64">
        <v>5</v>
      </c>
      <c r="F68" s="64">
        <v>3.82</v>
      </c>
      <c r="G68" s="64">
        <v>35.72</v>
      </c>
      <c r="H68" s="64">
        <v>8.16</v>
      </c>
      <c r="I68" s="64">
        <v>8.2200000000000006</v>
      </c>
      <c r="J68" s="64">
        <v>2.89</v>
      </c>
      <c r="K68" s="64">
        <v>99.38</v>
      </c>
      <c r="L68" s="64">
        <v>21.53</v>
      </c>
      <c r="M68" s="64">
        <v>60.18</v>
      </c>
      <c r="N68" s="64">
        <v>190.2</v>
      </c>
      <c r="O68" s="64">
        <v>0</v>
      </c>
      <c r="P68" s="64">
        <v>0.45</v>
      </c>
      <c r="Q68" s="64">
        <v>8.2100000000000009</v>
      </c>
      <c r="R68" s="198"/>
      <c r="S68" s="198"/>
      <c r="T68" s="198"/>
      <c r="U68" s="198"/>
    </row>
    <row r="69" spans="1:21" s="12" customFormat="1" x14ac:dyDescent="0.25">
      <c r="A69" s="215" t="s">
        <v>2324</v>
      </c>
      <c r="B69" s="64">
        <v>6.16</v>
      </c>
      <c r="C69" s="64">
        <v>42.29</v>
      </c>
      <c r="D69" s="64">
        <v>25.66</v>
      </c>
      <c r="E69" s="64">
        <v>5.26</v>
      </c>
      <c r="F69" s="64">
        <v>3.79</v>
      </c>
      <c r="G69" s="64">
        <v>35.4</v>
      </c>
      <c r="H69" s="64">
        <v>8.98</v>
      </c>
      <c r="I69" s="64">
        <v>7.16</v>
      </c>
      <c r="J69" s="64">
        <v>3.7</v>
      </c>
      <c r="K69" s="64">
        <v>118.7</v>
      </c>
      <c r="L69" s="64">
        <v>21.17</v>
      </c>
      <c r="M69" s="64">
        <v>59.36</v>
      </c>
      <c r="N69" s="64">
        <v>150.30000000000001</v>
      </c>
      <c r="O69" s="64">
        <v>0</v>
      </c>
      <c r="P69" s="64">
        <v>0.44</v>
      </c>
      <c r="Q69" s="64">
        <v>8.2100000000000009</v>
      </c>
      <c r="R69" s="198"/>
      <c r="S69" s="198"/>
      <c r="T69" s="198"/>
      <c r="U69" s="198"/>
    </row>
    <row r="70" spans="1:21" s="12" customFormat="1" x14ac:dyDescent="0.25">
      <c r="A70" s="215" t="s">
        <v>2325</v>
      </c>
      <c r="B70" s="64">
        <v>5.99</v>
      </c>
      <c r="C70" s="64">
        <v>42.63</v>
      </c>
      <c r="D70" s="64">
        <v>25.69</v>
      </c>
      <c r="E70" s="64">
        <v>5.31</v>
      </c>
      <c r="F70" s="64">
        <v>4.1100000000000003</v>
      </c>
      <c r="G70" s="64">
        <v>34.57</v>
      </c>
      <c r="H70" s="64">
        <v>10.44</v>
      </c>
      <c r="I70" s="64">
        <v>6.4</v>
      </c>
      <c r="J70" s="64">
        <v>2.8</v>
      </c>
      <c r="K70" s="64">
        <v>105.89</v>
      </c>
      <c r="L70" s="64">
        <v>21.09</v>
      </c>
      <c r="M70" s="64">
        <v>60.55</v>
      </c>
      <c r="N70" s="64">
        <v>149.9</v>
      </c>
      <c r="O70" s="64">
        <v>0</v>
      </c>
      <c r="P70" s="64">
        <v>0.47</v>
      </c>
      <c r="Q70" s="64">
        <v>8.2100000000000009</v>
      </c>
      <c r="R70" s="198"/>
      <c r="S70" s="198"/>
      <c r="T70" s="198"/>
      <c r="U70" s="198"/>
    </row>
    <row r="71" spans="1:21" s="12" customFormat="1" x14ac:dyDescent="0.25">
      <c r="A71" s="215" t="s">
        <v>2326</v>
      </c>
      <c r="B71" s="64">
        <v>5.88</v>
      </c>
      <c r="C71" s="64">
        <v>42.37</v>
      </c>
      <c r="D71" s="64">
        <v>25.48</v>
      </c>
      <c r="E71" s="64">
        <v>5.33</v>
      </c>
      <c r="F71" s="64">
        <v>4.3899999999999997</v>
      </c>
      <c r="G71" s="64">
        <v>34.57</v>
      </c>
      <c r="H71" s="64">
        <v>10.44</v>
      </c>
      <c r="I71" s="64">
        <v>5.72</v>
      </c>
      <c r="J71" s="64">
        <v>1.35</v>
      </c>
      <c r="K71" s="64">
        <v>68.66</v>
      </c>
      <c r="L71" s="64">
        <v>21.04</v>
      </c>
      <c r="M71" s="64">
        <v>61.65</v>
      </c>
      <c r="N71" s="64">
        <v>143.6</v>
      </c>
      <c r="O71" s="64">
        <v>0</v>
      </c>
      <c r="P71" s="64">
        <v>0.46</v>
      </c>
      <c r="Q71" s="64">
        <v>8.2100000000000009</v>
      </c>
      <c r="R71" s="198"/>
      <c r="S71" s="198"/>
      <c r="T71" s="198"/>
      <c r="U71" s="198"/>
    </row>
    <row r="72" spans="1:21" s="12" customFormat="1" x14ac:dyDescent="0.25">
      <c r="A72" s="215" t="s">
        <v>2327</v>
      </c>
      <c r="B72" s="64">
        <v>6.03</v>
      </c>
      <c r="C72" s="64">
        <v>42.06</v>
      </c>
      <c r="D72" s="64">
        <v>25.43</v>
      </c>
      <c r="E72" s="64">
        <v>4.75</v>
      </c>
      <c r="F72" s="64">
        <v>3.8</v>
      </c>
      <c r="G72" s="64">
        <v>34.57</v>
      </c>
      <c r="H72" s="64">
        <v>10.44</v>
      </c>
      <c r="I72" s="64">
        <v>6.37</v>
      </c>
      <c r="J72" s="64">
        <v>2.06</v>
      </c>
      <c r="K72" s="64">
        <v>102.02</v>
      </c>
      <c r="L72" s="64">
        <v>20.82</v>
      </c>
      <c r="M72" s="64">
        <v>62.15</v>
      </c>
      <c r="N72" s="64">
        <v>113</v>
      </c>
      <c r="O72" s="64">
        <v>0</v>
      </c>
      <c r="P72" s="64">
        <v>0.45</v>
      </c>
      <c r="Q72" s="64">
        <v>8.2100000000000009</v>
      </c>
      <c r="R72" s="198"/>
      <c r="S72" s="198"/>
      <c r="T72" s="198"/>
      <c r="U72" s="198"/>
    </row>
    <row r="73" spans="1:21" s="12" customFormat="1" x14ac:dyDescent="0.25">
      <c r="A73" s="215" t="s">
        <v>2328</v>
      </c>
      <c r="B73" s="64">
        <v>6.07</v>
      </c>
      <c r="C73" s="64">
        <v>41.79</v>
      </c>
      <c r="D73" s="64">
        <v>25.33</v>
      </c>
      <c r="E73" s="64">
        <v>4.6500000000000004</v>
      </c>
      <c r="F73" s="64">
        <v>3.65</v>
      </c>
      <c r="G73" s="64">
        <v>35.08</v>
      </c>
      <c r="H73" s="64">
        <v>11.44</v>
      </c>
      <c r="I73" s="64">
        <v>6.43</v>
      </c>
      <c r="J73" s="64">
        <v>2.93</v>
      </c>
      <c r="K73" s="64">
        <v>110.7</v>
      </c>
      <c r="L73" s="64">
        <v>20.399999999999999</v>
      </c>
      <c r="M73" s="64">
        <v>63.39</v>
      </c>
      <c r="N73" s="64">
        <v>96.2</v>
      </c>
      <c r="O73" s="64">
        <v>0</v>
      </c>
      <c r="P73" s="64">
        <v>0.45</v>
      </c>
      <c r="Q73" s="64">
        <v>8.2100000000000009</v>
      </c>
      <c r="R73" s="198"/>
      <c r="S73" s="198"/>
      <c r="T73" s="198"/>
      <c r="U73" s="198"/>
    </row>
    <row r="74" spans="1:21" s="12" customFormat="1" x14ac:dyDescent="0.25">
      <c r="A74" s="215" t="s">
        <v>2329</v>
      </c>
      <c r="B74" s="64">
        <v>6.14</v>
      </c>
      <c r="C74" s="64">
        <v>42.17</v>
      </c>
      <c r="D74" s="64">
        <v>25.58</v>
      </c>
      <c r="E74" s="64">
        <v>5.05</v>
      </c>
      <c r="F74" s="64">
        <v>3.94</v>
      </c>
      <c r="G74" s="64">
        <v>36.39</v>
      </c>
      <c r="H74" s="64">
        <v>13.22</v>
      </c>
      <c r="I74" s="64">
        <v>6</v>
      </c>
      <c r="J74" s="64">
        <v>2.36</v>
      </c>
      <c r="K74" s="64">
        <v>88.23</v>
      </c>
      <c r="L74" s="64">
        <v>20.239999999999998</v>
      </c>
      <c r="M74" s="64">
        <v>63.29</v>
      </c>
      <c r="N74" s="64">
        <v>78.3</v>
      </c>
      <c r="O74" s="64">
        <v>0</v>
      </c>
      <c r="P74" s="64">
        <v>0.48</v>
      </c>
      <c r="Q74" s="64">
        <v>8.2100000000000009</v>
      </c>
      <c r="R74" s="198"/>
      <c r="S74" s="198"/>
      <c r="T74" s="198"/>
      <c r="U74" s="198"/>
    </row>
    <row r="75" spans="1:21" s="12" customFormat="1" x14ac:dyDescent="0.25">
      <c r="A75" s="215" t="s">
        <v>2330</v>
      </c>
      <c r="B75" s="64">
        <v>6.18</v>
      </c>
      <c r="C75" s="64">
        <v>41.19</v>
      </c>
      <c r="D75" s="64">
        <v>25.1</v>
      </c>
      <c r="E75" s="64">
        <v>4.9000000000000004</v>
      </c>
      <c r="F75" s="64">
        <v>4.3499999999999996</v>
      </c>
      <c r="G75" s="64">
        <v>36.39</v>
      </c>
      <c r="H75" s="64">
        <v>13.22</v>
      </c>
      <c r="I75" s="64">
        <v>5.81</v>
      </c>
      <c r="J75" s="64">
        <v>0.66</v>
      </c>
      <c r="K75" s="64">
        <v>54.16</v>
      </c>
      <c r="L75" s="64">
        <v>20.04</v>
      </c>
      <c r="M75" s="64">
        <v>66.56</v>
      </c>
      <c r="N75" s="64">
        <v>74.900000000000006</v>
      </c>
      <c r="O75" s="64">
        <v>0</v>
      </c>
      <c r="P75" s="64">
        <v>0.45</v>
      </c>
      <c r="Q75" s="64">
        <v>8.2100000000000009</v>
      </c>
      <c r="R75" s="198"/>
      <c r="S75" s="198"/>
      <c r="T75" s="198"/>
      <c r="U75" s="198"/>
    </row>
    <row r="76" spans="1:21" s="12" customFormat="1" x14ac:dyDescent="0.25">
      <c r="A76" s="215" t="s">
        <v>2331</v>
      </c>
      <c r="B76" s="64">
        <v>6.42</v>
      </c>
      <c r="C76" s="64">
        <v>41.92</v>
      </c>
      <c r="D76" s="64">
        <v>25.67</v>
      </c>
      <c r="E76" s="64">
        <v>4.9400000000000004</v>
      </c>
      <c r="F76" s="64">
        <v>4.3899999999999997</v>
      </c>
      <c r="G76" s="64">
        <v>36.39</v>
      </c>
      <c r="H76" s="64">
        <v>13.22</v>
      </c>
      <c r="I76" s="64">
        <v>6.73</v>
      </c>
      <c r="J76" s="64">
        <v>3.53</v>
      </c>
      <c r="K76" s="64">
        <v>106</v>
      </c>
      <c r="L76" s="64">
        <v>19.71</v>
      </c>
      <c r="M76" s="64">
        <v>68.180000000000007</v>
      </c>
      <c r="N76" s="64">
        <v>65.400000000000006</v>
      </c>
      <c r="O76" s="64">
        <v>0</v>
      </c>
      <c r="P76" s="64">
        <v>0.46</v>
      </c>
      <c r="Q76" s="64">
        <v>8.2100000000000009</v>
      </c>
      <c r="R76" s="198"/>
      <c r="S76" s="198"/>
      <c r="T76" s="198"/>
      <c r="U76" s="198"/>
    </row>
    <row r="77" spans="1:21" s="12" customFormat="1" x14ac:dyDescent="0.25">
      <c r="A77" s="215" t="s">
        <v>2332</v>
      </c>
      <c r="B77" s="64">
        <v>6.17</v>
      </c>
      <c r="C77" s="64">
        <v>42.37</v>
      </c>
      <c r="D77" s="64">
        <v>25.71</v>
      </c>
      <c r="E77" s="64">
        <v>4.87</v>
      </c>
      <c r="F77" s="64">
        <v>4.3</v>
      </c>
      <c r="G77" s="64">
        <v>37.21</v>
      </c>
      <c r="H77" s="64">
        <v>13.74</v>
      </c>
      <c r="I77" s="64">
        <v>8.1300000000000008</v>
      </c>
      <c r="J77" s="64">
        <v>2.69</v>
      </c>
      <c r="K77" s="64">
        <v>101.32</v>
      </c>
      <c r="L77" s="64">
        <v>19.36</v>
      </c>
      <c r="M77" s="64">
        <v>69.84</v>
      </c>
      <c r="N77" s="64">
        <v>52.1</v>
      </c>
      <c r="O77" s="64">
        <v>0</v>
      </c>
      <c r="P77" s="64">
        <v>0.47</v>
      </c>
      <c r="Q77" s="64">
        <v>8.2100000000000009</v>
      </c>
      <c r="R77" s="198"/>
      <c r="S77" s="198"/>
      <c r="T77" s="198"/>
      <c r="U77" s="198"/>
    </row>
    <row r="78" spans="1:21" s="12" customFormat="1" x14ac:dyDescent="0.25">
      <c r="A78" s="215" t="s">
        <v>2333</v>
      </c>
      <c r="B78" s="64">
        <v>5.76</v>
      </c>
      <c r="C78" s="64">
        <v>42.95</v>
      </c>
      <c r="D78" s="64">
        <v>25.68</v>
      </c>
      <c r="E78" s="64">
        <v>5.0599999999999996</v>
      </c>
      <c r="F78" s="64">
        <v>4.1900000000000004</v>
      </c>
      <c r="G78" s="64">
        <v>39.340000000000003</v>
      </c>
      <c r="H78" s="64">
        <v>16</v>
      </c>
      <c r="I78" s="64">
        <v>8.2100000000000009</v>
      </c>
      <c r="J78" s="64">
        <v>2.86</v>
      </c>
      <c r="K78" s="64">
        <v>104.12</v>
      </c>
      <c r="L78" s="64">
        <v>19.02</v>
      </c>
      <c r="M78" s="64">
        <v>71.650000000000006</v>
      </c>
      <c r="N78" s="64">
        <v>45.2</v>
      </c>
      <c r="O78" s="64">
        <v>0</v>
      </c>
      <c r="P78" s="64">
        <v>0.47</v>
      </c>
      <c r="Q78" s="64">
        <v>8.2100000000000009</v>
      </c>
      <c r="R78" s="198"/>
      <c r="S78" s="198"/>
      <c r="T78" s="198"/>
      <c r="U78" s="198"/>
    </row>
    <row r="79" spans="1:21" s="12" customFormat="1" x14ac:dyDescent="0.25">
      <c r="A79" s="215" t="s">
        <v>2334</v>
      </c>
      <c r="B79" s="64">
        <v>5.41</v>
      </c>
      <c r="C79" s="64">
        <v>43.48</v>
      </c>
      <c r="D79" s="64">
        <v>25.68</v>
      </c>
      <c r="E79" s="64">
        <v>4.54</v>
      </c>
      <c r="F79" s="64">
        <v>3.91</v>
      </c>
      <c r="G79" s="64">
        <v>39.340000000000003</v>
      </c>
      <c r="H79" s="64">
        <v>16</v>
      </c>
      <c r="I79" s="64">
        <v>8.3000000000000007</v>
      </c>
      <c r="J79" s="64">
        <v>2.63</v>
      </c>
      <c r="K79" s="64">
        <v>103.15</v>
      </c>
      <c r="L79" s="64">
        <v>18.71</v>
      </c>
      <c r="M79" s="64">
        <v>74.08</v>
      </c>
      <c r="N79" s="64">
        <v>47.8</v>
      </c>
      <c r="O79" s="64">
        <v>0</v>
      </c>
      <c r="P79" s="64">
        <v>0.48</v>
      </c>
      <c r="Q79" s="64">
        <v>8.2100000000000009</v>
      </c>
      <c r="R79" s="198"/>
      <c r="S79" s="198"/>
      <c r="T79" s="198"/>
      <c r="U79" s="198"/>
    </row>
    <row r="80" spans="1:21" s="12" customFormat="1" x14ac:dyDescent="0.25">
      <c r="A80" s="215" t="s">
        <v>2335</v>
      </c>
      <c r="B80" s="64">
        <v>5.44</v>
      </c>
      <c r="C80" s="64">
        <v>43.5</v>
      </c>
      <c r="D80" s="64">
        <v>25.71</v>
      </c>
      <c r="E80" s="64">
        <v>4.7699999999999996</v>
      </c>
      <c r="F80" s="64">
        <v>3.81</v>
      </c>
      <c r="G80" s="64">
        <v>39.340000000000003</v>
      </c>
      <c r="H80" s="64">
        <v>16</v>
      </c>
      <c r="I80" s="64">
        <v>8.1300000000000008</v>
      </c>
      <c r="J80" s="64">
        <v>1.95</v>
      </c>
      <c r="K80" s="64">
        <v>91.98</v>
      </c>
      <c r="L80" s="64">
        <v>18.399999999999999</v>
      </c>
      <c r="M80" s="64">
        <v>76.42</v>
      </c>
      <c r="N80" s="64">
        <v>47.2</v>
      </c>
      <c r="O80" s="64">
        <v>0</v>
      </c>
      <c r="P80" s="64">
        <v>0.49</v>
      </c>
      <c r="Q80" s="64">
        <v>8.2100000000000009</v>
      </c>
      <c r="R80" s="198"/>
      <c r="S80" s="198"/>
      <c r="T80" s="198"/>
      <c r="U80" s="198"/>
    </row>
    <row r="81" spans="1:26" s="12" customFormat="1" x14ac:dyDescent="0.25">
      <c r="A81" s="215" t="s">
        <v>2336</v>
      </c>
      <c r="B81" s="64">
        <v>5.48</v>
      </c>
      <c r="C81" s="64">
        <v>43.98</v>
      </c>
      <c r="D81" s="64">
        <v>25.99</v>
      </c>
      <c r="E81" s="64">
        <v>4.88</v>
      </c>
      <c r="F81" s="64">
        <v>4.1100000000000003</v>
      </c>
      <c r="G81" s="64">
        <v>41.67</v>
      </c>
      <c r="H81" s="64">
        <v>15.79</v>
      </c>
      <c r="I81" s="64">
        <v>8.0500000000000007</v>
      </c>
      <c r="J81" s="64">
        <v>2.2200000000000002</v>
      </c>
      <c r="K81" s="64">
        <v>103.7</v>
      </c>
      <c r="L81" s="64">
        <v>18.149999999999999</v>
      </c>
      <c r="M81" s="64">
        <v>77.349999999999994</v>
      </c>
      <c r="N81" s="64">
        <v>45.7</v>
      </c>
      <c r="O81" s="64">
        <v>0</v>
      </c>
      <c r="P81" s="64">
        <v>0.51</v>
      </c>
      <c r="Q81" s="64">
        <v>8.2100000000000009</v>
      </c>
      <c r="R81" s="198"/>
      <c r="S81" s="198"/>
      <c r="T81" s="198"/>
      <c r="U81" s="198"/>
    </row>
    <row r="82" spans="1:26" s="12" customFormat="1" x14ac:dyDescent="0.25">
      <c r="A82" s="215" t="s">
        <v>2337</v>
      </c>
      <c r="B82" s="64">
        <v>5.71</v>
      </c>
      <c r="C82" s="64">
        <v>44.29</v>
      </c>
      <c r="D82" s="64">
        <v>26.35</v>
      </c>
      <c r="E82" s="64">
        <v>5.21</v>
      </c>
      <c r="F82" s="64">
        <v>3.97</v>
      </c>
      <c r="G82" s="64">
        <v>47.72</v>
      </c>
      <c r="H82" s="64">
        <v>15.43</v>
      </c>
      <c r="I82" s="64">
        <v>8.1</v>
      </c>
      <c r="J82" s="64">
        <v>1.99</v>
      </c>
      <c r="K82" s="64">
        <v>91.45</v>
      </c>
      <c r="L82" s="64">
        <v>17.920000000000002</v>
      </c>
      <c r="M82" s="64">
        <v>78.400000000000006</v>
      </c>
      <c r="N82" s="64">
        <v>45</v>
      </c>
      <c r="O82" s="64">
        <v>0</v>
      </c>
      <c r="P82" s="64">
        <v>0.52</v>
      </c>
      <c r="Q82" s="64">
        <v>8.2100000000000009</v>
      </c>
      <c r="R82" s="198"/>
      <c r="S82" s="198"/>
      <c r="T82" s="198"/>
      <c r="U82" s="198"/>
    </row>
    <row r="83" spans="1:26" s="12" customFormat="1" x14ac:dyDescent="0.25">
      <c r="A83" s="215" t="s">
        <v>2338</v>
      </c>
      <c r="B83" s="64">
        <v>6.01</v>
      </c>
      <c r="C83" s="64">
        <v>44.11</v>
      </c>
      <c r="D83" s="64">
        <v>26.49</v>
      </c>
      <c r="E83" s="64">
        <v>5.09</v>
      </c>
      <c r="F83" s="64">
        <v>3.6</v>
      </c>
      <c r="G83" s="64">
        <v>47.72</v>
      </c>
      <c r="H83" s="64">
        <v>15.43</v>
      </c>
      <c r="I83" s="64">
        <v>7.9</v>
      </c>
      <c r="J83" s="64">
        <v>1.93</v>
      </c>
      <c r="K83" s="64">
        <v>104.75</v>
      </c>
      <c r="L83" s="64">
        <v>17.79</v>
      </c>
      <c r="M83" s="64">
        <v>79.08</v>
      </c>
      <c r="N83" s="64">
        <v>44.8</v>
      </c>
      <c r="O83" s="64">
        <v>0</v>
      </c>
      <c r="P83" s="64">
        <v>0.54</v>
      </c>
      <c r="Q83" s="64">
        <v>8.2100000000000009</v>
      </c>
      <c r="R83" s="198"/>
      <c r="S83" s="198"/>
      <c r="T83" s="198"/>
      <c r="U83" s="198"/>
    </row>
    <row r="84" spans="1:26" s="12" customFormat="1" x14ac:dyDescent="0.25">
      <c r="A84" s="215" t="s">
        <v>2339</v>
      </c>
      <c r="B84" s="64">
        <v>6.35</v>
      </c>
      <c r="C84" s="64">
        <v>42.22</v>
      </c>
      <c r="D84" s="64">
        <v>25.77</v>
      </c>
      <c r="E84" s="64">
        <v>5.14</v>
      </c>
      <c r="F84" s="64">
        <v>3.13</v>
      </c>
      <c r="G84" s="64">
        <v>47.72</v>
      </c>
      <c r="H84" s="64">
        <v>15.43</v>
      </c>
      <c r="I84" s="64">
        <v>7.95</v>
      </c>
      <c r="J84" s="64">
        <v>1.37</v>
      </c>
      <c r="K84" s="64">
        <v>94.98</v>
      </c>
      <c r="L84" s="64">
        <v>17.649999999999999</v>
      </c>
      <c r="M84" s="64">
        <v>78.930000000000007</v>
      </c>
      <c r="N84" s="64">
        <v>45.2</v>
      </c>
      <c r="O84" s="64">
        <v>0</v>
      </c>
      <c r="P84" s="64">
        <v>0.65</v>
      </c>
      <c r="Q84" s="64">
        <v>8.2100000000000009</v>
      </c>
      <c r="R84" s="198"/>
      <c r="S84" s="198"/>
      <c r="T84" s="198"/>
      <c r="U84" s="198"/>
    </row>
    <row r="85" spans="1:26" s="12" customFormat="1" x14ac:dyDescent="0.25">
      <c r="A85" s="215" t="s">
        <v>2340</v>
      </c>
      <c r="B85" s="64">
        <v>6.96</v>
      </c>
      <c r="C85" s="64">
        <v>42.92</v>
      </c>
      <c r="D85" s="64">
        <v>26.63</v>
      </c>
      <c r="E85" s="64">
        <v>5.03</v>
      </c>
      <c r="F85" s="64">
        <v>3.63</v>
      </c>
      <c r="G85" s="64">
        <v>51.87</v>
      </c>
      <c r="H85" s="64">
        <v>16.36</v>
      </c>
      <c r="I85" s="64">
        <v>7.68</v>
      </c>
      <c r="J85" s="64">
        <v>1.71</v>
      </c>
      <c r="K85" s="64">
        <v>93.31</v>
      </c>
      <c r="L85" s="64">
        <v>17.48</v>
      </c>
      <c r="M85" s="64">
        <v>80.099999999999994</v>
      </c>
      <c r="N85" s="64">
        <v>46.2</v>
      </c>
      <c r="O85" s="64">
        <v>0</v>
      </c>
      <c r="P85" s="64">
        <v>0.57999999999999996</v>
      </c>
      <c r="Q85" s="64">
        <v>8.2100000000000009</v>
      </c>
      <c r="R85" s="198"/>
      <c r="S85" s="198"/>
      <c r="T85" s="198"/>
      <c r="U85" s="198"/>
    </row>
    <row r="86" spans="1:26" s="12" customFormat="1" x14ac:dyDescent="0.25">
      <c r="A86" s="215" t="s">
        <v>2341</v>
      </c>
      <c r="B86" s="64">
        <v>7.49</v>
      </c>
      <c r="C86" s="64">
        <v>43.21</v>
      </c>
      <c r="D86" s="64">
        <v>27.21</v>
      </c>
      <c r="E86" s="64">
        <v>5.1100000000000003</v>
      </c>
      <c r="F86" s="64">
        <v>4.3600000000000003</v>
      </c>
      <c r="G86" s="64">
        <v>62.65</v>
      </c>
      <c r="H86" s="64">
        <v>17.989999999999998</v>
      </c>
      <c r="I86" s="64">
        <v>6.53</v>
      </c>
      <c r="J86" s="64">
        <v>2.58</v>
      </c>
      <c r="K86" s="64">
        <v>107.49</v>
      </c>
      <c r="L86" s="64">
        <v>17.27</v>
      </c>
      <c r="M86" s="64">
        <v>80.28</v>
      </c>
      <c r="N86" s="64">
        <v>46.5</v>
      </c>
      <c r="O86" s="64">
        <v>0</v>
      </c>
      <c r="P86" s="64">
        <v>0.6</v>
      </c>
      <c r="Q86" s="64">
        <v>8.2100000000000009</v>
      </c>
      <c r="R86" s="198"/>
      <c r="S86" s="198"/>
      <c r="T86" s="198"/>
      <c r="U86" s="198"/>
    </row>
    <row r="87" spans="1:26" s="12" customFormat="1" x14ac:dyDescent="0.25">
      <c r="A87" s="215" t="s">
        <v>2342</v>
      </c>
      <c r="B87" s="64">
        <v>7.65</v>
      </c>
      <c r="C87" s="64">
        <v>43.36</v>
      </c>
      <c r="D87" s="64">
        <v>27.41</v>
      </c>
      <c r="E87" s="64">
        <v>5.38</v>
      </c>
      <c r="F87" s="64">
        <v>3.88</v>
      </c>
      <c r="G87" s="64">
        <v>62.65</v>
      </c>
      <c r="H87" s="64">
        <v>17.989999999999998</v>
      </c>
      <c r="I87" s="64">
        <v>6.53</v>
      </c>
      <c r="J87" s="64">
        <v>3.44</v>
      </c>
      <c r="K87" s="64">
        <v>106.58</v>
      </c>
      <c r="L87" s="64">
        <v>17.07</v>
      </c>
      <c r="M87" s="64">
        <v>80.61</v>
      </c>
      <c r="N87" s="64">
        <v>39.700000000000003</v>
      </c>
      <c r="O87" s="64">
        <v>0</v>
      </c>
      <c r="P87" s="64">
        <v>0.59</v>
      </c>
      <c r="Q87" s="64">
        <v>8.2100000000000009</v>
      </c>
      <c r="R87" s="198"/>
      <c r="S87" s="198"/>
      <c r="T87" s="198"/>
      <c r="U87" s="198"/>
    </row>
    <row r="88" spans="1:26" s="12" customFormat="1" x14ac:dyDescent="0.25">
      <c r="A88" s="215" t="s">
        <v>2343</v>
      </c>
      <c r="B88" s="64">
        <v>7.64</v>
      </c>
      <c r="C88" s="64">
        <v>42.91</v>
      </c>
      <c r="D88" s="64">
        <v>27.16</v>
      </c>
      <c r="E88" s="64">
        <v>4.9800000000000004</v>
      </c>
      <c r="F88" s="64">
        <v>3.93</v>
      </c>
      <c r="G88" s="64">
        <v>62.65</v>
      </c>
      <c r="H88" s="64">
        <v>17.989999999999998</v>
      </c>
      <c r="I88" s="64">
        <v>7.05</v>
      </c>
      <c r="J88" s="64">
        <v>3.36</v>
      </c>
      <c r="K88" s="64">
        <v>115.89</v>
      </c>
      <c r="L88" s="64">
        <v>16.88</v>
      </c>
      <c r="M88" s="64">
        <v>81.42</v>
      </c>
      <c r="N88" s="64">
        <v>42.6</v>
      </c>
      <c r="O88" s="64">
        <v>0</v>
      </c>
      <c r="P88" s="64">
        <v>0.59</v>
      </c>
      <c r="Q88" s="64">
        <v>8.2100000000000009</v>
      </c>
      <c r="R88" s="198"/>
      <c r="S88" s="198"/>
      <c r="T88" s="198"/>
      <c r="U88" s="198"/>
    </row>
    <row r="89" spans="1:26" s="12" customFormat="1" x14ac:dyDescent="0.25">
      <c r="A89" s="215" t="s">
        <v>2344</v>
      </c>
      <c r="B89" s="64">
        <v>7.51</v>
      </c>
      <c r="C89" s="64">
        <v>43.01</v>
      </c>
      <c r="D89" s="64">
        <v>27.11</v>
      </c>
      <c r="E89" s="64">
        <v>5.15</v>
      </c>
      <c r="F89" s="64">
        <v>3.52</v>
      </c>
      <c r="G89" s="64">
        <v>62.95</v>
      </c>
      <c r="H89" s="64">
        <v>19.97</v>
      </c>
      <c r="I89" s="64">
        <v>7.68</v>
      </c>
      <c r="J89" s="64">
        <v>2.74</v>
      </c>
      <c r="K89" s="64">
        <v>105.88</v>
      </c>
      <c r="L89" s="64">
        <v>16.690000000000001</v>
      </c>
      <c r="M89" s="64">
        <v>81.94</v>
      </c>
      <c r="N89" s="64">
        <v>46.9</v>
      </c>
      <c r="O89" s="64">
        <v>0</v>
      </c>
      <c r="P89" s="64">
        <v>0.62</v>
      </c>
      <c r="Q89" s="64">
        <v>8.2100000000000009</v>
      </c>
      <c r="R89" s="198"/>
      <c r="S89" s="198"/>
      <c r="T89" s="198"/>
      <c r="U89" s="198"/>
    </row>
    <row r="90" spans="1:26" s="12" customFormat="1" x14ac:dyDescent="0.25">
      <c r="A90" s="215" t="s">
        <v>2345</v>
      </c>
      <c r="B90" s="64">
        <v>7.37</v>
      </c>
      <c r="C90" s="64">
        <v>43.23</v>
      </c>
      <c r="D90" s="64">
        <v>27.12</v>
      </c>
      <c r="E90" s="64">
        <v>5.35</v>
      </c>
      <c r="F90" s="64">
        <v>4.1399999999999997</v>
      </c>
      <c r="G90" s="64">
        <v>63.71</v>
      </c>
      <c r="H90" s="64">
        <v>23.43</v>
      </c>
      <c r="I90" s="64">
        <v>7.42</v>
      </c>
      <c r="J90" s="64">
        <v>3.24</v>
      </c>
      <c r="K90" s="64">
        <v>113.08</v>
      </c>
      <c r="L90" s="64">
        <v>16.53</v>
      </c>
      <c r="M90" s="64">
        <v>82.82</v>
      </c>
      <c r="N90" s="64">
        <v>46.8</v>
      </c>
      <c r="O90" s="64">
        <v>0</v>
      </c>
      <c r="P90" s="64">
        <v>0.64</v>
      </c>
      <c r="Q90" s="64">
        <v>8.2100000000000009</v>
      </c>
      <c r="R90" s="198"/>
      <c r="S90" s="198"/>
      <c r="T90" s="198"/>
      <c r="U90" s="198"/>
    </row>
    <row r="91" spans="1:26" s="12" customFormat="1" x14ac:dyDescent="0.25">
      <c r="A91" s="215" t="s">
        <v>2346</v>
      </c>
      <c r="B91" s="64">
        <v>7.26</v>
      </c>
      <c r="C91" s="64">
        <v>43.92</v>
      </c>
      <c r="D91" s="64">
        <v>27.39</v>
      </c>
      <c r="E91" s="64">
        <v>5.63</v>
      </c>
      <c r="F91" s="64">
        <v>4.05</v>
      </c>
      <c r="G91" s="64">
        <v>63.71</v>
      </c>
      <c r="H91" s="64">
        <v>23.43</v>
      </c>
      <c r="I91" s="64">
        <v>7.4</v>
      </c>
      <c r="J91" s="64">
        <v>3.35</v>
      </c>
      <c r="K91" s="64">
        <v>109.51</v>
      </c>
      <c r="L91" s="64">
        <v>16.420000000000002</v>
      </c>
      <c r="M91" s="64">
        <v>83.42</v>
      </c>
      <c r="N91" s="64">
        <v>46.7</v>
      </c>
      <c r="O91" s="64">
        <v>0</v>
      </c>
      <c r="P91" s="64">
        <v>0.63</v>
      </c>
      <c r="Q91" s="64">
        <v>8.2100000000000009</v>
      </c>
      <c r="R91" s="198"/>
      <c r="S91" s="198"/>
      <c r="T91" s="198"/>
      <c r="U91" s="198"/>
    </row>
    <row r="92" spans="1:26" s="12" customFormat="1" x14ac:dyDescent="0.25">
      <c r="A92" s="215" t="s">
        <v>2347</v>
      </c>
      <c r="B92" s="64">
        <v>6.97</v>
      </c>
      <c r="C92" s="64">
        <v>47.29</v>
      </c>
      <c r="D92" s="64">
        <v>28.92</v>
      </c>
      <c r="E92" s="64">
        <v>5.65</v>
      </c>
      <c r="F92" s="64">
        <v>4.3600000000000003</v>
      </c>
      <c r="G92" s="64">
        <v>63.71</v>
      </c>
      <c r="H92" s="64">
        <v>23.43</v>
      </c>
      <c r="I92" s="64">
        <v>7.28</v>
      </c>
      <c r="J92" s="64">
        <v>3.24</v>
      </c>
      <c r="K92" s="64">
        <v>109.21</v>
      </c>
      <c r="L92" s="64">
        <v>16.29</v>
      </c>
      <c r="M92" s="64">
        <v>84.22</v>
      </c>
      <c r="N92" s="64">
        <v>46.7</v>
      </c>
      <c r="O92" s="64">
        <v>0</v>
      </c>
      <c r="P92" s="64">
        <v>0.63</v>
      </c>
      <c r="Q92" s="64">
        <v>8.2100000000000009</v>
      </c>
      <c r="R92" s="198"/>
      <c r="S92" s="198"/>
      <c r="T92" s="198"/>
      <c r="U92" s="198"/>
    </row>
    <row r="93" spans="1:26" s="12" customFormat="1" x14ac:dyDescent="0.25">
      <c r="A93" s="215" t="s">
        <v>2348</v>
      </c>
      <c r="B93" s="64">
        <v>6.46</v>
      </c>
      <c r="C93" s="64">
        <v>45.53</v>
      </c>
      <c r="D93" s="64">
        <v>27.59</v>
      </c>
      <c r="E93" s="64">
        <v>5.48</v>
      </c>
      <c r="F93" s="64">
        <v>4.47</v>
      </c>
      <c r="G93" s="64">
        <v>64.959999999999994</v>
      </c>
      <c r="H93" s="64">
        <v>24.61</v>
      </c>
      <c r="I93" s="64">
        <v>8.36</v>
      </c>
      <c r="J93" s="64">
        <v>3.24</v>
      </c>
      <c r="K93" s="64">
        <v>116.15</v>
      </c>
      <c r="L93" s="64">
        <v>16.23</v>
      </c>
      <c r="M93" s="64">
        <v>85.61</v>
      </c>
      <c r="N93" s="64">
        <v>41.6</v>
      </c>
      <c r="O93" s="64">
        <v>0</v>
      </c>
      <c r="P93" s="64">
        <v>0.64</v>
      </c>
      <c r="Q93" s="64">
        <v>8.2100000000000009</v>
      </c>
      <c r="R93" s="198"/>
      <c r="S93" s="198"/>
      <c r="T93" s="198"/>
      <c r="U93" s="198"/>
    </row>
    <row r="94" spans="1:26" s="12" customFormat="1" x14ac:dyDescent="0.25">
      <c r="A94" s="215" t="s">
        <v>2349</v>
      </c>
      <c r="B94" s="64">
        <v>6.08</v>
      </c>
      <c r="C94" s="64">
        <v>47.06</v>
      </c>
      <c r="D94" s="64">
        <v>28.09</v>
      </c>
      <c r="E94" s="64">
        <v>5.37</v>
      </c>
      <c r="F94" s="64">
        <v>4.2300000000000004</v>
      </c>
      <c r="G94" s="64">
        <v>68.209999999999994</v>
      </c>
      <c r="H94" s="64">
        <v>29.6</v>
      </c>
      <c r="I94" s="64">
        <v>8.57</v>
      </c>
      <c r="J94" s="64">
        <v>3.06</v>
      </c>
      <c r="K94" s="64">
        <v>114.78</v>
      </c>
      <c r="L94" s="64">
        <v>16.04</v>
      </c>
      <c r="M94" s="64">
        <v>87.74</v>
      </c>
      <c r="N94" s="64">
        <v>46.8</v>
      </c>
      <c r="O94" s="64">
        <v>0</v>
      </c>
      <c r="P94" s="64">
        <v>0.65</v>
      </c>
      <c r="Q94" s="64">
        <v>8.2100000000000009</v>
      </c>
      <c r="R94" s="198"/>
      <c r="S94" s="198"/>
      <c r="T94" s="198"/>
      <c r="U94" s="198"/>
    </row>
    <row r="95" spans="1:26" s="12" customFormat="1" x14ac:dyDescent="0.25">
      <c r="A95" s="215" t="s">
        <v>2350</v>
      </c>
      <c r="B95" s="64">
        <v>5.87</v>
      </c>
      <c r="C95" s="64">
        <v>46.53</v>
      </c>
      <c r="D95" s="64">
        <v>27.64</v>
      </c>
      <c r="E95" s="64">
        <v>5.68</v>
      </c>
      <c r="F95" s="64">
        <v>4.0999999999999996</v>
      </c>
      <c r="G95" s="64">
        <v>68.209999999999994</v>
      </c>
      <c r="H95" s="64">
        <v>29.6</v>
      </c>
      <c r="I95" s="64">
        <v>8.58</v>
      </c>
      <c r="J95" s="64">
        <v>2.4700000000000002</v>
      </c>
      <c r="K95" s="64">
        <v>116.63</v>
      </c>
      <c r="L95" s="64">
        <v>15.89</v>
      </c>
      <c r="M95" s="64">
        <v>89.31</v>
      </c>
      <c r="N95" s="64">
        <v>46.8</v>
      </c>
      <c r="O95" s="64">
        <v>0</v>
      </c>
      <c r="P95" s="64">
        <v>0.66</v>
      </c>
      <c r="Q95" s="64">
        <v>8.2100000000000009</v>
      </c>
      <c r="R95" s="198"/>
      <c r="S95" s="198"/>
      <c r="T95" s="198"/>
      <c r="U95" s="198"/>
    </row>
    <row r="96" spans="1:26" s="12" customFormat="1" x14ac:dyDescent="0.25">
      <c r="A96" s="215" t="s">
        <v>2351</v>
      </c>
      <c r="B96" s="64">
        <v>5.65</v>
      </c>
      <c r="C96" s="64">
        <v>46.14</v>
      </c>
      <c r="D96" s="64">
        <v>27.26</v>
      </c>
      <c r="E96" s="64">
        <v>5.8</v>
      </c>
      <c r="F96" s="64">
        <v>4.08</v>
      </c>
      <c r="G96" s="64">
        <v>68.209999999999994</v>
      </c>
      <c r="H96" s="64">
        <v>29.6</v>
      </c>
      <c r="I96" s="64">
        <v>8.6</v>
      </c>
      <c r="J96" s="64">
        <v>2.48</v>
      </c>
      <c r="K96" s="64">
        <v>107.71</v>
      </c>
      <c r="L96" s="64">
        <v>15.79</v>
      </c>
      <c r="M96" s="64">
        <v>90.34</v>
      </c>
      <c r="N96" s="64">
        <v>44.4</v>
      </c>
      <c r="O96" s="64">
        <v>0</v>
      </c>
      <c r="P96" s="64">
        <v>0.66</v>
      </c>
      <c r="Q96" s="64">
        <v>8.2100000000000009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2352</v>
      </c>
      <c r="B97" s="64">
        <v>5.47</v>
      </c>
      <c r="C97" s="64">
        <v>46.13</v>
      </c>
      <c r="D97" s="64">
        <v>27.11</v>
      </c>
      <c r="E97" s="64">
        <v>5.25</v>
      </c>
      <c r="F97" s="64">
        <v>3.78</v>
      </c>
      <c r="G97" s="64">
        <v>68.989999999999995</v>
      </c>
      <c r="H97" s="64">
        <v>29.35</v>
      </c>
      <c r="I97" s="64">
        <v>8.42</v>
      </c>
      <c r="J97" s="64">
        <v>3.45</v>
      </c>
      <c r="K97" s="64">
        <v>116.02</v>
      </c>
      <c r="L97" s="64">
        <v>15.84</v>
      </c>
      <c r="M97" s="64">
        <v>90.23</v>
      </c>
      <c r="N97" s="64">
        <v>44.8</v>
      </c>
      <c r="O97" s="64">
        <v>0</v>
      </c>
      <c r="P97" s="64">
        <v>0.67</v>
      </c>
      <c r="Q97" s="64">
        <v>8.2100000000000009</v>
      </c>
      <c r="R97" s="198"/>
      <c r="S97" s="198"/>
      <c r="T97" s="198"/>
      <c r="U97" s="198"/>
    </row>
    <row r="98" spans="1:33" s="12" customFormat="1" x14ac:dyDescent="0.25">
      <c r="A98" s="215" t="s">
        <v>2353</v>
      </c>
      <c r="B98" s="64">
        <v>5.33</v>
      </c>
      <c r="C98" s="64">
        <v>46.18</v>
      </c>
      <c r="D98" s="64">
        <v>27.03</v>
      </c>
      <c r="E98" s="64">
        <v>5.7</v>
      </c>
      <c r="F98" s="64">
        <v>3.86</v>
      </c>
      <c r="G98" s="64">
        <v>71.03</v>
      </c>
      <c r="H98" s="64">
        <v>28.91</v>
      </c>
      <c r="I98" s="64">
        <v>8.25</v>
      </c>
      <c r="J98" s="64">
        <v>4.12</v>
      </c>
      <c r="K98" s="64">
        <v>114.63</v>
      </c>
      <c r="L98" s="64">
        <v>15.76</v>
      </c>
      <c r="M98" s="64">
        <v>90.11</v>
      </c>
      <c r="N98" s="64">
        <v>46.6</v>
      </c>
      <c r="O98" s="64">
        <v>0</v>
      </c>
      <c r="P98" s="64">
        <v>0.67</v>
      </c>
      <c r="Q98" s="64">
        <v>8.2100000000000009</v>
      </c>
      <c r="R98" s="198"/>
      <c r="S98" s="198"/>
      <c r="T98" s="198"/>
      <c r="U98" s="198"/>
    </row>
    <row r="99" spans="1:33" s="12" customFormat="1" x14ac:dyDescent="0.25">
      <c r="A99" s="215" t="s">
        <v>2354</v>
      </c>
      <c r="B99" s="64">
        <v>5.14</v>
      </c>
      <c r="C99" s="64">
        <v>45.91</v>
      </c>
      <c r="D99" s="64">
        <v>26.73</v>
      </c>
      <c r="E99" s="64">
        <v>5.64</v>
      </c>
      <c r="F99" s="64">
        <v>3.97</v>
      </c>
      <c r="G99" s="64">
        <v>71.03</v>
      </c>
      <c r="H99" s="64">
        <v>28.91</v>
      </c>
      <c r="I99" s="64">
        <v>8.23</v>
      </c>
      <c r="J99" s="64">
        <v>3.7</v>
      </c>
      <c r="K99" s="64">
        <v>110.24</v>
      </c>
      <c r="L99" s="64">
        <v>15.75</v>
      </c>
      <c r="M99" s="64">
        <v>89.7</v>
      </c>
      <c r="N99" s="64">
        <v>46.6</v>
      </c>
      <c r="O99" s="64">
        <v>0</v>
      </c>
      <c r="P99" s="64">
        <v>0.66</v>
      </c>
      <c r="Q99" s="64">
        <v>8.2100000000000009</v>
      </c>
      <c r="R99" s="198"/>
      <c r="S99" s="198"/>
      <c r="T99" s="198"/>
      <c r="U99" s="198"/>
    </row>
    <row r="100" spans="1:33" s="12" customFormat="1" x14ac:dyDescent="0.25">
      <c r="A100" s="215" t="s">
        <v>2355</v>
      </c>
      <c r="B100" s="64">
        <v>5.01</v>
      </c>
      <c r="C100" s="64">
        <v>45.3</v>
      </c>
      <c r="D100" s="64">
        <v>26.31</v>
      </c>
      <c r="E100" s="64">
        <v>5.37</v>
      </c>
      <c r="F100" s="64">
        <v>3.91</v>
      </c>
      <c r="G100" s="64">
        <v>71.03</v>
      </c>
      <c r="H100" s="64">
        <v>28.91</v>
      </c>
      <c r="I100" s="64">
        <v>8.3800000000000008</v>
      </c>
      <c r="J100" s="64">
        <v>3.4</v>
      </c>
      <c r="K100" s="64">
        <v>107.79</v>
      </c>
      <c r="L100" s="64">
        <v>15.84</v>
      </c>
      <c r="M100" s="64">
        <v>88.5</v>
      </c>
      <c r="N100" s="64">
        <v>46.4</v>
      </c>
      <c r="O100" s="64">
        <v>0</v>
      </c>
      <c r="P100" s="64">
        <v>0.66</v>
      </c>
      <c r="Q100" s="64">
        <v>8.2100000000000009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2356</v>
      </c>
      <c r="B101" s="64">
        <v>4.92</v>
      </c>
      <c r="C101" s="64">
        <v>40.75</v>
      </c>
      <c r="D101" s="64">
        <v>23.86</v>
      </c>
      <c r="E101" s="64">
        <v>5.4</v>
      </c>
      <c r="F101" s="64">
        <v>4.29</v>
      </c>
      <c r="G101" s="64">
        <v>69.260000000000005</v>
      </c>
      <c r="H101" s="64">
        <v>30.13</v>
      </c>
      <c r="I101" s="64">
        <v>8.5500000000000007</v>
      </c>
      <c r="J101" s="64">
        <v>3.44</v>
      </c>
      <c r="K101" s="64">
        <v>110.32</v>
      </c>
      <c r="L101" s="64">
        <v>15.85</v>
      </c>
      <c r="M101" s="64">
        <v>88.03</v>
      </c>
      <c r="N101" s="64">
        <v>44.1</v>
      </c>
      <c r="O101" s="64">
        <v>0</v>
      </c>
      <c r="P101" s="64">
        <v>0.65</v>
      </c>
      <c r="Q101" s="64">
        <v>8.2100000000000009</v>
      </c>
      <c r="R101" s="198"/>
      <c r="S101" s="198"/>
      <c r="T101" s="198"/>
      <c r="U101" s="198"/>
    </row>
    <row r="102" spans="1:33" s="12" customFormat="1" x14ac:dyDescent="0.25">
      <c r="A102" s="215" t="s">
        <v>2357</v>
      </c>
      <c r="B102" s="64">
        <v>5.01</v>
      </c>
      <c r="C102" s="64">
        <v>41.06</v>
      </c>
      <c r="D102" s="64">
        <v>24.09</v>
      </c>
      <c r="E102" s="64">
        <v>5.53</v>
      </c>
      <c r="F102" s="64">
        <v>4.2</v>
      </c>
      <c r="G102" s="64">
        <v>64.64</v>
      </c>
      <c r="H102" s="64">
        <v>32.28</v>
      </c>
      <c r="I102" s="64">
        <v>8.5</v>
      </c>
      <c r="J102" s="64">
        <v>3.4</v>
      </c>
      <c r="K102" s="64">
        <v>108.25</v>
      </c>
      <c r="L102" s="64">
        <v>15.78</v>
      </c>
      <c r="M102" s="64">
        <v>88.06</v>
      </c>
      <c r="N102" s="64">
        <v>46.7</v>
      </c>
      <c r="O102" s="64">
        <v>0</v>
      </c>
      <c r="P102" s="64">
        <v>0.65</v>
      </c>
      <c r="Q102" s="64">
        <v>8.2100000000000009</v>
      </c>
      <c r="R102" s="198"/>
      <c r="S102" s="198"/>
      <c r="T102" s="198"/>
      <c r="U102" s="198"/>
    </row>
    <row r="103" spans="1:33" s="12" customFormat="1" x14ac:dyDescent="0.25">
      <c r="A103" s="215" t="s">
        <v>2358</v>
      </c>
      <c r="B103" s="64">
        <v>5.0599999999999996</v>
      </c>
      <c r="C103" s="64">
        <v>41.58</v>
      </c>
      <c r="D103" s="64">
        <v>24.41</v>
      </c>
      <c r="E103" s="64">
        <v>5.08</v>
      </c>
      <c r="F103" s="64">
        <v>3.7</v>
      </c>
      <c r="G103" s="64">
        <v>64.64</v>
      </c>
      <c r="H103" s="64">
        <v>32.28</v>
      </c>
      <c r="I103" s="64">
        <v>8.32</v>
      </c>
      <c r="J103" s="64">
        <v>4.2699999999999996</v>
      </c>
      <c r="K103" s="64">
        <v>111.09</v>
      </c>
      <c r="L103" s="64">
        <v>15.64</v>
      </c>
      <c r="M103" s="64">
        <v>88.63</v>
      </c>
      <c r="N103" s="64">
        <v>46.7</v>
      </c>
      <c r="O103" s="64">
        <v>0</v>
      </c>
      <c r="P103" s="64">
        <v>0.64</v>
      </c>
      <c r="Q103" s="64">
        <v>8.2100000000000009</v>
      </c>
      <c r="R103" s="198"/>
      <c r="S103" s="198"/>
      <c r="T103" s="198"/>
      <c r="U103" s="198"/>
    </row>
    <row r="104" spans="1:33" s="12" customFormat="1" x14ac:dyDescent="0.25">
      <c r="A104" s="215" t="s">
        <v>2359</v>
      </c>
      <c r="B104" s="64">
        <v>4.99</v>
      </c>
      <c r="C104" s="64">
        <v>41.01</v>
      </c>
      <c r="D104" s="64">
        <v>24.05</v>
      </c>
      <c r="E104" s="64">
        <v>6.6</v>
      </c>
      <c r="F104" s="64">
        <v>4.75</v>
      </c>
      <c r="G104" s="64">
        <v>64.64</v>
      </c>
      <c r="H104" s="64">
        <v>32.28</v>
      </c>
      <c r="I104" s="64">
        <v>8.61</v>
      </c>
      <c r="J104" s="64">
        <v>3.72</v>
      </c>
      <c r="K104" s="64">
        <v>109.21</v>
      </c>
      <c r="L104" s="64">
        <v>15.5</v>
      </c>
      <c r="M104" s="64">
        <v>89.84</v>
      </c>
      <c r="N104" s="64">
        <v>46.8</v>
      </c>
      <c r="O104" s="64">
        <v>0</v>
      </c>
      <c r="P104" s="64">
        <v>0.63</v>
      </c>
      <c r="Q104" s="64">
        <v>8.2100000000000009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4.92</v>
      </c>
      <c r="C106" s="67">
        <f>MIN(C9:C104)</f>
        <v>37.31</v>
      </c>
      <c r="D106" s="67">
        <f t="shared" ref="D106:Q106" si="0">MIN(D9:D104)</f>
        <v>23.86</v>
      </c>
      <c r="E106" s="67">
        <f t="shared" si="0"/>
        <v>4.54</v>
      </c>
      <c r="F106" s="67">
        <f t="shared" si="0"/>
        <v>3.12</v>
      </c>
      <c r="G106" s="67">
        <f t="shared" si="0"/>
        <v>34.06</v>
      </c>
      <c r="H106" s="67">
        <f t="shared" si="0"/>
        <v>8.09</v>
      </c>
      <c r="I106" s="67">
        <f t="shared" si="0"/>
        <v>5.5</v>
      </c>
      <c r="J106" s="67">
        <f t="shared" si="0"/>
        <v>0.26</v>
      </c>
      <c r="K106" s="67">
        <f t="shared" si="0"/>
        <v>6.97</v>
      </c>
      <c r="L106" s="67">
        <f t="shared" si="0"/>
        <v>14.12</v>
      </c>
      <c r="M106" s="67">
        <f t="shared" si="0"/>
        <v>59.36</v>
      </c>
      <c r="N106" s="67">
        <f t="shared" si="0"/>
        <v>39.700000000000003</v>
      </c>
      <c r="O106" s="67">
        <f t="shared" si="0"/>
        <v>0</v>
      </c>
      <c r="P106" s="67">
        <f t="shared" si="0"/>
        <v>0.44</v>
      </c>
      <c r="Q106" s="67">
        <f t="shared" si="0"/>
        <v>8.2100000000000009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25.13</v>
      </c>
      <c r="C107" s="66">
        <f t="shared" ref="C107:Q107" si="1">MAX(C9:C104)</f>
        <v>47.29</v>
      </c>
      <c r="D107" s="66">
        <f t="shared" si="1"/>
        <v>43.31</v>
      </c>
      <c r="E107" s="66">
        <f t="shared" si="1"/>
        <v>6.6</v>
      </c>
      <c r="F107" s="66">
        <f t="shared" si="1"/>
        <v>4.75</v>
      </c>
      <c r="G107" s="66">
        <f t="shared" si="1"/>
        <v>71.03</v>
      </c>
      <c r="H107" s="66">
        <f t="shared" si="1"/>
        <v>32.28</v>
      </c>
      <c r="I107" s="66">
        <f t="shared" si="1"/>
        <v>10.3</v>
      </c>
      <c r="J107" s="66">
        <f t="shared" si="1"/>
        <v>5.12</v>
      </c>
      <c r="K107" s="66">
        <f t="shared" si="1"/>
        <v>357.36</v>
      </c>
      <c r="L107" s="66">
        <f t="shared" si="1"/>
        <v>22.03</v>
      </c>
      <c r="M107" s="66">
        <f t="shared" si="1"/>
        <v>101.68</v>
      </c>
      <c r="N107" s="66">
        <f t="shared" si="1"/>
        <v>700.7</v>
      </c>
      <c r="O107" s="66">
        <f t="shared" si="1"/>
        <v>0</v>
      </c>
      <c r="P107" s="66">
        <f t="shared" si="1"/>
        <v>0.91</v>
      </c>
      <c r="Q107" s="66">
        <f t="shared" si="1"/>
        <v>8.3800000000000008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12.514479166666669</v>
      </c>
      <c r="C108" s="67">
        <f t="shared" ref="C108:Q108" si="2">AVERAGE(C9:C104)</f>
        <v>41.463750000000005</v>
      </c>
      <c r="D108" s="67">
        <f t="shared" si="2"/>
        <v>30.321979166666665</v>
      </c>
      <c r="E108" s="67">
        <f t="shared" si="2"/>
        <v>5.4358333333333322</v>
      </c>
      <c r="F108" s="67">
        <f t="shared" si="2"/>
        <v>3.832916666666669</v>
      </c>
      <c r="G108" s="67">
        <f t="shared" si="2"/>
        <v>47.333229166666662</v>
      </c>
      <c r="H108" s="67">
        <f t="shared" si="2"/>
        <v>17.911562500000006</v>
      </c>
      <c r="I108" s="67">
        <f t="shared" si="2"/>
        <v>7.6377083333333333</v>
      </c>
      <c r="J108" s="67">
        <f t="shared" si="2"/>
        <v>2.4845833333333345</v>
      </c>
      <c r="K108" s="67">
        <f t="shared" si="2"/>
        <v>139.49499999999998</v>
      </c>
      <c r="L108" s="67">
        <f t="shared" si="2"/>
        <v>17.316250000000004</v>
      </c>
      <c r="M108" s="67">
        <f t="shared" si="2"/>
        <v>84.595624999999998</v>
      </c>
      <c r="N108" s="67">
        <f t="shared" si="2"/>
        <v>160.11354166666669</v>
      </c>
      <c r="O108" s="67">
        <f t="shared" si="2"/>
        <v>0</v>
      </c>
      <c r="P108" s="67">
        <f t="shared" si="2"/>
        <v>0.60468749999999993</v>
      </c>
      <c r="Q108" s="67">
        <f t="shared" si="2"/>
        <v>8.2119791666666746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6.2370964685064836</v>
      </c>
      <c r="C109" s="67">
        <f t="shared" ref="C109:Q109" si="3">STDEV(C9:C104)</f>
        <v>2.5112602204345214</v>
      </c>
      <c r="D109" s="67">
        <f t="shared" si="3"/>
        <v>4.4148745275826702</v>
      </c>
      <c r="E109" s="67">
        <f t="shared" si="3"/>
        <v>0.39762629021062812</v>
      </c>
      <c r="F109" s="67">
        <f t="shared" si="3"/>
        <v>0.30035738946047047</v>
      </c>
      <c r="G109" s="67">
        <f t="shared" si="3"/>
        <v>11.096122840627624</v>
      </c>
      <c r="H109" s="67">
        <f t="shared" si="3"/>
        <v>6.1145225450518454</v>
      </c>
      <c r="I109" s="67">
        <f t="shared" si="3"/>
        <v>1.1727506839335915</v>
      </c>
      <c r="J109" s="67">
        <f t="shared" si="3"/>
        <v>1.1236499892073193</v>
      </c>
      <c r="K109" s="67">
        <f t="shared" si="3"/>
        <v>90.661231916578231</v>
      </c>
      <c r="L109" s="67">
        <f t="shared" si="3"/>
        <v>2.5976966517930165</v>
      </c>
      <c r="M109" s="67">
        <f t="shared" si="3"/>
        <v>15.157442834775052</v>
      </c>
      <c r="N109" s="67">
        <f t="shared" si="3"/>
        <v>182.37078922366211</v>
      </c>
      <c r="O109" s="67">
        <f t="shared" si="3"/>
        <v>0</v>
      </c>
      <c r="P109" s="67">
        <f t="shared" si="3"/>
        <v>9.3312752273427807E-2</v>
      </c>
      <c r="Q109" s="67">
        <f t="shared" si="3"/>
        <v>1.7448860114581854E-2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/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216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51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62" sqref="G6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247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23/12/2024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231</v>
      </c>
      <c r="C7" s="198" t="s">
        <v>232</v>
      </c>
      <c r="D7" s="198" t="s">
        <v>233</v>
      </c>
      <c r="E7" s="198" t="s">
        <v>234</v>
      </c>
      <c r="F7" s="198" t="s">
        <v>235</v>
      </c>
      <c r="G7" s="198" t="s">
        <v>236</v>
      </c>
      <c r="H7" s="198" t="s">
        <v>237</v>
      </c>
      <c r="I7" s="198" t="s">
        <v>238</v>
      </c>
      <c r="J7" s="198" t="s">
        <v>239</v>
      </c>
      <c r="K7" s="198" t="s">
        <v>240</v>
      </c>
      <c r="L7" s="198" t="s">
        <v>241</v>
      </c>
      <c r="M7" s="198" t="s">
        <v>242</v>
      </c>
      <c r="N7" s="198" t="s">
        <v>243</v>
      </c>
      <c r="O7" s="198" t="s">
        <v>244</v>
      </c>
      <c r="P7" s="198" t="s">
        <v>245</v>
      </c>
      <c r="Q7" s="198" t="s">
        <v>246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2360</v>
      </c>
      <c r="B9" s="64">
        <v>4.8899999999999997</v>
      </c>
      <c r="C9" s="64">
        <v>41.24</v>
      </c>
      <c r="D9" s="64">
        <v>24.1</v>
      </c>
      <c r="E9" s="64">
        <v>6.16</v>
      </c>
      <c r="F9" s="64">
        <v>3.95</v>
      </c>
      <c r="G9" s="64">
        <v>63.28</v>
      </c>
      <c r="H9" s="64">
        <v>31.19</v>
      </c>
      <c r="I9" s="64">
        <v>8.92</v>
      </c>
      <c r="J9" s="64">
        <v>3.76</v>
      </c>
      <c r="K9" s="64">
        <v>106.94</v>
      </c>
      <c r="L9" s="64">
        <v>15.38</v>
      </c>
      <c r="M9" s="64">
        <v>90.66</v>
      </c>
      <c r="N9" s="64">
        <v>46.7</v>
      </c>
      <c r="O9" s="64">
        <v>0</v>
      </c>
      <c r="P9" s="210" t="s">
        <v>36</v>
      </c>
      <c r="Q9" s="210" t="s">
        <v>36</v>
      </c>
      <c r="S9" s="198"/>
      <c r="T9" s="198"/>
      <c r="U9" s="198"/>
    </row>
    <row r="10" spans="1:21" s="12" customFormat="1" x14ac:dyDescent="0.25">
      <c r="A10" s="215" t="s">
        <v>2361</v>
      </c>
      <c r="B10" s="64">
        <v>4.83</v>
      </c>
      <c r="C10" s="64">
        <v>40.299999999999997</v>
      </c>
      <c r="D10" s="64">
        <v>23.55</v>
      </c>
      <c r="E10" s="64">
        <v>6.24</v>
      </c>
      <c r="F10" s="64">
        <v>4.01</v>
      </c>
      <c r="G10" s="64">
        <v>59.74</v>
      </c>
      <c r="H10" s="64">
        <v>29.23</v>
      </c>
      <c r="I10" s="64">
        <v>8.89</v>
      </c>
      <c r="J10" s="64">
        <v>3.44</v>
      </c>
      <c r="K10" s="64">
        <v>105.44</v>
      </c>
      <c r="L10" s="64">
        <v>15.27</v>
      </c>
      <c r="M10" s="64">
        <v>91.66</v>
      </c>
      <c r="N10" s="64">
        <v>46.7</v>
      </c>
      <c r="O10" s="64">
        <v>0</v>
      </c>
      <c r="P10" s="210" t="s">
        <v>36</v>
      </c>
      <c r="Q10" s="210" t="s">
        <v>36</v>
      </c>
      <c r="S10" s="198"/>
      <c r="T10" s="198"/>
      <c r="U10" s="198"/>
    </row>
    <row r="11" spans="1:21" s="12" customFormat="1" x14ac:dyDescent="0.25">
      <c r="A11" s="215" t="s">
        <v>2362</v>
      </c>
      <c r="B11" s="64">
        <v>4.8099999999999996</v>
      </c>
      <c r="C11" s="64">
        <v>40.47</v>
      </c>
      <c r="D11" s="64">
        <v>23.63</v>
      </c>
      <c r="E11" s="64">
        <v>6.22</v>
      </c>
      <c r="F11" s="64">
        <v>4.1399999999999997</v>
      </c>
      <c r="G11" s="64">
        <v>59.74</v>
      </c>
      <c r="H11" s="64">
        <v>29.23</v>
      </c>
      <c r="I11" s="64">
        <v>8.99</v>
      </c>
      <c r="J11" s="64">
        <v>2.88</v>
      </c>
      <c r="K11" s="64">
        <v>110.59</v>
      </c>
      <c r="L11" s="64">
        <v>15.16</v>
      </c>
      <c r="M11" s="64">
        <v>92.53</v>
      </c>
      <c r="N11" s="64">
        <v>46.7</v>
      </c>
      <c r="O11" s="64">
        <v>0</v>
      </c>
      <c r="P11" s="210" t="s">
        <v>36</v>
      </c>
      <c r="Q11" s="210" t="s">
        <v>36</v>
      </c>
      <c r="S11" s="198"/>
      <c r="T11" s="198"/>
      <c r="U11" s="198"/>
    </row>
    <row r="12" spans="1:21" s="12" customFormat="1" x14ac:dyDescent="0.25">
      <c r="A12" s="215" t="s">
        <v>2363</v>
      </c>
      <c r="B12" s="64">
        <v>4.8</v>
      </c>
      <c r="C12" s="64">
        <v>39.880000000000003</v>
      </c>
      <c r="D12" s="64">
        <v>23.31</v>
      </c>
      <c r="E12" s="64">
        <v>6.83</v>
      </c>
      <c r="F12" s="64">
        <v>4.1900000000000004</v>
      </c>
      <c r="G12" s="64">
        <v>59.74</v>
      </c>
      <c r="H12" s="64">
        <v>29.23</v>
      </c>
      <c r="I12" s="64">
        <v>9.19</v>
      </c>
      <c r="J12" s="64">
        <v>2.94</v>
      </c>
      <c r="K12" s="64">
        <v>96.38</v>
      </c>
      <c r="L12" s="64">
        <v>15.07</v>
      </c>
      <c r="M12" s="64">
        <v>92.76</v>
      </c>
      <c r="N12" s="64">
        <v>46.7</v>
      </c>
      <c r="O12" s="64">
        <v>0</v>
      </c>
      <c r="P12" s="210" t="s">
        <v>36</v>
      </c>
      <c r="Q12" s="210" t="s">
        <v>36</v>
      </c>
      <c r="S12" s="198"/>
      <c r="T12" s="198"/>
      <c r="U12" s="198"/>
    </row>
    <row r="13" spans="1:21" s="12" customFormat="1" x14ac:dyDescent="0.25">
      <c r="A13" s="215" t="s">
        <v>2364</v>
      </c>
      <c r="B13" s="64">
        <v>4.79</v>
      </c>
      <c r="C13" s="64">
        <v>41.88</v>
      </c>
      <c r="D13" s="64">
        <v>24.35</v>
      </c>
      <c r="E13" s="64">
        <v>6.49</v>
      </c>
      <c r="F13" s="64">
        <v>4.18</v>
      </c>
      <c r="G13" s="64">
        <v>58.84</v>
      </c>
      <c r="H13" s="64">
        <v>29.54</v>
      </c>
      <c r="I13" s="64">
        <v>9.0500000000000007</v>
      </c>
      <c r="J13" s="64">
        <v>2.86</v>
      </c>
      <c r="K13" s="64">
        <v>104.15</v>
      </c>
      <c r="L13" s="64">
        <v>14.9</v>
      </c>
      <c r="M13" s="64">
        <v>93.88</v>
      </c>
      <c r="N13" s="64">
        <v>46.8</v>
      </c>
      <c r="O13" s="64">
        <v>0</v>
      </c>
      <c r="P13" s="210" t="s">
        <v>36</v>
      </c>
      <c r="Q13" s="210" t="s">
        <v>36</v>
      </c>
      <c r="S13" s="198"/>
      <c r="T13" s="198"/>
      <c r="U13" s="198"/>
    </row>
    <row r="14" spans="1:21" s="12" customFormat="1" x14ac:dyDescent="0.25">
      <c r="A14" s="215" t="s">
        <v>2365</v>
      </c>
      <c r="B14" s="64">
        <v>4.75</v>
      </c>
      <c r="C14" s="64">
        <v>41.97</v>
      </c>
      <c r="D14" s="64">
        <v>24.36</v>
      </c>
      <c r="E14" s="64">
        <v>6.44</v>
      </c>
      <c r="F14" s="64">
        <v>4.46</v>
      </c>
      <c r="G14" s="64">
        <v>56.49</v>
      </c>
      <c r="H14" s="64">
        <v>30.86</v>
      </c>
      <c r="I14" s="64">
        <v>9.1300000000000008</v>
      </c>
      <c r="J14" s="64">
        <v>3.33</v>
      </c>
      <c r="K14" s="64">
        <v>98.18</v>
      </c>
      <c r="L14" s="64">
        <v>14.71</v>
      </c>
      <c r="M14" s="64">
        <v>95.23</v>
      </c>
      <c r="N14" s="64">
        <v>46.4</v>
      </c>
      <c r="O14" s="64">
        <v>0</v>
      </c>
      <c r="P14" s="210" t="s">
        <v>36</v>
      </c>
      <c r="Q14" s="210" t="s">
        <v>36</v>
      </c>
      <c r="S14" s="198"/>
      <c r="T14" s="198"/>
      <c r="U14" s="198"/>
    </row>
    <row r="15" spans="1:21" s="12" customFormat="1" x14ac:dyDescent="0.25">
      <c r="A15" s="215" t="s">
        <v>2366</v>
      </c>
      <c r="B15" s="64">
        <v>4.74</v>
      </c>
      <c r="C15" s="64">
        <v>41.4</v>
      </c>
      <c r="D15" s="64">
        <v>24.06</v>
      </c>
      <c r="E15" s="64">
        <v>6.3</v>
      </c>
      <c r="F15" s="64">
        <v>4.1500000000000004</v>
      </c>
      <c r="G15" s="64">
        <v>56.49</v>
      </c>
      <c r="H15" s="64">
        <v>30.86</v>
      </c>
      <c r="I15" s="64">
        <v>9.0500000000000007</v>
      </c>
      <c r="J15" s="64">
        <v>2.92</v>
      </c>
      <c r="K15" s="64">
        <v>100.97</v>
      </c>
      <c r="L15" s="64">
        <v>14.49</v>
      </c>
      <c r="M15" s="64">
        <v>96.7</v>
      </c>
      <c r="N15" s="64">
        <v>46.3</v>
      </c>
      <c r="O15" s="64">
        <v>0</v>
      </c>
      <c r="P15" s="210" t="s">
        <v>36</v>
      </c>
      <c r="Q15" s="210" t="s">
        <v>36</v>
      </c>
      <c r="S15" s="198"/>
      <c r="T15" s="198"/>
      <c r="U15" s="198"/>
    </row>
    <row r="16" spans="1:21" s="12" customFormat="1" x14ac:dyDescent="0.25">
      <c r="A16" s="215" t="s">
        <v>2367</v>
      </c>
      <c r="B16" s="64">
        <v>4.8</v>
      </c>
      <c r="C16" s="64">
        <v>41.18</v>
      </c>
      <c r="D16" s="64">
        <v>23.99</v>
      </c>
      <c r="E16" s="64">
        <v>6.41</v>
      </c>
      <c r="F16" s="64">
        <v>3.96</v>
      </c>
      <c r="G16" s="64">
        <v>56.49</v>
      </c>
      <c r="H16" s="64">
        <v>30.86</v>
      </c>
      <c r="I16" s="64">
        <v>8.9700000000000006</v>
      </c>
      <c r="J16" s="64">
        <v>1.7</v>
      </c>
      <c r="K16" s="64">
        <v>335.86</v>
      </c>
      <c r="L16" s="64">
        <v>14.24</v>
      </c>
      <c r="M16" s="64">
        <v>98.28</v>
      </c>
      <c r="N16" s="64">
        <v>47.1</v>
      </c>
      <c r="O16" s="64">
        <v>0</v>
      </c>
      <c r="P16" s="210" t="s">
        <v>36</v>
      </c>
      <c r="Q16" s="210" t="s">
        <v>36</v>
      </c>
      <c r="S16" s="198"/>
      <c r="T16" s="198"/>
      <c r="U16" s="198"/>
    </row>
    <row r="17" spans="1:21" s="12" customFormat="1" x14ac:dyDescent="0.25">
      <c r="A17" s="215" t="s">
        <v>2368</v>
      </c>
      <c r="B17" s="64">
        <v>5</v>
      </c>
      <c r="C17" s="64">
        <v>41.61</v>
      </c>
      <c r="D17" s="64">
        <v>24.37</v>
      </c>
      <c r="E17" s="64">
        <v>6.17</v>
      </c>
      <c r="F17" s="64">
        <v>3.87</v>
      </c>
      <c r="G17" s="64">
        <v>55.72</v>
      </c>
      <c r="H17" s="64">
        <v>36.43</v>
      </c>
      <c r="I17" s="64">
        <v>8.85</v>
      </c>
      <c r="J17" s="64">
        <v>1.58</v>
      </c>
      <c r="K17" s="64">
        <v>23.42</v>
      </c>
      <c r="L17" s="64">
        <v>13.77</v>
      </c>
      <c r="M17" s="64">
        <v>100.81</v>
      </c>
      <c r="N17" s="64">
        <v>47.1</v>
      </c>
      <c r="O17" s="64">
        <v>0</v>
      </c>
      <c r="P17" s="210" t="s">
        <v>36</v>
      </c>
      <c r="Q17" s="210" t="s">
        <v>36</v>
      </c>
      <c r="S17" s="198"/>
      <c r="T17" s="198"/>
      <c r="U17" s="198"/>
    </row>
    <row r="18" spans="1:21" s="12" customFormat="1" x14ac:dyDescent="0.25">
      <c r="A18" s="215" t="s">
        <v>2369</v>
      </c>
      <c r="B18" s="64">
        <v>5.24</v>
      </c>
      <c r="C18" s="64">
        <v>42.18</v>
      </c>
      <c r="D18" s="64">
        <v>24.86</v>
      </c>
      <c r="E18" s="64">
        <v>6.17</v>
      </c>
      <c r="F18" s="64">
        <v>3.72</v>
      </c>
      <c r="G18" s="64">
        <v>53.71</v>
      </c>
      <c r="H18" s="64">
        <v>46.4</v>
      </c>
      <c r="I18" s="64">
        <v>8.59</v>
      </c>
      <c r="J18" s="64">
        <v>1.58</v>
      </c>
      <c r="K18" s="64">
        <v>22.56</v>
      </c>
      <c r="L18" s="64">
        <v>13.46</v>
      </c>
      <c r="M18" s="64">
        <v>101.66</v>
      </c>
      <c r="N18" s="64">
        <v>44.1</v>
      </c>
      <c r="O18" s="64">
        <v>0</v>
      </c>
      <c r="P18" s="210" t="s">
        <v>36</v>
      </c>
      <c r="Q18" s="210" t="s">
        <v>36</v>
      </c>
      <c r="S18" s="198"/>
      <c r="T18" s="198"/>
      <c r="U18" s="198"/>
    </row>
    <row r="19" spans="1:21" s="12" customFormat="1" x14ac:dyDescent="0.25">
      <c r="A19" s="215" t="s">
        <v>2370</v>
      </c>
      <c r="B19" s="64">
        <v>5.58</v>
      </c>
      <c r="C19" s="64">
        <v>41.71</v>
      </c>
      <c r="D19" s="64">
        <v>24.89</v>
      </c>
      <c r="E19" s="64">
        <v>6.29</v>
      </c>
      <c r="F19" s="64">
        <v>3.96</v>
      </c>
      <c r="G19" s="64">
        <v>53.71</v>
      </c>
      <c r="H19" s="64">
        <v>46.4</v>
      </c>
      <c r="I19" s="64">
        <v>8.25</v>
      </c>
      <c r="J19" s="64">
        <v>1.87</v>
      </c>
      <c r="K19" s="64">
        <v>43.93</v>
      </c>
      <c r="L19" s="64">
        <v>13.26</v>
      </c>
      <c r="M19" s="64">
        <v>101.67</v>
      </c>
      <c r="N19" s="64">
        <v>46.8</v>
      </c>
      <c r="O19" s="64">
        <v>0</v>
      </c>
      <c r="P19" s="210" t="s">
        <v>36</v>
      </c>
      <c r="Q19" s="210" t="s">
        <v>36</v>
      </c>
      <c r="S19" s="198"/>
      <c r="T19" s="198"/>
      <c r="U19" s="198"/>
    </row>
    <row r="20" spans="1:21" s="12" customFormat="1" x14ac:dyDescent="0.25">
      <c r="A20" s="215" t="s">
        <v>2371</v>
      </c>
      <c r="B20" s="64">
        <v>5.92</v>
      </c>
      <c r="C20" s="64">
        <v>41.77</v>
      </c>
      <c r="D20" s="64">
        <v>25.2</v>
      </c>
      <c r="E20" s="64">
        <v>6.01</v>
      </c>
      <c r="F20" s="64">
        <v>3.93</v>
      </c>
      <c r="G20" s="64">
        <v>53.71</v>
      </c>
      <c r="H20" s="64">
        <v>46.4</v>
      </c>
      <c r="I20" s="64">
        <v>7.95</v>
      </c>
      <c r="J20" s="64">
        <v>1.61</v>
      </c>
      <c r="K20" s="64">
        <v>28.94</v>
      </c>
      <c r="L20" s="64">
        <v>13.13</v>
      </c>
      <c r="M20" s="64">
        <v>101.67</v>
      </c>
      <c r="N20" s="64">
        <v>46.6</v>
      </c>
      <c r="O20" s="64">
        <v>0</v>
      </c>
      <c r="P20" s="210" t="s">
        <v>36</v>
      </c>
      <c r="Q20" s="210" t="s">
        <v>36</v>
      </c>
      <c r="S20" s="198"/>
      <c r="T20" s="198"/>
      <c r="U20" s="198"/>
    </row>
    <row r="21" spans="1:21" s="12" customFormat="1" x14ac:dyDescent="0.25">
      <c r="A21" s="215" t="s">
        <v>2372</v>
      </c>
      <c r="B21" s="64">
        <v>6.18</v>
      </c>
      <c r="C21" s="64">
        <v>41.44</v>
      </c>
      <c r="D21" s="64">
        <v>25.23</v>
      </c>
      <c r="E21" s="64">
        <v>6.08</v>
      </c>
      <c r="F21" s="64">
        <v>3.77</v>
      </c>
      <c r="G21" s="64">
        <v>53.65</v>
      </c>
      <c r="H21" s="64">
        <v>40.880000000000003</v>
      </c>
      <c r="I21" s="64">
        <v>7.65</v>
      </c>
      <c r="J21" s="64">
        <v>2.19</v>
      </c>
      <c r="K21" s="64">
        <v>357.71</v>
      </c>
      <c r="L21" s="64">
        <v>13.06</v>
      </c>
      <c r="M21" s="64">
        <v>101.68</v>
      </c>
      <c r="N21" s="64">
        <v>43.1</v>
      </c>
      <c r="O21" s="64">
        <v>0</v>
      </c>
      <c r="P21" s="210" t="s">
        <v>36</v>
      </c>
      <c r="Q21" s="210" t="s">
        <v>36</v>
      </c>
      <c r="S21" s="198"/>
      <c r="T21" s="198"/>
      <c r="U21" s="198"/>
    </row>
    <row r="22" spans="1:21" s="12" customFormat="1" x14ac:dyDescent="0.25">
      <c r="A22" s="215" t="s">
        <v>2373</v>
      </c>
      <c r="B22" s="64">
        <v>6.52</v>
      </c>
      <c r="C22" s="64">
        <v>38.93</v>
      </c>
      <c r="D22" s="64">
        <v>24.19</v>
      </c>
      <c r="E22" s="64">
        <v>6.28</v>
      </c>
      <c r="F22" s="64">
        <v>4.1500000000000004</v>
      </c>
      <c r="G22" s="64">
        <v>53.49</v>
      </c>
      <c r="H22" s="64">
        <v>31</v>
      </c>
      <c r="I22" s="64">
        <v>7.39</v>
      </c>
      <c r="J22" s="64">
        <v>1.71</v>
      </c>
      <c r="K22" s="64">
        <v>356.51</v>
      </c>
      <c r="L22" s="64">
        <v>13.1</v>
      </c>
      <c r="M22" s="64">
        <v>101.66</v>
      </c>
      <c r="N22" s="64">
        <v>46.4</v>
      </c>
      <c r="O22" s="64">
        <v>0</v>
      </c>
      <c r="P22" s="210" t="s">
        <v>36</v>
      </c>
      <c r="Q22" s="210" t="s">
        <v>36</v>
      </c>
      <c r="S22" s="198"/>
      <c r="T22" s="198"/>
      <c r="U22" s="198"/>
    </row>
    <row r="23" spans="1:21" s="12" customFormat="1" x14ac:dyDescent="0.25">
      <c r="A23" s="215" t="s">
        <v>2374</v>
      </c>
      <c r="B23" s="64">
        <v>7</v>
      </c>
      <c r="C23" s="64">
        <v>39.75</v>
      </c>
      <c r="D23" s="64">
        <v>25.01</v>
      </c>
      <c r="E23" s="64">
        <v>5.97</v>
      </c>
      <c r="F23" s="64">
        <v>4.07</v>
      </c>
      <c r="G23" s="64">
        <v>53.49</v>
      </c>
      <c r="H23" s="64">
        <v>31</v>
      </c>
      <c r="I23" s="64">
        <v>7.07</v>
      </c>
      <c r="J23" s="64">
        <v>2.5</v>
      </c>
      <c r="K23" s="64">
        <v>342.08</v>
      </c>
      <c r="L23" s="64">
        <v>12.96</v>
      </c>
      <c r="M23" s="64">
        <v>101.67</v>
      </c>
      <c r="N23" s="64">
        <v>46.4</v>
      </c>
      <c r="O23" s="64">
        <v>0</v>
      </c>
      <c r="P23" s="210" t="s">
        <v>36</v>
      </c>
      <c r="Q23" s="210" t="s">
        <v>36</v>
      </c>
      <c r="S23" s="198"/>
      <c r="T23" s="198"/>
      <c r="U23" s="198"/>
    </row>
    <row r="24" spans="1:21" s="12" customFormat="1" x14ac:dyDescent="0.25">
      <c r="A24" s="215" t="s">
        <v>2375</v>
      </c>
      <c r="B24" s="64">
        <v>7.44</v>
      </c>
      <c r="C24" s="64">
        <v>40.130000000000003</v>
      </c>
      <c r="D24" s="64">
        <v>25.56</v>
      </c>
      <c r="E24" s="64">
        <v>5.85</v>
      </c>
      <c r="F24" s="64">
        <v>4.1399999999999997</v>
      </c>
      <c r="G24" s="64">
        <v>53.49</v>
      </c>
      <c r="H24" s="64">
        <v>31</v>
      </c>
      <c r="I24" s="64">
        <v>6.97</v>
      </c>
      <c r="J24" s="64">
        <v>1.86</v>
      </c>
      <c r="K24" s="64">
        <v>349.02</v>
      </c>
      <c r="L24" s="64">
        <v>12.95</v>
      </c>
      <c r="M24" s="64">
        <v>101.66</v>
      </c>
      <c r="N24" s="64">
        <v>46.5</v>
      </c>
      <c r="O24" s="64">
        <v>0</v>
      </c>
      <c r="P24" s="210" t="s">
        <v>36</v>
      </c>
      <c r="Q24" s="210" t="s">
        <v>36</v>
      </c>
      <c r="S24" s="198"/>
      <c r="T24" s="198"/>
      <c r="U24" s="198"/>
    </row>
    <row r="25" spans="1:21" s="12" customFormat="1" x14ac:dyDescent="0.25">
      <c r="A25" s="215" t="s">
        <v>2376</v>
      </c>
      <c r="B25" s="64">
        <v>7.87</v>
      </c>
      <c r="C25" s="64">
        <v>40.57</v>
      </c>
      <c r="D25" s="64">
        <v>26.13</v>
      </c>
      <c r="E25" s="64">
        <v>6.21</v>
      </c>
      <c r="F25" s="64">
        <v>3.95</v>
      </c>
      <c r="G25" s="64">
        <v>55.91</v>
      </c>
      <c r="H25" s="64">
        <v>34.03</v>
      </c>
      <c r="I25" s="64">
        <v>6.86</v>
      </c>
      <c r="J25" s="64">
        <v>1.4</v>
      </c>
      <c r="K25" s="64">
        <v>344.89</v>
      </c>
      <c r="L25" s="64">
        <v>12.81</v>
      </c>
      <c r="M25" s="64">
        <v>101.69</v>
      </c>
      <c r="N25" s="64">
        <v>46.6</v>
      </c>
      <c r="O25" s="64">
        <v>0</v>
      </c>
      <c r="P25" s="210" t="s">
        <v>36</v>
      </c>
      <c r="Q25" s="210" t="s">
        <v>36</v>
      </c>
      <c r="S25" s="198"/>
      <c r="T25" s="198"/>
      <c r="U25" s="198"/>
    </row>
    <row r="26" spans="1:21" s="12" customFormat="1" x14ac:dyDescent="0.25">
      <c r="A26" s="215" t="s">
        <v>2377</v>
      </c>
      <c r="B26" s="64">
        <v>8.25</v>
      </c>
      <c r="C26" s="64">
        <v>40.17</v>
      </c>
      <c r="D26" s="64">
        <v>26.23</v>
      </c>
      <c r="E26" s="64">
        <v>6.58</v>
      </c>
      <c r="F26" s="64">
        <v>4.3099999999999996</v>
      </c>
      <c r="G26" s="64">
        <v>62.18</v>
      </c>
      <c r="H26" s="64">
        <v>39.46</v>
      </c>
      <c r="I26" s="64">
        <v>6.74</v>
      </c>
      <c r="J26" s="64">
        <v>2.33</v>
      </c>
      <c r="K26" s="64">
        <v>346.83</v>
      </c>
      <c r="L26" s="64">
        <v>12.71</v>
      </c>
      <c r="M26" s="64">
        <v>101.7</v>
      </c>
      <c r="N26" s="64">
        <v>46.4</v>
      </c>
      <c r="O26" s="64">
        <v>0</v>
      </c>
      <c r="P26" s="210" t="s">
        <v>36</v>
      </c>
      <c r="Q26" s="210" t="s">
        <v>36</v>
      </c>
      <c r="S26" s="198"/>
      <c r="T26" s="198"/>
      <c r="U26" s="198"/>
    </row>
    <row r="27" spans="1:21" s="12" customFormat="1" x14ac:dyDescent="0.25">
      <c r="A27" s="215" t="s">
        <v>2378</v>
      </c>
      <c r="B27" s="64">
        <v>8.85</v>
      </c>
      <c r="C27" s="64">
        <v>40.659999999999997</v>
      </c>
      <c r="D27" s="64">
        <v>26.96</v>
      </c>
      <c r="E27" s="64">
        <v>6.76</v>
      </c>
      <c r="F27" s="64">
        <v>4.0999999999999996</v>
      </c>
      <c r="G27" s="64">
        <v>62.18</v>
      </c>
      <c r="H27" s="64">
        <v>39.46</v>
      </c>
      <c r="I27" s="64">
        <v>6.63</v>
      </c>
      <c r="J27" s="64">
        <v>2.69</v>
      </c>
      <c r="K27" s="64">
        <v>351.62</v>
      </c>
      <c r="L27" s="64">
        <v>12.76</v>
      </c>
      <c r="M27" s="64">
        <v>101.7</v>
      </c>
      <c r="N27" s="64">
        <v>46.2</v>
      </c>
      <c r="O27" s="64">
        <v>0</v>
      </c>
      <c r="P27" s="210" t="s">
        <v>36</v>
      </c>
      <c r="Q27" s="210" t="s">
        <v>36</v>
      </c>
      <c r="S27" s="198"/>
      <c r="T27" s="198"/>
      <c r="U27" s="198"/>
    </row>
    <row r="28" spans="1:21" s="12" customFormat="1" x14ac:dyDescent="0.25">
      <c r="A28" s="215" t="s">
        <v>2379</v>
      </c>
      <c r="B28" s="64">
        <v>9.6199999999999992</v>
      </c>
      <c r="C28" s="64">
        <v>40.46</v>
      </c>
      <c r="D28" s="64">
        <v>27.47</v>
      </c>
      <c r="E28" s="64">
        <v>6.67</v>
      </c>
      <c r="F28" s="64">
        <v>4.57</v>
      </c>
      <c r="G28" s="64">
        <v>62.18</v>
      </c>
      <c r="H28" s="64">
        <v>39.46</v>
      </c>
      <c r="I28" s="64">
        <v>6.55</v>
      </c>
      <c r="J28" s="64">
        <v>2.35</v>
      </c>
      <c r="K28" s="64">
        <v>343.68</v>
      </c>
      <c r="L28" s="64">
        <v>12.8</v>
      </c>
      <c r="M28" s="64">
        <v>101.71</v>
      </c>
      <c r="N28" s="64">
        <v>46.5</v>
      </c>
      <c r="O28" s="64">
        <v>0</v>
      </c>
      <c r="P28" s="210" t="s">
        <v>36</v>
      </c>
      <c r="Q28" s="210" t="s">
        <v>36</v>
      </c>
      <c r="S28" s="198"/>
      <c r="T28" s="198"/>
      <c r="U28" s="198"/>
    </row>
    <row r="29" spans="1:21" s="12" customFormat="1" x14ac:dyDescent="0.25">
      <c r="A29" s="215" t="s">
        <v>2380</v>
      </c>
      <c r="B29" s="64">
        <v>10.33</v>
      </c>
      <c r="C29" s="64">
        <v>41.91</v>
      </c>
      <c r="D29" s="64">
        <v>28.8</v>
      </c>
      <c r="E29" s="64">
        <v>7.59</v>
      </c>
      <c r="F29" s="64">
        <v>4.7699999999999996</v>
      </c>
      <c r="G29" s="64">
        <v>70.8</v>
      </c>
      <c r="H29" s="64">
        <v>38.909999999999997</v>
      </c>
      <c r="I29" s="64">
        <v>6.52</v>
      </c>
      <c r="J29" s="64">
        <v>2.11</v>
      </c>
      <c r="K29" s="64">
        <v>357.99</v>
      </c>
      <c r="L29" s="64">
        <v>12.69</v>
      </c>
      <c r="M29" s="64">
        <v>101.73</v>
      </c>
      <c r="N29" s="64">
        <v>46.6</v>
      </c>
      <c r="O29" s="64">
        <v>0</v>
      </c>
      <c r="P29" s="210" t="s">
        <v>36</v>
      </c>
      <c r="Q29" s="210" t="s">
        <v>36</v>
      </c>
      <c r="S29" s="198"/>
      <c r="T29" s="198"/>
      <c r="U29" s="198"/>
    </row>
    <row r="30" spans="1:21" s="12" customFormat="1" x14ac:dyDescent="0.25">
      <c r="A30" s="215" t="s">
        <v>2381</v>
      </c>
      <c r="B30" s="64">
        <v>10.83</v>
      </c>
      <c r="C30" s="64">
        <v>43.94</v>
      </c>
      <c r="D30" s="64">
        <v>30.27</v>
      </c>
      <c r="E30" s="64">
        <v>7.6</v>
      </c>
      <c r="F30" s="64">
        <v>4.38</v>
      </c>
      <c r="G30" s="64">
        <v>93.2</v>
      </c>
      <c r="H30" s="64">
        <v>36.56</v>
      </c>
      <c r="I30" s="64">
        <v>6.54</v>
      </c>
      <c r="J30" s="64">
        <v>1.61</v>
      </c>
      <c r="K30" s="64">
        <v>59.18</v>
      </c>
      <c r="L30" s="64">
        <v>12.51</v>
      </c>
      <c r="M30" s="64">
        <v>101.7</v>
      </c>
      <c r="N30" s="64">
        <v>46.7</v>
      </c>
      <c r="O30" s="64">
        <v>0</v>
      </c>
      <c r="P30" s="210" t="s">
        <v>36</v>
      </c>
      <c r="Q30" s="210" t="s">
        <v>36</v>
      </c>
      <c r="S30" s="198"/>
      <c r="T30" s="198"/>
      <c r="U30" s="198"/>
    </row>
    <row r="31" spans="1:21" s="12" customFormat="1" x14ac:dyDescent="0.25">
      <c r="A31" s="215" t="s">
        <v>2382</v>
      </c>
      <c r="B31" s="64">
        <v>11.21</v>
      </c>
      <c r="C31" s="64">
        <v>43.78</v>
      </c>
      <c r="D31" s="64">
        <v>30.48</v>
      </c>
      <c r="E31" s="64">
        <v>7.61</v>
      </c>
      <c r="F31" s="64">
        <v>4.41</v>
      </c>
      <c r="G31" s="64">
        <v>93.2</v>
      </c>
      <c r="H31" s="64">
        <v>36.56</v>
      </c>
      <c r="I31" s="64">
        <v>6.53</v>
      </c>
      <c r="J31" s="64">
        <v>1.31</v>
      </c>
      <c r="K31" s="64">
        <v>17.670000000000002</v>
      </c>
      <c r="L31" s="64">
        <v>12.37</v>
      </c>
      <c r="M31" s="64">
        <v>101.7</v>
      </c>
      <c r="N31" s="64">
        <v>45.9</v>
      </c>
      <c r="O31" s="64">
        <v>0</v>
      </c>
      <c r="P31" s="210" t="s">
        <v>36</v>
      </c>
      <c r="Q31" s="210" t="s">
        <v>36</v>
      </c>
      <c r="S31" s="198"/>
      <c r="T31" s="198"/>
      <c r="U31" s="198"/>
    </row>
    <row r="32" spans="1:21" s="12" customFormat="1" x14ac:dyDescent="0.25">
      <c r="A32" s="215" t="s">
        <v>2383</v>
      </c>
      <c r="B32" s="64">
        <v>11.77</v>
      </c>
      <c r="C32" s="64">
        <v>44.12</v>
      </c>
      <c r="D32" s="64">
        <v>31.11</v>
      </c>
      <c r="E32" s="64">
        <v>7.79</v>
      </c>
      <c r="F32" s="64">
        <v>4.18</v>
      </c>
      <c r="G32" s="64">
        <v>93.2</v>
      </c>
      <c r="H32" s="64">
        <v>36.56</v>
      </c>
      <c r="I32" s="64">
        <v>6.54</v>
      </c>
      <c r="J32" s="64">
        <v>2.06</v>
      </c>
      <c r="K32" s="64">
        <v>354.28</v>
      </c>
      <c r="L32" s="64">
        <v>12.27</v>
      </c>
      <c r="M32" s="64">
        <v>101.7</v>
      </c>
      <c r="N32" s="64">
        <v>43.9</v>
      </c>
      <c r="O32" s="64">
        <v>0</v>
      </c>
      <c r="P32" s="210" t="s">
        <v>36</v>
      </c>
      <c r="Q32" s="210" t="s">
        <v>36</v>
      </c>
      <c r="S32" s="198"/>
      <c r="T32" s="198"/>
      <c r="U32" s="198"/>
    </row>
    <row r="33" spans="1:21" s="12" customFormat="1" x14ac:dyDescent="0.25">
      <c r="A33" s="215" t="s">
        <v>2384</v>
      </c>
      <c r="B33" s="64">
        <v>12.9</v>
      </c>
      <c r="C33" s="64">
        <v>44.55</v>
      </c>
      <c r="D33" s="64">
        <v>32.24</v>
      </c>
      <c r="E33" s="64">
        <v>8.18</v>
      </c>
      <c r="F33" s="64">
        <v>4.25</v>
      </c>
      <c r="G33" s="64">
        <v>101.12</v>
      </c>
      <c r="H33" s="64">
        <v>103.14</v>
      </c>
      <c r="I33" s="64">
        <v>6.52</v>
      </c>
      <c r="J33" s="64">
        <v>1.62</v>
      </c>
      <c r="K33" s="64">
        <v>351.14</v>
      </c>
      <c r="L33" s="64">
        <v>12.23</v>
      </c>
      <c r="M33" s="64">
        <v>101.7</v>
      </c>
      <c r="N33" s="64">
        <v>42.1</v>
      </c>
      <c r="O33" s="64">
        <v>0</v>
      </c>
      <c r="P33" s="210" t="s">
        <v>36</v>
      </c>
      <c r="Q33" s="210" t="s">
        <v>36</v>
      </c>
      <c r="S33" s="198"/>
      <c r="T33" s="198"/>
      <c r="U33" s="198"/>
    </row>
    <row r="34" spans="1:21" s="12" customFormat="1" x14ac:dyDescent="0.25">
      <c r="A34" s="215" t="s">
        <v>2385</v>
      </c>
      <c r="B34" s="64">
        <v>14.28</v>
      </c>
      <c r="C34" s="64">
        <v>45.18</v>
      </c>
      <c r="D34" s="64">
        <v>33.68</v>
      </c>
      <c r="E34" s="64">
        <v>7.86</v>
      </c>
      <c r="F34" s="64">
        <v>4.37</v>
      </c>
      <c r="G34" s="64">
        <v>121.69</v>
      </c>
      <c r="H34" s="64">
        <v>222.43</v>
      </c>
      <c r="I34" s="64">
        <v>6.48</v>
      </c>
      <c r="J34" s="64">
        <v>1.27</v>
      </c>
      <c r="K34" s="64">
        <v>12.23</v>
      </c>
      <c r="L34" s="64">
        <v>12.2</v>
      </c>
      <c r="M34" s="64">
        <v>101.7</v>
      </c>
      <c r="N34" s="64">
        <v>47</v>
      </c>
      <c r="O34" s="64">
        <v>0</v>
      </c>
      <c r="P34" s="210" t="s">
        <v>36</v>
      </c>
      <c r="Q34" s="210" t="s">
        <v>36</v>
      </c>
      <c r="S34" s="198"/>
      <c r="T34" s="198"/>
      <c r="U34" s="198"/>
    </row>
    <row r="35" spans="1:21" s="12" customFormat="1" x14ac:dyDescent="0.25">
      <c r="A35" s="215" t="s">
        <v>2386</v>
      </c>
      <c r="B35" s="64">
        <v>15.55</v>
      </c>
      <c r="C35" s="64">
        <v>44.92</v>
      </c>
      <c r="D35" s="64">
        <v>34.56</v>
      </c>
      <c r="E35" s="64">
        <v>8.32</v>
      </c>
      <c r="F35" s="64">
        <v>4.33</v>
      </c>
      <c r="G35" s="64">
        <v>121.69</v>
      </c>
      <c r="H35" s="64">
        <v>222.43</v>
      </c>
      <c r="I35" s="64">
        <v>6.5</v>
      </c>
      <c r="J35" s="64">
        <v>2.44</v>
      </c>
      <c r="K35" s="64">
        <v>349.05</v>
      </c>
      <c r="L35" s="64">
        <v>12.2</v>
      </c>
      <c r="M35" s="64">
        <v>101.7</v>
      </c>
      <c r="N35" s="64">
        <v>49.7</v>
      </c>
      <c r="O35" s="64">
        <v>0</v>
      </c>
      <c r="P35" s="210" t="s">
        <v>36</v>
      </c>
      <c r="Q35" s="210" t="s">
        <v>36</v>
      </c>
      <c r="S35" s="198"/>
      <c r="T35" s="198"/>
      <c r="U35" s="198"/>
    </row>
    <row r="36" spans="1:21" s="12" customFormat="1" x14ac:dyDescent="0.25">
      <c r="A36" s="215" t="s">
        <v>2387</v>
      </c>
      <c r="B36" s="64">
        <v>17.13</v>
      </c>
      <c r="C36" s="64">
        <v>45.56</v>
      </c>
      <c r="D36" s="64">
        <v>36.17</v>
      </c>
      <c r="E36" s="64">
        <v>8.43</v>
      </c>
      <c r="F36" s="64">
        <v>4.08</v>
      </c>
      <c r="G36" s="64">
        <v>121.69</v>
      </c>
      <c r="H36" s="64">
        <v>222.43</v>
      </c>
      <c r="I36" s="64">
        <v>6.49</v>
      </c>
      <c r="J36" s="64">
        <v>1.6</v>
      </c>
      <c r="K36" s="64">
        <v>343.85</v>
      </c>
      <c r="L36" s="64">
        <v>12.35</v>
      </c>
      <c r="M36" s="64">
        <v>101.7</v>
      </c>
      <c r="N36" s="64">
        <v>58.9</v>
      </c>
      <c r="O36" s="64">
        <v>0</v>
      </c>
      <c r="P36" s="210" t="s">
        <v>36</v>
      </c>
      <c r="Q36" s="210" t="s">
        <v>36</v>
      </c>
      <c r="S36" s="198"/>
      <c r="T36" s="198"/>
      <c r="U36" s="198"/>
    </row>
    <row r="37" spans="1:21" s="12" customFormat="1" x14ac:dyDescent="0.25">
      <c r="A37" s="215" t="s">
        <v>2388</v>
      </c>
      <c r="B37" s="64">
        <v>18.75</v>
      </c>
      <c r="C37" s="64">
        <v>45.94</v>
      </c>
      <c r="D37" s="64">
        <v>37.659999999999997</v>
      </c>
      <c r="E37" s="64">
        <v>8.15</v>
      </c>
      <c r="F37" s="64">
        <v>4.21</v>
      </c>
      <c r="G37" s="64">
        <v>126.19</v>
      </c>
      <c r="H37" s="64">
        <v>173.73</v>
      </c>
      <c r="I37" s="64">
        <v>6.46</v>
      </c>
      <c r="J37" s="64">
        <v>1.31</v>
      </c>
      <c r="K37" s="64">
        <v>331.79</v>
      </c>
      <c r="L37" s="64">
        <v>12.53</v>
      </c>
      <c r="M37" s="64">
        <v>101.7</v>
      </c>
      <c r="N37" s="64">
        <v>74.400000000000006</v>
      </c>
      <c r="O37" s="64">
        <v>0</v>
      </c>
      <c r="P37" s="210" t="s">
        <v>36</v>
      </c>
      <c r="Q37" s="210" t="s">
        <v>36</v>
      </c>
      <c r="S37" s="198"/>
      <c r="T37" s="198"/>
      <c r="U37" s="198"/>
    </row>
    <row r="38" spans="1:21" s="12" customFormat="1" x14ac:dyDescent="0.25">
      <c r="A38" s="215" t="s">
        <v>2389</v>
      </c>
      <c r="B38" s="64">
        <v>19.54</v>
      </c>
      <c r="C38" s="64">
        <v>44.83</v>
      </c>
      <c r="D38" s="64">
        <v>37.72</v>
      </c>
      <c r="E38" s="64">
        <v>8.5500000000000007</v>
      </c>
      <c r="F38" s="64">
        <v>4.08</v>
      </c>
      <c r="G38" s="64">
        <v>0</v>
      </c>
      <c r="H38" s="64">
        <v>86.48</v>
      </c>
      <c r="I38" s="64">
        <v>6.46</v>
      </c>
      <c r="J38" s="64">
        <v>1.01</v>
      </c>
      <c r="K38" s="64">
        <v>80.87</v>
      </c>
      <c r="L38" s="64">
        <v>0</v>
      </c>
      <c r="M38" s="64">
        <v>101.7</v>
      </c>
      <c r="N38" s="64">
        <v>84.8</v>
      </c>
      <c r="O38" s="64">
        <v>0</v>
      </c>
      <c r="P38" s="210" t="s">
        <v>36</v>
      </c>
      <c r="Q38" s="210" t="s">
        <v>36</v>
      </c>
      <c r="S38" s="198"/>
      <c r="T38" s="198"/>
      <c r="U38" s="198"/>
    </row>
    <row r="39" spans="1:21" s="12" customFormat="1" x14ac:dyDescent="0.25">
      <c r="A39" s="215" t="s">
        <v>2390</v>
      </c>
      <c r="B39" s="64">
        <v>20.399999999999999</v>
      </c>
      <c r="C39" s="64">
        <v>42.53</v>
      </c>
      <c r="D39" s="64">
        <v>37.200000000000003</v>
      </c>
      <c r="E39" s="64">
        <v>7.99</v>
      </c>
      <c r="F39" s="64">
        <v>4.57</v>
      </c>
      <c r="G39" s="64">
        <v>137.9</v>
      </c>
      <c r="H39" s="64">
        <v>86.48</v>
      </c>
      <c r="I39" s="64">
        <v>6.31</v>
      </c>
      <c r="J39" s="64">
        <v>0.38</v>
      </c>
      <c r="K39" s="64">
        <v>110.36</v>
      </c>
      <c r="L39" s="64">
        <v>13.22</v>
      </c>
      <c r="M39" s="64">
        <v>101.66</v>
      </c>
      <c r="N39" s="64">
        <v>121</v>
      </c>
      <c r="O39" s="64">
        <v>0</v>
      </c>
      <c r="P39" s="210" t="s">
        <v>36</v>
      </c>
      <c r="Q39" s="210" t="s">
        <v>36</v>
      </c>
      <c r="S39" s="198"/>
      <c r="T39" s="198"/>
      <c r="U39" s="198"/>
    </row>
    <row r="40" spans="1:21" s="12" customFormat="1" x14ac:dyDescent="0.25">
      <c r="A40" s="215" t="s">
        <v>2391</v>
      </c>
      <c r="B40" s="64">
        <v>20.68</v>
      </c>
      <c r="C40" s="64">
        <v>43.16</v>
      </c>
      <c r="D40" s="64">
        <v>37.75</v>
      </c>
      <c r="E40" s="64">
        <v>7.7</v>
      </c>
      <c r="F40" s="64">
        <v>4.8499999999999996</v>
      </c>
      <c r="G40" s="64">
        <v>137.9</v>
      </c>
      <c r="H40" s="64">
        <v>86.48</v>
      </c>
      <c r="I40" s="64">
        <v>6.38</v>
      </c>
      <c r="J40" s="64">
        <v>0.82</v>
      </c>
      <c r="K40" s="64">
        <v>342.29</v>
      </c>
      <c r="L40" s="64">
        <v>14.18</v>
      </c>
      <c r="M40" s="64">
        <v>100.24</v>
      </c>
      <c r="N40" s="64">
        <v>198.3</v>
      </c>
      <c r="O40" s="64">
        <v>0</v>
      </c>
      <c r="P40" s="210" t="s">
        <v>36</v>
      </c>
      <c r="Q40" s="210" t="s">
        <v>36</v>
      </c>
      <c r="S40" s="198"/>
      <c r="T40" s="198"/>
      <c r="U40" s="198"/>
    </row>
    <row r="41" spans="1:21" s="12" customFormat="1" x14ac:dyDescent="0.25">
      <c r="A41" s="215" t="s">
        <v>2392</v>
      </c>
      <c r="B41" s="64">
        <v>21.13</v>
      </c>
      <c r="C41" s="64">
        <v>44.14</v>
      </c>
      <c r="D41" s="64">
        <v>38.630000000000003</v>
      </c>
      <c r="E41" s="64">
        <v>7.93</v>
      </c>
      <c r="F41" s="64">
        <v>4.96</v>
      </c>
      <c r="G41" s="64">
        <v>132.29</v>
      </c>
      <c r="H41" s="64">
        <v>68.77</v>
      </c>
      <c r="I41" s="64">
        <v>6.38</v>
      </c>
      <c r="J41" s="64">
        <v>0.65</v>
      </c>
      <c r="K41" s="64">
        <v>12.62</v>
      </c>
      <c r="L41" s="64">
        <v>15.6</v>
      </c>
      <c r="M41" s="64">
        <v>93.22</v>
      </c>
      <c r="N41" s="64">
        <v>248.1</v>
      </c>
      <c r="O41" s="64">
        <v>0</v>
      </c>
      <c r="P41" s="210" t="s">
        <v>36</v>
      </c>
      <c r="Q41" s="210" t="s">
        <v>36</v>
      </c>
      <c r="S41" s="198"/>
      <c r="T41" s="198"/>
      <c r="U41" s="198"/>
    </row>
    <row r="42" spans="1:21" s="12" customFormat="1" x14ac:dyDescent="0.25">
      <c r="A42" s="215" t="s">
        <v>2393</v>
      </c>
      <c r="B42" s="64">
        <v>21.19</v>
      </c>
      <c r="C42" s="64">
        <v>44.47</v>
      </c>
      <c r="D42" s="64">
        <v>38.85</v>
      </c>
      <c r="E42" s="64">
        <v>7.68</v>
      </c>
      <c r="F42" s="64">
        <v>4.4800000000000004</v>
      </c>
      <c r="G42" s="64">
        <v>117.72</v>
      </c>
      <c r="H42" s="64">
        <v>37.049999999999997</v>
      </c>
      <c r="I42" s="64">
        <v>6.47</v>
      </c>
      <c r="J42" s="64">
        <v>0.9</v>
      </c>
      <c r="K42" s="64">
        <v>101.95</v>
      </c>
      <c r="L42" s="64">
        <v>15.94</v>
      </c>
      <c r="M42" s="64">
        <v>91.48</v>
      </c>
      <c r="N42" s="64">
        <v>298.3</v>
      </c>
      <c r="O42" s="64">
        <v>0</v>
      </c>
      <c r="P42" s="210" t="s">
        <v>36</v>
      </c>
      <c r="Q42" s="210" t="s">
        <v>36</v>
      </c>
      <c r="S42" s="198"/>
      <c r="T42" s="198"/>
      <c r="U42" s="198"/>
    </row>
    <row r="43" spans="1:21" s="12" customFormat="1" x14ac:dyDescent="0.25">
      <c r="A43" s="215" t="s">
        <v>2394</v>
      </c>
      <c r="B43" s="64">
        <v>20.55</v>
      </c>
      <c r="C43" s="64">
        <v>44.55</v>
      </c>
      <c r="D43" s="64">
        <v>38.380000000000003</v>
      </c>
      <c r="E43" s="64">
        <v>8</v>
      </c>
      <c r="F43" s="64">
        <v>4.45</v>
      </c>
      <c r="G43" s="64">
        <v>117.72</v>
      </c>
      <c r="H43" s="64">
        <v>37.049999999999997</v>
      </c>
      <c r="I43" s="64">
        <v>6.51</v>
      </c>
      <c r="J43" s="64">
        <v>1.73</v>
      </c>
      <c r="K43" s="64">
        <v>100.73</v>
      </c>
      <c r="L43" s="64">
        <v>16.489999999999998</v>
      </c>
      <c r="M43" s="64">
        <v>88.5</v>
      </c>
      <c r="N43" s="64">
        <v>345.4</v>
      </c>
      <c r="O43" s="64">
        <v>0</v>
      </c>
      <c r="P43" s="210" t="s">
        <v>36</v>
      </c>
      <c r="Q43" s="210" t="s">
        <v>36</v>
      </c>
      <c r="S43" s="198"/>
      <c r="T43" s="198"/>
      <c r="U43" s="198"/>
    </row>
    <row r="44" spans="1:21" s="12" customFormat="1" x14ac:dyDescent="0.25">
      <c r="A44" s="215" t="s">
        <v>2395</v>
      </c>
      <c r="B44" s="64">
        <v>19.649999999999999</v>
      </c>
      <c r="C44" s="64">
        <v>44.95</v>
      </c>
      <c r="D44" s="64">
        <v>37.86</v>
      </c>
      <c r="E44" s="64">
        <v>7.86</v>
      </c>
      <c r="F44" s="64">
        <v>4.34</v>
      </c>
      <c r="G44" s="64">
        <v>117.72</v>
      </c>
      <c r="H44" s="64">
        <v>37.049999999999997</v>
      </c>
      <c r="I44" s="64">
        <v>6.74</v>
      </c>
      <c r="J44" s="64">
        <v>0.9</v>
      </c>
      <c r="K44" s="64">
        <v>14.93</v>
      </c>
      <c r="L44" s="64">
        <v>17.89</v>
      </c>
      <c r="M44" s="64">
        <v>81.66</v>
      </c>
      <c r="N44" s="64">
        <v>395.1</v>
      </c>
      <c r="O44" s="64">
        <v>0</v>
      </c>
      <c r="P44" s="210" t="s">
        <v>36</v>
      </c>
      <c r="Q44" s="210" t="s">
        <v>36</v>
      </c>
      <c r="S44" s="198"/>
      <c r="T44" s="198"/>
      <c r="U44" s="198"/>
    </row>
    <row r="45" spans="1:21" s="12" customFormat="1" x14ac:dyDescent="0.25">
      <c r="A45" s="215" t="s">
        <v>2396</v>
      </c>
      <c r="B45" s="64">
        <v>19.07</v>
      </c>
      <c r="C45" s="64">
        <v>45.02</v>
      </c>
      <c r="D45" s="64">
        <v>37.43</v>
      </c>
      <c r="E45" s="64">
        <v>7.65</v>
      </c>
      <c r="F45" s="64">
        <v>4.09</v>
      </c>
      <c r="G45" s="64">
        <v>108.25</v>
      </c>
      <c r="H45" s="64">
        <v>38.71</v>
      </c>
      <c r="I45" s="64">
        <v>6.99</v>
      </c>
      <c r="J45" s="64">
        <v>2.3199999999999998</v>
      </c>
      <c r="K45" s="64">
        <v>104.08</v>
      </c>
      <c r="L45" s="64">
        <v>17.440000000000001</v>
      </c>
      <c r="M45" s="64">
        <v>83.37</v>
      </c>
      <c r="N45" s="64">
        <v>435.1</v>
      </c>
      <c r="O45" s="64">
        <v>0</v>
      </c>
      <c r="P45" s="210" t="s">
        <v>36</v>
      </c>
      <c r="Q45" s="210" t="s">
        <v>36</v>
      </c>
      <c r="S45" s="198"/>
      <c r="T45" s="198"/>
      <c r="U45" s="198"/>
    </row>
    <row r="46" spans="1:21" s="12" customFormat="1" x14ac:dyDescent="0.25">
      <c r="A46" s="215" t="s">
        <v>2397</v>
      </c>
      <c r="B46" s="64">
        <v>18.399999999999999</v>
      </c>
      <c r="C46" s="64">
        <v>45.77</v>
      </c>
      <c r="D46" s="64">
        <v>37.299999999999997</v>
      </c>
      <c r="E46" s="64">
        <v>7.36</v>
      </c>
      <c r="F46" s="64">
        <v>4.3</v>
      </c>
      <c r="G46" s="64">
        <v>83.62</v>
      </c>
      <c r="H46" s="64">
        <v>45.8</v>
      </c>
      <c r="I46" s="64">
        <v>7.1</v>
      </c>
      <c r="J46" s="64">
        <v>0.7</v>
      </c>
      <c r="K46" s="64">
        <v>79.53</v>
      </c>
      <c r="L46" s="64">
        <v>19.04</v>
      </c>
      <c r="M46" s="64">
        <v>75.88</v>
      </c>
      <c r="N46" s="64">
        <v>474.8</v>
      </c>
      <c r="O46" s="64">
        <v>0</v>
      </c>
      <c r="P46" s="210" t="s">
        <v>36</v>
      </c>
      <c r="Q46" s="210" t="s">
        <v>36</v>
      </c>
      <c r="S46" s="198"/>
      <c r="T46" s="198"/>
      <c r="U46" s="198"/>
    </row>
    <row r="47" spans="1:21" s="12" customFormat="1" x14ac:dyDescent="0.25">
      <c r="A47" s="215" t="s">
        <v>2398</v>
      </c>
      <c r="B47" s="64">
        <v>17.399999999999999</v>
      </c>
      <c r="C47" s="64">
        <v>46.78</v>
      </c>
      <c r="D47" s="64">
        <v>37.020000000000003</v>
      </c>
      <c r="E47" s="64">
        <v>7.6</v>
      </c>
      <c r="F47" s="64">
        <v>4.5</v>
      </c>
      <c r="G47" s="64">
        <v>83.62</v>
      </c>
      <c r="H47" s="64">
        <v>45.8</v>
      </c>
      <c r="I47" s="64">
        <v>7.59</v>
      </c>
      <c r="J47" s="64">
        <v>1.19</v>
      </c>
      <c r="K47" s="64">
        <v>49.8</v>
      </c>
      <c r="L47" s="64">
        <v>19.11</v>
      </c>
      <c r="M47" s="64">
        <v>75.959999999999994</v>
      </c>
      <c r="N47" s="64">
        <v>514.5</v>
      </c>
      <c r="O47" s="64">
        <v>0</v>
      </c>
      <c r="P47" s="210" t="s">
        <v>36</v>
      </c>
      <c r="Q47" s="210" t="s">
        <v>36</v>
      </c>
      <c r="S47" s="198"/>
      <c r="T47" s="198"/>
      <c r="U47" s="198"/>
    </row>
    <row r="48" spans="1:21" s="12" customFormat="1" x14ac:dyDescent="0.25">
      <c r="A48" s="215" t="s">
        <v>2399</v>
      </c>
      <c r="B48" s="64">
        <v>16.670000000000002</v>
      </c>
      <c r="C48" s="64">
        <v>46.64</v>
      </c>
      <c r="D48" s="64">
        <v>36.36</v>
      </c>
      <c r="E48" s="64">
        <v>7.12</v>
      </c>
      <c r="F48" s="64">
        <v>4.5999999999999996</v>
      </c>
      <c r="G48" s="64">
        <v>83.62</v>
      </c>
      <c r="H48" s="64">
        <v>45.8</v>
      </c>
      <c r="I48" s="64">
        <v>7.82</v>
      </c>
      <c r="J48" s="64">
        <v>0.89</v>
      </c>
      <c r="K48" s="64">
        <v>45.2</v>
      </c>
      <c r="L48" s="64">
        <v>21.71</v>
      </c>
      <c r="M48" s="64">
        <v>64.94</v>
      </c>
      <c r="N48" s="64">
        <v>551.4</v>
      </c>
      <c r="O48" s="64">
        <v>0</v>
      </c>
      <c r="P48" s="210" t="s">
        <v>36</v>
      </c>
      <c r="Q48" s="210" t="s">
        <v>36</v>
      </c>
      <c r="S48" s="198"/>
      <c r="T48" s="198"/>
      <c r="U48" s="198"/>
    </row>
    <row r="49" spans="1:21" s="12" customFormat="1" x14ac:dyDescent="0.25">
      <c r="A49" s="215" t="s">
        <v>2400</v>
      </c>
      <c r="B49" s="64">
        <v>15.86</v>
      </c>
      <c r="C49" s="64">
        <v>47.37</v>
      </c>
      <c r="D49" s="64">
        <v>36.090000000000003</v>
      </c>
      <c r="E49" s="64">
        <v>6.98</v>
      </c>
      <c r="F49" s="64">
        <v>4.1500000000000004</v>
      </c>
      <c r="G49" s="64">
        <v>79.650000000000006</v>
      </c>
      <c r="H49" s="64">
        <v>55.94</v>
      </c>
      <c r="I49" s="64">
        <v>8</v>
      </c>
      <c r="J49" s="64">
        <v>2.89</v>
      </c>
      <c r="K49" s="64">
        <v>114.67</v>
      </c>
      <c r="L49" s="64">
        <v>20.28</v>
      </c>
      <c r="M49" s="64">
        <v>70.319999999999993</v>
      </c>
      <c r="N49" s="64">
        <v>579.1</v>
      </c>
      <c r="O49" s="64">
        <v>0</v>
      </c>
      <c r="P49" s="210" t="s">
        <v>36</v>
      </c>
      <c r="Q49" s="210" t="s">
        <v>36</v>
      </c>
      <c r="S49" s="198"/>
      <c r="T49" s="198"/>
      <c r="U49" s="198"/>
    </row>
    <row r="50" spans="1:21" s="12" customFormat="1" x14ac:dyDescent="0.25">
      <c r="A50" s="215" t="s">
        <v>2401</v>
      </c>
      <c r="B50" s="64">
        <v>14.56</v>
      </c>
      <c r="C50" s="64">
        <v>48.46</v>
      </c>
      <c r="D50" s="64">
        <v>35.61</v>
      </c>
      <c r="E50" s="64">
        <v>6.48</v>
      </c>
      <c r="F50" s="64">
        <v>4.1100000000000003</v>
      </c>
      <c r="G50" s="64">
        <v>69.33</v>
      </c>
      <c r="H50" s="64">
        <v>74.099999999999994</v>
      </c>
      <c r="I50" s="64">
        <v>7.95</v>
      </c>
      <c r="J50" s="64">
        <v>2.41</v>
      </c>
      <c r="K50" s="64">
        <v>101.51</v>
      </c>
      <c r="L50" s="64">
        <v>19.920000000000002</v>
      </c>
      <c r="M50" s="64">
        <v>70.2</v>
      </c>
      <c r="N50" s="64">
        <v>613.6</v>
      </c>
      <c r="O50" s="64">
        <v>0</v>
      </c>
      <c r="P50" s="210" t="s">
        <v>36</v>
      </c>
      <c r="Q50" s="210" t="s">
        <v>36</v>
      </c>
      <c r="S50" s="198"/>
      <c r="T50" s="198"/>
      <c r="U50" s="198"/>
    </row>
    <row r="51" spans="1:21" s="12" customFormat="1" x14ac:dyDescent="0.25">
      <c r="A51" s="215" t="s">
        <v>2402</v>
      </c>
      <c r="B51" s="64">
        <v>12.66</v>
      </c>
      <c r="C51" s="64">
        <v>48.18</v>
      </c>
      <c r="D51" s="64">
        <v>33.950000000000003</v>
      </c>
      <c r="E51" s="64">
        <v>6.62</v>
      </c>
      <c r="F51" s="64">
        <v>7.15</v>
      </c>
      <c r="G51" s="64">
        <v>69.33</v>
      </c>
      <c r="H51" s="64">
        <v>74.099999999999994</v>
      </c>
      <c r="I51" s="64">
        <v>8.11</v>
      </c>
      <c r="J51" s="64">
        <v>4.0599999999999996</v>
      </c>
      <c r="K51" s="64">
        <v>112.87</v>
      </c>
      <c r="L51" s="64">
        <v>19.12</v>
      </c>
      <c r="M51" s="64">
        <v>70.61</v>
      </c>
      <c r="N51" s="64">
        <v>645.1</v>
      </c>
      <c r="O51" s="64">
        <v>0</v>
      </c>
      <c r="P51" s="210" t="s">
        <v>36</v>
      </c>
      <c r="Q51" s="210" t="s">
        <v>36</v>
      </c>
      <c r="S51" s="198"/>
      <c r="T51" s="198"/>
      <c r="U51" s="198"/>
    </row>
    <row r="52" spans="1:21" s="12" customFormat="1" x14ac:dyDescent="0.25">
      <c r="A52" s="215" t="s">
        <v>2403</v>
      </c>
      <c r="B52" s="64">
        <v>5.08</v>
      </c>
      <c r="C52" s="64">
        <v>45.42</v>
      </c>
      <c r="D52" s="64">
        <v>26.42</v>
      </c>
      <c r="E52" s="64">
        <v>8.89</v>
      </c>
      <c r="F52" s="64">
        <v>14.59</v>
      </c>
      <c r="G52" s="64">
        <v>69.33</v>
      </c>
      <c r="H52" s="64">
        <v>74.099999999999994</v>
      </c>
      <c r="I52" s="64">
        <v>8.42</v>
      </c>
      <c r="J52" s="64">
        <v>3.17</v>
      </c>
      <c r="K52" s="64">
        <v>109.09</v>
      </c>
      <c r="L52" s="64">
        <v>19.86</v>
      </c>
      <c r="M52" s="64">
        <v>68.67</v>
      </c>
      <c r="N52" s="64">
        <v>692.2</v>
      </c>
      <c r="O52" s="64">
        <v>0</v>
      </c>
      <c r="P52" s="210" t="s">
        <v>36</v>
      </c>
      <c r="Q52" s="210" t="s">
        <v>36</v>
      </c>
      <c r="S52" s="198"/>
      <c r="T52" s="198"/>
      <c r="U52" s="198"/>
    </row>
    <row r="53" spans="1:21" s="12" customFormat="1" x14ac:dyDescent="0.25">
      <c r="A53" s="215" t="s">
        <v>2404</v>
      </c>
      <c r="B53" s="64">
        <v>2.2999999999999998</v>
      </c>
      <c r="C53" s="64">
        <v>44.62</v>
      </c>
      <c r="D53" s="64">
        <v>23.78</v>
      </c>
      <c r="E53" s="64">
        <v>7.89</v>
      </c>
      <c r="F53" s="64">
        <v>8.99</v>
      </c>
      <c r="G53" s="64">
        <v>69.33</v>
      </c>
      <c r="H53" s="64">
        <v>74.099999999999994</v>
      </c>
      <c r="I53" s="64">
        <v>7.62</v>
      </c>
      <c r="J53" s="64">
        <v>4.3899999999999997</v>
      </c>
      <c r="K53" s="64">
        <v>112.25</v>
      </c>
      <c r="L53" s="64">
        <v>19.559999999999999</v>
      </c>
      <c r="M53" s="64">
        <v>68.099999999999994</v>
      </c>
      <c r="N53" s="64">
        <v>699.1</v>
      </c>
      <c r="O53" s="64">
        <v>0</v>
      </c>
      <c r="P53" s="210" t="s">
        <v>36</v>
      </c>
      <c r="Q53" s="210" t="s">
        <v>36</v>
      </c>
      <c r="S53" s="198"/>
      <c r="T53" s="198"/>
      <c r="U53" s="198"/>
    </row>
    <row r="54" spans="1:21" s="12" customFormat="1" x14ac:dyDescent="0.25">
      <c r="A54" s="215" t="s">
        <v>2405</v>
      </c>
      <c r="B54" s="64">
        <v>2.09</v>
      </c>
      <c r="C54" s="64">
        <v>43.77</v>
      </c>
      <c r="D54" s="64">
        <v>23.17</v>
      </c>
      <c r="E54" s="64">
        <v>7.3</v>
      </c>
      <c r="F54" s="64">
        <v>6.6</v>
      </c>
      <c r="G54" s="64">
        <v>69.33</v>
      </c>
      <c r="H54" s="64">
        <v>74.099999999999994</v>
      </c>
      <c r="I54" s="64">
        <v>5.67</v>
      </c>
      <c r="J54" s="64">
        <v>3.73</v>
      </c>
      <c r="K54" s="64">
        <v>113.78</v>
      </c>
      <c r="L54" s="64">
        <v>20.46</v>
      </c>
      <c r="M54" s="64">
        <v>64.150000000000006</v>
      </c>
      <c r="N54" s="64">
        <v>720.8</v>
      </c>
      <c r="O54" s="64">
        <v>0</v>
      </c>
      <c r="P54" s="210" t="s">
        <v>36</v>
      </c>
      <c r="Q54" s="210" t="s">
        <v>36</v>
      </c>
      <c r="S54" s="198"/>
      <c r="T54" s="198"/>
      <c r="U54" s="198"/>
    </row>
    <row r="55" spans="1:21" s="12" customFormat="1" x14ac:dyDescent="0.25">
      <c r="A55" s="215" t="s">
        <v>2406</v>
      </c>
      <c r="B55" s="64">
        <v>2.33</v>
      </c>
      <c r="C55" s="64">
        <v>40.57</v>
      </c>
      <c r="D55" s="64">
        <v>21.69</v>
      </c>
      <c r="E55" s="64">
        <v>6.99</v>
      </c>
      <c r="F55" s="64">
        <v>5.92</v>
      </c>
      <c r="G55" s="64">
        <v>69.33</v>
      </c>
      <c r="H55" s="64">
        <v>74.099999999999994</v>
      </c>
      <c r="I55" s="64">
        <v>5.76</v>
      </c>
      <c r="J55" s="64">
        <v>3.26</v>
      </c>
      <c r="K55" s="64">
        <v>110.55</v>
      </c>
      <c r="L55" s="64">
        <v>20.69</v>
      </c>
      <c r="M55" s="64">
        <v>62.48</v>
      </c>
      <c r="N55" s="64">
        <v>713</v>
      </c>
      <c r="O55" s="64">
        <v>0</v>
      </c>
      <c r="P55" s="210" t="s">
        <v>36</v>
      </c>
      <c r="Q55" s="210" t="s">
        <v>36</v>
      </c>
      <c r="S55" s="198"/>
      <c r="T55" s="198"/>
      <c r="U55" s="198"/>
    </row>
    <row r="56" spans="1:21" s="12" customFormat="1" x14ac:dyDescent="0.25">
      <c r="A56" s="215" t="s">
        <v>2407</v>
      </c>
      <c r="B56" s="64">
        <v>2.57</v>
      </c>
      <c r="C56" s="64">
        <v>40.74</v>
      </c>
      <c r="D56" s="64">
        <v>21.97</v>
      </c>
      <c r="E56" s="64">
        <v>7.08</v>
      </c>
      <c r="F56" s="64">
        <v>5.78</v>
      </c>
      <c r="G56" s="64">
        <v>69.33</v>
      </c>
      <c r="H56" s="64">
        <v>74.099999999999994</v>
      </c>
      <c r="I56" s="64">
        <v>5.96</v>
      </c>
      <c r="J56" s="64">
        <v>2.94</v>
      </c>
      <c r="K56" s="64">
        <v>110.78</v>
      </c>
      <c r="L56" s="64">
        <v>21.38</v>
      </c>
      <c r="M56" s="64">
        <v>58.02</v>
      </c>
      <c r="N56" s="64">
        <v>726.8</v>
      </c>
      <c r="O56" s="64">
        <v>0</v>
      </c>
      <c r="P56" s="210" t="s">
        <v>36</v>
      </c>
      <c r="Q56" s="210" t="s">
        <v>36</v>
      </c>
      <c r="S56" s="198"/>
      <c r="T56" s="198"/>
      <c r="U56" s="198"/>
    </row>
    <row r="57" spans="1:21" s="12" customFormat="1" x14ac:dyDescent="0.25">
      <c r="A57" s="215" t="s">
        <v>2408</v>
      </c>
      <c r="B57" s="64">
        <v>2.68</v>
      </c>
      <c r="C57" s="64">
        <v>41.01</v>
      </c>
      <c r="D57" s="64">
        <v>22.19</v>
      </c>
      <c r="E57" s="64">
        <v>6.92</v>
      </c>
      <c r="F57" s="64">
        <v>5.71</v>
      </c>
      <c r="G57" s="64">
        <v>69.33</v>
      </c>
      <c r="H57" s="64">
        <v>74.099999999999994</v>
      </c>
      <c r="I57" s="64">
        <v>6.05</v>
      </c>
      <c r="J57" s="64">
        <v>3.09</v>
      </c>
      <c r="K57" s="64">
        <v>111.72</v>
      </c>
      <c r="L57" s="64">
        <v>21.59</v>
      </c>
      <c r="M57" s="64">
        <v>53.69</v>
      </c>
      <c r="N57" s="64">
        <v>715.6</v>
      </c>
      <c r="O57" s="64">
        <v>0</v>
      </c>
      <c r="P57" s="210" t="s">
        <v>36</v>
      </c>
      <c r="Q57" s="210" t="s">
        <v>36</v>
      </c>
      <c r="S57" s="198"/>
      <c r="T57" s="198"/>
      <c r="U57" s="198"/>
    </row>
    <row r="58" spans="1:21" s="12" customFormat="1" x14ac:dyDescent="0.25">
      <c r="A58" s="215" t="s">
        <v>2409</v>
      </c>
      <c r="B58" s="64">
        <v>2.7</v>
      </c>
      <c r="C58" s="64">
        <v>40.840000000000003</v>
      </c>
      <c r="D58" s="64">
        <v>22.12</v>
      </c>
      <c r="E58" s="64">
        <v>7.09</v>
      </c>
      <c r="F58" s="64">
        <v>5.64</v>
      </c>
      <c r="G58" s="64">
        <v>69.33</v>
      </c>
      <c r="H58" s="64">
        <v>74.099999999999994</v>
      </c>
      <c r="I58" s="64">
        <v>6.31</v>
      </c>
      <c r="J58" s="64">
        <v>2.83</v>
      </c>
      <c r="K58" s="64">
        <v>113.01</v>
      </c>
      <c r="L58" s="64">
        <v>21.99</v>
      </c>
      <c r="M58" s="64">
        <v>51.85</v>
      </c>
      <c r="N58" s="64">
        <v>682</v>
      </c>
      <c r="O58" s="64">
        <v>0</v>
      </c>
      <c r="P58" s="210" t="s">
        <v>36</v>
      </c>
      <c r="Q58" s="210" t="s">
        <v>36</v>
      </c>
      <c r="S58" s="198"/>
      <c r="T58" s="198"/>
      <c r="U58" s="198"/>
    </row>
    <row r="59" spans="1:21" s="12" customFormat="1" x14ac:dyDescent="0.25">
      <c r="A59" s="215" t="s">
        <v>2410</v>
      </c>
      <c r="B59" s="64">
        <v>2.81</v>
      </c>
      <c r="C59" s="64">
        <v>40.82</v>
      </c>
      <c r="D59" s="64">
        <v>22.2</v>
      </c>
      <c r="E59" s="64">
        <v>7.23</v>
      </c>
      <c r="F59" s="64">
        <v>5.88</v>
      </c>
      <c r="G59" s="212" t="s">
        <v>40</v>
      </c>
      <c r="H59" s="212" t="s">
        <v>40</v>
      </c>
      <c r="I59" s="64">
        <v>6.48</v>
      </c>
      <c r="J59" s="64">
        <v>1.04</v>
      </c>
      <c r="K59" s="64">
        <v>351.41</v>
      </c>
      <c r="L59" s="64">
        <v>23.71</v>
      </c>
      <c r="M59" s="64">
        <v>44.46</v>
      </c>
      <c r="N59" s="64">
        <v>667.9</v>
      </c>
      <c r="O59" s="64">
        <v>0</v>
      </c>
      <c r="P59" s="210" t="s">
        <v>36</v>
      </c>
      <c r="Q59" s="210" t="s">
        <v>36</v>
      </c>
      <c r="S59" s="198"/>
      <c r="T59" s="198"/>
      <c r="U59" s="198"/>
    </row>
    <row r="60" spans="1:21" s="12" customFormat="1" x14ac:dyDescent="0.25">
      <c r="A60" s="215" t="s">
        <v>2411</v>
      </c>
      <c r="B60" s="64">
        <v>3.2</v>
      </c>
      <c r="C60" s="64">
        <v>42.08</v>
      </c>
      <c r="D60" s="64">
        <v>23.18</v>
      </c>
      <c r="E60" s="64">
        <v>7.05</v>
      </c>
      <c r="F60" s="64">
        <v>4.97</v>
      </c>
      <c r="G60" s="212" t="s">
        <v>40</v>
      </c>
      <c r="H60" s="212" t="s">
        <v>40</v>
      </c>
      <c r="I60" s="64">
        <v>6.16</v>
      </c>
      <c r="J60" s="64">
        <v>1.01</v>
      </c>
      <c r="K60" s="64">
        <v>13.07</v>
      </c>
      <c r="L60" s="64">
        <v>24.25</v>
      </c>
      <c r="M60" s="64">
        <v>40.119999999999997</v>
      </c>
      <c r="N60" s="64">
        <v>588.70000000000005</v>
      </c>
      <c r="O60" s="64">
        <v>0</v>
      </c>
      <c r="P60" s="210" t="s">
        <v>36</v>
      </c>
      <c r="Q60" s="210" t="s">
        <v>36</v>
      </c>
      <c r="S60" s="198"/>
      <c r="T60" s="198"/>
      <c r="U60" s="198"/>
    </row>
    <row r="61" spans="1:21" s="12" customFormat="1" x14ac:dyDescent="0.25">
      <c r="A61" s="215" t="s">
        <v>2412</v>
      </c>
      <c r="B61" s="64">
        <v>3.74</v>
      </c>
      <c r="C61" s="64">
        <v>43.03</v>
      </c>
      <c r="D61" s="64">
        <v>24.1</v>
      </c>
      <c r="E61" s="64">
        <v>7.04</v>
      </c>
      <c r="F61" s="64">
        <v>4.68</v>
      </c>
      <c r="G61" s="212" t="s">
        <v>40</v>
      </c>
      <c r="H61" s="212" t="s">
        <v>40</v>
      </c>
      <c r="I61" s="64">
        <v>5.74</v>
      </c>
      <c r="J61" s="64">
        <v>1.25</v>
      </c>
      <c r="K61" s="64">
        <v>88.44</v>
      </c>
      <c r="L61" s="64">
        <v>24.29</v>
      </c>
      <c r="M61" s="64">
        <v>39.56</v>
      </c>
      <c r="N61" s="64">
        <v>620</v>
      </c>
      <c r="O61" s="64">
        <v>0</v>
      </c>
      <c r="P61" s="210" t="s">
        <v>36</v>
      </c>
      <c r="Q61" s="210" t="s">
        <v>36</v>
      </c>
      <c r="S61" s="198"/>
      <c r="T61" s="198"/>
      <c r="U61" s="198"/>
    </row>
    <row r="62" spans="1:21" s="12" customFormat="1" x14ac:dyDescent="0.25">
      <c r="A62" s="215" t="s">
        <v>2413</v>
      </c>
      <c r="B62" s="64">
        <v>4.12</v>
      </c>
      <c r="C62" s="64">
        <v>45.8</v>
      </c>
      <c r="D62" s="64">
        <v>25.86</v>
      </c>
      <c r="E62" s="64">
        <v>6.52</v>
      </c>
      <c r="F62" s="64">
        <v>6.32</v>
      </c>
      <c r="G62" s="212" t="s">
        <v>40</v>
      </c>
      <c r="H62" s="212" t="s">
        <v>40</v>
      </c>
      <c r="I62" s="64">
        <v>6.05</v>
      </c>
      <c r="J62" s="64">
        <v>1.57</v>
      </c>
      <c r="K62" s="64">
        <v>327.08999999999997</v>
      </c>
      <c r="L62" s="64">
        <v>23.95</v>
      </c>
      <c r="M62" s="64">
        <v>37.840000000000003</v>
      </c>
      <c r="N62" s="64">
        <v>582.4</v>
      </c>
      <c r="O62" s="64">
        <v>0</v>
      </c>
      <c r="P62" s="210" t="s">
        <v>36</v>
      </c>
      <c r="Q62" s="210" t="s">
        <v>36</v>
      </c>
      <c r="S62" s="198"/>
      <c r="T62" s="198"/>
      <c r="U62" s="198"/>
    </row>
    <row r="63" spans="1:21" s="12" customFormat="1" x14ac:dyDescent="0.25">
      <c r="A63" s="215" t="s">
        <v>2414</v>
      </c>
      <c r="B63" s="64">
        <v>3.78</v>
      </c>
      <c r="C63" s="64">
        <v>49.4</v>
      </c>
      <c r="D63" s="64">
        <v>27.46</v>
      </c>
      <c r="E63" s="64">
        <v>7.44</v>
      </c>
      <c r="F63" s="64">
        <v>6.35</v>
      </c>
      <c r="G63" s="64">
        <v>18.07</v>
      </c>
      <c r="H63" s="213" t="s">
        <v>42</v>
      </c>
      <c r="I63" s="64">
        <v>6.47</v>
      </c>
      <c r="J63" s="64">
        <v>1.51</v>
      </c>
      <c r="K63" s="64">
        <v>341.26</v>
      </c>
      <c r="L63" s="64">
        <v>25.15</v>
      </c>
      <c r="M63" s="64">
        <v>35.119999999999997</v>
      </c>
      <c r="N63" s="64">
        <v>559.20000000000005</v>
      </c>
      <c r="O63" s="64">
        <v>0</v>
      </c>
      <c r="P63" s="210" t="s">
        <v>36</v>
      </c>
      <c r="Q63" s="210" t="s">
        <v>36</v>
      </c>
      <c r="S63" s="198"/>
      <c r="T63" s="198"/>
      <c r="U63" s="198"/>
    </row>
    <row r="64" spans="1:21" s="12" customFormat="1" x14ac:dyDescent="0.25">
      <c r="A64" s="215" t="s">
        <v>2415</v>
      </c>
      <c r="B64" s="64">
        <v>3.99</v>
      </c>
      <c r="C64" s="64">
        <v>49.85</v>
      </c>
      <c r="D64" s="64">
        <v>27.87</v>
      </c>
      <c r="E64" s="64">
        <v>6.91</v>
      </c>
      <c r="F64" s="64">
        <v>4.9800000000000004</v>
      </c>
      <c r="G64" s="64">
        <v>25.81</v>
      </c>
      <c r="H64" s="213" t="s">
        <v>42</v>
      </c>
      <c r="I64" s="64">
        <v>5.87</v>
      </c>
      <c r="J64" s="64">
        <v>2.67</v>
      </c>
      <c r="K64" s="64">
        <v>115.85</v>
      </c>
      <c r="L64" s="64">
        <v>23.42</v>
      </c>
      <c r="M64" s="64">
        <v>36.380000000000003</v>
      </c>
      <c r="N64" s="64">
        <v>548.5</v>
      </c>
      <c r="O64" s="64">
        <v>0</v>
      </c>
      <c r="P64" s="210" t="s">
        <v>36</v>
      </c>
      <c r="Q64" s="210" t="s">
        <v>36</v>
      </c>
      <c r="S64" s="198"/>
      <c r="T64" s="198"/>
      <c r="U64" s="198"/>
    </row>
    <row r="65" spans="1:21" s="12" customFormat="1" x14ac:dyDescent="0.25">
      <c r="A65" s="215" t="s">
        <v>2416</v>
      </c>
      <c r="B65" s="64">
        <v>4.24</v>
      </c>
      <c r="C65" s="64">
        <v>42.73</v>
      </c>
      <c r="D65" s="64">
        <v>24.35</v>
      </c>
      <c r="E65" s="64">
        <v>6.46</v>
      </c>
      <c r="F65" s="64">
        <v>4.47</v>
      </c>
      <c r="G65" s="64">
        <v>25.81</v>
      </c>
      <c r="H65" s="213" t="s">
        <v>42</v>
      </c>
      <c r="I65" s="64">
        <v>5.13</v>
      </c>
      <c r="J65" s="64">
        <v>0.66</v>
      </c>
      <c r="K65" s="64">
        <v>51.84</v>
      </c>
      <c r="L65" s="64">
        <v>23.37</v>
      </c>
      <c r="M65" s="64">
        <v>37.049999999999997</v>
      </c>
      <c r="N65" s="64">
        <v>255</v>
      </c>
      <c r="O65" s="64">
        <v>0</v>
      </c>
      <c r="P65" s="210" t="s">
        <v>36</v>
      </c>
      <c r="Q65" s="210" t="s">
        <v>36</v>
      </c>
      <c r="S65" s="198"/>
      <c r="T65" s="198"/>
      <c r="U65" s="198"/>
    </row>
    <row r="66" spans="1:21" s="12" customFormat="1" x14ac:dyDescent="0.25">
      <c r="A66" s="215" t="s">
        <v>2417</v>
      </c>
      <c r="B66" s="64">
        <v>4.54</v>
      </c>
      <c r="C66" s="64">
        <v>44.26</v>
      </c>
      <c r="D66" s="64">
        <v>25.39</v>
      </c>
      <c r="E66" s="64">
        <v>6.15</v>
      </c>
      <c r="F66" s="64">
        <v>4.5</v>
      </c>
      <c r="G66" s="64">
        <v>25.81</v>
      </c>
      <c r="H66" s="213" t="s">
        <v>42</v>
      </c>
      <c r="I66" s="64">
        <v>5.41</v>
      </c>
      <c r="J66" s="64">
        <v>1.84</v>
      </c>
      <c r="K66" s="64">
        <v>92.9</v>
      </c>
      <c r="L66" s="64">
        <v>22.89</v>
      </c>
      <c r="M66" s="64">
        <v>37.53</v>
      </c>
      <c r="N66" s="64">
        <v>164.5</v>
      </c>
      <c r="O66" s="64">
        <v>0</v>
      </c>
      <c r="P66" s="210" t="s">
        <v>36</v>
      </c>
      <c r="Q66" s="210" t="s">
        <v>36</v>
      </c>
      <c r="S66" s="198"/>
      <c r="T66" s="198"/>
      <c r="U66" s="198"/>
    </row>
    <row r="67" spans="1:21" s="12" customFormat="1" x14ac:dyDescent="0.25">
      <c r="A67" s="215" t="s">
        <v>2418</v>
      </c>
      <c r="B67" s="64">
        <v>4.75</v>
      </c>
      <c r="C67" s="64">
        <v>48.89</v>
      </c>
      <c r="D67" s="64">
        <v>27.97</v>
      </c>
      <c r="E67" s="64">
        <v>6.39</v>
      </c>
      <c r="F67" s="64">
        <v>3.86</v>
      </c>
      <c r="G67" s="64">
        <v>35.369999999999997</v>
      </c>
      <c r="H67" s="64">
        <v>2.23</v>
      </c>
      <c r="I67" s="64">
        <v>5.65</v>
      </c>
      <c r="J67" s="64">
        <v>3.37</v>
      </c>
      <c r="K67" s="64">
        <v>120.7</v>
      </c>
      <c r="L67" s="64">
        <v>22.29</v>
      </c>
      <c r="M67" s="64">
        <v>37.83</v>
      </c>
      <c r="N67" s="64">
        <v>161.9</v>
      </c>
      <c r="O67" s="64">
        <v>0</v>
      </c>
      <c r="P67" s="210" t="s">
        <v>36</v>
      </c>
      <c r="Q67" s="210" t="s">
        <v>36</v>
      </c>
      <c r="S67" s="198"/>
      <c r="T67" s="198"/>
      <c r="U67" s="198"/>
    </row>
    <row r="68" spans="1:21" s="12" customFormat="1" x14ac:dyDescent="0.25">
      <c r="A68" s="215" t="s">
        <v>2419</v>
      </c>
      <c r="B68" s="64">
        <v>4.3600000000000003</v>
      </c>
      <c r="C68" s="64">
        <v>42.44</v>
      </c>
      <c r="D68" s="64">
        <v>24.29</v>
      </c>
      <c r="E68" s="64">
        <v>6.4</v>
      </c>
      <c r="F68" s="64">
        <v>4.9400000000000004</v>
      </c>
      <c r="G68" s="64">
        <v>39.47</v>
      </c>
      <c r="H68" s="64">
        <v>2.41</v>
      </c>
      <c r="I68" s="64">
        <v>5.78</v>
      </c>
      <c r="J68" s="64">
        <v>3.03</v>
      </c>
      <c r="K68" s="64">
        <v>110.31</v>
      </c>
      <c r="L68" s="64">
        <v>22.29</v>
      </c>
      <c r="M68" s="64">
        <v>37.200000000000003</v>
      </c>
      <c r="N68" s="64">
        <v>146.69999999999999</v>
      </c>
      <c r="O68" s="64">
        <v>0</v>
      </c>
      <c r="P68" s="210" t="s">
        <v>36</v>
      </c>
      <c r="Q68" s="210" t="s">
        <v>36</v>
      </c>
      <c r="S68" s="198"/>
      <c r="T68" s="198"/>
      <c r="U68" s="198"/>
    </row>
    <row r="69" spans="1:21" s="12" customFormat="1" x14ac:dyDescent="0.25">
      <c r="A69" s="215" t="s">
        <v>2420</v>
      </c>
      <c r="B69" s="64">
        <v>3.47</v>
      </c>
      <c r="C69" s="64">
        <v>45.37</v>
      </c>
      <c r="D69" s="64">
        <v>25.11</v>
      </c>
      <c r="E69" s="64">
        <v>6.29</v>
      </c>
      <c r="F69" s="64">
        <v>5.21</v>
      </c>
      <c r="G69" s="64">
        <v>39.47</v>
      </c>
      <c r="H69" s="64">
        <v>2.41</v>
      </c>
      <c r="I69" s="64">
        <v>5.87</v>
      </c>
      <c r="J69" s="64">
        <v>1.76</v>
      </c>
      <c r="K69" s="64">
        <v>83.34</v>
      </c>
      <c r="L69" s="64">
        <v>22.17</v>
      </c>
      <c r="M69" s="64">
        <v>36.89</v>
      </c>
      <c r="N69" s="64">
        <v>132.69999999999999</v>
      </c>
      <c r="O69" s="64">
        <v>0</v>
      </c>
      <c r="P69" s="210" t="s">
        <v>36</v>
      </c>
      <c r="Q69" s="210" t="s">
        <v>36</v>
      </c>
      <c r="S69" s="198"/>
      <c r="T69" s="198"/>
      <c r="U69" s="198"/>
    </row>
    <row r="70" spans="1:21" s="12" customFormat="1" x14ac:dyDescent="0.25">
      <c r="A70" s="215" t="s">
        <v>2421</v>
      </c>
      <c r="B70" s="64">
        <v>3.6</v>
      </c>
      <c r="C70" s="64">
        <v>44.16</v>
      </c>
      <c r="D70" s="64">
        <v>24.59</v>
      </c>
      <c r="E70" s="64">
        <v>5.9</v>
      </c>
      <c r="F70" s="64">
        <v>4.66</v>
      </c>
      <c r="G70" s="64">
        <v>39.47</v>
      </c>
      <c r="H70" s="64">
        <v>2.41</v>
      </c>
      <c r="I70" s="64">
        <v>5.86</v>
      </c>
      <c r="J70" s="64">
        <v>2.6</v>
      </c>
      <c r="K70" s="64">
        <v>103.43</v>
      </c>
      <c r="L70" s="64">
        <v>21.9</v>
      </c>
      <c r="M70" s="64">
        <v>37.97</v>
      </c>
      <c r="N70" s="64">
        <v>125.3</v>
      </c>
      <c r="O70" s="64">
        <v>0</v>
      </c>
      <c r="P70" s="210" t="s">
        <v>36</v>
      </c>
      <c r="Q70" s="210" t="s">
        <v>36</v>
      </c>
      <c r="S70" s="198"/>
      <c r="T70" s="198"/>
      <c r="U70" s="198"/>
    </row>
    <row r="71" spans="1:21" s="12" customFormat="1" x14ac:dyDescent="0.25">
      <c r="A71" s="215" t="s">
        <v>2422</v>
      </c>
      <c r="B71" s="64">
        <v>4.21</v>
      </c>
      <c r="C71" s="64">
        <v>46.86</v>
      </c>
      <c r="D71" s="64">
        <v>26.48</v>
      </c>
      <c r="E71" s="64">
        <v>6.83</v>
      </c>
      <c r="F71" s="64">
        <v>4.1500000000000004</v>
      </c>
      <c r="G71" s="64">
        <v>37.880000000000003</v>
      </c>
      <c r="H71" s="64">
        <v>10.08</v>
      </c>
      <c r="I71" s="64">
        <v>5.89</v>
      </c>
      <c r="J71" s="64">
        <v>1.2</v>
      </c>
      <c r="K71" s="64">
        <v>99.36</v>
      </c>
      <c r="L71" s="64">
        <v>21.85</v>
      </c>
      <c r="M71" s="64">
        <v>37.17</v>
      </c>
      <c r="N71" s="64">
        <v>116.3</v>
      </c>
      <c r="O71" s="64">
        <v>0</v>
      </c>
      <c r="P71" s="210" t="s">
        <v>36</v>
      </c>
      <c r="Q71" s="210" t="s">
        <v>36</v>
      </c>
      <c r="S71" s="198"/>
      <c r="T71" s="198"/>
      <c r="U71" s="198"/>
    </row>
    <row r="72" spans="1:21" s="12" customFormat="1" x14ac:dyDescent="0.25">
      <c r="A72" s="215" t="s">
        <v>2423</v>
      </c>
      <c r="B72" s="64">
        <v>4.8099999999999996</v>
      </c>
      <c r="C72" s="64">
        <v>43.22</v>
      </c>
      <c r="D72" s="64">
        <v>25.06</v>
      </c>
      <c r="E72" s="64">
        <v>5.61</v>
      </c>
      <c r="F72" s="64">
        <v>5.17</v>
      </c>
      <c r="G72" s="64">
        <v>37.19</v>
      </c>
      <c r="H72" s="64">
        <v>10.7</v>
      </c>
      <c r="I72" s="64">
        <v>5.72</v>
      </c>
      <c r="J72" s="64">
        <v>0.54</v>
      </c>
      <c r="K72" s="64">
        <v>54.23</v>
      </c>
      <c r="L72" s="64">
        <v>21.72</v>
      </c>
      <c r="M72" s="64">
        <v>37.79</v>
      </c>
      <c r="N72" s="64">
        <v>107.9</v>
      </c>
      <c r="O72" s="64">
        <v>0</v>
      </c>
      <c r="P72" s="210" t="s">
        <v>36</v>
      </c>
      <c r="Q72" s="210" t="s">
        <v>36</v>
      </c>
      <c r="S72" s="198"/>
      <c r="T72" s="198"/>
      <c r="U72" s="198"/>
    </row>
    <row r="73" spans="1:21" s="12" customFormat="1" x14ac:dyDescent="0.25">
      <c r="A73" s="215" t="s">
        <v>2424</v>
      </c>
      <c r="B73" s="64">
        <v>5.36</v>
      </c>
      <c r="C73" s="64">
        <v>44.27</v>
      </c>
      <c r="D73" s="64">
        <v>26.05</v>
      </c>
      <c r="E73" s="64">
        <v>4.71</v>
      </c>
      <c r="F73" s="64">
        <v>4.1900000000000004</v>
      </c>
      <c r="G73" s="64">
        <v>37.19</v>
      </c>
      <c r="H73" s="64">
        <v>10.7</v>
      </c>
      <c r="I73" s="64">
        <v>4.63</v>
      </c>
      <c r="J73" s="64">
        <v>1.69</v>
      </c>
      <c r="K73" s="64">
        <v>101.22</v>
      </c>
      <c r="L73" s="64">
        <v>21.53</v>
      </c>
      <c r="M73" s="64">
        <v>36.880000000000003</v>
      </c>
      <c r="N73" s="64">
        <v>100.1</v>
      </c>
      <c r="O73" s="64">
        <v>0</v>
      </c>
      <c r="P73" s="210" t="s">
        <v>36</v>
      </c>
      <c r="Q73" s="210" t="s">
        <v>36</v>
      </c>
      <c r="S73" s="198"/>
      <c r="T73" s="198"/>
      <c r="U73" s="198"/>
    </row>
    <row r="74" spans="1:21" s="12" customFormat="1" x14ac:dyDescent="0.25">
      <c r="A74" s="215" t="s">
        <v>2425</v>
      </c>
      <c r="B74" s="64">
        <v>6.09</v>
      </c>
      <c r="C74" s="64">
        <v>44.91</v>
      </c>
      <c r="D74" s="64">
        <v>26.97</v>
      </c>
      <c r="E74" s="64">
        <v>5.12</v>
      </c>
      <c r="F74" s="64">
        <v>4.1100000000000003</v>
      </c>
      <c r="G74" s="64">
        <v>37.19</v>
      </c>
      <c r="H74" s="64">
        <v>10.7</v>
      </c>
      <c r="I74" s="64">
        <v>4.71</v>
      </c>
      <c r="J74" s="64">
        <v>3.98</v>
      </c>
      <c r="K74" s="64">
        <v>114.49</v>
      </c>
      <c r="L74" s="64">
        <v>21.24</v>
      </c>
      <c r="M74" s="64">
        <v>37.49</v>
      </c>
      <c r="N74" s="64">
        <v>93.1</v>
      </c>
      <c r="O74" s="64">
        <v>0</v>
      </c>
      <c r="P74" s="210" t="s">
        <v>36</v>
      </c>
      <c r="Q74" s="210" t="s">
        <v>36</v>
      </c>
      <c r="S74" s="198"/>
      <c r="T74" s="198"/>
      <c r="U74" s="198"/>
    </row>
    <row r="75" spans="1:21" s="12" customFormat="1" x14ac:dyDescent="0.25">
      <c r="A75" s="215" t="s">
        <v>2426</v>
      </c>
      <c r="B75" s="64">
        <v>6.24</v>
      </c>
      <c r="C75" s="64">
        <v>45.16</v>
      </c>
      <c r="D75" s="64">
        <v>27.23</v>
      </c>
      <c r="E75" s="64">
        <v>5.26</v>
      </c>
      <c r="F75" s="64">
        <v>4.6399999999999997</v>
      </c>
      <c r="G75" s="64">
        <v>37.22</v>
      </c>
      <c r="H75" s="64">
        <v>11.27</v>
      </c>
      <c r="I75" s="64">
        <v>4.88</v>
      </c>
      <c r="J75" s="64">
        <v>1.81</v>
      </c>
      <c r="K75" s="64">
        <v>111.47</v>
      </c>
      <c r="L75" s="64">
        <v>21.01</v>
      </c>
      <c r="M75" s="64">
        <v>38.909999999999997</v>
      </c>
      <c r="N75" s="64">
        <v>84.3</v>
      </c>
      <c r="O75" s="64">
        <v>0</v>
      </c>
      <c r="P75" s="210" t="s">
        <v>36</v>
      </c>
      <c r="Q75" s="210" t="s">
        <v>36</v>
      </c>
      <c r="S75" s="198"/>
      <c r="T75" s="198"/>
      <c r="U75" s="198"/>
    </row>
    <row r="76" spans="1:21" s="12" customFormat="1" x14ac:dyDescent="0.25">
      <c r="A76" s="215" t="s">
        <v>2427</v>
      </c>
      <c r="B76" s="64">
        <v>5.37</v>
      </c>
      <c r="C76" s="64">
        <v>46.09</v>
      </c>
      <c r="D76" s="64">
        <v>27.01</v>
      </c>
      <c r="E76" s="64">
        <v>5.78</v>
      </c>
      <c r="F76" s="64">
        <v>5.28</v>
      </c>
      <c r="G76" s="64">
        <v>37.24</v>
      </c>
      <c r="H76" s="64">
        <v>11.34</v>
      </c>
      <c r="I76" s="64">
        <v>5.14</v>
      </c>
      <c r="J76" s="64">
        <v>3.14</v>
      </c>
      <c r="K76" s="64">
        <v>111.77</v>
      </c>
      <c r="L76" s="64">
        <v>20.79</v>
      </c>
      <c r="M76" s="64">
        <v>39.700000000000003</v>
      </c>
      <c r="N76" s="64">
        <v>77.599999999999994</v>
      </c>
      <c r="O76" s="64">
        <v>0</v>
      </c>
      <c r="P76" s="210" t="s">
        <v>36</v>
      </c>
      <c r="Q76" s="210" t="s">
        <v>36</v>
      </c>
      <c r="S76" s="198"/>
      <c r="T76" s="198"/>
      <c r="U76" s="198"/>
    </row>
    <row r="77" spans="1:21" s="12" customFormat="1" x14ac:dyDescent="0.25">
      <c r="A77" s="215" t="s">
        <v>2428</v>
      </c>
      <c r="B77" s="64">
        <v>4.67</v>
      </c>
      <c r="C77" s="64">
        <v>46.45</v>
      </c>
      <c r="D77" s="64">
        <v>26.64</v>
      </c>
      <c r="E77" s="64">
        <v>5.45</v>
      </c>
      <c r="F77" s="64">
        <v>4.7300000000000004</v>
      </c>
      <c r="G77" s="64">
        <v>37.24</v>
      </c>
      <c r="H77" s="64">
        <v>11.34</v>
      </c>
      <c r="I77" s="64">
        <v>2.9</v>
      </c>
      <c r="J77" s="64">
        <v>3.41</v>
      </c>
      <c r="K77" s="64">
        <v>118.94</v>
      </c>
      <c r="L77" s="64">
        <v>20.51</v>
      </c>
      <c r="M77" s="64">
        <v>40.17</v>
      </c>
      <c r="N77" s="64">
        <v>69.8</v>
      </c>
      <c r="O77" s="64">
        <v>0</v>
      </c>
      <c r="P77" s="210" t="s">
        <v>36</v>
      </c>
      <c r="Q77" s="210" t="s">
        <v>36</v>
      </c>
      <c r="S77" s="198"/>
      <c r="T77" s="198"/>
      <c r="U77" s="198"/>
    </row>
    <row r="78" spans="1:21" s="12" customFormat="1" x14ac:dyDescent="0.25">
      <c r="A78" s="215" t="s">
        <v>2429</v>
      </c>
      <c r="B78" s="64">
        <v>4.58</v>
      </c>
      <c r="C78" s="64">
        <v>46.61</v>
      </c>
      <c r="D78" s="64">
        <v>26.64</v>
      </c>
      <c r="E78" s="64">
        <v>6.13</v>
      </c>
      <c r="F78" s="64">
        <v>5.41</v>
      </c>
      <c r="G78" s="64">
        <v>37.24</v>
      </c>
      <c r="H78" s="64">
        <v>11.34</v>
      </c>
      <c r="I78" s="64">
        <v>3.76</v>
      </c>
      <c r="J78" s="64">
        <v>1.53</v>
      </c>
      <c r="K78" s="64">
        <v>105.85</v>
      </c>
      <c r="L78" s="64">
        <v>20.13</v>
      </c>
      <c r="M78" s="64">
        <v>42.14</v>
      </c>
      <c r="N78" s="64">
        <v>63.7</v>
      </c>
      <c r="O78" s="64">
        <v>0</v>
      </c>
      <c r="P78" s="210" t="s">
        <v>36</v>
      </c>
      <c r="Q78" s="210" t="s">
        <v>36</v>
      </c>
      <c r="S78" s="198"/>
      <c r="T78" s="198"/>
      <c r="U78" s="198"/>
    </row>
    <row r="79" spans="1:21" s="12" customFormat="1" x14ac:dyDescent="0.25">
      <c r="A79" s="215" t="s">
        <v>2430</v>
      </c>
      <c r="B79" s="64">
        <v>3.72</v>
      </c>
      <c r="C79" s="64">
        <v>51.87</v>
      </c>
      <c r="D79" s="64">
        <v>28.7</v>
      </c>
      <c r="E79" s="64">
        <v>6.34</v>
      </c>
      <c r="F79" s="64">
        <v>5.88</v>
      </c>
      <c r="G79" s="64">
        <v>39.950000000000003</v>
      </c>
      <c r="H79" s="64">
        <v>12.04</v>
      </c>
      <c r="I79" s="64">
        <v>3.53</v>
      </c>
      <c r="J79" s="64">
        <v>0.96</v>
      </c>
      <c r="K79" s="64">
        <v>31.7</v>
      </c>
      <c r="L79" s="64">
        <v>19.440000000000001</v>
      </c>
      <c r="M79" s="64">
        <v>45.53</v>
      </c>
      <c r="N79" s="64">
        <v>60.3</v>
      </c>
      <c r="O79" s="64">
        <v>0</v>
      </c>
      <c r="P79" s="210" t="s">
        <v>36</v>
      </c>
      <c r="Q79" s="210" t="s">
        <v>36</v>
      </c>
      <c r="S79" s="198"/>
      <c r="T79" s="198"/>
      <c r="U79" s="198"/>
    </row>
    <row r="80" spans="1:21" s="12" customFormat="1" x14ac:dyDescent="0.25">
      <c r="A80" s="215" t="s">
        <v>2431</v>
      </c>
      <c r="B80" s="64">
        <v>3.76</v>
      </c>
      <c r="C80" s="64">
        <v>52.57</v>
      </c>
      <c r="D80" s="64">
        <v>29.11</v>
      </c>
      <c r="E80" s="64">
        <v>6.32</v>
      </c>
      <c r="F80" s="64">
        <v>4.41</v>
      </c>
      <c r="G80" s="64">
        <v>41.11</v>
      </c>
      <c r="H80" s="64">
        <v>12.09</v>
      </c>
      <c r="I80" s="64">
        <v>3.58</v>
      </c>
      <c r="J80" s="64">
        <v>2.04</v>
      </c>
      <c r="K80" s="64">
        <v>325.55</v>
      </c>
      <c r="L80" s="64">
        <v>18.79</v>
      </c>
      <c r="M80" s="64">
        <v>48.76</v>
      </c>
      <c r="N80" s="64">
        <v>57.8</v>
      </c>
      <c r="O80" s="64">
        <v>0</v>
      </c>
      <c r="P80" s="210" t="s">
        <v>36</v>
      </c>
      <c r="Q80" s="210" t="s">
        <v>36</v>
      </c>
      <c r="S80" s="198"/>
      <c r="T80" s="198"/>
      <c r="U80" s="198"/>
    </row>
    <row r="81" spans="1:26" s="12" customFormat="1" x14ac:dyDescent="0.25">
      <c r="A81" s="215" t="s">
        <v>2432</v>
      </c>
      <c r="B81" s="64">
        <v>5</v>
      </c>
      <c r="C81" s="64">
        <v>53.21</v>
      </c>
      <c r="D81" s="64">
        <v>30.43</v>
      </c>
      <c r="E81" s="64">
        <v>5.88</v>
      </c>
      <c r="F81" s="64">
        <v>3.99</v>
      </c>
      <c r="G81" s="64">
        <v>41.11</v>
      </c>
      <c r="H81" s="64">
        <v>12.09</v>
      </c>
      <c r="I81" s="64">
        <v>5.18</v>
      </c>
      <c r="J81" s="64">
        <v>1.67</v>
      </c>
      <c r="K81" s="64">
        <v>330.37</v>
      </c>
      <c r="L81" s="64">
        <v>18.3</v>
      </c>
      <c r="M81" s="64">
        <v>52.06</v>
      </c>
      <c r="N81" s="64">
        <v>60.4</v>
      </c>
      <c r="O81" s="64">
        <v>0</v>
      </c>
      <c r="P81" s="210" t="s">
        <v>36</v>
      </c>
      <c r="Q81" s="210" t="s">
        <v>36</v>
      </c>
      <c r="S81" s="198"/>
      <c r="T81" s="198"/>
      <c r="U81" s="198"/>
    </row>
    <row r="82" spans="1:26" s="12" customFormat="1" x14ac:dyDescent="0.25">
      <c r="A82" s="215" t="s">
        <v>2433</v>
      </c>
      <c r="B82" s="64">
        <v>8.57</v>
      </c>
      <c r="C82" s="64">
        <v>52.68</v>
      </c>
      <c r="D82" s="64">
        <v>33.020000000000003</v>
      </c>
      <c r="E82" s="64">
        <v>6.12</v>
      </c>
      <c r="F82" s="64">
        <v>3.85</v>
      </c>
      <c r="G82" s="64">
        <v>41.11</v>
      </c>
      <c r="H82" s="64">
        <v>12.09</v>
      </c>
      <c r="I82" s="64">
        <v>5.67</v>
      </c>
      <c r="J82" s="64">
        <v>2.54</v>
      </c>
      <c r="K82" s="64">
        <v>312.43</v>
      </c>
      <c r="L82" s="64">
        <v>17.899999999999999</v>
      </c>
      <c r="M82" s="64">
        <v>56.9</v>
      </c>
      <c r="N82" s="64">
        <v>60.2</v>
      </c>
      <c r="O82" s="64">
        <v>0</v>
      </c>
      <c r="P82" s="210" t="s">
        <v>36</v>
      </c>
      <c r="Q82" s="210" t="s">
        <v>36</v>
      </c>
      <c r="S82" s="198"/>
      <c r="T82" s="198"/>
      <c r="U82" s="198"/>
    </row>
    <row r="83" spans="1:26" s="12" customFormat="1" x14ac:dyDescent="0.25">
      <c r="A83" s="215" t="s">
        <v>2434</v>
      </c>
      <c r="B83" s="64">
        <v>14.88</v>
      </c>
      <c r="C83" s="64">
        <v>56.9</v>
      </c>
      <c r="D83" s="64">
        <v>40.28</v>
      </c>
      <c r="E83" s="64">
        <v>7.24</v>
      </c>
      <c r="F83" s="64">
        <v>3.67</v>
      </c>
      <c r="G83" s="64">
        <v>100.12</v>
      </c>
      <c r="H83" s="64">
        <v>20.67</v>
      </c>
      <c r="I83" s="64">
        <v>5.77</v>
      </c>
      <c r="J83" s="64">
        <v>2.88</v>
      </c>
      <c r="K83" s="64">
        <v>316.16000000000003</v>
      </c>
      <c r="L83" s="64">
        <v>17.489999999999998</v>
      </c>
      <c r="M83" s="64">
        <v>58.3</v>
      </c>
      <c r="N83" s="64">
        <v>60.2</v>
      </c>
      <c r="O83" s="64">
        <v>0</v>
      </c>
      <c r="P83" s="210" t="s">
        <v>36</v>
      </c>
      <c r="Q83" s="210" t="s">
        <v>36</v>
      </c>
      <c r="S83" s="198"/>
      <c r="T83" s="198"/>
      <c r="U83" s="198"/>
    </row>
    <row r="84" spans="1:26" s="12" customFormat="1" x14ac:dyDescent="0.25">
      <c r="A84" s="215" t="s">
        <v>2435</v>
      </c>
      <c r="B84" s="64">
        <v>19.86</v>
      </c>
      <c r="C84" s="64">
        <v>55.23</v>
      </c>
      <c r="D84" s="64">
        <v>43.4</v>
      </c>
      <c r="E84" s="64">
        <v>7.11</v>
      </c>
      <c r="F84" s="64">
        <v>3.6</v>
      </c>
      <c r="G84" s="64">
        <v>126.77</v>
      </c>
      <c r="H84" s="64">
        <v>21.36</v>
      </c>
      <c r="I84" s="64">
        <v>6.12</v>
      </c>
      <c r="J84" s="64">
        <v>1.69</v>
      </c>
      <c r="K84" s="64">
        <v>269.52999999999997</v>
      </c>
      <c r="L84" s="64">
        <v>17.29</v>
      </c>
      <c r="M84" s="64">
        <v>56.55</v>
      </c>
      <c r="N84" s="64">
        <v>60</v>
      </c>
      <c r="O84" s="64">
        <v>0</v>
      </c>
      <c r="P84" s="210" t="s">
        <v>36</v>
      </c>
      <c r="Q84" s="210" t="s">
        <v>36</v>
      </c>
      <c r="S84" s="198"/>
      <c r="T84" s="198"/>
      <c r="U84" s="198"/>
    </row>
    <row r="85" spans="1:26" s="12" customFormat="1" x14ac:dyDescent="0.25">
      <c r="A85" s="215" t="s">
        <v>2436</v>
      </c>
      <c r="B85" s="64">
        <v>21.61</v>
      </c>
      <c r="C85" s="64">
        <v>58.14</v>
      </c>
      <c r="D85" s="64">
        <v>46.33</v>
      </c>
      <c r="E85" s="64">
        <v>6.71</v>
      </c>
      <c r="F85" s="64">
        <v>3.48</v>
      </c>
      <c r="G85" s="64">
        <v>126.77</v>
      </c>
      <c r="H85" s="64">
        <v>21.36</v>
      </c>
      <c r="I85" s="64">
        <v>6.69</v>
      </c>
      <c r="J85" s="64">
        <v>2.59</v>
      </c>
      <c r="K85" s="64">
        <v>254.52</v>
      </c>
      <c r="L85" s="64">
        <v>16.98</v>
      </c>
      <c r="M85" s="64">
        <v>59.84</v>
      </c>
      <c r="N85" s="64">
        <v>60.2</v>
      </c>
      <c r="O85" s="64">
        <v>0</v>
      </c>
      <c r="P85" s="210" t="s">
        <v>36</v>
      </c>
      <c r="Q85" s="210" t="s">
        <v>36</v>
      </c>
      <c r="S85" s="198"/>
      <c r="T85" s="198"/>
      <c r="U85" s="198"/>
    </row>
    <row r="86" spans="1:26" s="12" customFormat="1" x14ac:dyDescent="0.25">
      <c r="A86" s="215" t="s">
        <v>2437</v>
      </c>
      <c r="B86" s="64">
        <v>24.15</v>
      </c>
      <c r="C86" s="64">
        <v>56.7</v>
      </c>
      <c r="D86" s="64">
        <v>47.61</v>
      </c>
      <c r="E86" s="64">
        <v>6.72</v>
      </c>
      <c r="F86" s="64">
        <v>3.56</v>
      </c>
      <c r="G86" s="64">
        <v>126.77</v>
      </c>
      <c r="H86" s="64">
        <v>21.36</v>
      </c>
      <c r="I86" s="64">
        <v>6.88</v>
      </c>
      <c r="J86" s="64">
        <v>0.21</v>
      </c>
      <c r="K86" s="64">
        <v>170.85</v>
      </c>
      <c r="L86" s="64">
        <v>17.09</v>
      </c>
      <c r="M86" s="64">
        <v>58.84</v>
      </c>
      <c r="N86" s="64">
        <v>59.6</v>
      </c>
      <c r="O86" s="64">
        <v>0</v>
      </c>
      <c r="P86" s="210" t="s">
        <v>36</v>
      </c>
      <c r="Q86" s="210" t="s">
        <v>36</v>
      </c>
      <c r="S86" s="198"/>
      <c r="T86" s="198"/>
      <c r="U86" s="198"/>
    </row>
    <row r="87" spans="1:26" s="12" customFormat="1" x14ac:dyDescent="0.25">
      <c r="A87" s="215" t="s">
        <v>2438</v>
      </c>
      <c r="B87" s="64">
        <v>25.87</v>
      </c>
      <c r="C87" s="64">
        <v>57.97</v>
      </c>
      <c r="D87" s="64">
        <v>49.66</v>
      </c>
      <c r="E87" s="64">
        <v>6.57</v>
      </c>
      <c r="F87" s="64">
        <v>3.68</v>
      </c>
      <c r="G87" s="64">
        <v>110.02</v>
      </c>
      <c r="H87" s="64">
        <v>25.52</v>
      </c>
      <c r="I87" s="64">
        <v>6.99</v>
      </c>
      <c r="J87" s="64">
        <v>1.54</v>
      </c>
      <c r="K87" s="64">
        <v>318.52999999999997</v>
      </c>
      <c r="L87" s="64">
        <v>17.21</v>
      </c>
      <c r="M87" s="64">
        <v>57.52</v>
      </c>
      <c r="N87" s="64">
        <v>59.8</v>
      </c>
      <c r="O87" s="64">
        <v>0</v>
      </c>
      <c r="P87" s="210" t="s">
        <v>36</v>
      </c>
      <c r="Q87" s="210" t="s">
        <v>36</v>
      </c>
      <c r="S87" s="198"/>
      <c r="T87" s="198"/>
      <c r="U87" s="198"/>
    </row>
    <row r="88" spans="1:26" s="12" customFormat="1" x14ac:dyDescent="0.25">
      <c r="A88" s="215" t="s">
        <v>2439</v>
      </c>
      <c r="B88" s="64">
        <v>26.76</v>
      </c>
      <c r="C88" s="64">
        <v>55.14</v>
      </c>
      <c r="D88" s="64">
        <v>48.89</v>
      </c>
      <c r="E88" s="64">
        <v>6.52</v>
      </c>
      <c r="F88" s="64">
        <v>3.63</v>
      </c>
      <c r="G88" s="64">
        <v>102.84</v>
      </c>
      <c r="H88" s="64">
        <v>25.86</v>
      </c>
      <c r="I88" s="64">
        <v>7.02</v>
      </c>
      <c r="J88" s="64">
        <v>0.77</v>
      </c>
      <c r="K88" s="64">
        <v>124.33</v>
      </c>
      <c r="L88" s="64">
        <v>17.190000000000001</v>
      </c>
      <c r="M88" s="64">
        <v>57.33</v>
      </c>
      <c r="N88" s="64">
        <v>59.7</v>
      </c>
      <c r="O88" s="64">
        <v>0</v>
      </c>
      <c r="P88" s="210" t="s">
        <v>36</v>
      </c>
      <c r="Q88" s="210" t="s">
        <v>36</v>
      </c>
      <c r="S88" s="198"/>
      <c r="T88" s="198"/>
      <c r="U88" s="198"/>
    </row>
    <row r="89" spans="1:26" s="12" customFormat="1" x14ac:dyDescent="0.25">
      <c r="A89" s="215" t="s">
        <v>2440</v>
      </c>
      <c r="B89" s="64">
        <v>27.14</v>
      </c>
      <c r="C89" s="64">
        <v>53.57</v>
      </c>
      <c r="D89" s="64">
        <v>48.38</v>
      </c>
      <c r="E89" s="64">
        <v>6.58</v>
      </c>
      <c r="F89" s="64">
        <v>3.83</v>
      </c>
      <c r="G89" s="64">
        <v>102.84</v>
      </c>
      <c r="H89" s="64">
        <v>25.86</v>
      </c>
      <c r="I89" s="64">
        <v>6.98</v>
      </c>
      <c r="J89" s="64">
        <v>0.75</v>
      </c>
      <c r="K89" s="64">
        <v>341.51</v>
      </c>
      <c r="L89" s="64">
        <v>17.350000000000001</v>
      </c>
      <c r="M89" s="64">
        <v>56.52</v>
      </c>
      <c r="N89" s="64">
        <v>59.8</v>
      </c>
      <c r="O89" s="64">
        <v>0</v>
      </c>
      <c r="P89" s="210" t="s">
        <v>36</v>
      </c>
      <c r="Q89" s="210" t="s">
        <v>36</v>
      </c>
      <c r="S89" s="198"/>
      <c r="T89" s="198"/>
      <c r="U89" s="198"/>
    </row>
    <row r="90" spans="1:26" s="12" customFormat="1" x14ac:dyDescent="0.25">
      <c r="A90" s="215" t="s">
        <v>2441</v>
      </c>
      <c r="B90" s="64">
        <v>27.34</v>
      </c>
      <c r="C90" s="64">
        <v>53.07</v>
      </c>
      <c r="D90" s="64">
        <v>48.27</v>
      </c>
      <c r="E90" s="64">
        <v>6.19</v>
      </c>
      <c r="F90" s="64">
        <v>3.96</v>
      </c>
      <c r="G90" s="64">
        <v>102.84</v>
      </c>
      <c r="H90" s="64">
        <v>25.86</v>
      </c>
      <c r="I90" s="64">
        <v>5.75</v>
      </c>
      <c r="J90" s="64">
        <v>2.68</v>
      </c>
      <c r="K90" s="64">
        <v>101.79</v>
      </c>
      <c r="L90" s="64">
        <v>17.52</v>
      </c>
      <c r="M90" s="64">
        <v>54.95</v>
      </c>
      <c r="N90" s="64">
        <v>59.2</v>
      </c>
      <c r="O90" s="64">
        <v>0</v>
      </c>
      <c r="P90" s="210" t="s">
        <v>36</v>
      </c>
      <c r="Q90" s="210" t="s">
        <v>36</v>
      </c>
      <c r="S90" s="198"/>
      <c r="T90" s="198"/>
      <c r="U90" s="198"/>
    </row>
    <row r="91" spans="1:26" s="12" customFormat="1" x14ac:dyDescent="0.25">
      <c r="A91" s="215" t="s">
        <v>2442</v>
      </c>
      <c r="B91" s="64">
        <v>27.56</v>
      </c>
      <c r="C91" s="64">
        <v>52.68</v>
      </c>
      <c r="D91" s="64">
        <v>48.24</v>
      </c>
      <c r="E91" s="64">
        <v>6.3</v>
      </c>
      <c r="F91" s="64">
        <v>3.7</v>
      </c>
      <c r="G91" s="64">
        <v>90.37</v>
      </c>
      <c r="H91" s="64">
        <v>29.44</v>
      </c>
      <c r="I91" s="64">
        <v>5.48</v>
      </c>
      <c r="J91" s="64">
        <v>3.63</v>
      </c>
      <c r="K91" s="64">
        <v>111.19</v>
      </c>
      <c r="L91" s="64">
        <v>17.920000000000002</v>
      </c>
      <c r="M91" s="64">
        <v>54</v>
      </c>
      <c r="N91" s="64">
        <v>59.1</v>
      </c>
      <c r="O91" s="64">
        <v>0</v>
      </c>
      <c r="P91" s="210" t="s">
        <v>36</v>
      </c>
      <c r="Q91" s="210" t="s">
        <v>36</v>
      </c>
      <c r="S91" s="198"/>
      <c r="T91" s="198"/>
      <c r="U91" s="198"/>
    </row>
    <row r="92" spans="1:26" s="12" customFormat="1" x14ac:dyDescent="0.25">
      <c r="A92" s="215" t="s">
        <v>2443</v>
      </c>
      <c r="B92" s="64">
        <v>27.34</v>
      </c>
      <c r="C92" s="64">
        <v>52.53</v>
      </c>
      <c r="D92" s="64">
        <v>47.99</v>
      </c>
      <c r="E92" s="64">
        <v>5.97</v>
      </c>
      <c r="F92" s="64">
        <v>3.75</v>
      </c>
      <c r="G92" s="64">
        <v>85.03</v>
      </c>
      <c r="H92" s="64">
        <v>29.91</v>
      </c>
      <c r="I92" s="64">
        <v>5.33</v>
      </c>
      <c r="J92" s="64">
        <v>3.81</v>
      </c>
      <c r="K92" s="64">
        <v>101.4</v>
      </c>
      <c r="L92" s="64">
        <v>17.86</v>
      </c>
      <c r="M92" s="64">
        <v>55.29</v>
      </c>
      <c r="N92" s="64">
        <v>59.7</v>
      </c>
      <c r="O92" s="64">
        <v>0</v>
      </c>
      <c r="P92" s="210" t="s">
        <v>36</v>
      </c>
      <c r="Q92" s="210" t="s">
        <v>36</v>
      </c>
      <c r="S92" s="198"/>
      <c r="T92" s="198"/>
      <c r="U92" s="198"/>
    </row>
    <row r="93" spans="1:26" s="12" customFormat="1" x14ac:dyDescent="0.25">
      <c r="A93" s="215" t="s">
        <v>2444</v>
      </c>
      <c r="B93" s="64">
        <v>26.56</v>
      </c>
      <c r="C93" s="64">
        <v>51.79</v>
      </c>
      <c r="D93" s="64">
        <v>46.98</v>
      </c>
      <c r="E93" s="64">
        <v>6.16</v>
      </c>
      <c r="F93" s="64">
        <v>3.92</v>
      </c>
      <c r="G93" s="64">
        <v>85.03</v>
      </c>
      <c r="H93" s="64">
        <v>29.91</v>
      </c>
      <c r="I93" s="64">
        <v>6.51</v>
      </c>
      <c r="J93" s="64">
        <v>3.4</v>
      </c>
      <c r="K93" s="64">
        <v>96.71</v>
      </c>
      <c r="L93" s="64">
        <v>17.649999999999999</v>
      </c>
      <c r="M93" s="64">
        <v>56.64</v>
      </c>
      <c r="N93" s="64">
        <v>60</v>
      </c>
      <c r="O93" s="64">
        <v>0</v>
      </c>
      <c r="P93" s="210" t="s">
        <v>36</v>
      </c>
      <c r="Q93" s="210" t="s">
        <v>36</v>
      </c>
      <c r="S93" s="198"/>
      <c r="T93" s="198"/>
      <c r="U93" s="198"/>
    </row>
    <row r="94" spans="1:26" s="12" customFormat="1" x14ac:dyDescent="0.25">
      <c r="A94" s="215" t="s">
        <v>2445</v>
      </c>
      <c r="B94" s="64">
        <v>25.4</v>
      </c>
      <c r="C94" s="64">
        <v>51.56</v>
      </c>
      <c r="D94" s="64">
        <v>45.94</v>
      </c>
      <c r="E94" s="64">
        <v>5.95</v>
      </c>
      <c r="F94" s="64">
        <v>3.92</v>
      </c>
      <c r="G94" s="64">
        <v>85.03</v>
      </c>
      <c r="H94" s="64">
        <v>29.91</v>
      </c>
      <c r="I94" s="64">
        <v>6.68</v>
      </c>
      <c r="J94" s="64">
        <v>4.0199999999999996</v>
      </c>
      <c r="K94" s="64">
        <v>100.19</v>
      </c>
      <c r="L94" s="64">
        <v>17.53</v>
      </c>
      <c r="M94" s="64">
        <v>57.7</v>
      </c>
      <c r="N94" s="64">
        <v>59.8</v>
      </c>
      <c r="O94" s="64">
        <v>0</v>
      </c>
      <c r="P94" s="210" t="s">
        <v>36</v>
      </c>
      <c r="Q94" s="210" t="s">
        <v>36</v>
      </c>
      <c r="S94" s="198"/>
      <c r="T94" s="198"/>
      <c r="U94" s="198"/>
    </row>
    <row r="95" spans="1:26" s="12" customFormat="1" x14ac:dyDescent="0.25">
      <c r="A95" s="215" t="s">
        <v>2446</v>
      </c>
      <c r="B95" s="64">
        <v>23.88</v>
      </c>
      <c r="C95" s="64">
        <v>51.12</v>
      </c>
      <c r="D95" s="64">
        <v>44.48</v>
      </c>
      <c r="E95" s="64">
        <v>5.98</v>
      </c>
      <c r="F95" s="64">
        <v>3.82</v>
      </c>
      <c r="G95" s="64">
        <v>64.180000000000007</v>
      </c>
      <c r="H95" s="64">
        <v>35.72</v>
      </c>
      <c r="I95" s="64">
        <v>6.59</v>
      </c>
      <c r="J95" s="64">
        <v>4.05</v>
      </c>
      <c r="K95" s="64">
        <v>95.58</v>
      </c>
      <c r="L95" s="64">
        <v>17.45</v>
      </c>
      <c r="M95" s="64">
        <v>58.41</v>
      </c>
      <c r="N95" s="64">
        <v>59.8</v>
      </c>
      <c r="O95" s="64">
        <v>0</v>
      </c>
      <c r="P95" s="210" t="s">
        <v>36</v>
      </c>
      <c r="Q95" s="210" t="s">
        <v>36</v>
      </c>
      <c r="S95" s="198"/>
      <c r="T95" s="198"/>
      <c r="U95" s="198"/>
    </row>
    <row r="96" spans="1:26" s="12" customFormat="1" x14ac:dyDescent="0.25">
      <c r="A96" s="215" t="s">
        <v>2447</v>
      </c>
      <c r="B96" s="64">
        <v>21.96</v>
      </c>
      <c r="C96" s="64">
        <v>51.7</v>
      </c>
      <c r="D96" s="64">
        <v>43.25</v>
      </c>
      <c r="E96" s="64">
        <v>5.68</v>
      </c>
      <c r="F96" s="64">
        <v>4.09</v>
      </c>
      <c r="G96" s="64">
        <v>55.24</v>
      </c>
      <c r="H96" s="64">
        <v>36.19</v>
      </c>
      <c r="I96" s="64">
        <v>7.86</v>
      </c>
      <c r="J96" s="64">
        <v>4.58</v>
      </c>
      <c r="K96" s="64">
        <v>95.5</v>
      </c>
      <c r="L96" s="64">
        <v>17.32</v>
      </c>
      <c r="M96" s="64">
        <v>59.55</v>
      </c>
      <c r="N96" s="64">
        <v>59.9</v>
      </c>
      <c r="O96" s="64">
        <v>0</v>
      </c>
      <c r="P96" s="210" t="s">
        <v>36</v>
      </c>
      <c r="Q96" s="210" t="s">
        <v>36</v>
      </c>
      <c r="S96" s="198"/>
      <c r="T96" s="198"/>
      <c r="U96" s="198"/>
      <c r="Z96" s="109"/>
    </row>
    <row r="97" spans="1:33" s="12" customFormat="1" x14ac:dyDescent="0.25">
      <c r="A97" s="215" t="s">
        <v>2448</v>
      </c>
      <c r="B97" s="64">
        <v>19.48</v>
      </c>
      <c r="C97" s="64">
        <v>53.65</v>
      </c>
      <c r="D97" s="64">
        <v>42.27</v>
      </c>
      <c r="E97" s="64">
        <v>5.61</v>
      </c>
      <c r="F97" s="64">
        <v>4.18</v>
      </c>
      <c r="G97" s="64">
        <v>55.24</v>
      </c>
      <c r="H97" s="64">
        <v>36.19</v>
      </c>
      <c r="I97" s="64">
        <v>8.34</v>
      </c>
      <c r="J97" s="64">
        <v>4.84</v>
      </c>
      <c r="K97" s="64">
        <v>101.98</v>
      </c>
      <c r="L97" s="64">
        <v>17.25</v>
      </c>
      <c r="M97" s="64">
        <v>60.93</v>
      </c>
      <c r="N97" s="64">
        <v>59.9</v>
      </c>
      <c r="O97" s="64">
        <v>0</v>
      </c>
      <c r="P97" s="210" t="s">
        <v>36</v>
      </c>
      <c r="Q97" s="210" t="s">
        <v>36</v>
      </c>
      <c r="S97" s="198"/>
      <c r="T97" s="198"/>
      <c r="U97" s="198"/>
    </row>
    <row r="98" spans="1:33" s="12" customFormat="1" x14ac:dyDescent="0.25">
      <c r="A98" s="215" t="s">
        <v>2449</v>
      </c>
      <c r="B98" s="64">
        <v>16.79</v>
      </c>
      <c r="C98" s="64">
        <v>52.76</v>
      </c>
      <c r="D98" s="64">
        <v>39.65</v>
      </c>
      <c r="E98" s="64">
        <v>5.6</v>
      </c>
      <c r="F98" s="64">
        <v>4.49</v>
      </c>
      <c r="G98" s="64">
        <v>55.24</v>
      </c>
      <c r="H98" s="64">
        <v>36.19</v>
      </c>
      <c r="I98" s="64">
        <v>9.23</v>
      </c>
      <c r="J98" s="64">
        <v>4.57</v>
      </c>
      <c r="K98" s="64">
        <v>104.3</v>
      </c>
      <c r="L98" s="64">
        <v>17.100000000000001</v>
      </c>
      <c r="M98" s="64">
        <v>62.25</v>
      </c>
      <c r="N98" s="64">
        <v>59.9</v>
      </c>
      <c r="O98" s="64">
        <v>0</v>
      </c>
      <c r="P98" s="210" t="s">
        <v>36</v>
      </c>
      <c r="Q98" s="210" t="s">
        <v>36</v>
      </c>
      <c r="S98" s="198"/>
      <c r="T98" s="198"/>
      <c r="U98" s="198"/>
    </row>
    <row r="99" spans="1:33" s="12" customFormat="1" x14ac:dyDescent="0.25">
      <c r="A99" s="215" t="s">
        <v>2450</v>
      </c>
      <c r="B99" s="64">
        <v>14.58</v>
      </c>
      <c r="C99" s="64">
        <v>54.45</v>
      </c>
      <c r="D99" s="64">
        <v>38.76</v>
      </c>
      <c r="E99" s="64">
        <v>5.9</v>
      </c>
      <c r="F99" s="64">
        <v>3.6</v>
      </c>
      <c r="G99" s="64">
        <v>55.78</v>
      </c>
      <c r="H99" s="64">
        <v>28.37</v>
      </c>
      <c r="I99" s="64">
        <v>9.41</v>
      </c>
      <c r="J99" s="64">
        <v>4.16</v>
      </c>
      <c r="K99" s="64">
        <v>105.36</v>
      </c>
      <c r="L99" s="64">
        <v>16.86</v>
      </c>
      <c r="M99" s="64">
        <v>64.239999999999995</v>
      </c>
      <c r="N99" s="64">
        <v>60</v>
      </c>
      <c r="O99" s="64">
        <v>0</v>
      </c>
      <c r="P99" s="210" t="s">
        <v>36</v>
      </c>
      <c r="Q99" s="210" t="s">
        <v>36</v>
      </c>
      <c r="S99" s="198"/>
      <c r="T99" s="198"/>
      <c r="U99" s="198"/>
    </row>
    <row r="100" spans="1:33" s="12" customFormat="1" x14ac:dyDescent="0.25">
      <c r="A100" s="215" t="s">
        <v>2451</v>
      </c>
      <c r="B100" s="64">
        <v>12.8</v>
      </c>
      <c r="C100" s="64">
        <v>52.84</v>
      </c>
      <c r="D100" s="64">
        <v>36.49</v>
      </c>
      <c r="E100" s="64">
        <v>5.78</v>
      </c>
      <c r="F100" s="64">
        <v>3.53</v>
      </c>
      <c r="G100" s="64">
        <v>56.01</v>
      </c>
      <c r="H100" s="64">
        <v>27.87</v>
      </c>
      <c r="I100" s="64">
        <v>9.42</v>
      </c>
      <c r="J100" s="64">
        <v>4.46</v>
      </c>
      <c r="K100" s="64">
        <v>107.33</v>
      </c>
      <c r="L100" s="64">
        <v>16.68</v>
      </c>
      <c r="M100" s="64">
        <v>66.260000000000005</v>
      </c>
      <c r="N100" s="64">
        <v>59</v>
      </c>
      <c r="O100" s="64">
        <v>0</v>
      </c>
      <c r="P100" s="210" t="s">
        <v>36</v>
      </c>
      <c r="Q100" s="210" t="s">
        <v>36</v>
      </c>
      <c r="S100" s="198"/>
      <c r="T100" s="198"/>
      <c r="U100" s="198"/>
      <c r="AB100" s="110"/>
      <c r="AG100" s="109"/>
    </row>
    <row r="101" spans="1:33" s="12" customFormat="1" x14ac:dyDescent="0.25">
      <c r="A101" s="215" t="s">
        <v>2452</v>
      </c>
      <c r="B101" s="64">
        <v>11.33</v>
      </c>
      <c r="C101" s="64">
        <v>52.77</v>
      </c>
      <c r="D101" s="64">
        <v>35.28</v>
      </c>
      <c r="E101" s="64">
        <v>5.48</v>
      </c>
      <c r="F101" s="64">
        <v>3.79</v>
      </c>
      <c r="G101" s="64">
        <v>56.01</v>
      </c>
      <c r="H101" s="64">
        <v>27.87</v>
      </c>
      <c r="I101" s="64">
        <v>9.35</v>
      </c>
      <c r="J101" s="64">
        <v>4.34</v>
      </c>
      <c r="K101" s="64">
        <v>105.87</v>
      </c>
      <c r="L101" s="64">
        <v>16.37</v>
      </c>
      <c r="M101" s="64">
        <v>68.56</v>
      </c>
      <c r="N101" s="64">
        <v>60.2</v>
      </c>
      <c r="O101" s="64">
        <v>0</v>
      </c>
      <c r="P101" s="210" t="s">
        <v>36</v>
      </c>
      <c r="Q101" s="210" t="s">
        <v>36</v>
      </c>
      <c r="S101" s="198"/>
      <c r="T101" s="198"/>
      <c r="U101" s="198"/>
    </row>
    <row r="102" spans="1:33" s="12" customFormat="1" x14ac:dyDescent="0.25">
      <c r="A102" s="215" t="s">
        <v>2453</v>
      </c>
      <c r="B102" s="64">
        <v>10.08</v>
      </c>
      <c r="C102" s="64">
        <v>52.5</v>
      </c>
      <c r="D102" s="64">
        <v>34.130000000000003</v>
      </c>
      <c r="E102" s="64">
        <v>5.4</v>
      </c>
      <c r="F102" s="64">
        <v>3.89</v>
      </c>
      <c r="G102" s="64">
        <v>56.01</v>
      </c>
      <c r="H102" s="64">
        <v>27.87</v>
      </c>
      <c r="I102" s="64">
        <v>9.26</v>
      </c>
      <c r="J102" s="64">
        <v>4.54</v>
      </c>
      <c r="K102" s="64">
        <v>109.07</v>
      </c>
      <c r="L102" s="64">
        <v>16.100000000000001</v>
      </c>
      <c r="M102" s="64">
        <v>70.45</v>
      </c>
      <c r="N102" s="64">
        <v>60.1</v>
      </c>
      <c r="O102" s="64">
        <v>0</v>
      </c>
      <c r="P102" s="210" t="s">
        <v>36</v>
      </c>
      <c r="Q102" s="210" t="s">
        <v>36</v>
      </c>
      <c r="S102" s="198"/>
      <c r="T102" s="198"/>
      <c r="U102" s="198"/>
    </row>
    <row r="103" spans="1:33" s="12" customFormat="1" x14ac:dyDescent="0.25">
      <c r="A103" s="215" t="s">
        <v>2454</v>
      </c>
      <c r="B103" s="64">
        <v>9.1</v>
      </c>
      <c r="C103" s="64">
        <v>51.08</v>
      </c>
      <c r="D103" s="64">
        <v>32.61</v>
      </c>
      <c r="E103" s="64">
        <v>5.03</v>
      </c>
      <c r="F103" s="64">
        <v>3.92</v>
      </c>
      <c r="G103" s="64">
        <v>50.71</v>
      </c>
      <c r="H103" s="64">
        <v>26.24</v>
      </c>
      <c r="I103" s="64">
        <v>9.1300000000000008</v>
      </c>
      <c r="J103" s="64">
        <v>4.93</v>
      </c>
      <c r="K103" s="64">
        <v>114.18</v>
      </c>
      <c r="L103" s="64">
        <v>15.85</v>
      </c>
      <c r="M103" s="64">
        <v>71.95</v>
      </c>
      <c r="N103" s="64">
        <v>60</v>
      </c>
      <c r="O103" s="64">
        <v>0</v>
      </c>
      <c r="P103" s="210" t="s">
        <v>36</v>
      </c>
      <c r="Q103" s="210" t="s">
        <v>36</v>
      </c>
      <c r="S103" s="198"/>
      <c r="T103" s="198"/>
      <c r="U103" s="198"/>
    </row>
    <row r="104" spans="1:33" s="12" customFormat="1" x14ac:dyDescent="0.25">
      <c r="A104" s="215" t="s">
        <v>2455</v>
      </c>
      <c r="B104" s="64">
        <v>8.31</v>
      </c>
      <c r="C104" s="64">
        <v>50.67</v>
      </c>
      <c r="D104" s="64">
        <v>31.77</v>
      </c>
      <c r="E104" s="64">
        <v>5.14</v>
      </c>
      <c r="F104" s="64">
        <v>3.76</v>
      </c>
      <c r="G104" s="64">
        <v>48.44</v>
      </c>
      <c r="H104" s="64">
        <v>26.11</v>
      </c>
      <c r="I104" s="64">
        <v>9.0500000000000007</v>
      </c>
      <c r="J104" s="64">
        <v>4.3099999999999996</v>
      </c>
      <c r="K104" s="64">
        <v>113.93</v>
      </c>
      <c r="L104" s="64">
        <v>15.66</v>
      </c>
      <c r="M104" s="64">
        <v>73.63</v>
      </c>
      <c r="N104" s="64">
        <v>59.9</v>
      </c>
      <c r="O104" s="64">
        <v>0</v>
      </c>
      <c r="P104" s="210" t="s">
        <v>36</v>
      </c>
      <c r="Q104" s="210" t="s">
        <v>36</v>
      </c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2.09</v>
      </c>
      <c r="C106" s="67">
        <f>MIN(C9:C104)</f>
        <v>38.93</v>
      </c>
      <c r="D106" s="67">
        <f t="shared" ref="D106:Q106" si="0">MIN(D9:D104)</f>
        <v>21.69</v>
      </c>
      <c r="E106" s="67">
        <f t="shared" si="0"/>
        <v>4.71</v>
      </c>
      <c r="F106" s="67">
        <f t="shared" si="0"/>
        <v>3.48</v>
      </c>
      <c r="G106" s="67">
        <f t="shared" si="0"/>
        <v>0</v>
      </c>
      <c r="H106" s="67">
        <f t="shared" si="0"/>
        <v>2.23</v>
      </c>
      <c r="I106" s="67">
        <f t="shared" si="0"/>
        <v>2.9</v>
      </c>
      <c r="J106" s="67">
        <f t="shared" si="0"/>
        <v>0.21</v>
      </c>
      <c r="K106" s="67">
        <f t="shared" si="0"/>
        <v>12.23</v>
      </c>
      <c r="L106" s="67">
        <f t="shared" si="0"/>
        <v>0</v>
      </c>
      <c r="M106" s="67">
        <f t="shared" si="0"/>
        <v>35.119999999999997</v>
      </c>
      <c r="N106" s="67">
        <f t="shared" si="0"/>
        <v>42.1</v>
      </c>
      <c r="O106" s="67">
        <f t="shared" si="0"/>
        <v>0</v>
      </c>
      <c r="P106" s="67">
        <f t="shared" si="0"/>
        <v>0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27.56</v>
      </c>
      <c r="C107" s="66">
        <f t="shared" ref="C107:Q107" si="1">MAX(C9:C104)</f>
        <v>58.14</v>
      </c>
      <c r="D107" s="66">
        <f t="shared" si="1"/>
        <v>49.66</v>
      </c>
      <c r="E107" s="66">
        <f t="shared" si="1"/>
        <v>8.89</v>
      </c>
      <c r="F107" s="66">
        <f t="shared" si="1"/>
        <v>14.59</v>
      </c>
      <c r="G107" s="66">
        <f t="shared" si="1"/>
        <v>137.9</v>
      </c>
      <c r="H107" s="66">
        <f t="shared" si="1"/>
        <v>222.43</v>
      </c>
      <c r="I107" s="66">
        <f t="shared" si="1"/>
        <v>9.42</v>
      </c>
      <c r="J107" s="66">
        <f t="shared" si="1"/>
        <v>4.93</v>
      </c>
      <c r="K107" s="66">
        <f t="shared" si="1"/>
        <v>357.99</v>
      </c>
      <c r="L107" s="66">
        <f t="shared" si="1"/>
        <v>25.15</v>
      </c>
      <c r="M107" s="66">
        <f t="shared" si="1"/>
        <v>101.73</v>
      </c>
      <c r="N107" s="66">
        <f t="shared" si="1"/>
        <v>726.8</v>
      </c>
      <c r="O107" s="66">
        <f t="shared" si="1"/>
        <v>0</v>
      </c>
      <c r="P107" s="66">
        <f t="shared" si="1"/>
        <v>0</v>
      </c>
      <c r="Q107" s="66">
        <f t="shared" si="1"/>
        <v>0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11.186458333333333</v>
      </c>
      <c r="C108" s="67">
        <f t="shared" ref="C108:Q108" si="2">AVERAGE(C9:C104)</f>
        <v>46.2809375</v>
      </c>
      <c r="D108" s="67">
        <f t="shared" si="2"/>
        <v>31.773749999999996</v>
      </c>
      <c r="E108" s="67">
        <f t="shared" si="2"/>
        <v>6.6488541666666672</v>
      </c>
      <c r="F108" s="67">
        <f t="shared" si="2"/>
        <v>4.5710416666666687</v>
      </c>
      <c r="G108" s="67">
        <f t="shared" si="2"/>
        <v>69.774239130434765</v>
      </c>
      <c r="H108" s="67">
        <f t="shared" si="2"/>
        <v>44.259772727272725</v>
      </c>
      <c r="I108" s="67">
        <f t="shared" si="2"/>
        <v>6.820520833333334</v>
      </c>
      <c r="J108" s="67">
        <f t="shared" si="2"/>
        <v>2.3610416666666669</v>
      </c>
      <c r="K108" s="67">
        <f t="shared" si="2"/>
        <v>159.12812500000004</v>
      </c>
      <c r="L108" s="67">
        <f t="shared" si="2"/>
        <v>17.306458333333328</v>
      </c>
      <c r="M108" s="67">
        <f t="shared" si="2"/>
        <v>70.772604166666682</v>
      </c>
      <c r="N108" s="67">
        <f t="shared" si="2"/>
        <v>194.328125</v>
      </c>
      <c r="O108" s="67">
        <f t="shared" si="2"/>
        <v>0</v>
      </c>
      <c r="P108" s="67" t="e">
        <f t="shared" si="2"/>
        <v>#DIV/0!</v>
      </c>
      <c r="Q108" s="67" t="e">
        <f t="shared" si="2"/>
        <v>#DIV/0!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7.8221843737662597</v>
      </c>
      <c r="C109" s="67">
        <f t="shared" ref="C109:Q109" si="3">STDEV(C9:C104)</f>
        <v>5.0237784224781974</v>
      </c>
      <c r="D109" s="67">
        <f t="shared" si="3"/>
        <v>8.0687291440473992</v>
      </c>
      <c r="E109" s="67">
        <f t="shared" si="3"/>
        <v>0.87352386138188098</v>
      </c>
      <c r="F109" s="67">
        <f t="shared" si="3"/>
        <v>1.3463873526993473</v>
      </c>
      <c r="G109" s="67">
        <f t="shared" si="3"/>
        <v>31.014560608597968</v>
      </c>
      <c r="H109" s="67">
        <f t="shared" si="3"/>
        <v>42.712432602209972</v>
      </c>
      <c r="I109" s="67">
        <f t="shared" si="3"/>
        <v>1.446097011954053</v>
      </c>
      <c r="J109" s="67">
        <f t="shared" si="3"/>
        <v>1.2012304911974452</v>
      </c>
      <c r="K109" s="67">
        <f t="shared" si="3"/>
        <v>114.99913871817061</v>
      </c>
      <c r="L109" s="67">
        <f t="shared" si="3"/>
        <v>4.0104300804059143</v>
      </c>
      <c r="M109" s="67">
        <f t="shared" si="3"/>
        <v>24.114247731854441</v>
      </c>
      <c r="N109" s="67">
        <f t="shared" si="3"/>
        <v>229.48705809312372</v>
      </c>
      <c r="O109" s="67">
        <f t="shared" si="3"/>
        <v>0</v>
      </c>
      <c r="P109" s="67" t="e">
        <f t="shared" si="3"/>
        <v>#DIV/0!</v>
      </c>
      <c r="Q109" s="67" t="e">
        <f t="shared" si="3"/>
        <v>#DIV/0!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O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COUNT(G9:G104)+4</f>
        <v>96</v>
      </c>
      <c r="H110" s="66">
        <f>COUNT(H9:H104)+8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>COUNT(P9:P104)+96</f>
        <v>96</v>
      </c>
      <c r="Q110" s="66">
        <f>COUNT(Q9:Q104)+96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4" sqref="G12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247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24/12/2024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231</v>
      </c>
      <c r="C7" s="198" t="s">
        <v>232</v>
      </c>
      <c r="D7" s="198" t="s">
        <v>233</v>
      </c>
      <c r="E7" s="198" t="s">
        <v>234</v>
      </c>
      <c r="F7" s="198" t="s">
        <v>235</v>
      </c>
      <c r="G7" s="198" t="s">
        <v>236</v>
      </c>
      <c r="H7" s="198" t="s">
        <v>237</v>
      </c>
      <c r="I7" s="198" t="s">
        <v>238</v>
      </c>
      <c r="J7" s="198" t="s">
        <v>239</v>
      </c>
      <c r="K7" s="198" t="s">
        <v>240</v>
      </c>
      <c r="L7" s="198" t="s">
        <v>241</v>
      </c>
      <c r="M7" s="198" t="s">
        <v>242</v>
      </c>
      <c r="N7" s="198" t="s">
        <v>243</v>
      </c>
      <c r="O7" s="198" t="s">
        <v>244</v>
      </c>
      <c r="P7" s="198" t="s">
        <v>245</v>
      </c>
      <c r="Q7" s="198" t="s">
        <v>246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2456</v>
      </c>
      <c r="B9" s="64">
        <v>7.62</v>
      </c>
      <c r="C9" s="64">
        <v>46.08</v>
      </c>
      <c r="D9" s="64">
        <v>28.81</v>
      </c>
      <c r="E9" s="64">
        <v>5.94</v>
      </c>
      <c r="F9" s="64">
        <v>4.32</v>
      </c>
      <c r="G9" s="64">
        <v>48.44</v>
      </c>
      <c r="H9" s="64">
        <v>26.11</v>
      </c>
      <c r="I9" s="64">
        <v>9.02</v>
      </c>
      <c r="J9" s="64">
        <v>4.7699999999999996</v>
      </c>
      <c r="K9" s="64">
        <v>111</v>
      </c>
      <c r="L9" s="64">
        <v>15.58</v>
      </c>
      <c r="M9" s="64">
        <v>74.319999999999993</v>
      </c>
      <c r="N9" s="64">
        <v>59.6</v>
      </c>
      <c r="O9" s="64">
        <v>0</v>
      </c>
      <c r="P9" s="64">
        <v>0.73</v>
      </c>
      <c r="Q9" s="64">
        <v>8.2100000000000009</v>
      </c>
      <c r="R9" s="198"/>
      <c r="S9" s="198"/>
      <c r="T9" s="198"/>
      <c r="U9" s="198"/>
    </row>
    <row r="10" spans="1:21" s="12" customFormat="1" x14ac:dyDescent="0.25">
      <c r="A10" s="215" t="s">
        <v>2457</v>
      </c>
      <c r="B10" s="64">
        <v>7.17</v>
      </c>
      <c r="C10" s="64">
        <v>45.44</v>
      </c>
      <c r="D10" s="64">
        <v>28.11</v>
      </c>
      <c r="E10" s="64">
        <v>5.9</v>
      </c>
      <c r="F10" s="64">
        <v>4.3099999999999996</v>
      </c>
      <c r="G10" s="64">
        <v>48.44</v>
      </c>
      <c r="H10" s="64">
        <v>26.11</v>
      </c>
      <c r="I10" s="64">
        <v>8.57</v>
      </c>
      <c r="J10" s="64">
        <v>4.34</v>
      </c>
      <c r="K10" s="64">
        <v>106.73</v>
      </c>
      <c r="L10" s="64">
        <v>15.48</v>
      </c>
      <c r="M10" s="64">
        <v>74.97</v>
      </c>
      <c r="N10" s="64">
        <v>59.8</v>
      </c>
      <c r="O10" s="64">
        <v>0</v>
      </c>
      <c r="P10" s="64">
        <v>0.71</v>
      </c>
      <c r="Q10" s="64">
        <v>8.2100000000000009</v>
      </c>
      <c r="R10" s="198"/>
      <c r="S10" s="198"/>
      <c r="T10" s="198"/>
      <c r="U10" s="198"/>
    </row>
    <row r="11" spans="1:21" s="12" customFormat="1" x14ac:dyDescent="0.25">
      <c r="A11" s="215" t="s">
        <v>2458</v>
      </c>
      <c r="B11" s="64">
        <v>6.79</v>
      </c>
      <c r="C11" s="64">
        <v>45.17</v>
      </c>
      <c r="D11" s="64">
        <v>27.67</v>
      </c>
      <c r="E11" s="64">
        <v>6.36</v>
      </c>
      <c r="F11" s="64">
        <v>4.03</v>
      </c>
      <c r="G11" s="64">
        <v>48.11</v>
      </c>
      <c r="H11" s="64">
        <v>27.34</v>
      </c>
      <c r="I11" s="64">
        <v>8.39</v>
      </c>
      <c r="J11" s="64">
        <v>4.75</v>
      </c>
      <c r="K11" s="64">
        <v>107.55</v>
      </c>
      <c r="L11" s="64">
        <v>15.26</v>
      </c>
      <c r="M11" s="64">
        <v>76.680000000000007</v>
      </c>
      <c r="N11" s="64">
        <v>59.8</v>
      </c>
      <c r="O11" s="64">
        <v>0</v>
      </c>
      <c r="P11" s="64">
        <v>0.69</v>
      </c>
      <c r="Q11" s="64">
        <v>8.2100000000000009</v>
      </c>
      <c r="R11" s="198"/>
      <c r="S11" s="198"/>
      <c r="T11" s="198"/>
      <c r="U11" s="198"/>
    </row>
    <row r="12" spans="1:21" s="12" customFormat="1" x14ac:dyDescent="0.25">
      <c r="A12" s="215" t="s">
        <v>2459</v>
      </c>
      <c r="B12" s="64">
        <v>6.5</v>
      </c>
      <c r="C12" s="64">
        <v>44.09</v>
      </c>
      <c r="D12" s="64">
        <v>26.87</v>
      </c>
      <c r="E12" s="64">
        <v>5.93</v>
      </c>
      <c r="F12" s="64">
        <v>3.8</v>
      </c>
      <c r="G12" s="64">
        <v>47.96</v>
      </c>
      <c r="H12" s="64">
        <v>27.5</v>
      </c>
      <c r="I12" s="64">
        <v>8.2899999999999991</v>
      </c>
      <c r="J12" s="64">
        <v>4.2</v>
      </c>
      <c r="K12" s="64">
        <v>111.5</v>
      </c>
      <c r="L12" s="64">
        <v>15.2</v>
      </c>
      <c r="M12" s="64">
        <v>76.92</v>
      </c>
      <c r="N12" s="64">
        <v>59.7</v>
      </c>
      <c r="O12" s="64">
        <v>0</v>
      </c>
      <c r="P12" s="64">
        <v>0.68</v>
      </c>
      <c r="Q12" s="64">
        <v>8.2100000000000009</v>
      </c>
      <c r="R12" s="198"/>
      <c r="S12" s="198"/>
      <c r="T12" s="198"/>
      <c r="U12" s="198"/>
    </row>
    <row r="13" spans="1:21" s="12" customFormat="1" x14ac:dyDescent="0.25">
      <c r="A13" s="215" t="s">
        <v>2460</v>
      </c>
      <c r="B13" s="64">
        <v>6.33</v>
      </c>
      <c r="C13" s="64">
        <v>43.48</v>
      </c>
      <c r="D13" s="64">
        <v>26.42</v>
      </c>
      <c r="E13" s="64">
        <v>5.99</v>
      </c>
      <c r="F13" s="64">
        <v>4.07</v>
      </c>
      <c r="G13" s="64">
        <v>47.96</v>
      </c>
      <c r="H13" s="64">
        <v>27.5</v>
      </c>
      <c r="I13" s="64">
        <v>8.57</v>
      </c>
      <c r="J13" s="64">
        <v>4.01</v>
      </c>
      <c r="K13" s="64">
        <v>116.4</v>
      </c>
      <c r="L13" s="64">
        <v>15.12</v>
      </c>
      <c r="M13" s="64">
        <v>78.099999999999994</v>
      </c>
      <c r="N13" s="64">
        <v>59.7</v>
      </c>
      <c r="O13" s="64">
        <v>0</v>
      </c>
      <c r="P13" s="64">
        <v>0.62</v>
      </c>
      <c r="Q13" s="64">
        <v>8.2100000000000009</v>
      </c>
      <c r="R13" s="198"/>
      <c r="S13" s="198"/>
      <c r="T13" s="198"/>
      <c r="U13" s="198"/>
    </row>
    <row r="14" spans="1:21" s="12" customFormat="1" x14ac:dyDescent="0.25">
      <c r="A14" s="215" t="s">
        <v>2461</v>
      </c>
      <c r="B14" s="64">
        <v>6.3</v>
      </c>
      <c r="C14" s="64">
        <v>42.72</v>
      </c>
      <c r="D14" s="64">
        <v>25.99</v>
      </c>
      <c r="E14" s="64">
        <v>6.26</v>
      </c>
      <c r="F14" s="64">
        <v>4.41</v>
      </c>
      <c r="G14" s="64">
        <v>47.96</v>
      </c>
      <c r="H14" s="64">
        <v>27.5</v>
      </c>
      <c r="I14" s="64">
        <v>8.6199999999999992</v>
      </c>
      <c r="J14" s="64">
        <v>4.71</v>
      </c>
      <c r="K14" s="64">
        <v>114.2</v>
      </c>
      <c r="L14" s="64">
        <v>15.05</v>
      </c>
      <c r="M14" s="64">
        <v>78.319999999999993</v>
      </c>
      <c r="N14" s="64">
        <v>59.6</v>
      </c>
      <c r="O14" s="64">
        <v>0</v>
      </c>
      <c r="P14" s="64">
        <v>0.64</v>
      </c>
      <c r="Q14" s="64">
        <v>8.2100000000000009</v>
      </c>
      <c r="R14" s="198"/>
      <c r="S14" s="198"/>
      <c r="T14" s="198"/>
      <c r="U14" s="198"/>
    </row>
    <row r="15" spans="1:21" s="12" customFormat="1" x14ac:dyDescent="0.25">
      <c r="A15" s="215" t="s">
        <v>2462</v>
      </c>
      <c r="B15" s="64">
        <v>6.21</v>
      </c>
      <c r="C15" s="64">
        <v>42.05</v>
      </c>
      <c r="D15" s="64">
        <v>25.57</v>
      </c>
      <c r="E15" s="64">
        <v>6.22</v>
      </c>
      <c r="F15" s="64">
        <v>4.05</v>
      </c>
      <c r="G15" s="64">
        <v>47.02</v>
      </c>
      <c r="H15" s="64">
        <v>26.4</v>
      </c>
      <c r="I15" s="64">
        <v>8.14</v>
      </c>
      <c r="J15" s="64">
        <v>4.71</v>
      </c>
      <c r="K15" s="64">
        <v>108.5</v>
      </c>
      <c r="L15" s="64">
        <v>14.93</v>
      </c>
      <c r="M15" s="64">
        <v>78.760000000000005</v>
      </c>
      <c r="N15" s="64">
        <v>59.9</v>
      </c>
      <c r="O15" s="64">
        <v>0</v>
      </c>
      <c r="P15" s="64">
        <v>0.63</v>
      </c>
      <c r="Q15" s="64">
        <v>8.2100000000000009</v>
      </c>
      <c r="R15" s="198"/>
      <c r="S15" s="198"/>
      <c r="T15" s="198"/>
      <c r="U15" s="198"/>
    </row>
    <row r="16" spans="1:21" s="12" customFormat="1" x14ac:dyDescent="0.25">
      <c r="A16" s="215" t="s">
        <v>2463</v>
      </c>
      <c r="B16" s="64">
        <v>6.08</v>
      </c>
      <c r="C16" s="64">
        <v>42.57</v>
      </c>
      <c r="D16" s="64">
        <v>25.74</v>
      </c>
      <c r="E16" s="64">
        <v>6.28</v>
      </c>
      <c r="F16" s="64">
        <v>2.95</v>
      </c>
      <c r="G16" s="64">
        <v>46.6</v>
      </c>
      <c r="H16" s="64">
        <v>26.32</v>
      </c>
      <c r="I16" s="64">
        <v>8.06</v>
      </c>
      <c r="J16" s="64">
        <v>4.78</v>
      </c>
      <c r="K16" s="64">
        <v>116.4</v>
      </c>
      <c r="L16" s="64">
        <v>14.66</v>
      </c>
      <c r="M16" s="64">
        <v>80.27</v>
      </c>
      <c r="N16" s="64">
        <v>59.9</v>
      </c>
      <c r="O16" s="64">
        <v>0</v>
      </c>
      <c r="P16" s="64">
        <v>0.62</v>
      </c>
      <c r="Q16" s="64">
        <v>8.2100000000000009</v>
      </c>
      <c r="R16" s="198"/>
      <c r="S16" s="198"/>
      <c r="T16" s="198"/>
      <c r="U16" s="198"/>
    </row>
    <row r="17" spans="1:21" s="12" customFormat="1" x14ac:dyDescent="0.25">
      <c r="A17" s="215" t="s">
        <v>2464</v>
      </c>
      <c r="B17" s="64">
        <v>5.83</v>
      </c>
      <c r="C17" s="64">
        <v>43.89</v>
      </c>
      <c r="D17" s="64">
        <v>26.23</v>
      </c>
      <c r="E17" s="64">
        <v>6.27</v>
      </c>
      <c r="F17" s="64">
        <v>4.18</v>
      </c>
      <c r="G17" s="64">
        <v>46.6</v>
      </c>
      <c r="H17" s="64">
        <v>26.32</v>
      </c>
      <c r="I17" s="64">
        <v>8.3699999999999992</v>
      </c>
      <c r="J17" s="64">
        <v>3.94</v>
      </c>
      <c r="K17" s="64">
        <v>112.53</v>
      </c>
      <c r="L17" s="64">
        <v>14.53</v>
      </c>
      <c r="M17" s="64">
        <v>81.02</v>
      </c>
      <c r="N17" s="64">
        <v>59.9</v>
      </c>
      <c r="O17" s="64">
        <v>0</v>
      </c>
      <c r="P17" s="64">
        <v>0.61</v>
      </c>
      <c r="Q17" s="64">
        <v>8.2100000000000009</v>
      </c>
      <c r="R17" s="198"/>
      <c r="S17" s="198"/>
      <c r="T17" s="198"/>
      <c r="U17" s="198"/>
    </row>
    <row r="18" spans="1:21" s="12" customFormat="1" x14ac:dyDescent="0.25">
      <c r="A18" s="215" t="s">
        <v>2465</v>
      </c>
      <c r="B18" s="64">
        <v>5.49</v>
      </c>
      <c r="C18" s="64">
        <v>43</v>
      </c>
      <c r="D18" s="64">
        <v>25.49</v>
      </c>
      <c r="E18" s="64">
        <v>5.92</v>
      </c>
      <c r="F18" s="64">
        <v>4.57</v>
      </c>
      <c r="G18" s="64">
        <v>46.6</v>
      </c>
      <c r="H18" s="64">
        <v>26.32</v>
      </c>
      <c r="I18" s="64">
        <v>8.7200000000000006</v>
      </c>
      <c r="J18" s="64">
        <v>4</v>
      </c>
      <c r="K18" s="64">
        <v>116.5</v>
      </c>
      <c r="L18" s="64">
        <v>14.39</v>
      </c>
      <c r="M18" s="64">
        <v>81.569999999999993</v>
      </c>
      <c r="N18" s="64">
        <v>59.9</v>
      </c>
      <c r="O18" s="64">
        <v>0</v>
      </c>
      <c r="P18" s="64">
        <v>0.6</v>
      </c>
      <c r="Q18" s="64">
        <v>8.2100000000000009</v>
      </c>
      <c r="R18" s="198"/>
      <c r="S18" s="198"/>
      <c r="T18" s="198"/>
      <c r="U18" s="198"/>
    </row>
    <row r="19" spans="1:21" s="12" customFormat="1" x14ac:dyDescent="0.25">
      <c r="A19" s="215" t="s">
        <v>2466</v>
      </c>
      <c r="B19" s="64">
        <v>5.0999999999999996</v>
      </c>
      <c r="C19" s="64">
        <v>43.32</v>
      </c>
      <c r="D19" s="64">
        <v>25.35</v>
      </c>
      <c r="E19" s="64">
        <v>6.04</v>
      </c>
      <c r="F19" s="64">
        <v>4.32</v>
      </c>
      <c r="G19" s="64">
        <v>44.46</v>
      </c>
      <c r="H19" s="64">
        <v>26.4</v>
      </c>
      <c r="I19" s="64">
        <v>8.7200000000000006</v>
      </c>
      <c r="J19" s="64">
        <v>4.3</v>
      </c>
      <c r="K19" s="64">
        <v>106.2</v>
      </c>
      <c r="L19" s="64">
        <v>14.4</v>
      </c>
      <c r="M19" s="64">
        <v>82.04</v>
      </c>
      <c r="N19" s="64">
        <v>59.6</v>
      </c>
      <c r="O19" s="64">
        <v>0</v>
      </c>
      <c r="P19" s="64">
        <v>0.59</v>
      </c>
      <c r="Q19" s="64">
        <v>8.2100000000000009</v>
      </c>
      <c r="R19" s="198"/>
      <c r="S19" s="198"/>
      <c r="T19" s="198"/>
      <c r="U19" s="198"/>
    </row>
    <row r="20" spans="1:21" s="12" customFormat="1" x14ac:dyDescent="0.25">
      <c r="A20" s="215" t="s">
        <v>2467</v>
      </c>
      <c r="B20" s="64">
        <v>4.76</v>
      </c>
      <c r="C20" s="64">
        <v>41.29</v>
      </c>
      <c r="D20" s="64">
        <v>24.01</v>
      </c>
      <c r="E20" s="64">
        <v>5.94</v>
      </c>
      <c r="F20" s="64">
        <v>4.43</v>
      </c>
      <c r="G20" s="64">
        <v>43.49</v>
      </c>
      <c r="H20" s="64">
        <v>26.41</v>
      </c>
      <c r="I20" s="64">
        <v>8.89</v>
      </c>
      <c r="J20" s="64">
        <v>3.87</v>
      </c>
      <c r="K20" s="64">
        <v>105.7</v>
      </c>
      <c r="L20" s="64">
        <v>14.3</v>
      </c>
      <c r="M20" s="64">
        <v>83.03</v>
      </c>
      <c r="N20" s="64">
        <v>59.9</v>
      </c>
      <c r="O20" s="64">
        <v>0</v>
      </c>
      <c r="P20" s="64">
        <v>0.56999999999999995</v>
      </c>
      <c r="Q20" s="64">
        <v>8.2100000000000009</v>
      </c>
      <c r="R20" s="198"/>
      <c r="S20" s="198"/>
      <c r="T20" s="198"/>
      <c r="U20" s="198"/>
    </row>
    <row r="21" spans="1:21" s="12" customFormat="1" x14ac:dyDescent="0.25">
      <c r="A21" s="215" t="s">
        <v>2468</v>
      </c>
      <c r="B21" s="64">
        <v>4.49</v>
      </c>
      <c r="C21" s="64">
        <v>42.47</v>
      </c>
      <c r="D21" s="64">
        <v>24.42</v>
      </c>
      <c r="E21" s="64">
        <v>5.92</v>
      </c>
      <c r="F21" s="64">
        <v>4.51</v>
      </c>
      <c r="G21" s="64">
        <v>43.49</v>
      </c>
      <c r="H21" s="64">
        <v>26.41</v>
      </c>
      <c r="I21" s="64">
        <v>9.0500000000000007</v>
      </c>
      <c r="J21" s="64">
        <v>3.74</v>
      </c>
      <c r="K21" s="64">
        <v>114.12</v>
      </c>
      <c r="L21" s="64">
        <v>14.2</v>
      </c>
      <c r="M21" s="64">
        <v>84.13</v>
      </c>
      <c r="N21" s="64">
        <v>59.8</v>
      </c>
      <c r="O21" s="64">
        <v>0</v>
      </c>
      <c r="P21" s="64">
        <v>0.56999999999999995</v>
      </c>
      <c r="Q21" s="64">
        <v>8.2100000000000009</v>
      </c>
      <c r="R21" s="198"/>
      <c r="S21" s="198"/>
      <c r="T21" s="198"/>
      <c r="U21" s="198"/>
    </row>
    <row r="22" spans="1:21" s="12" customFormat="1" x14ac:dyDescent="0.25">
      <c r="A22" s="215" t="s">
        <v>2469</v>
      </c>
      <c r="B22" s="64">
        <v>4.33</v>
      </c>
      <c r="C22" s="64">
        <v>41.92</v>
      </c>
      <c r="D22" s="64">
        <v>24</v>
      </c>
      <c r="E22" s="64">
        <v>5.58</v>
      </c>
      <c r="F22" s="64">
        <v>4.34</v>
      </c>
      <c r="G22" s="64">
        <v>43.49</v>
      </c>
      <c r="H22" s="64">
        <v>26.41</v>
      </c>
      <c r="I22" s="64">
        <v>9.0399999999999991</v>
      </c>
      <c r="J22" s="64">
        <v>3.66</v>
      </c>
      <c r="K22" s="64">
        <v>109.46</v>
      </c>
      <c r="L22" s="64">
        <v>14.19</v>
      </c>
      <c r="M22" s="64">
        <v>84.44</v>
      </c>
      <c r="N22" s="64">
        <v>59.6</v>
      </c>
      <c r="O22" s="64">
        <v>0</v>
      </c>
      <c r="P22" s="64">
        <v>0.56000000000000005</v>
      </c>
      <c r="Q22" s="64">
        <v>8.2100000000000009</v>
      </c>
      <c r="R22" s="198"/>
      <c r="S22" s="198"/>
      <c r="T22" s="198"/>
      <c r="U22" s="198"/>
    </row>
    <row r="23" spans="1:21" s="12" customFormat="1" x14ac:dyDescent="0.25">
      <c r="A23" s="215" t="s">
        <v>2470</v>
      </c>
      <c r="B23" s="64">
        <v>4.2300000000000004</v>
      </c>
      <c r="C23" s="64">
        <v>41.57</v>
      </c>
      <c r="D23" s="64">
        <v>23.73</v>
      </c>
      <c r="E23" s="64">
        <v>5.87</v>
      </c>
      <c r="F23" s="64">
        <v>3.98</v>
      </c>
      <c r="G23" s="64">
        <v>55.01</v>
      </c>
      <c r="H23" s="64">
        <v>25.64</v>
      </c>
      <c r="I23" s="64">
        <v>8.9</v>
      </c>
      <c r="J23" s="64">
        <v>2.89</v>
      </c>
      <c r="K23" s="64">
        <v>100.04</v>
      </c>
      <c r="L23" s="64">
        <v>14.17</v>
      </c>
      <c r="M23" s="64">
        <v>84.93</v>
      </c>
      <c r="N23" s="64">
        <v>59.9</v>
      </c>
      <c r="O23" s="64">
        <v>0</v>
      </c>
      <c r="P23" s="64">
        <v>0.56000000000000005</v>
      </c>
      <c r="Q23" s="64">
        <v>8.2100000000000009</v>
      </c>
      <c r="R23" s="198"/>
      <c r="S23" s="198"/>
      <c r="T23" s="198"/>
      <c r="U23" s="198"/>
    </row>
    <row r="24" spans="1:21" s="12" customFormat="1" x14ac:dyDescent="0.25">
      <c r="A24" s="215" t="s">
        <v>2471</v>
      </c>
      <c r="B24" s="64">
        <v>4.25</v>
      </c>
      <c r="C24" s="64">
        <v>41.66</v>
      </c>
      <c r="D24" s="64">
        <v>23.8</v>
      </c>
      <c r="E24" s="64">
        <v>6.26</v>
      </c>
      <c r="F24" s="64">
        <v>3.97</v>
      </c>
      <c r="G24" s="64">
        <v>59.94</v>
      </c>
      <c r="H24" s="64">
        <v>25.58</v>
      </c>
      <c r="I24" s="64">
        <v>8.76</v>
      </c>
      <c r="J24" s="64">
        <v>2.68</v>
      </c>
      <c r="K24" s="64">
        <v>104.71</v>
      </c>
      <c r="L24" s="64">
        <v>14.09</v>
      </c>
      <c r="M24" s="64">
        <v>85.97</v>
      </c>
      <c r="N24" s="64">
        <v>60.1</v>
      </c>
      <c r="O24" s="64">
        <v>0</v>
      </c>
      <c r="P24" s="64">
        <v>0.55000000000000004</v>
      </c>
      <c r="Q24" s="64">
        <v>8.2100000000000009</v>
      </c>
      <c r="R24" s="198"/>
      <c r="S24" s="198"/>
      <c r="T24" s="198"/>
      <c r="U24" s="198"/>
    </row>
    <row r="25" spans="1:21" s="12" customFormat="1" x14ac:dyDescent="0.25">
      <c r="A25" s="215" t="s">
        <v>2472</v>
      </c>
      <c r="B25" s="64">
        <v>4.33</v>
      </c>
      <c r="C25" s="64">
        <v>41.19</v>
      </c>
      <c r="D25" s="64">
        <v>23.61</v>
      </c>
      <c r="E25" s="64">
        <v>6.18</v>
      </c>
      <c r="F25" s="64">
        <v>3.66</v>
      </c>
      <c r="G25" s="64">
        <v>59.94</v>
      </c>
      <c r="H25" s="64">
        <v>25.58</v>
      </c>
      <c r="I25" s="64">
        <v>8.64</v>
      </c>
      <c r="J25" s="64">
        <v>3.08</v>
      </c>
      <c r="K25" s="64">
        <v>108.88</v>
      </c>
      <c r="L25" s="64">
        <v>13.96</v>
      </c>
      <c r="M25" s="64">
        <v>86.74</v>
      </c>
      <c r="N25" s="64">
        <v>59.8</v>
      </c>
      <c r="O25" s="64">
        <v>0</v>
      </c>
      <c r="P25" s="64">
        <v>0.54</v>
      </c>
      <c r="Q25" s="64">
        <v>8.2100000000000009</v>
      </c>
      <c r="R25" s="198"/>
      <c r="S25" s="198"/>
      <c r="T25" s="198"/>
      <c r="U25" s="198"/>
    </row>
    <row r="26" spans="1:21" s="12" customFormat="1" x14ac:dyDescent="0.25">
      <c r="A26" s="215" t="s">
        <v>2473</v>
      </c>
      <c r="B26" s="64">
        <v>4.51</v>
      </c>
      <c r="C26" s="64">
        <v>38.51</v>
      </c>
      <c r="D26" s="64">
        <v>22.36</v>
      </c>
      <c r="E26" s="64">
        <v>5.78</v>
      </c>
      <c r="F26" s="64">
        <v>4.0199999999999996</v>
      </c>
      <c r="G26" s="64">
        <v>59.94</v>
      </c>
      <c r="H26" s="64">
        <v>25.58</v>
      </c>
      <c r="I26" s="64">
        <v>8.41</v>
      </c>
      <c r="J26" s="64">
        <v>2.15</v>
      </c>
      <c r="K26" s="64">
        <v>109.83</v>
      </c>
      <c r="L26" s="64">
        <v>14</v>
      </c>
      <c r="M26" s="64">
        <v>86.57</v>
      </c>
      <c r="N26" s="64">
        <v>59.8</v>
      </c>
      <c r="O26" s="64">
        <v>0</v>
      </c>
      <c r="P26" s="64">
        <v>0.53</v>
      </c>
      <c r="Q26" s="64">
        <v>8.2100000000000009</v>
      </c>
      <c r="R26" s="198"/>
      <c r="S26" s="198"/>
      <c r="T26" s="198"/>
      <c r="U26" s="198"/>
    </row>
    <row r="27" spans="1:21" s="12" customFormat="1" x14ac:dyDescent="0.25">
      <c r="A27" s="215" t="s">
        <v>2474</v>
      </c>
      <c r="B27" s="64">
        <v>4.8099999999999996</v>
      </c>
      <c r="C27" s="64">
        <v>39.28</v>
      </c>
      <c r="D27" s="64">
        <v>23</v>
      </c>
      <c r="E27" s="64">
        <v>6.01</v>
      </c>
      <c r="F27" s="64">
        <v>3.77</v>
      </c>
      <c r="G27" s="64">
        <v>53.98</v>
      </c>
      <c r="H27" s="64">
        <v>24.22</v>
      </c>
      <c r="I27" s="64">
        <v>8.1</v>
      </c>
      <c r="J27" s="64">
        <v>1.1299999999999999</v>
      </c>
      <c r="K27" s="64">
        <v>80.760000000000005</v>
      </c>
      <c r="L27" s="64">
        <v>14.02</v>
      </c>
      <c r="M27" s="64">
        <v>87.05</v>
      </c>
      <c r="N27" s="64">
        <v>59.6</v>
      </c>
      <c r="O27" s="64">
        <v>0</v>
      </c>
      <c r="P27" s="64">
        <v>0.53</v>
      </c>
      <c r="Q27" s="64">
        <v>8.2100000000000009</v>
      </c>
      <c r="R27" s="198"/>
      <c r="S27" s="198"/>
      <c r="T27" s="198"/>
      <c r="U27" s="198"/>
    </row>
    <row r="28" spans="1:21" s="12" customFormat="1" x14ac:dyDescent="0.25">
      <c r="A28" s="215" t="s">
        <v>2475</v>
      </c>
      <c r="B28" s="64">
        <v>5.34</v>
      </c>
      <c r="C28" s="64">
        <v>39.67</v>
      </c>
      <c r="D28" s="64">
        <v>23.63</v>
      </c>
      <c r="E28" s="64">
        <v>5.6</v>
      </c>
      <c r="F28" s="64">
        <v>3.97</v>
      </c>
      <c r="G28" s="64">
        <v>51.43</v>
      </c>
      <c r="H28" s="64">
        <v>24.04</v>
      </c>
      <c r="I28" s="64">
        <v>8</v>
      </c>
      <c r="J28" s="64">
        <v>1.05</v>
      </c>
      <c r="K28" s="64">
        <v>328.94</v>
      </c>
      <c r="L28" s="64">
        <v>13.98</v>
      </c>
      <c r="M28" s="64">
        <v>87.69</v>
      </c>
      <c r="N28" s="64">
        <v>59.8</v>
      </c>
      <c r="O28" s="64">
        <v>0</v>
      </c>
      <c r="P28" s="64">
        <v>0.53</v>
      </c>
      <c r="Q28" s="64">
        <v>8.2100000000000009</v>
      </c>
      <c r="R28" s="198"/>
      <c r="S28" s="198"/>
      <c r="T28" s="198"/>
      <c r="U28" s="198"/>
    </row>
    <row r="29" spans="1:21" s="12" customFormat="1" x14ac:dyDescent="0.25">
      <c r="A29" s="215" t="s">
        <v>2476</v>
      </c>
      <c r="B29" s="64">
        <v>5.73</v>
      </c>
      <c r="C29" s="64">
        <v>39.85</v>
      </c>
      <c r="D29" s="64">
        <v>24.04</v>
      </c>
      <c r="E29" s="64">
        <v>5.81</v>
      </c>
      <c r="F29" s="64">
        <v>4.08</v>
      </c>
      <c r="G29" s="64">
        <v>51.43</v>
      </c>
      <c r="H29" s="64">
        <v>24.04</v>
      </c>
      <c r="I29" s="64">
        <v>7.88</v>
      </c>
      <c r="J29" s="64">
        <v>1.62</v>
      </c>
      <c r="K29" s="64">
        <v>335.18</v>
      </c>
      <c r="L29" s="64">
        <v>14.02</v>
      </c>
      <c r="M29" s="64">
        <v>87.81</v>
      </c>
      <c r="N29" s="64">
        <v>59.9</v>
      </c>
      <c r="O29" s="64">
        <v>0</v>
      </c>
      <c r="P29" s="64">
        <v>0.53</v>
      </c>
      <c r="Q29" s="64">
        <v>8.2100000000000009</v>
      </c>
      <c r="R29" s="198"/>
      <c r="S29" s="198"/>
      <c r="T29" s="198"/>
      <c r="U29" s="198"/>
    </row>
    <row r="30" spans="1:21" s="12" customFormat="1" x14ac:dyDescent="0.25">
      <c r="A30" s="215" t="s">
        <v>2477</v>
      </c>
      <c r="B30" s="64">
        <v>6.11</v>
      </c>
      <c r="C30" s="64">
        <v>39.51</v>
      </c>
      <c r="D30" s="64">
        <v>24.17</v>
      </c>
      <c r="E30" s="64">
        <v>6.12</v>
      </c>
      <c r="F30" s="64">
        <v>4.05</v>
      </c>
      <c r="G30" s="64">
        <v>51.43</v>
      </c>
      <c r="H30" s="64">
        <v>24.04</v>
      </c>
      <c r="I30" s="64">
        <v>7.75</v>
      </c>
      <c r="J30" s="64">
        <v>0.37</v>
      </c>
      <c r="K30" s="64">
        <v>64.489999999999995</v>
      </c>
      <c r="L30" s="64">
        <v>13.84</v>
      </c>
      <c r="M30" s="64">
        <v>88.67</v>
      </c>
      <c r="N30" s="64">
        <v>59.8</v>
      </c>
      <c r="O30" s="64">
        <v>0</v>
      </c>
      <c r="P30" s="64">
        <v>0.53</v>
      </c>
      <c r="Q30" s="64">
        <v>8.2100000000000009</v>
      </c>
      <c r="R30" s="198"/>
      <c r="S30" s="198"/>
      <c r="T30" s="198"/>
      <c r="U30" s="198"/>
    </row>
    <row r="31" spans="1:21" s="12" customFormat="1" x14ac:dyDescent="0.25">
      <c r="A31" s="215" t="s">
        <v>2478</v>
      </c>
      <c r="B31" s="64">
        <v>6.56</v>
      </c>
      <c r="C31" s="64">
        <v>39.4</v>
      </c>
      <c r="D31" s="64">
        <v>24.47</v>
      </c>
      <c r="E31" s="64">
        <v>6.18</v>
      </c>
      <c r="F31" s="64">
        <v>3.72</v>
      </c>
      <c r="G31" s="64">
        <v>48.17</v>
      </c>
      <c r="H31" s="64">
        <v>24.87</v>
      </c>
      <c r="I31" s="64">
        <v>7.41</v>
      </c>
      <c r="J31" s="64">
        <v>0.7</v>
      </c>
      <c r="K31" s="64">
        <v>13.3</v>
      </c>
      <c r="L31" s="64">
        <v>13.71</v>
      </c>
      <c r="M31" s="64">
        <v>89.67</v>
      </c>
      <c r="N31" s="64">
        <v>59.8</v>
      </c>
      <c r="O31" s="64">
        <v>0</v>
      </c>
      <c r="P31" s="64">
        <v>0.52</v>
      </c>
      <c r="Q31" s="64">
        <v>8.2100000000000009</v>
      </c>
      <c r="R31" s="198"/>
      <c r="S31" s="198"/>
      <c r="T31" s="198"/>
      <c r="U31" s="198"/>
    </row>
    <row r="32" spans="1:21" s="12" customFormat="1" x14ac:dyDescent="0.25">
      <c r="A32" s="215" t="s">
        <v>2479</v>
      </c>
      <c r="B32" s="64">
        <v>7.43</v>
      </c>
      <c r="C32" s="64">
        <v>39.299999999999997</v>
      </c>
      <c r="D32" s="64">
        <v>25.12</v>
      </c>
      <c r="E32" s="64">
        <v>6.57</v>
      </c>
      <c r="F32" s="64">
        <v>4.2300000000000004</v>
      </c>
      <c r="G32" s="64">
        <v>46.77</v>
      </c>
      <c r="H32" s="64">
        <v>24.93</v>
      </c>
      <c r="I32" s="64">
        <v>7.23</v>
      </c>
      <c r="J32" s="64">
        <v>2.17</v>
      </c>
      <c r="K32" s="64">
        <v>358.22</v>
      </c>
      <c r="L32" s="64">
        <v>13.5</v>
      </c>
      <c r="M32" s="64">
        <v>91.25</v>
      </c>
      <c r="N32" s="64">
        <v>59.9</v>
      </c>
      <c r="O32" s="64">
        <v>0</v>
      </c>
      <c r="P32" s="64">
        <v>0.53</v>
      </c>
      <c r="Q32" s="64">
        <v>8.2100000000000009</v>
      </c>
      <c r="R32" s="198"/>
      <c r="S32" s="198"/>
      <c r="T32" s="198"/>
      <c r="U32" s="198"/>
    </row>
    <row r="33" spans="1:21" s="12" customFormat="1" x14ac:dyDescent="0.25">
      <c r="A33" s="215" t="s">
        <v>2480</v>
      </c>
      <c r="B33" s="64">
        <v>8.73</v>
      </c>
      <c r="C33" s="64">
        <v>41.07</v>
      </c>
      <c r="D33" s="64">
        <v>27.08</v>
      </c>
      <c r="E33" s="64">
        <v>6.64</v>
      </c>
      <c r="F33" s="64">
        <v>4.0999999999999996</v>
      </c>
      <c r="G33" s="64">
        <v>46.77</v>
      </c>
      <c r="H33" s="64">
        <v>24.93</v>
      </c>
      <c r="I33" s="64">
        <v>7.19</v>
      </c>
      <c r="J33" s="64">
        <v>2.5</v>
      </c>
      <c r="K33" s="64">
        <v>352.42</v>
      </c>
      <c r="L33" s="64">
        <v>13.16</v>
      </c>
      <c r="M33" s="64">
        <v>93.15</v>
      </c>
      <c r="N33" s="64">
        <v>59.8</v>
      </c>
      <c r="O33" s="64">
        <v>0</v>
      </c>
      <c r="P33" s="64">
        <v>0.54</v>
      </c>
      <c r="Q33" s="64">
        <v>8.2100000000000009</v>
      </c>
      <c r="R33" s="198"/>
      <c r="S33" s="198"/>
      <c r="T33" s="198"/>
      <c r="U33" s="198"/>
    </row>
    <row r="34" spans="1:21" s="12" customFormat="1" x14ac:dyDescent="0.25">
      <c r="A34" s="215" t="s">
        <v>2481</v>
      </c>
      <c r="B34" s="64">
        <v>9.8000000000000007</v>
      </c>
      <c r="C34" s="64">
        <v>42.41</v>
      </c>
      <c r="D34" s="64">
        <v>28.64</v>
      </c>
      <c r="E34" s="64">
        <v>6.61</v>
      </c>
      <c r="F34" s="64">
        <v>4.29</v>
      </c>
      <c r="G34" s="64">
        <v>46.77</v>
      </c>
      <c r="H34" s="64">
        <v>24.93</v>
      </c>
      <c r="I34" s="64">
        <v>7.06</v>
      </c>
      <c r="J34" s="64">
        <v>1.33</v>
      </c>
      <c r="K34" s="64">
        <v>13.5</v>
      </c>
      <c r="L34" s="64">
        <v>12.97</v>
      </c>
      <c r="M34" s="64">
        <v>93.77</v>
      </c>
      <c r="N34" s="64">
        <v>55.9</v>
      </c>
      <c r="O34" s="64">
        <v>0</v>
      </c>
      <c r="P34" s="64">
        <v>0.55000000000000004</v>
      </c>
      <c r="Q34" s="64">
        <v>8.2100000000000009</v>
      </c>
      <c r="R34" s="198"/>
      <c r="S34" s="198"/>
      <c r="T34" s="198"/>
      <c r="U34" s="198"/>
    </row>
    <row r="35" spans="1:21" s="12" customFormat="1" x14ac:dyDescent="0.25">
      <c r="A35" s="215" t="s">
        <v>2482</v>
      </c>
      <c r="B35" s="64">
        <v>10.93</v>
      </c>
      <c r="C35" s="64">
        <v>41.79</v>
      </c>
      <c r="D35" s="64">
        <v>29.22</v>
      </c>
      <c r="E35" s="64">
        <v>6.42</v>
      </c>
      <c r="F35" s="64">
        <v>4.0599999999999996</v>
      </c>
      <c r="G35" s="64">
        <v>53.8</v>
      </c>
      <c r="H35" s="64">
        <v>24.23</v>
      </c>
      <c r="I35" s="64">
        <v>6.91</v>
      </c>
      <c r="J35" s="64">
        <v>1.06</v>
      </c>
      <c r="K35" s="64">
        <v>86.43</v>
      </c>
      <c r="L35" s="64">
        <v>13.06</v>
      </c>
      <c r="M35" s="64">
        <v>92.17</v>
      </c>
      <c r="N35" s="64">
        <v>61</v>
      </c>
      <c r="O35" s="64">
        <v>0</v>
      </c>
      <c r="P35" s="64">
        <v>0.56000000000000005</v>
      </c>
      <c r="Q35" s="64">
        <v>8.2100000000000009</v>
      </c>
      <c r="R35" s="198"/>
      <c r="S35" s="198"/>
      <c r="T35" s="198"/>
      <c r="U35" s="198"/>
    </row>
    <row r="36" spans="1:21" s="12" customFormat="1" x14ac:dyDescent="0.25">
      <c r="A36" s="215" t="s">
        <v>2483</v>
      </c>
      <c r="B36" s="64">
        <v>11.67</v>
      </c>
      <c r="C36" s="64">
        <v>42.21</v>
      </c>
      <c r="D36" s="64">
        <v>30.04</v>
      </c>
      <c r="E36" s="64">
        <v>6.19</v>
      </c>
      <c r="F36" s="64">
        <v>3.89</v>
      </c>
      <c r="G36" s="64">
        <v>56.81</v>
      </c>
      <c r="H36" s="64">
        <v>24.17</v>
      </c>
      <c r="I36" s="64">
        <v>6.74</v>
      </c>
      <c r="J36" s="64">
        <v>0.57999999999999996</v>
      </c>
      <c r="K36" s="64">
        <v>17.78</v>
      </c>
      <c r="L36" s="64">
        <v>13.15</v>
      </c>
      <c r="M36" s="64">
        <v>92.2</v>
      </c>
      <c r="N36" s="64">
        <v>70.599999999999994</v>
      </c>
      <c r="O36" s="64">
        <v>0</v>
      </c>
      <c r="P36" s="64">
        <v>0.56999999999999995</v>
      </c>
      <c r="Q36" s="64">
        <v>8.2100000000000009</v>
      </c>
      <c r="R36" s="198"/>
      <c r="S36" s="198"/>
      <c r="T36" s="198"/>
      <c r="U36" s="198"/>
    </row>
    <row r="37" spans="1:21" s="12" customFormat="1" x14ac:dyDescent="0.25">
      <c r="A37" s="215" t="s">
        <v>2484</v>
      </c>
      <c r="B37" s="64">
        <v>12.74</v>
      </c>
      <c r="C37" s="64">
        <v>41.57</v>
      </c>
      <c r="D37" s="64">
        <v>30.55</v>
      </c>
      <c r="E37" s="64">
        <v>5.89</v>
      </c>
      <c r="F37" s="64">
        <v>3.66</v>
      </c>
      <c r="G37" s="64">
        <v>56.81</v>
      </c>
      <c r="H37" s="64">
        <v>24.17</v>
      </c>
      <c r="I37" s="64">
        <v>6.49</v>
      </c>
      <c r="J37" s="64">
        <v>0.62</v>
      </c>
      <c r="K37" s="64">
        <v>120.78</v>
      </c>
      <c r="L37" s="64">
        <v>13.39</v>
      </c>
      <c r="M37" s="64">
        <v>91.34</v>
      </c>
      <c r="N37" s="64">
        <v>76.099999999999994</v>
      </c>
      <c r="O37" s="64">
        <v>0</v>
      </c>
      <c r="P37" s="64">
        <v>0.56000000000000005</v>
      </c>
      <c r="Q37" s="64">
        <v>8.2100000000000009</v>
      </c>
      <c r="R37" s="198"/>
      <c r="S37" s="198"/>
      <c r="T37" s="198"/>
      <c r="U37" s="198"/>
    </row>
    <row r="38" spans="1:21" s="12" customFormat="1" x14ac:dyDescent="0.25">
      <c r="A38" s="215" t="s">
        <v>2485</v>
      </c>
      <c r="B38" s="64">
        <v>13.52</v>
      </c>
      <c r="C38" s="64">
        <v>43.37</v>
      </c>
      <c r="D38" s="64">
        <v>32.130000000000003</v>
      </c>
      <c r="E38" s="64">
        <v>5.91</v>
      </c>
      <c r="F38" s="64">
        <v>3.33</v>
      </c>
      <c r="G38" s="64">
        <v>56.81</v>
      </c>
      <c r="H38" s="64">
        <v>24.17</v>
      </c>
      <c r="I38" s="64">
        <v>6.35</v>
      </c>
      <c r="J38" s="64">
        <v>1.25</v>
      </c>
      <c r="K38" s="64">
        <v>91.96</v>
      </c>
      <c r="L38" s="64">
        <v>13.78</v>
      </c>
      <c r="M38" s="64">
        <v>89.66</v>
      </c>
      <c r="N38" s="64">
        <v>92.5</v>
      </c>
      <c r="O38" s="64">
        <v>0</v>
      </c>
      <c r="P38" s="64">
        <v>0.57999999999999996</v>
      </c>
      <c r="Q38" s="64">
        <v>8.2100000000000009</v>
      </c>
      <c r="R38" s="198"/>
      <c r="S38" s="198"/>
      <c r="T38" s="198"/>
      <c r="U38" s="198"/>
    </row>
    <row r="39" spans="1:21" s="12" customFormat="1" x14ac:dyDescent="0.25">
      <c r="A39" s="215" t="s">
        <v>2486</v>
      </c>
      <c r="B39" s="64">
        <v>13.71</v>
      </c>
      <c r="C39" s="64">
        <v>42.97</v>
      </c>
      <c r="D39" s="64">
        <v>32.07</v>
      </c>
      <c r="E39" s="64">
        <v>5.91</v>
      </c>
      <c r="F39" s="64">
        <v>3.75</v>
      </c>
      <c r="G39" s="64">
        <v>64.19</v>
      </c>
      <c r="H39" s="64">
        <v>25.12</v>
      </c>
      <c r="I39" s="64">
        <v>6.24</v>
      </c>
      <c r="J39" s="64">
        <v>1.23</v>
      </c>
      <c r="K39" s="64">
        <v>89.07</v>
      </c>
      <c r="L39" s="64">
        <v>14.11</v>
      </c>
      <c r="M39" s="64">
        <v>88.36</v>
      </c>
      <c r="N39" s="64">
        <v>109.5</v>
      </c>
      <c r="O39" s="64">
        <v>0</v>
      </c>
      <c r="P39" s="64">
        <v>0.57999999999999996</v>
      </c>
      <c r="Q39" s="64">
        <v>8.2100000000000009</v>
      </c>
      <c r="R39" s="198"/>
      <c r="S39" s="198"/>
      <c r="T39" s="198"/>
      <c r="U39" s="198"/>
    </row>
    <row r="40" spans="1:21" s="12" customFormat="1" x14ac:dyDescent="0.25">
      <c r="A40" s="215" t="s">
        <v>2487</v>
      </c>
      <c r="B40" s="64">
        <v>14.16</v>
      </c>
      <c r="C40" s="64">
        <v>44.27</v>
      </c>
      <c r="D40" s="64">
        <v>33.1</v>
      </c>
      <c r="E40" s="64">
        <v>4.55</v>
      </c>
      <c r="F40" s="64">
        <v>3.43</v>
      </c>
      <c r="G40" s="64">
        <v>67.36</v>
      </c>
      <c r="H40" s="64">
        <v>25.19</v>
      </c>
      <c r="I40" s="64">
        <v>6.08</v>
      </c>
      <c r="J40" s="64">
        <v>1.04</v>
      </c>
      <c r="K40" s="64">
        <v>84.46</v>
      </c>
      <c r="L40" s="64">
        <v>14.58</v>
      </c>
      <c r="M40" s="64">
        <v>87.24</v>
      </c>
      <c r="N40" s="64">
        <v>179.5</v>
      </c>
      <c r="O40" s="64">
        <v>0</v>
      </c>
      <c r="P40" s="64">
        <v>0.59</v>
      </c>
      <c r="Q40" s="64">
        <v>8.2100000000000009</v>
      </c>
      <c r="R40" s="198"/>
      <c r="S40" s="198"/>
      <c r="T40" s="198"/>
      <c r="U40" s="198"/>
    </row>
    <row r="41" spans="1:21" s="12" customFormat="1" x14ac:dyDescent="0.25">
      <c r="A41" s="215" t="s">
        <v>2488</v>
      </c>
      <c r="B41" s="64">
        <v>14.9</v>
      </c>
      <c r="C41" s="64">
        <v>44.24</v>
      </c>
      <c r="D41" s="64">
        <v>33.68</v>
      </c>
      <c r="E41" s="64">
        <v>5.64</v>
      </c>
      <c r="F41" s="64">
        <v>3.29</v>
      </c>
      <c r="G41" s="64">
        <v>67.36</v>
      </c>
      <c r="H41" s="64">
        <v>25.19</v>
      </c>
      <c r="I41" s="64">
        <v>6</v>
      </c>
      <c r="J41" s="64">
        <v>2.78</v>
      </c>
      <c r="K41" s="64">
        <v>115.61</v>
      </c>
      <c r="L41" s="64">
        <v>15.93</v>
      </c>
      <c r="M41" s="64">
        <v>81.819999999999993</v>
      </c>
      <c r="N41" s="64">
        <v>245.1</v>
      </c>
      <c r="O41" s="64">
        <v>0</v>
      </c>
      <c r="P41" s="64">
        <v>0.6</v>
      </c>
      <c r="Q41" s="64">
        <v>8.2100000000000009</v>
      </c>
      <c r="R41" s="198"/>
      <c r="S41" s="198"/>
      <c r="T41" s="198"/>
      <c r="U41" s="198"/>
    </row>
    <row r="42" spans="1:21" s="12" customFormat="1" x14ac:dyDescent="0.25">
      <c r="A42" s="215" t="s">
        <v>2489</v>
      </c>
      <c r="B42" s="64">
        <v>14.89</v>
      </c>
      <c r="C42" s="64">
        <v>43.46</v>
      </c>
      <c r="D42" s="64">
        <v>33.270000000000003</v>
      </c>
      <c r="E42" s="64">
        <v>5.53</v>
      </c>
      <c r="F42" s="64">
        <v>3.29</v>
      </c>
      <c r="G42" s="64">
        <v>67.36</v>
      </c>
      <c r="H42" s="64">
        <v>25.19</v>
      </c>
      <c r="I42" s="64">
        <v>5.89</v>
      </c>
      <c r="J42" s="64">
        <v>3.1</v>
      </c>
      <c r="K42" s="64">
        <v>111.35</v>
      </c>
      <c r="L42" s="64">
        <v>15.64</v>
      </c>
      <c r="M42" s="64">
        <v>83.97</v>
      </c>
      <c r="N42" s="64">
        <v>194.2</v>
      </c>
      <c r="O42" s="64">
        <v>0</v>
      </c>
      <c r="P42" s="64">
        <v>0.6</v>
      </c>
      <c r="Q42" s="64">
        <v>8.2100000000000009</v>
      </c>
      <c r="R42" s="198"/>
      <c r="S42" s="198"/>
      <c r="T42" s="198"/>
      <c r="U42" s="198"/>
    </row>
    <row r="43" spans="1:21" s="12" customFormat="1" x14ac:dyDescent="0.25">
      <c r="A43" s="215" t="s">
        <v>2490</v>
      </c>
      <c r="B43" s="64">
        <v>14.55</v>
      </c>
      <c r="C43" s="64">
        <v>41.84</v>
      </c>
      <c r="D43" s="64">
        <v>32.159999999999997</v>
      </c>
      <c r="E43" s="64">
        <v>6.01</v>
      </c>
      <c r="F43" s="64">
        <v>3.67</v>
      </c>
      <c r="G43" s="64">
        <v>58.52</v>
      </c>
      <c r="H43" s="64">
        <v>23.66</v>
      </c>
      <c r="I43" s="64">
        <v>5.95</v>
      </c>
      <c r="J43" s="64">
        <v>3.53</v>
      </c>
      <c r="K43" s="64">
        <v>108.26</v>
      </c>
      <c r="L43" s="64">
        <v>15.69</v>
      </c>
      <c r="M43" s="64">
        <v>83.96</v>
      </c>
      <c r="N43" s="64">
        <v>202.6</v>
      </c>
      <c r="O43" s="64">
        <v>0</v>
      </c>
      <c r="P43" s="64">
        <v>0.6</v>
      </c>
      <c r="Q43" s="64">
        <v>8.2100000000000009</v>
      </c>
      <c r="R43" s="198"/>
      <c r="S43" s="198"/>
      <c r="T43" s="198"/>
      <c r="U43" s="198"/>
    </row>
    <row r="44" spans="1:21" s="12" customFormat="1" x14ac:dyDescent="0.25">
      <c r="A44" s="215" t="s">
        <v>2491</v>
      </c>
      <c r="B44" s="64">
        <v>14.02</v>
      </c>
      <c r="C44" s="64">
        <v>42.06</v>
      </c>
      <c r="D44" s="64">
        <v>31.84</v>
      </c>
      <c r="E44" s="64">
        <v>5.94</v>
      </c>
      <c r="F44" s="64">
        <v>3.61</v>
      </c>
      <c r="G44" s="64">
        <v>54.54</v>
      </c>
      <c r="H44" s="64">
        <v>23.46</v>
      </c>
      <c r="I44" s="64">
        <v>6.25</v>
      </c>
      <c r="J44" s="64">
        <v>3.82</v>
      </c>
      <c r="K44" s="64">
        <v>113.47</v>
      </c>
      <c r="L44" s="64">
        <v>16.510000000000002</v>
      </c>
      <c r="M44" s="64">
        <v>80.72</v>
      </c>
      <c r="N44" s="64">
        <v>391.9</v>
      </c>
      <c r="O44" s="64">
        <v>0</v>
      </c>
      <c r="P44" s="64">
        <v>0.6</v>
      </c>
      <c r="Q44" s="64">
        <v>8.2100000000000009</v>
      </c>
      <c r="R44" s="198"/>
      <c r="S44" s="198"/>
      <c r="T44" s="198"/>
      <c r="U44" s="198"/>
    </row>
    <row r="45" spans="1:21" s="12" customFormat="1" x14ac:dyDescent="0.25">
      <c r="A45" s="215" t="s">
        <v>2492</v>
      </c>
      <c r="B45" s="64">
        <v>13.19</v>
      </c>
      <c r="C45" s="64">
        <v>42.36</v>
      </c>
      <c r="D45" s="64">
        <v>31.33</v>
      </c>
      <c r="E45" s="64">
        <v>6.05</v>
      </c>
      <c r="F45" s="64">
        <v>3.69</v>
      </c>
      <c r="G45" s="64">
        <v>54.54</v>
      </c>
      <c r="H45" s="64">
        <v>23.46</v>
      </c>
      <c r="I45" s="64">
        <v>6.64</v>
      </c>
      <c r="J45" s="64">
        <v>3.71</v>
      </c>
      <c r="K45" s="64">
        <v>113.77</v>
      </c>
      <c r="L45" s="64">
        <v>17.87</v>
      </c>
      <c r="M45" s="64">
        <v>75.44</v>
      </c>
      <c r="N45" s="64">
        <v>468.3</v>
      </c>
      <c r="O45" s="64">
        <v>0</v>
      </c>
      <c r="P45" s="64">
        <v>0.59</v>
      </c>
      <c r="Q45" s="64">
        <v>8.2100000000000009</v>
      </c>
      <c r="R45" s="198"/>
      <c r="S45" s="198"/>
      <c r="T45" s="198"/>
      <c r="U45" s="198"/>
    </row>
    <row r="46" spans="1:21" s="12" customFormat="1" x14ac:dyDescent="0.25">
      <c r="A46" s="215" t="s">
        <v>2493</v>
      </c>
      <c r="B46" s="64">
        <v>12.18</v>
      </c>
      <c r="C46" s="64">
        <v>42.13</v>
      </c>
      <c r="D46" s="64">
        <v>30.41</v>
      </c>
      <c r="E46" s="64">
        <v>5.98</v>
      </c>
      <c r="F46" s="64">
        <v>3.81</v>
      </c>
      <c r="G46" s="64">
        <v>54.54</v>
      </c>
      <c r="H46" s="64">
        <v>23.46</v>
      </c>
      <c r="I46" s="64">
        <v>7.05</v>
      </c>
      <c r="J46" s="64">
        <v>4.22</v>
      </c>
      <c r="K46" s="64">
        <v>113.74</v>
      </c>
      <c r="L46" s="64">
        <v>18.489999999999998</v>
      </c>
      <c r="M46" s="64">
        <v>72.58</v>
      </c>
      <c r="N46" s="64">
        <v>487.2</v>
      </c>
      <c r="O46" s="64">
        <v>0</v>
      </c>
      <c r="P46" s="64">
        <v>0.59</v>
      </c>
      <c r="Q46" s="64">
        <v>8.2100000000000009</v>
      </c>
      <c r="R46" s="198"/>
      <c r="S46" s="198"/>
      <c r="T46" s="198"/>
      <c r="U46" s="198"/>
    </row>
    <row r="47" spans="1:21" s="12" customFormat="1" x14ac:dyDescent="0.25">
      <c r="A47" s="215" t="s">
        <v>2494</v>
      </c>
      <c r="B47" s="64">
        <v>10.93</v>
      </c>
      <c r="C47" s="64">
        <v>41.61</v>
      </c>
      <c r="D47" s="64">
        <v>29.13</v>
      </c>
      <c r="E47" s="64">
        <v>6.11</v>
      </c>
      <c r="F47" s="64">
        <v>4.1399999999999997</v>
      </c>
      <c r="G47" s="64">
        <v>47.33</v>
      </c>
      <c r="H47" s="64">
        <v>19.34</v>
      </c>
      <c r="I47" s="64">
        <v>7.41</v>
      </c>
      <c r="J47" s="64">
        <v>4.46</v>
      </c>
      <c r="K47" s="64">
        <v>111.66</v>
      </c>
      <c r="L47" s="64">
        <v>18.39</v>
      </c>
      <c r="M47" s="64">
        <v>72.599999999999994</v>
      </c>
      <c r="N47" s="64">
        <v>533.1</v>
      </c>
      <c r="O47" s="64">
        <v>0</v>
      </c>
      <c r="P47" s="64">
        <v>0.56999999999999995</v>
      </c>
      <c r="Q47" s="64">
        <v>8.2100000000000009</v>
      </c>
      <c r="R47" s="198"/>
      <c r="S47" s="198"/>
      <c r="T47" s="198"/>
      <c r="U47" s="198"/>
    </row>
    <row r="48" spans="1:21" s="12" customFormat="1" x14ac:dyDescent="0.25">
      <c r="A48" s="215" t="s">
        <v>2495</v>
      </c>
      <c r="B48" s="64">
        <v>9.5500000000000007</v>
      </c>
      <c r="C48" s="64">
        <v>41.32</v>
      </c>
      <c r="D48" s="64">
        <v>27.87</v>
      </c>
      <c r="E48" s="64">
        <v>5.93</v>
      </c>
      <c r="F48" s="64">
        <v>3.97</v>
      </c>
      <c r="G48" s="64">
        <v>44.24</v>
      </c>
      <c r="H48" s="64">
        <v>19.079999999999998</v>
      </c>
      <c r="I48" s="64">
        <v>7.9</v>
      </c>
      <c r="J48" s="64">
        <v>4.33</v>
      </c>
      <c r="K48" s="64">
        <v>111.47</v>
      </c>
      <c r="L48" s="64">
        <v>18.47</v>
      </c>
      <c r="M48" s="64">
        <v>72.48</v>
      </c>
      <c r="N48" s="64">
        <v>554.9</v>
      </c>
      <c r="O48" s="64">
        <v>0</v>
      </c>
      <c r="P48" s="64">
        <v>0.55000000000000004</v>
      </c>
      <c r="Q48" s="64">
        <v>8.2100000000000009</v>
      </c>
      <c r="R48" s="198"/>
      <c r="S48" s="198"/>
      <c r="T48" s="198"/>
      <c r="U48" s="198"/>
    </row>
    <row r="49" spans="1:21" s="12" customFormat="1" x14ac:dyDescent="0.25">
      <c r="A49" s="215" t="s">
        <v>2496</v>
      </c>
      <c r="B49" s="64">
        <v>8.27</v>
      </c>
      <c r="C49" s="64">
        <v>40.85</v>
      </c>
      <c r="D49" s="64">
        <v>26.6</v>
      </c>
      <c r="E49" s="64">
        <v>5.79</v>
      </c>
      <c r="F49" s="64">
        <v>3.97</v>
      </c>
      <c r="G49" s="64">
        <v>44.24</v>
      </c>
      <c r="H49" s="64">
        <v>19.079999999999998</v>
      </c>
      <c r="I49" s="64">
        <v>8.23</v>
      </c>
      <c r="J49" s="64">
        <v>3.33</v>
      </c>
      <c r="K49" s="64">
        <v>112.78</v>
      </c>
      <c r="L49" s="64">
        <v>19.260000000000002</v>
      </c>
      <c r="M49" s="64">
        <v>69.81</v>
      </c>
      <c r="N49" s="64">
        <v>423.3</v>
      </c>
      <c r="O49" s="64">
        <v>0</v>
      </c>
      <c r="P49" s="64">
        <v>0.53</v>
      </c>
      <c r="Q49" s="64">
        <v>8.2100000000000009</v>
      </c>
      <c r="R49" s="198"/>
      <c r="S49" s="198"/>
      <c r="T49" s="198"/>
      <c r="U49" s="198"/>
    </row>
    <row r="50" spans="1:21" s="12" customFormat="1" x14ac:dyDescent="0.25">
      <c r="A50" s="215" t="s">
        <v>2497</v>
      </c>
      <c r="B50" s="64">
        <v>7.38</v>
      </c>
      <c r="C50" s="64">
        <v>42.23</v>
      </c>
      <c r="D50" s="64">
        <v>26.61</v>
      </c>
      <c r="E50" s="64">
        <v>6.04</v>
      </c>
      <c r="F50" s="64">
        <v>4.17</v>
      </c>
      <c r="G50" s="64">
        <v>44.24</v>
      </c>
      <c r="H50" s="64">
        <v>19.079999999999998</v>
      </c>
      <c r="I50" s="64">
        <v>8.52</v>
      </c>
      <c r="J50" s="64">
        <v>2.4300000000000002</v>
      </c>
      <c r="K50" s="64">
        <v>103.94</v>
      </c>
      <c r="L50" s="64">
        <v>19.75</v>
      </c>
      <c r="M50" s="64">
        <v>67.47</v>
      </c>
      <c r="N50" s="64">
        <v>464.4</v>
      </c>
      <c r="O50" s="64">
        <v>0</v>
      </c>
      <c r="P50" s="64">
        <v>0.53</v>
      </c>
      <c r="Q50" s="64">
        <v>8.2100000000000009</v>
      </c>
      <c r="R50" s="198"/>
      <c r="S50" s="198"/>
      <c r="T50" s="198"/>
      <c r="U50" s="198"/>
    </row>
    <row r="51" spans="1:21" s="12" customFormat="1" x14ac:dyDescent="0.25">
      <c r="A51" s="215" t="s">
        <v>2498</v>
      </c>
      <c r="B51" s="64">
        <v>6.89</v>
      </c>
      <c r="C51" s="64">
        <v>43.49</v>
      </c>
      <c r="D51" s="64">
        <v>26.87</v>
      </c>
      <c r="E51" s="64">
        <v>6.08</v>
      </c>
      <c r="F51" s="64">
        <v>4.2699999999999996</v>
      </c>
      <c r="G51" s="64">
        <v>37.36</v>
      </c>
      <c r="H51" s="64">
        <v>18.420000000000002</v>
      </c>
      <c r="I51" s="64">
        <v>8.3800000000000008</v>
      </c>
      <c r="J51" s="64">
        <v>2.02</v>
      </c>
      <c r="K51" s="64">
        <v>107.32</v>
      </c>
      <c r="L51" s="64">
        <v>21.2</v>
      </c>
      <c r="M51" s="64">
        <v>62.37</v>
      </c>
      <c r="N51" s="64">
        <v>537.1</v>
      </c>
      <c r="O51" s="64">
        <v>0</v>
      </c>
      <c r="P51" s="64">
        <v>0.53</v>
      </c>
      <c r="Q51" s="64">
        <v>8.2100000000000009</v>
      </c>
      <c r="R51" s="198"/>
      <c r="S51" s="198"/>
      <c r="T51" s="198"/>
      <c r="U51" s="198"/>
    </row>
    <row r="52" spans="1:21" s="12" customFormat="1" x14ac:dyDescent="0.25">
      <c r="A52" s="215" t="s">
        <v>2499</v>
      </c>
      <c r="B52" s="64">
        <v>6.68</v>
      </c>
      <c r="C52" s="64">
        <v>41.75</v>
      </c>
      <c r="D52" s="64">
        <v>25.79</v>
      </c>
      <c r="E52" s="64">
        <v>5.86</v>
      </c>
      <c r="F52" s="64">
        <v>4.0999999999999996</v>
      </c>
      <c r="G52" s="64">
        <v>34.42</v>
      </c>
      <c r="H52" s="64">
        <v>18.36</v>
      </c>
      <c r="I52" s="64">
        <v>8.52</v>
      </c>
      <c r="J52" s="64">
        <v>1.98</v>
      </c>
      <c r="K52" s="64">
        <v>110.18</v>
      </c>
      <c r="L52" s="64">
        <v>21.73</v>
      </c>
      <c r="M52" s="64">
        <v>58.55</v>
      </c>
      <c r="N52" s="64">
        <v>413.8</v>
      </c>
      <c r="O52" s="64">
        <v>0</v>
      </c>
      <c r="P52" s="64">
        <v>0.53</v>
      </c>
      <c r="Q52" s="64">
        <v>8.2100000000000009</v>
      </c>
      <c r="R52" s="198"/>
      <c r="S52" s="198"/>
      <c r="T52" s="198"/>
      <c r="U52" s="198"/>
    </row>
    <row r="53" spans="1:21" s="12" customFormat="1" x14ac:dyDescent="0.25">
      <c r="A53" s="215" t="s">
        <v>2500</v>
      </c>
      <c r="B53" s="64">
        <v>6.18</v>
      </c>
      <c r="C53" s="64">
        <v>43.61</v>
      </c>
      <c r="D53" s="64">
        <v>26.37</v>
      </c>
      <c r="E53" s="64">
        <v>5.33</v>
      </c>
      <c r="F53" s="64">
        <v>4.13</v>
      </c>
      <c r="G53" s="64">
        <v>34.42</v>
      </c>
      <c r="H53" s="64">
        <v>18.36</v>
      </c>
      <c r="I53" s="64">
        <v>8.5</v>
      </c>
      <c r="J53" s="64">
        <v>3.66</v>
      </c>
      <c r="K53" s="64">
        <v>112.03</v>
      </c>
      <c r="L53" s="64">
        <v>21.52</v>
      </c>
      <c r="M53" s="64">
        <v>55.02</v>
      </c>
      <c r="N53" s="64">
        <v>485.5</v>
      </c>
      <c r="O53" s="64">
        <v>0</v>
      </c>
      <c r="P53" s="64">
        <v>0.53</v>
      </c>
      <c r="Q53" s="64">
        <v>8.2100000000000009</v>
      </c>
      <c r="R53" s="198"/>
      <c r="S53" s="198"/>
      <c r="T53" s="198"/>
      <c r="U53" s="198"/>
    </row>
    <row r="54" spans="1:21" s="12" customFormat="1" x14ac:dyDescent="0.25">
      <c r="A54" s="215" t="s">
        <v>2501</v>
      </c>
      <c r="B54" s="64">
        <v>5.32</v>
      </c>
      <c r="C54" s="64">
        <v>43.49</v>
      </c>
      <c r="D54" s="64">
        <v>25.61</v>
      </c>
      <c r="E54" s="64">
        <v>5.41</v>
      </c>
      <c r="F54" s="64">
        <v>4.0599999999999996</v>
      </c>
      <c r="G54" s="64">
        <v>34.42</v>
      </c>
      <c r="H54" s="64">
        <v>18.36</v>
      </c>
      <c r="I54" s="64">
        <v>8.39</v>
      </c>
      <c r="J54" s="64">
        <v>2.68</v>
      </c>
      <c r="K54" s="64">
        <v>106.04</v>
      </c>
      <c r="L54" s="64">
        <v>21.38</v>
      </c>
      <c r="M54" s="64">
        <v>53.05</v>
      </c>
      <c r="N54" s="64">
        <v>364.1</v>
      </c>
      <c r="O54" s="64">
        <v>0</v>
      </c>
      <c r="P54" s="64">
        <v>0.51</v>
      </c>
      <c r="Q54" s="64">
        <v>8.2100000000000009</v>
      </c>
      <c r="R54" s="198"/>
      <c r="S54" s="198"/>
      <c r="T54" s="198"/>
      <c r="U54" s="198"/>
    </row>
    <row r="55" spans="1:21" s="12" customFormat="1" x14ac:dyDescent="0.25">
      <c r="A55" s="215" t="s">
        <v>2502</v>
      </c>
      <c r="B55" s="64">
        <v>4.58</v>
      </c>
      <c r="C55" s="64">
        <v>44.47</v>
      </c>
      <c r="D55" s="64">
        <v>25.53</v>
      </c>
      <c r="E55" s="64">
        <v>5.6</v>
      </c>
      <c r="F55" s="64">
        <v>4.17</v>
      </c>
      <c r="G55" s="64">
        <v>31.38</v>
      </c>
      <c r="H55" s="64">
        <v>16.16</v>
      </c>
      <c r="I55" s="64">
        <v>8.32</v>
      </c>
      <c r="J55" s="64">
        <v>2.93</v>
      </c>
      <c r="K55" s="64">
        <v>104.61</v>
      </c>
      <c r="L55" s="64">
        <v>21.6</v>
      </c>
      <c r="M55" s="64">
        <v>51.17</v>
      </c>
      <c r="N55" s="64">
        <v>424.1</v>
      </c>
      <c r="O55" s="64">
        <v>0</v>
      </c>
      <c r="P55" s="64">
        <v>0.51</v>
      </c>
      <c r="Q55" s="64">
        <v>8.2100000000000009</v>
      </c>
      <c r="R55" s="198"/>
      <c r="S55" s="198"/>
      <c r="T55" s="198"/>
      <c r="U55" s="198"/>
    </row>
    <row r="56" spans="1:21" s="12" customFormat="1" x14ac:dyDescent="0.25">
      <c r="A56" s="215" t="s">
        <v>2503</v>
      </c>
      <c r="B56" s="64">
        <v>4.08</v>
      </c>
      <c r="C56" s="64">
        <v>44.26</v>
      </c>
      <c r="D56" s="64">
        <v>25.03</v>
      </c>
      <c r="E56" s="64">
        <v>5.44</v>
      </c>
      <c r="F56" s="64">
        <v>4.43</v>
      </c>
      <c r="G56" s="64">
        <v>30.08</v>
      </c>
      <c r="H56" s="64">
        <v>16.010000000000002</v>
      </c>
      <c r="I56" s="64">
        <v>8.2200000000000006</v>
      </c>
      <c r="J56" s="64">
        <v>1.78</v>
      </c>
      <c r="K56" s="64">
        <v>104.59</v>
      </c>
      <c r="L56" s="64">
        <v>22</v>
      </c>
      <c r="M56" s="64">
        <v>49.66</v>
      </c>
      <c r="N56" s="64">
        <v>367.8</v>
      </c>
      <c r="O56" s="64">
        <v>0</v>
      </c>
      <c r="P56" s="64">
        <v>0.49</v>
      </c>
      <c r="Q56" s="64">
        <v>8.2100000000000009</v>
      </c>
      <c r="R56" s="198"/>
      <c r="S56" s="198"/>
      <c r="T56" s="198"/>
      <c r="U56" s="198"/>
    </row>
    <row r="57" spans="1:21" s="12" customFormat="1" x14ac:dyDescent="0.25">
      <c r="A57" s="215" t="s">
        <v>2504</v>
      </c>
      <c r="B57" s="64">
        <v>3.89</v>
      </c>
      <c r="C57" s="64">
        <v>45.02</v>
      </c>
      <c r="D57" s="64">
        <v>25.26</v>
      </c>
      <c r="E57" s="64">
        <v>5.72</v>
      </c>
      <c r="F57" s="64">
        <v>4.3600000000000003</v>
      </c>
      <c r="G57" s="64">
        <v>30.08</v>
      </c>
      <c r="H57" s="64">
        <v>16.010000000000002</v>
      </c>
      <c r="I57" s="64">
        <v>8.07</v>
      </c>
      <c r="J57" s="64">
        <v>2.5099999999999998</v>
      </c>
      <c r="K57" s="64">
        <v>109.85</v>
      </c>
      <c r="L57" s="64">
        <v>21.77</v>
      </c>
      <c r="M57" s="64">
        <v>49.92</v>
      </c>
      <c r="N57" s="64">
        <v>380.2</v>
      </c>
      <c r="O57" s="64">
        <v>0</v>
      </c>
      <c r="P57" s="64">
        <v>0.49</v>
      </c>
      <c r="Q57" s="64">
        <v>8.2100000000000009</v>
      </c>
      <c r="R57" s="198"/>
      <c r="S57" s="198"/>
      <c r="T57" s="198"/>
      <c r="U57" s="198"/>
    </row>
    <row r="58" spans="1:21" s="12" customFormat="1" x14ac:dyDescent="0.25">
      <c r="A58" s="215" t="s">
        <v>2505</v>
      </c>
      <c r="B58" s="64">
        <v>3.63</v>
      </c>
      <c r="C58" s="64">
        <v>44.55</v>
      </c>
      <c r="D58" s="64">
        <v>24.81</v>
      </c>
      <c r="E58" s="64">
        <v>5.12</v>
      </c>
      <c r="F58" s="64">
        <v>4.51</v>
      </c>
      <c r="G58" s="64">
        <v>30.08</v>
      </c>
      <c r="H58" s="64">
        <v>16.010000000000002</v>
      </c>
      <c r="I58" s="64">
        <v>8.0399999999999991</v>
      </c>
      <c r="J58" s="64">
        <v>0.76</v>
      </c>
      <c r="K58" s="64">
        <v>90.13</v>
      </c>
      <c r="L58" s="64">
        <v>22.17</v>
      </c>
      <c r="M58" s="64">
        <v>51.1</v>
      </c>
      <c r="N58" s="64">
        <v>262.2</v>
      </c>
      <c r="O58" s="64">
        <v>0</v>
      </c>
      <c r="P58" s="64">
        <v>0.48</v>
      </c>
      <c r="Q58" s="64">
        <v>8.2100000000000009</v>
      </c>
      <c r="R58" s="198"/>
      <c r="S58" s="198"/>
      <c r="T58" s="198"/>
      <c r="U58" s="198"/>
    </row>
    <row r="59" spans="1:21" s="12" customFormat="1" x14ac:dyDescent="0.25">
      <c r="A59" s="215" t="s">
        <v>2506</v>
      </c>
      <c r="B59" s="64">
        <v>3.77</v>
      </c>
      <c r="C59" s="64">
        <v>42.63</v>
      </c>
      <c r="D59" s="64">
        <v>23.92</v>
      </c>
      <c r="E59" s="64">
        <v>5.54</v>
      </c>
      <c r="F59" s="64">
        <v>4.16</v>
      </c>
      <c r="G59" s="64">
        <v>36.47</v>
      </c>
      <c r="H59" s="64">
        <v>16.28</v>
      </c>
      <c r="I59" s="64">
        <v>8.07</v>
      </c>
      <c r="J59" s="64">
        <v>0.92</v>
      </c>
      <c r="K59" s="64">
        <v>45.64</v>
      </c>
      <c r="L59" s="64">
        <v>22.52</v>
      </c>
      <c r="M59" s="64">
        <v>49.84</v>
      </c>
      <c r="N59" s="64">
        <v>315.60000000000002</v>
      </c>
      <c r="O59" s="64">
        <v>0</v>
      </c>
      <c r="P59" s="64">
        <v>0.53</v>
      </c>
      <c r="Q59" s="64">
        <v>8.2100000000000009</v>
      </c>
      <c r="R59" s="198"/>
      <c r="S59" s="198"/>
      <c r="T59" s="198"/>
      <c r="U59" s="198"/>
    </row>
    <row r="60" spans="1:21" s="12" customFormat="1" x14ac:dyDescent="0.25">
      <c r="A60" s="215" t="s">
        <v>2507</v>
      </c>
      <c r="B60" s="64">
        <v>4.3499999999999996</v>
      </c>
      <c r="C60" s="64">
        <v>42.86</v>
      </c>
      <c r="D60" s="64">
        <v>24.5</v>
      </c>
      <c r="E60" s="64">
        <v>5.71</v>
      </c>
      <c r="F60" s="64">
        <v>4</v>
      </c>
      <c r="G60" s="64">
        <v>39.21</v>
      </c>
      <c r="H60" s="64">
        <v>16.309999999999999</v>
      </c>
      <c r="I60" s="64">
        <v>7.45</v>
      </c>
      <c r="J60" s="64">
        <v>0.51</v>
      </c>
      <c r="K60" s="64">
        <v>28.03</v>
      </c>
      <c r="L60" s="64">
        <v>23.38</v>
      </c>
      <c r="M60" s="64">
        <v>47.08</v>
      </c>
      <c r="N60" s="64">
        <v>291.89999999999998</v>
      </c>
      <c r="O60" s="64">
        <v>0</v>
      </c>
      <c r="P60" s="64">
        <v>0.56999999999999995</v>
      </c>
      <c r="Q60" s="64">
        <v>8.2100000000000009</v>
      </c>
      <c r="R60" s="198"/>
      <c r="S60" s="198"/>
      <c r="T60" s="198"/>
      <c r="U60" s="198"/>
    </row>
    <row r="61" spans="1:21" s="12" customFormat="1" x14ac:dyDescent="0.25">
      <c r="A61" s="215" t="s">
        <v>2508</v>
      </c>
      <c r="B61" s="64">
        <v>4.8899999999999997</v>
      </c>
      <c r="C61" s="64">
        <v>43.59</v>
      </c>
      <c r="D61" s="64">
        <v>25.32</v>
      </c>
      <c r="E61" s="64">
        <v>5.73</v>
      </c>
      <c r="F61" s="64">
        <v>7.58</v>
      </c>
      <c r="G61" s="64">
        <v>39.21</v>
      </c>
      <c r="H61" s="64">
        <v>16.309999999999999</v>
      </c>
      <c r="I61" s="64">
        <v>6.24</v>
      </c>
      <c r="J61" s="64">
        <v>2.14</v>
      </c>
      <c r="K61" s="64">
        <v>107.11</v>
      </c>
      <c r="L61" s="64">
        <v>22.24</v>
      </c>
      <c r="M61" s="64">
        <v>50.05</v>
      </c>
      <c r="N61" s="64">
        <v>237.1</v>
      </c>
      <c r="O61" s="64">
        <v>0</v>
      </c>
      <c r="P61" s="64">
        <v>0.5</v>
      </c>
      <c r="Q61" s="64">
        <v>8.2100000000000009</v>
      </c>
      <c r="R61" s="198"/>
      <c r="S61" s="198"/>
      <c r="T61" s="198"/>
      <c r="U61" s="198"/>
    </row>
    <row r="62" spans="1:21" s="12" customFormat="1" x14ac:dyDescent="0.25">
      <c r="A62" s="215" t="s">
        <v>2509</v>
      </c>
      <c r="B62" s="64">
        <v>5.0199999999999996</v>
      </c>
      <c r="C62" s="64">
        <v>43.95</v>
      </c>
      <c r="D62" s="64">
        <v>25.61</v>
      </c>
      <c r="E62" s="64">
        <v>5.47</v>
      </c>
      <c r="F62" s="64">
        <v>4.16</v>
      </c>
      <c r="G62" s="64">
        <v>39.21</v>
      </c>
      <c r="H62" s="64">
        <v>16.309999999999999</v>
      </c>
      <c r="I62" s="64">
        <v>6.05</v>
      </c>
      <c r="J62" s="64">
        <v>1.4</v>
      </c>
      <c r="K62" s="64">
        <v>0.74</v>
      </c>
      <c r="L62" s="64">
        <v>23</v>
      </c>
      <c r="M62" s="64">
        <v>48.34</v>
      </c>
      <c r="N62" s="64">
        <v>262.60000000000002</v>
      </c>
      <c r="O62" s="64">
        <v>0</v>
      </c>
      <c r="P62" s="64">
        <v>0.56999999999999995</v>
      </c>
      <c r="Q62" s="64">
        <v>8.2100000000000009</v>
      </c>
      <c r="R62" s="198"/>
      <c r="S62" s="198"/>
      <c r="T62" s="198"/>
      <c r="U62" s="198"/>
    </row>
    <row r="63" spans="1:21" s="12" customFormat="1" x14ac:dyDescent="0.25">
      <c r="A63" s="215" t="s">
        <v>2510</v>
      </c>
      <c r="B63" s="64">
        <v>5.31</v>
      </c>
      <c r="C63" s="64">
        <v>44.5</v>
      </c>
      <c r="D63" s="64">
        <v>26.14</v>
      </c>
      <c r="E63" s="64">
        <v>5.78</v>
      </c>
      <c r="F63" s="64">
        <v>4.3099999999999996</v>
      </c>
      <c r="G63" s="64">
        <v>41.38</v>
      </c>
      <c r="H63" s="64">
        <v>16.2</v>
      </c>
      <c r="I63" s="64">
        <v>5.91</v>
      </c>
      <c r="J63" s="64">
        <v>1.55</v>
      </c>
      <c r="K63" s="64">
        <v>332.33</v>
      </c>
      <c r="L63" s="64">
        <v>23.96</v>
      </c>
      <c r="M63" s="64">
        <v>45.3</v>
      </c>
      <c r="N63" s="64">
        <v>281.39999999999998</v>
      </c>
      <c r="O63" s="64">
        <v>0</v>
      </c>
      <c r="P63" s="64">
        <v>0.59</v>
      </c>
      <c r="Q63" s="64">
        <v>8.2100000000000009</v>
      </c>
      <c r="R63" s="198"/>
      <c r="S63" s="198"/>
      <c r="T63" s="198"/>
      <c r="U63" s="198"/>
    </row>
    <row r="64" spans="1:21" s="12" customFormat="1" x14ac:dyDescent="0.25">
      <c r="A64" s="215" t="s">
        <v>2511</v>
      </c>
      <c r="B64" s="64">
        <v>5.65</v>
      </c>
      <c r="C64" s="64">
        <v>45.02</v>
      </c>
      <c r="D64" s="64">
        <v>26.67</v>
      </c>
      <c r="E64" s="64">
        <v>5.78</v>
      </c>
      <c r="F64" s="64">
        <v>4.0599999999999996</v>
      </c>
      <c r="G64" s="64">
        <v>42.32</v>
      </c>
      <c r="H64" s="64">
        <v>16.190000000000001</v>
      </c>
      <c r="I64" s="64">
        <v>5.62</v>
      </c>
      <c r="J64" s="64">
        <v>2.65</v>
      </c>
      <c r="K64" s="64">
        <v>344.51</v>
      </c>
      <c r="L64" s="64">
        <v>24.26</v>
      </c>
      <c r="M64" s="64">
        <v>42.42</v>
      </c>
      <c r="N64" s="64">
        <v>326.7</v>
      </c>
      <c r="O64" s="64">
        <v>0</v>
      </c>
      <c r="P64" s="64">
        <v>0.6</v>
      </c>
      <c r="Q64" s="64">
        <v>8.2100000000000009</v>
      </c>
      <c r="R64" s="198"/>
      <c r="S64" s="198"/>
      <c r="T64" s="198"/>
      <c r="U64" s="198"/>
    </row>
    <row r="65" spans="1:21" s="12" customFormat="1" x14ac:dyDescent="0.25">
      <c r="A65" s="215" t="s">
        <v>2512</v>
      </c>
      <c r="B65" s="64">
        <v>6</v>
      </c>
      <c r="C65" s="64">
        <v>45.41</v>
      </c>
      <c r="D65" s="64">
        <v>27.17</v>
      </c>
      <c r="E65" s="64">
        <v>5.58</v>
      </c>
      <c r="F65" s="64">
        <v>4.1500000000000004</v>
      </c>
      <c r="G65" s="64">
        <v>42.32</v>
      </c>
      <c r="H65" s="64">
        <v>16.190000000000001</v>
      </c>
      <c r="I65" s="64">
        <v>6.06</v>
      </c>
      <c r="J65" s="64">
        <v>0.68</v>
      </c>
      <c r="K65" s="64">
        <v>61.65</v>
      </c>
      <c r="L65" s="64">
        <v>24.37</v>
      </c>
      <c r="M65" s="64">
        <v>39.729999999999997</v>
      </c>
      <c r="N65" s="64">
        <v>231.8</v>
      </c>
      <c r="O65" s="64">
        <v>0</v>
      </c>
      <c r="P65" s="64">
        <v>0.59</v>
      </c>
      <c r="Q65" s="64">
        <v>8.2100000000000009</v>
      </c>
      <c r="R65" s="198"/>
      <c r="S65" s="198"/>
      <c r="T65" s="198"/>
      <c r="U65" s="198"/>
    </row>
    <row r="66" spans="1:21" s="12" customFormat="1" x14ac:dyDescent="0.25">
      <c r="A66" s="215" t="s">
        <v>2513</v>
      </c>
      <c r="B66" s="64">
        <v>6.06</v>
      </c>
      <c r="C66" s="64">
        <v>45.06</v>
      </c>
      <c r="D66" s="64">
        <v>27.02</v>
      </c>
      <c r="E66" s="64">
        <v>5.72</v>
      </c>
      <c r="F66" s="64">
        <v>4.82</v>
      </c>
      <c r="G66" s="64">
        <v>42.32</v>
      </c>
      <c r="H66" s="64">
        <v>16.190000000000001</v>
      </c>
      <c r="I66" s="64">
        <v>5.43</v>
      </c>
      <c r="J66" s="64">
        <v>2.54</v>
      </c>
      <c r="K66" s="64">
        <v>339.91</v>
      </c>
      <c r="L66" s="64">
        <v>23.85</v>
      </c>
      <c r="M66" s="64">
        <v>41.39</v>
      </c>
      <c r="N66" s="64">
        <v>221.2</v>
      </c>
      <c r="O66" s="64">
        <v>0</v>
      </c>
      <c r="P66" s="64">
        <v>0.57999999999999996</v>
      </c>
      <c r="Q66" s="64">
        <v>8.2100000000000009</v>
      </c>
      <c r="R66" s="198"/>
      <c r="S66" s="198"/>
      <c r="T66" s="198"/>
      <c r="U66" s="198"/>
    </row>
    <row r="67" spans="1:21" s="12" customFormat="1" x14ac:dyDescent="0.25">
      <c r="A67" s="215" t="s">
        <v>2514</v>
      </c>
      <c r="B67" s="64">
        <v>6.29</v>
      </c>
      <c r="C67" s="64">
        <v>46.28</v>
      </c>
      <c r="D67" s="64">
        <v>27.85</v>
      </c>
      <c r="E67" s="64">
        <v>5.73</v>
      </c>
      <c r="F67" s="64">
        <v>4.7699999999999996</v>
      </c>
      <c r="G67" s="64">
        <v>40.86</v>
      </c>
      <c r="H67" s="64">
        <v>16.32</v>
      </c>
      <c r="I67" s="64">
        <v>5.47</v>
      </c>
      <c r="J67" s="64">
        <v>1.39</v>
      </c>
      <c r="K67" s="64">
        <v>88.62</v>
      </c>
      <c r="L67" s="64">
        <v>23.74</v>
      </c>
      <c r="M67" s="64">
        <v>40.880000000000003</v>
      </c>
      <c r="N67" s="64">
        <v>193.8</v>
      </c>
      <c r="O67" s="64">
        <v>0</v>
      </c>
      <c r="P67" s="64">
        <v>0.6</v>
      </c>
      <c r="Q67" s="64">
        <v>8.2100000000000009</v>
      </c>
      <c r="R67" s="198"/>
      <c r="S67" s="198"/>
      <c r="T67" s="198"/>
      <c r="U67" s="198"/>
    </row>
    <row r="68" spans="1:21" s="12" customFormat="1" x14ac:dyDescent="0.25">
      <c r="A68" s="215" t="s">
        <v>2515</v>
      </c>
      <c r="B68" s="64">
        <v>6.07</v>
      </c>
      <c r="C68" s="64">
        <v>47.77</v>
      </c>
      <c r="D68" s="64">
        <v>28.45</v>
      </c>
      <c r="E68" s="64">
        <v>6</v>
      </c>
      <c r="F68" s="64">
        <v>4.4800000000000004</v>
      </c>
      <c r="G68" s="64">
        <v>40.24</v>
      </c>
      <c r="H68" s="64">
        <v>16.34</v>
      </c>
      <c r="I68" s="64">
        <v>7.07</v>
      </c>
      <c r="J68" s="64">
        <v>2.09</v>
      </c>
      <c r="K68" s="64">
        <v>107.21</v>
      </c>
      <c r="L68" s="64">
        <v>22.81</v>
      </c>
      <c r="M68" s="64">
        <v>43.75</v>
      </c>
      <c r="N68" s="64">
        <v>166.2</v>
      </c>
      <c r="O68" s="64">
        <v>0</v>
      </c>
      <c r="P68" s="64">
        <v>0.63</v>
      </c>
      <c r="Q68" s="64">
        <v>8.2100000000000009</v>
      </c>
      <c r="R68" s="198"/>
      <c r="S68" s="198"/>
      <c r="T68" s="198"/>
      <c r="U68" s="198"/>
    </row>
    <row r="69" spans="1:21" s="12" customFormat="1" x14ac:dyDescent="0.25">
      <c r="A69" s="215" t="s">
        <v>2516</v>
      </c>
      <c r="B69" s="64">
        <v>5.58</v>
      </c>
      <c r="C69" s="64">
        <v>48.19</v>
      </c>
      <c r="D69" s="64">
        <v>28.28</v>
      </c>
      <c r="E69" s="64">
        <v>5.91</v>
      </c>
      <c r="F69" s="64">
        <v>4.62</v>
      </c>
      <c r="G69" s="64">
        <v>40.24</v>
      </c>
      <c r="H69" s="64">
        <v>16.34</v>
      </c>
      <c r="I69" s="64">
        <v>7.83</v>
      </c>
      <c r="J69" s="64">
        <v>1.22</v>
      </c>
      <c r="K69" s="64">
        <v>8.02</v>
      </c>
      <c r="L69" s="64">
        <v>22.7</v>
      </c>
      <c r="M69" s="64">
        <v>42.42</v>
      </c>
      <c r="N69" s="64">
        <v>149.1</v>
      </c>
      <c r="O69" s="64">
        <v>0</v>
      </c>
      <c r="P69" s="64">
        <v>0.61</v>
      </c>
      <c r="Q69" s="64">
        <v>8.2100000000000009</v>
      </c>
      <c r="R69" s="198"/>
      <c r="S69" s="198"/>
      <c r="T69" s="198"/>
      <c r="U69" s="198"/>
    </row>
    <row r="70" spans="1:21" s="12" customFormat="1" x14ac:dyDescent="0.25">
      <c r="A70" s="215" t="s">
        <v>2517</v>
      </c>
      <c r="B70" s="64">
        <v>6.01</v>
      </c>
      <c r="C70" s="64">
        <v>49.68</v>
      </c>
      <c r="D70" s="64">
        <v>29.4</v>
      </c>
      <c r="E70" s="64">
        <v>5.58</v>
      </c>
      <c r="F70" s="64">
        <v>4.3099999999999996</v>
      </c>
      <c r="G70" s="64">
        <v>40.24</v>
      </c>
      <c r="H70" s="64">
        <v>16.34</v>
      </c>
      <c r="I70" s="64">
        <v>7.56</v>
      </c>
      <c r="J70" s="64">
        <v>1.55</v>
      </c>
      <c r="K70" s="64">
        <v>96.64</v>
      </c>
      <c r="L70" s="64">
        <v>22.56</v>
      </c>
      <c r="M70" s="64">
        <v>42.43</v>
      </c>
      <c r="N70" s="64">
        <v>140.9</v>
      </c>
      <c r="O70" s="64">
        <v>0</v>
      </c>
      <c r="P70" s="64">
        <v>0.64</v>
      </c>
      <c r="Q70" s="64">
        <v>8.2100000000000009</v>
      </c>
      <c r="R70" s="198"/>
      <c r="S70" s="198"/>
      <c r="T70" s="198"/>
      <c r="U70" s="198"/>
    </row>
    <row r="71" spans="1:21" s="12" customFormat="1" x14ac:dyDescent="0.25">
      <c r="A71" s="215" t="s">
        <v>2518</v>
      </c>
      <c r="B71" s="64">
        <v>6.2</v>
      </c>
      <c r="C71" s="64">
        <v>50.18</v>
      </c>
      <c r="D71" s="64">
        <v>29.81</v>
      </c>
      <c r="E71" s="64">
        <v>5.68</v>
      </c>
      <c r="F71" s="64">
        <v>3.97</v>
      </c>
      <c r="G71" s="64">
        <v>45.1</v>
      </c>
      <c r="H71" s="64">
        <v>16.829999999999998</v>
      </c>
      <c r="I71" s="64">
        <v>7.51</v>
      </c>
      <c r="J71" s="64">
        <v>1.69</v>
      </c>
      <c r="K71" s="64">
        <v>92.89</v>
      </c>
      <c r="L71" s="64">
        <v>22.39</v>
      </c>
      <c r="M71" s="64">
        <v>41.11</v>
      </c>
      <c r="N71" s="64">
        <v>120.2</v>
      </c>
      <c r="O71" s="64">
        <v>0</v>
      </c>
      <c r="P71" s="64">
        <v>0.62</v>
      </c>
      <c r="Q71" s="64">
        <v>8.2100000000000009</v>
      </c>
      <c r="R71" s="198"/>
      <c r="S71" s="198"/>
      <c r="T71" s="198"/>
      <c r="U71" s="198"/>
    </row>
    <row r="72" spans="1:21" s="12" customFormat="1" x14ac:dyDescent="0.25">
      <c r="A72" s="215" t="s">
        <v>2519</v>
      </c>
      <c r="B72" s="64">
        <v>6.1</v>
      </c>
      <c r="C72" s="64">
        <v>50.93</v>
      </c>
      <c r="D72" s="64">
        <v>30.12</v>
      </c>
      <c r="E72" s="64">
        <v>5.23</v>
      </c>
      <c r="F72" s="64">
        <v>3.72</v>
      </c>
      <c r="G72" s="64">
        <v>47.18</v>
      </c>
      <c r="H72" s="64">
        <v>16.87</v>
      </c>
      <c r="I72" s="64">
        <v>7.36</v>
      </c>
      <c r="J72" s="64">
        <v>2.4700000000000002</v>
      </c>
      <c r="K72" s="64">
        <v>115.07</v>
      </c>
      <c r="L72" s="64">
        <v>22.01</v>
      </c>
      <c r="M72" s="64">
        <v>41.93</v>
      </c>
      <c r="N72" s="64">
        <v>103.2</v>
      </c>
      <c r="O72" s="64">
        <v>0</v>
      </c>
      <c r="P72" s="64">
        <v>0.62</v>
      </c>
      <c r="Q72" s="64">
        <v>8.2100000000000009</v>
      </c>
      <c r="R72" s="198"/>
      <c r="S72" s="198"/>
      <c r="T72" s="198"/>
      <c r="U72" s="198"/>
    </row>
    <row r="73" spans="1:21" s="12" customFormat="1" x14ac:dyDescent="0.25">
      <c r="A73" s="215" t="s">
        <v>2520</v>
      </c>
      <c r="B73" s="64">
        <v>5.54</v>
      </c>
      <c r="C73" s="64">
        <v>50.29</v>
      </c>
      <c r="D73" s="64">
        <v>29.34</v>
      </c>
      <c r="E73" s="64">
        <v>5.32</v>
      </c>
      <c r="F73" s="64">
        <v>4.22</v>
      </c>
      <c r="G73" s="64">
        <v>47.18</v>
      </c>
      <c r="H73" s="64">
        <v>16.87</v>
      </c>
      <c r="I73" s="64">
        <v>7.48</v>
      </c>
      <c r="J73" s="64">
        <v>2.0699999999999998</v>
      </c>
      <c r="K73" s="64">
        <v>111.89</v>
      </c>
      <c r="L73" s="64">
        <v>21.93</v>
      </c>
      <c r="M73" s="64">
        <v>42.1</v>
      </c>
      <c r="N73" s="64">
        <v>105.5</v>
      </c>
      <c r="O73" s="64">
        <v>0</v>
      </c>
      <c r="P73" s="64">
        <v>0.61</v>
      </c>
      <c r="Q73" s="64">
        <v>8.2100000000000009</v>
      </c>
      <c r="R73" s="198"/>
      <c r="S73" s="198"/>
      <c r="T73" s="198"/>
      <c r="U73" s="198"/>
    </row>
    <row r="74" spans="1:21" s="12" customFormat="1" x14ac:dyDescent="0.25">
      <c r="A74" s="215" t="s">
        <v>2521</v>
      </c>
      <c r="B74" s="64">
        <v>5.09</v>
      </c>
      <c r="C74" s="64">
        <v>50.59</v>
      </c>
      <c r="D74" s="64">
        <v>29.14</v>
      </c>
      <c r="E74" s="64">
        <v>5.38</v>
      </c>
      <c r="F74" s="64">
        <v>4.12</v>
      </c>
      <c r="G74" s="64">
        <v>47.18</v>
      </c>
      <c r="H74" s="64">
        <v>16.87</v>
      </c>
      <c r="I74" s="64">
        <v>7.34</v>
      </c>
      <c r="J74" s="64">
        <v>2.41</v>
      </c>
      <c r="K74" s="64">
        <v>114.61</v>
      </c>
      <c r="L74" s="64">
        <v>21.83</v>
      </c>
      <c r="M74" s="64">
        <v>43.96</v>
      </c>
      <c r="N74" s="64">
        <v>98.4</v>
      </c>
      <c r="O74" s="64">
        <v>0</v>
      </c>
      <c r="P74" s="64">
        <v>0.6</v>
      </c>
      <c r="Q74" s="64">
        <v>8.2100000000000009</v>
      </c>
      <c r="R74" s="198"/>
      <c r="S74" s="198"/>
      <c r="T74" s="198"/>
      <c r="U74" s="198"/>
    </row>
    <row r="75" spans="1:21" s="12" customFormat="1" x14ac:dyDescent="0.25">
      <c r="A75" s="215" t="s">
        <v>2522</v>
      </c>
      <c r="B75" s="64">
        <v>4.62</v>
      </c>
      <c r="C75" s="64">
        <v>49.79</v>
      </c>
      <c r="D75" s="64">
        <v>28.35</v>
      </c>
      <c r="E75" s="64">
        <v>5.25</v>
      </c>
      <c r="F75" s="64">
        <v>4.2</v>
      </c>
      <c r="G75" s="64">
        <v>41.69</v>
      </c>
      <c r="H75" s="64">
        <v>16.239999999999998</v>
      </c>
      <c r="I75" s="64">
        <v>7.41</v>
      </c>
      <c r="J75" s="64">
        <v>2.86</v>
      </c>
      <c r="K75" s="64">
        <v>110.42</v>
      </c>
      <c r="L75" s="64">
        <v>21.6</v>
      </c>
      <c r="M75" s="64">
        <v>44.8</v>
      </c>
      <c r="N75" s="64">
        <v>76.099999999999994</v>
      </c>
      <c r="O75" s="64">
        <v>0</v>
      </c>
      <c r="P75" s="64">
        <v>0.59</v>
      </c>
      <c r="Q75" s="64">
        <v>8.2100000000000009</v>
      </c>
      <c r="R75" s="198"/>
      <c r="S75" s="198"/>
      <c r="T75" s="198"/>
      <c r="U75" s="198"/>
    </row>
    <row r="76" spans="1:21" s="12" customFormat="1" x14ac:dyDescent="0.25">
      <c r="A76" s="215" t="s">
        <v>2523</v>
      </c>
      <c r="B76" s="64">
        <v>4.24</v>
      </c>
      <c r="C76" s="64">
        <v>47.59</v>
      </c>
      <c r="D76" s="64">
        <v>26.89</v>
      </c>
      <c r="E76" s="64">
        <v>5.0199999999999996</v>
      </c>
      <c r="F76" s="64">
        <v>4.03</v>
      </c>
      <c r="G76" s="64">
        <v>39.340000000000003</v>
      </c>
      <c r="H76" s="64">
        <v>16.16</v>
      </c>
      <c r="I76" s="64">
        <v>6.71</v>
      </c>
      <c r="J76" s="64">
        <v>2.87</v>
      </c>
      <c r="K76" s="64">
        <v>116.28</v>
      </c>
      <c r="L76" s="64">
        <v>21.3</v>
      </c>
      <c r="M76" s="64">
        <v>46.53</v>
      </c>
      <c r="N76" s="64">
        <v>65.8</v>
      </c>
      <c r="O76" s="64">
        <v>0</v>
      </c>
      <c r="P76" s="64">
        <v>0.59</v>
      </c>
      <c r="Q76" s="64">
        <v>8.2100000000000009</v>
      </c>
      <c r="R76" s="198"/>
      <c r="S76" s="198"/>
      <c r="T76" s="198"/>
      <c r="U76" s="198"/>
    </row>
    <row r="77" spans="1:21" s="12" customFormat="1" x14ac:dyDescent="0.25">
      <c r="A77" s="215" t="s">
        <v>2524</v>
      </c>
      <c r="B77" s="64">
        <v>4.12</v>
      </c>
      <c r="C77" s="64">
        <v>46.94</v>
      </c>
      <c r="D77" s="64">
        <v>26.45</v>
      </c>
      <c r="E77" s="64">
        <v>5.0599999999999996</v>
      </c>
      <c r="F77" s="64">
        <v>4.21</v>
      </c>
      <c r="G77" s="64">
        <v>39.340000000000003</v>
      </c>
      <c r="H77" s="64">
        <v>16.16</v>
      </c>
      <c r="I77" s="64">
        <v>5.99</v>
      </c>
      <c r="J77" s="64">
        <v>2.69</v>
      </c>
      <c r="K77" s="64">
        <v>115.27</v>
      </c>
      <c r="L77" s="64">
        <v>21.05</v>
      </c>
      <c r="M77" s="64">
        <v>48.06</v>
      </c>
      <c r="N77" s="64">
        <v>56.7</v>
      </c>
      <c r="O77" s="64">
        <v>0</v>
      </c>
      <c r="P77" s="64">
        <v>0.6</v>
      </c>
      <c r="Q77" s="64">
        <v>8.2100000000000009</v>
      </c>
      <c r="R77" s="198"/>
      <c r="S77" s="198"/>
      <c r="T77" s="198"/>
      <c r="U77" s="198"/>
    </row>
    <row r="78" spans="1:21" s="12" customFormat="1" x14ac:dyDescent="0.25">
      <c r="A78" s="215" t="s">
        <v>2525</v>
      </c>
      <c r="B78" s="64">
        <v>4.12</v>
      </c>
      <c r="C78" s="64">
        <v>46.17</v>
      </c>
      <c r="D78" s="64">
        <v>26.05</v>
      </c>
      <c r="E78" s="64">
        <v>4.96</v>
      </c>
      <c r="F78" s="64">
        <v>4.47</v>
      </c>
      <c r="G78" s="64">
        <v>39.340000000000003</v>
      </c>
      <c r="H78" s="64">
        <v>16.16</v>
      </c>
      <c r="I78" s="64">
        <v>5.84</v>
      </c>
      <c r="J78" s="64">
        <v>2.13</v>
      </c>
      <c r="K78" s="64">
        <v>111.98</v>
      </c>
      <c r="L78" s="64">
        <v>20.86</v>
      </c>
      <c r="M78" s="64">
        <v>49.24</v>
      </c>
      <c r="N78" s="64">
        <v>50.3</v>
      </c>
      <c r="O78" s="64">
        <v>0</v>
      </c>
      <c r="P78" s="64">
        <v>0.61</v>
      </c>
      <c r="Q78" s="64">
        <v>8.2100000000000009</v>
      </c>
      <c r="R78" s="198"/>
      <c r="S78" s="198"/>
      <c r="T78" s="198"/>
      <c r="U78" s="198"/>
    </row>
    <row r="79" spans="1:21" s="12" customFormat="1" x14ac:dyDescent="0.25">
      <c r="A79" s="215" t="s">
        <v>2526</v>
      </c>
      <c r="B79" s="64">
        <v>4.1399999999999997</v>
      </c>
      <c r="C79" s="64">
        <v>45.66</v>
      </c>
      <c r="D79" s="64">
        <v>25.8</v>
      </c>
      <c r="E79" s="64">
        <v>5.23</v>
      </c>
      <c r="F79" s="64">
        <v>4.2699999999999996</v>
      </c>
      <c r="G79" s="64">
        <v>42.87</v>
      </c>
      <c r="H79" s="64">
        <v>19.62</v>
      </c>
      <c r="I79" s="64">
        <v>5.1100000000000003</v>
      </c>
      <c r="J79" s="64">
        <v>0.84</v>
      </c>
      <c r="K79" s="64">
        <v>92.72</v>
      </c>
      <c r="L79" s="64">
        <v>20.52</v>
      </c>
      <c r="M79" s="64">
        <v>51.14</v>
      </c>
      <c r="N79" s="64">
        <v>47.7</v>
      </c>
      <c r="O79" s="64">
        <v>0</v>
      </c>
      <c r="P79" s="64">
        <v>0.71</v>
      </c>
      <c r="Q79" s="64">
        <v>8.2100000000000009</v>
      </c>
      <c r="R79" s="198"/>
      <c r="S79" s="198"/>
      <c r="T79" s="198"/>
      <c r="U79" s="198"/>
    </row>
    <row r="80" spans="1:21" s="12" customFormat="1" x14ac:dyDescent="0.25">
      <c r="A80" s="215" t="s">
        <v>2527</v>
      </c>
      <c r="B80" s="64">
        <v>4.3600000000000003</v>
      </c>
      <c r="C80" s="64">
        <v>45.31</v>
      </c>
      <c r="D80" s="64">
        <v>25.79</v>
      </c>
      <c r="E80" s="64">
        <v>5.55</v>
      </c>
      <c r="F80" s="64">
        <v>4.29</v>
      </c>
      <c r="G80" s="64">
        <v>44.38</v>
      </c>
      <c r="H80" s="64">
        <v>19.84</v>
      </c>
      <c r="I80" s="64">
        <v>4.8099999999999996</v>
      </c>
      <c r="J80" s="64">
        <v>0.57999999999999996</v>
      </c>
      <c r="K80" s="64">
        <v>338.65</v>
      </c>
      <c r="L80" s="64">
        <v>20.14</v>
      </c>
      <c r="M80" s="64">
        <v>53.03</v>
      </c>
      <c r="N80" s="64">
        <v>46.9</v>
      </c>
      <c r="O80" s="64">
        <v>0</v>
      </c>
      <c r="P80" s="64">
        <v>0.86</v>
      </c>
      <c r="Q80" s="64">
        <v>8.2100000000000009</v>
      </c>
      <c r="R80" s="198"/>
      <c r="S80" s="198"/>
      <c r="T80" s="198"/>
      <c r="U80" s="198"/>
    </row>
    <row r="81" spans="1:26" s="12" customFormat="1" x14ac:dyDescent="0.25">
      <c r="A81" s="215" t="s">
        <v>2528</v>
      </c>
      <c r="B81" s="64">
        <v>5.0999999999999996</v>
      </c>
      <c r="C81" s="64">
        <v>45.3</v>
      </c>
      <c r="D81" s="64">
        <v>26.38</v>
      </c>
      <c r="E81" s="64">
        <v>5.36</v>
      </c>
      <c r="F81" s="64">
        <v>3.93</v>
      </c>
      <c r="G81" s="64">
        <v>44.38</v>
      </c>
      <c r="H81" s="64">
        <v>19.84</v>
      </c>
      <c r="I81" s="64">
        <v>4.91</v>
      </c>
      <c r="J81" s="64">
        <v>1.75</v>
      </c>
      <c r="K81" s="64">
        <v>104.92</v>
      </c>
      <c r="L81" s="64">
        <v>20.04</v>
      </c>
      <c r="M81" s="64">
        <v>54.18</v>
      </c>
      <c r="N81" s="64">
        <v>46.7</v>
      </c>
      <c r="O81" s="64">
        <v>0</v>
      </c>
      <c r="P81" s="64">
        <v>0.71</v>
      </c>
      <c r="Q81" s="64">
        <v>8.2100000000000009</v>
      </c>
      <c r="R81" s="198"/>
      <c r="S81" s="198"/>
      <c r="T81" s="198"/>
      <c r="U81" s="198"/>
    </row>
    <row r="82" spans="1:26" s="12" customFormat="1" x14ac:dyDescent="0.25">
      <c r="A82" s="215" t="s">
        <v>2529</v>
      </c>
      <c r="B82" s="64">
        <v>5.4</v>
      </c>
      <c r="C82" s="64">
        <v>45.22</v>
      </c>
      <c r="D82" s="64">
        <v>26.58</v>
      </c>
      <c r="E82" s="64">
        <v>5.59</v>
      </c>
      <c r="F82" s="64">
        <v>4.05</v>
      </c>
      <c r="G82" s="64">
        <v>44.38</v>
      </c>
      <c r="H82" s="64">
        <v>19.84</v>
      </c>
      <c r="I82" s="64">
        <v>5.71</v>
      </c>
      <c r="J82" s="64">
        <v>1.05</v>
      </c>
      <c r="K82" s="64">
        <v>106.53</v>
      </c>
      <c r="L82" s="64">
        <v>19.97</v>
      </c>
      <c r="M82" s="64">
        <v>55.58</v>
      </c>
      <c r="N82" s="64">
        <v>47.1</v>
      </c>
      <c r="O82" s="64">
        <v>0</v>
      </c>
      <c r="P82" s="64">
        <v>0.73</v>
      </c>
      <c r="Q82" s="64">
        <v>8.2100000000000009</v>
      </c>
      <c r="R82" s="198"/>
      <c r="S82" s="198"/>
      <c r="T82" s="198"/>
      <c r="U82" s="198"/>
    </row>
    <row r="83" spans="1:26" s="12" customFormat="1" x14ac:dyDescent="0.25">
      <c r="A83" s="215" t="s">
        <v>2530</v>
      </c>
      <c r="B83" s="64">
        <v>5.66</v>
      </c>
      <c r="C83" s="64">
        <v>46.56</v>
      </c>
      <c r="D83" s="64">
        <v>27.49</v>
      </c>
      <c r="E83" s="64">
        <v>5.58</v>
      </c>
      <c r="F83" s="64">
        <v>4.3899999999999997</v>
      </c>
      <c r="G83" s="64">
        <v>52.82</v>
      </c>
      <c r="H83" s="64">
        <v>22.24</v>
      </c>
      <c r="I83" s="64">
        <v>5.57</v>
      </c>
      <c r="J83" s="64">
        <v>1.56</v>
      </c>
      <c r="K83" s="64">
        <v>119.7</v>
      </c>
      <c r="L83" s="64">
        <v>19.77</v>
      </c>
      <c r="M83" s="64">
        <v>57.25</v>
      </c>
      <c r="N83" s="64">
        <v>47.2</v>
      </c>
      <c r="O83" s="64">
        <v>0</v>
      </c>
      <c r="P83" s="64">
        <v>0.68</v>
      </c>
      <c r="Q83" s="64">
        <v>8.2100000000000009</v>
      </c>
      <c r="R83" s="198"/>
      <c r="S83" s="198"/>
      <c r="T83" s="198"/>
      <c r="U83" s="198"/>
    </row>
    <row r="84" spans="1:26" s="12" customFormat="1" x14ac:dyDescent="0.25">
      <c r="A84" s="215" t="s">
        <v>2531</v>
      </c>
      <c r="B84" s="64">
        <v>5.5</v>
      </c>
      <c r="C84" s="64">
        <v>47.91</v>
      </c>
      <c r="D84" s="64">
        <v>28.06</v>
      </c>
      <c r="E84" s="64">
        <v>6.07</v>
      </c>
      <c r="F84" s="64">
        <v>4.24</v>
      </c>
      <c r="G84" s="64">
        <v>56.43</v>
      </c>
      <c r="H84" s="64">
        <v>22.43</v>
      </c>
      <c r="I84" s="64">
        <v>6.34</v>
      </c>
      <c r="J84" s="64">
        <v>2.61</v>
      </c>
      <c r="K84" s="64">
        <v>112.6</v>
      </c>
      <c r="L84" s="64">
        <v>19.55</v>
      </c>
      <c r="M84" s="64">
        <v>58.43</v>
      </c>
      <c r="N84" s="64">
        <v>47.2</v>
      </c>
      <c r="O84" s="64">
        <v>0</v>
      </c>
      <c r="P84" s="64">
        <v>0.69</v>
      </c>
      <c r="Q84" s="64">
        <v>8.2100000000000009</v>
      </c>
      <c r="R84" s="198"/>
      <c r="S84" s="198"/>
      <c r="T84" s="198"/>
      <c r="U84" s="198"/>
    </row>
    <row r="85" spans="1:26" s="12" customFormat="1" x14ac:dyDescent="0.25">
      <c r="A85" s="215" t="s">
        <v>2532</v>
      </c>
      <c r="B85" s="64">
        <v>5.18</v>
      </c>
      <c r="C85" s="64">
        <v>47.69</v>
      </c>
      <c r="D85" s="64">
        <v>27.7</v>
      </c>
      <c r="E85" s="64">
        <v>5.82</v>
      </c>
      <c r="F85" s="64">
        <v>3.97</v>
      </c>
      <c r="G85" s="64">
        <v>56.43</v>
      </c>
      <c r="H85" s="64">
        <v>22.43</v>
      </c>
      <c r="I85" s="64">
        <v>7.88</v>
      </c>
      <c r="J85" s="64">
        <v>2.61</v>
      </c>
      <c r="K85" s="64">
        <v>107.69</v>
      </c>
      <c r="L85" s="64">
        <v>19.38</v>
      </c>
      <c r="M85" s="64">
        <v>59.57</v>
      </c>
      <c r="N85" s="64">
        <v>46.8</v>
      </c>
      <c r="O85" s="64">
        <v>0</v>
      </c>
      <c r="P85" s="64">
        <v>0.7</v>
      </c>
      <c r="Q85" s="64">
        <v>8.2100000000000009</v>
      </c>
      <c r="R85" s="198"/>
      <c r="S85" s="198"/>
      <c r="T85" s="198"/>
      <c r="U85" s="198"/>
    </row>
    <row r="86" spans="1:26" s="12" customFormat="1" x14ac:dyDescent="0.25">
      <c r="A86" s="215" t="s">
        <v>2533</v>
      </c>
      <c r="B86" s="64">
        <v>5.05</v>
      </c>
      <c r="C86" s="64">
        <v>47.97</v>
      </c>
      <c r="D86" s="64">
        <v>27.74</v>
      </c>
      <c r="E86" s="64">
        <v>5.71</v>
      </c>
      <c r="F86" s="64">
        <v>4.34</v>
      </c>
      <c r="G86" s="64">
        <v>56.43</v>
      </c>
      <c r="H86" s="64">
        <v>22.43</v>
      </c>
      <c r="I86" s="64">
        <v>7.78</v>
      </c>
      <c r="J86" s="64">
        <v>2.3199999999999998</v>
      </c>
      <c r="K86" s="64">
        <v>113.03</v>
      </c>
      <c r="L86" s="64">
        <v>19.260000000000002</v>
      </c>
      <c r="M86" s="64">
        <v>60.54</v>
      </c>
      <c r="N86" s="64">
        <v>47.1</v>
      </c>
      <c r="O86" s="64">
        <v>0</v>
      </c>
      <c r="P86" s="64">
        <v>0.73</v>
      </c>
      <c r="Q86" s="64">
        <v>8.2100000000000009</v>
      </c>
      <c r="R86" s="198"/>
      <c r="S86" s="198"/>
      <c r="T86" s="198"/>
      <c r="U86" s="198"/>
    </row>
    <row r="87" spans="1:26" s="12" customFormat="1" x14ac:dyDescent="0.25">
      <c r="A87" s="215" t="s">
        <v>2534</v>
      </c>
      <c r="B87" s="64">
        <v>4.8099999999999996</v>
      </c>
      <c r="C87" s="64">
        <v>48.59</v>
      </c>
      <c r="D87" s="64">
        <v>27.86</v>
      </c>
      <c r="E87" s="64">
        <v>6.25</v>
      </c>
      <c r="F87" s="64">
        <v>4.3499999999999996</v>
      </c>
      <c r="G87" s="64">
        <v>63.92</v>
      </c>
      <c r="H87" s="64">
        <v>24.73</v>
      </c>
      <c r="I87" s="64">
        <v>7.89</v>
      </c>
      <c r="J87" s="64">
        <v>2.68</v>
      </c>
      <c r="K87" s="64">
        <v>109.8</v>
      </c>
      <c r="L87" s="64">
        <v>19.149999999999999</v>
      </c>
      <c r="M87" s="64">
        <v>61.31</v>
      </c>
      <c r="N87" s="64">
        <v>47.1</v>
      </c>
      <c r="O87" s="64">
        <v>0</v>
      </c>
      <c r="P87" s="64">
        <v>0.75</v>
      </c>
      <c r="Q87" s="64">
        <v>8.2100000000000009</v>
      </c>
      <c r="R87" s="198"/>
      <c r="S87" s="198"/>
      <c r="T87" s="198"/>
      <c r="U87" s="198"/>
    </row>
    <row r="88" spans="1:26" s="12" customFormat="1" x14ac:dyDescent="0.25">
      <c r="A88" s="215" t="s">
        <v>2535</v>
      </c>
      <c r="B88" s="64">
        <v>4.5999999999999996</v>
      </c>
      <c r="C88" s="64">
        <v>48.92</v>
      </c>
      <c r="D88" s="64">
        <v>27.87</v>
      </c>
      <c r="E88" s="64">
        <v>6.05</v>
      </c>
      <c r="F88" s="64">
        <v>4.18</v>
      </c>
      <c r="G88" s="64">
        <v>67.13</v>
      </c>
      <c r="H88" s="64">
        <v>24.88</v>
      </c>
      <c r="I88" s="64">
        <v>7.85</v>
      </c>
      <c r="J88" s="64">
        <v>2.56</v>
      </c>
      <c r="K88" s="64">
        <v>109.38</v>
      </c>
      <c r="L88" s="64">
        <v>18.989999999999998</v>
      </c>
      <c r="M88" s="64">
        <v>61.97</v>
      </c>
      <c r="N88" s="64">
        <v>47.1</v>
      </c>
      <c r="O88" s="64">
        <v>0</v>
      </c>
      <c r="P88" s="64">
        <v>0.76</v>
      </c>
      <c r="Q88" s="64">
        <v>8.2100000000000009</v>
      </c>
      <c r="R88" s="198"/>
      <c r="S88" s="198"/>
      <c r="T88" s="198"/>
      <c r="U88" s="198"/>
    </row>
    <row r="89" spans="1:26" s="12" customFormat="1" x14ac:dyDescent="0.25">
      <c r="A89" s="215" t="s">
        <v>2536</v>
      </c>
      <c r="B89" s="64">
        <v>4.3</v>
      </c>
      <c r="C89" s="64">
        <v>48.33</v>
      </c>
      <c r="D89" s="64">
        <v>27.32</v>
      </c>
      <c r="E89" s="64">
        <v>5.92</v>
      </c>
      <c r="F89" s="64">
        <v>4.5999999999999996</v>
      </c>
      <c r="G89" s="64">
        <v>67.13</v>
      </c>
      <c r="H89" s="64">
        <v>24.88</v>
      </c>
      <c r="I89" s="64">
        <v>8.01</v>
      </c>
      <c r="J89" s="64">
        <v>1.69</v>
      </c>
      <c r="K89" s="64">
        <v>109.24</v>
      </c>
      <c r="L89" s="64">
        <v>18.75</v>
      </c>
      <c r="M89" s="64">
        <v>63.38</v>
      </c>
      <c r="N89" s="64">
        <v>47</v>
      </c>
      <c r="O89" s="64">
        <v>0</v>
      </c>
      <c r="P89" s="64">
        <v>0.77</v>
      </c>
      <c r="Q89" s="64">
        <v>8.2100000000000009</v>
      </c>
      <c r="R89" s="198"/>
      <c r="S89" s="198"/>
      <c r="T89" s="198"/>
      <c r="U89" s="198"/>
    </row>
    <row r="90" spans="1:26" s="12" customFormat="1" x14ac:dyDescent="0.25">
      <c r="A90" s="215" t="s">
        <v>2537</v>
      </c>
      <c r="B90" s="64">
        <v>4.12</v>
      </c>
      <c r="C90" s="64">
        <v>48.82</v>
      </c>
      <c r="D90" s="64">
        <v>27.44</v>
      </c>
      <c r="E90" s="64">
        <v>5.93</v>
      </c>
      <c r="F90" s="64">
        <v>4.3099999999999996</v>
      </c>
      <c r="G90" s="64">
        <v>67.13</v>
      </c>
      <c r="H90" s="64">
        <v>24.88</v>
      </c>
      <c r="I90" s="64">
        <v>8.02</v>
      </c>
      <c r="J90" s="64">
        <v>2.23</v>
      </c>
      <c r="K90" s="64">
        <v>102.97</v>
      </c>
      <c r="L90" s="64">
        <v>18.53</v>
      </c>
      <c r="M90" s="64">
        <v>64.540000000000006</v>
      </c>
      <c r="N90" s="64">
        <v>46.8</v>
      </c>
      <c r="O90" s="64">
        <v>0</v>
      </c>
      <c r="P90" s="64">
        <v>0.78</v>
      </c>
      <c r="Q90" s="64">
        <v>8.2100000000000009</v>
      </c>
      <c r="R90" s="198"/>
      <c r="S90" s="198"/>
      <c r="T90" s="198"/>
      <c r="U90" s="198"/>
    </row>
    <row r="91" spans="1:26" s="12" customFormat="1" x14ac:dyDescent="0.25">
      <c r="A91" s="215" t="s">
        <v>2538</v>
      </c>
      <c r="B91" s="64">
        <v>4.0999999999999996</v>
      </c>
      <c r="C91" s="64">
        <v>48.85</v>
      </c>
      <c r="D91" s="64">
        <v>27.43</v>
      </c>
      <c r="E91" s="64">
        <v>6.18</v>
      </c>
      <c r="F91" s="64">
        <v>4.07</v>
      </c>
      <c r="G91" s="64">
        <v>63.08</v>
      </c>
      <c r="H91" s="64">
        <v>26.07</v>
      </c>
      <c r="I91" s="64">
        <v>8.1300000000000008</v>
      </c>
      <c r="J91" s="64">
        <v>2.52</v>
      </c>
      <c r="K91" s="64">
        <v>115.69</v>
      </c>
      <c r="L91" s="64">
        <v>18.3</v>
      </c>
      <c r="M91" s="64">
        <v>65.88</v>
      </c>
      <c r="N91" s="64">
        <v>46.9</v>
      </c>
      <c r="O91" s="64">
        <v>0</v>
      </c>
      <c r="P91" s="64">
        <v>0.79</v>
      </c>
      <c r="Q91" s="64">
        <v>8.2100000000000009</v>
      </c>
      <c r="R91" s="198"/>
      <c r="S91" s="198"/>
      <c r="T91" s="198"/>
      <c r="U91" s="198"/>
    </row>
    <row r="92" spans="1:26" s="12" customFormat="1" x14ac:dyDescent="0.25">
      <c r="A92" s="215" t="s">
        <v>2539</v>
      </c>
      <c r="B92" s="64">
        <v>4.07</v>
      </c>
      <c r="C92" s="64">
        <v>47.51</v>
      </c>
      <c r="D92" s="64">
        <v>26.71</v>
      </c>
      <c r="E92" s="64">
        <v>6.14</v>
      </c>
      <c r="F92" s="64">
        <v>4.25</v>
      </c>
      <c r="G92" s="64">
        <v>61.34</v>
      </c>
      <c r="H92" s="64">
        <v>26.2</v>
      </c>
      <c r="I92" s="64">
        <v>8.02</v>
      </c>
      <c r="J92" s="64">
        <v>2.27</v>
      </c>
      <c r="K92" s="64">
        <v>109.42</v>
      </c>
      <c r="L92" s="64">
        <v>18.079999999999998</v>
      </c>
      <c r="M92" s="64">
        <v>67.239999999999995</v>
      </c>
      <c r="N92" s="64">
        <v>46.9</v>
      </c>
      <c r="O92" s="64">
        <v>0</v>
      </c>
      <c r="P92" s="64">
        <v>0.8</v>
      </c>
      <c r="Q92" s="64">
        <v>8.2100000000000009</v>
      </c>
      <c r="R92" s="198"/>
      <c r="S92" s="198"/>
      <c r="T92" s="198"/>
      <c r="U92" s="198"/>
    </row>
    <row r="93" spans="1:26" s="12" customFormat="1" x14ac:dyDescent="0.25">
      <c r="A93" s="215" t="s">
        <v>2540</v>
      </c>
      <c r="B93" s="64">
        <v>4.1900000000000004</v>
      </c>
      <c r="C93" s="64">
        <v>45.85</v>
      </c>
      <c r="D93" s="64">
        <v>25.94</v>
      </c>
      <c r="E93" s="64">
        <v>5.8</v>
      </c>
      <c r="F93" s="64">
        <v>4.41</v>
      </c>
      <c r="G93" s="64">
        <v>61.34</v>
      </c>
      <c r="H93" s="64">
        <v>26.2</v>
      </c>
      <c r="I93" s="64">
        <v>8.18</v>
      </c>
      <c r="J93" s="64">
        <v>2.84</v>
      </c>
      <c r="K93" s="64">
        <v>104.42</v>
      </c>
      <c r="L93" s="64">
        <v>17.989999999999998</v>
      </c>
      <c r="M93" s="64">
        <v>67.900000000000006</v>
      </c>
      <c r="N93" s="64">
        <v>47</v>
      </c>
      <c r="O93" s="64">
        <v>0</v>
      </c>
      <c r="P93" s="64">
        <v>0.8</v>
      </c>
      <c r="Q93" s="64">
        <v>8.2100000000000009</v>
      </c>
      <c r="R93" s="198"/>
      <c r="S93" s="198"/>
      <c r="T93" s="198"/>
      <c r="U93" s="198"/>
    </row>
    <row r="94" spans="1:26" s="12" customFormat="1" x14ac:dyDescent="0.25">
      <c r="A94" s="215" t="s">
        <v>2541</v>
      </c>
      <c r="B94" s="64">
        <v>4.3099999999999996</v>
      </c>
      <c r="C94" s="64">
        <v>46.1</v>
      </c>
      <c r="D94" s="64">
        <v>26.16</v>
      </c>
      <c r="E94" s="64">
        <v>5.53</v>
      </c>
      <c r="F94" s="64">
        <v>4.0999999999999996</v>
      </c>
      <c r="G94" s="64">
        <v>61.34</v>
      </c>
      <c r="H94" s="64">
        <v>26.2</v>
      </c>
      <c r="I94" s="64">
        <v>7.49</v>
      </c>
      <c r="J94" s="64">
        <v>2.13</v>
      </c>
      <c r="K94" s="64">
        <v>105.56</v>
      </c>
      <c r="L94" s="64">
        <v>17.84</v>
      </c>
      <c r="M94" s="64">
        <v>69.459999999999994</v>
      </c>
      <c r="N94" s="64">
        <v>47.1</v>
      </c>
      <c r="O94" s="64">
        <v>0</v>
      </c>
      <c r="P94" s="64">
        <v>0.8</v>
      </c>
      <c r="Q94" s="64">
        <v>8.2100000000000009</v>
      </c>
      <c r="R94" s="198"/>
      <c r="S94" s="198"/>
      <c r="T94" s="198"/>
      <c r="U94" s="198"/>
    </row>
    <row r="95" spans="1:26" s="12" customFormat="1" x14ac:dyDescent="0.25">
      <c r="A95" s="215" t="s">
        <v>2542</v>
      </c>
      <c r="B95" s="64">
        <v>4.58</v>
      </c>
      <c r="C95" s="64">
        <v>45.96</v>
      </c>
      <c r="D95" s="64">
        <v>26.31</v>
      </c>
      <c r="E95" s="64">
        <v>6.01</v>
      </c>
      <c r="F95" s="64">
        <v>3.59</v>
      </c>
      <c r="G95" s="64">
        <v>66.02</v>
      </c>
      <c r="H95" s="64">
        <v>28.91</v>
      </c>
      <c r="I95" s="64">
        <v>6.9</v>
      </c>
      <c r="J95" s="64">
        <v>3.12</v>
      </c>
      <c r="K95" s="64">
        <v>107.61</v>
      </c>
      <c r="L95" s="64">
        <v>17.78</v>
      </c>
      <c r="M95" s="64">
        <v>71.16</v>
      </c>
      <c r="N95" s="64">
        <v>47.2</v>
      </c>
      <c r="O95" s="64">
        <v>0</v>
      </c>
      <c r="P95" s="64">
        <v>0.8</v>
      </c>
      <c r="Q95" s="64">
        <v>8.2100000000000009</v>
      </c>
      <c r="R95" s="198"/>
      <c r="S95" s="198"/>
      <c r="T95" s="198"/>
      <c r="U95" s="198"/>
    </row>
    <row r="96" spans="1:26" s="12" customFormat="1" x14ac:dyDescent="0.25">
      <c r="A96" s="215" t="s">
        <v>2543</v>
      </c>
      <c r="B96" s="64">
        <v>4.71</v>
      </c>
      <c r="C96" s="64">
        <v>45.26</v>
      </c>
      <c r="D96" s="64">
        <v>26.05</v>
      </c>
      <c r="E96" s="64">
        <v>5.84</v>
      </c>
      <c r="F96" s="64">
        <v>4.07</v>
      </c>
      <c r="G96" s="64">
        <v>68.02</v>
      </c>
      <c r="H96" s="64">
        <v>29.09</v>
      </c>
      <c r="I96" s="64">
        <v>6.97</v>
      </c>
      <c r="J96" s="64">
        <v>3.8</v>
      </c>
      <c r="K96" s="64">
        <v>113.07</v>
      </c>
      <c r="L96" s="64">
        <v>17.59</v>
      </c>
      <c r="M96" s="64">
        <v>73.099999999999994</v>
      </c>
      <c r="N96" s="64">
        <v>47.2</v>
      </c>
      <c r="O96" s="64">
        <v>0</v>
      </c>
      <c r="P96" s="64">
        <v>0.79</v>
      </c>
      <c r="Q96" s="64">
        <v>8.2100000000000009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2544</v>
      </c>
      <c r="B97" s="64">
        <v>4.7699999999999996</v>
      </c>
      <c r="C97" s="64">
        <v>44.43</v>
      </c>
      <c r="D97" s="64">
        <v>25.66</v>
      </c>
      <c r="E97" s="64">
        <v>5.95</v>
      </c>
      <c r="F97" s="64">
        <v>4.16</v>
      </c>
      <c r="G97" s="64">
        <v>68.02</v>
      </c>
      <c r="H97" s="64">
        <v>29.09</v>
      </c>
      <c r="I97" s="64">
        <v>7.86</v>
      </c>
      <c r="J97" s="64">
        <v>3.57</v>
      </c>
      <c r="K97" s="64">
        <v>107.91</v>
      </c>
      <c r="L97" s="64">
        <v>17.43</v>
      </c>
      <c r="M97" s="64">
        <v>73.89</v>
      </c>
      <c r="N97" s="64">
        <v>47.1</v>
      </c>
      <c r="O97" s="64">
        <v>0</v>
      </c>
      <c r="P97" s="64">
        <v>0.78</v>
      </c>
      <c r="Q97" s="64">
        <v>8.2100000000000009</v>
      </c>
      <c r="R97" s="198"/>
      <c r="S97" s="198"/>
      <c r="T97" s="198"/>
      <c r="U97" s="198"/>
    </row>
    <row r="98" spans="1:33" s="12" customFormat="1" x14ac:dyDescent="0.25">
      <c r="A98" s="215" t="s">
        <v>2545</v>
      </c>
      <c r="B98" s="64">
        <v>4.83</v>
      </c>
      <c r="C98" s="64">
        <v>43.79</v>
      </c>
      <c r="D98" s="64">
        <v>25.37</v>
      </c>
      <c r="E98" s="64">
        <v>5.95</v>
      </c>
      <c r="F98" s="64">
        <v>4.05</v>
      </c>
      <c r="G98" s="64">
        <v>68.02</v>
      </c>
      <c r="H98" s="64">
        <v>29.09</v>
      </c>
      <c r="I98" s="64">
        <v>8.4600000000000009</v>
      </c>
      <c r="J98" s="64">
        <v>3.54</v>
      </c>
      <c r="K98" s="64">
        <v>109.76</v>
      </c>
      <c r="L98" s="64">
        <v>17.27</v>
      </c>
      <c r="M98" s="64">
        <v>75.2</v>
      </c>
      <c r="N98" s="64">
        <v>47.1</v>
      </c>
      <c r="O98" s="64">
        <v>0</v>
      </c>
      <c r="P98" s="64">
        <v>0.77</v>
      </c>
      <c r="Q98" s="64">
        <v>8.2100000000000009</v>
      </c>
      <c r="R98" s="198"/>
      <c r="S98" s="198"/>
      <c r="T98" s="198"/>
      <c r="U98" s="198"/>
    </row>
    <row r="99" spans="1:33" s="12" customFormat="1" x14ac:dyDescent="0.25">
      <c r="A99" s="215" t="s">
        <v>2546</v>
      </c>
      <c r="B99" s="64">
        <v>4.97</v>
      </c>
      <c r="C99" s="64">
        <v>43.83</v>
      </c>
      <c r="D99" s="64">
        <v>25.51</v>
      </c>
      <c r="E99" s="64">
        <v>5.93</v>
      </c>
      <c r="F99" s="64">
        <v>4.43</v>
      </c>
      <c r="G99" s="64">
        <v>60.33</v>
      </c>
      <c r="H99" s="64">
        <v>28.47</v>
      </c>
      <c r="I99" s="64">
        <v>8.5</v>
      </c>
      <c r="J99" s="64">
        <v>3.57</v>
      </c>
      <c r="K99" s="64">
        <v>110.32</v>
      </c>
      <c r="L99" s="64">
        <v>17.12</v>
      </c>
      <c r="M99" s="64">
        <v>76.98</v>
      </c>
      <c r="N99" s="64">
        <v>47.1</v>
      </c>
      <c r="O99" s="64">
        <v>0</v>
      </c>
      <c r="P99" s="64">
        <v>0.77</v>
      </c>
      <c r="Q99" s="64">
        <v>8.2100000000000009</v>
      </c>
      <c r="R99" s="198"/>
      <c r="S99" s="198"/>
      <c r="T99" s="198"/>
      <c r="U99" s="198"/>
    </row>
    <row r="100" spans="1:33" s="12" customFormat="1" x14ac:dyDescent="0.25">
      <c r="A100" s="215" t="s">
        <v>2547</v>
      </c>
      <c r="B100" s="64">
        <v>5.13</v>
      </c>
      <c r="C100" s="64">
        <v>44.69</v>
      </c>
      <c r="D100" s="64">
        <v>26.09</v>
      </c>
      <c r="E100" s="64">
        <v>6.11</v>
      </c>
      <c r="F100" s="64">
        <v>4.2</v>
      </c>
      <c r="G100" s="64">
        <v>57.03</v>
      </c>
      <c r="H100" s="64">
        <v>28.43</v>
      </c>
      <c r="I100" s="64">
        <v>8.7799999999999994</v>
      </c>
      <c r="J100" s="64">
        <v>3.19</v>
      </c>
      <c r="K100" s="64">
        <v>110.43</v>
      </c>
      <c r="L100" s="64">
        <v>16.89</v>
      </c>
      <c r="M100" s="64">
        <v>79.349999999999994</v>
      </c>
      <c r="N100" s="64">
        <v>47.2</v>
      </c>
      <c r="O100" s="64">
        <v>0</v>
      </c>
      <c r="P100" s="64">
        <v>0.77</v>
      </c>
      <c r="Q100" s="64">
        <v>8.2100000000000009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2548</v>
      </c>
      <c r="B101" s="64">
        <v>5.1100000000000003</v>
      </c>
      <c r="C101" s="64">
        <v>44.91</v>
      </c>
      <c r="D101" s="64">
        <v>26.18</v>
      </c>
      <c r="E101" s="64">
        <v>6.14</v>
      </c>
      <c r="F101" s="64">
        <v>4.12</v>
      </c>
      <c r="G101" s="64">
        <v>57.03</v>
      </c>
      <c r="H101" s="64">
        <v>28.43</v>
      </c>
      <c r="I101" s="64">
        <v>9.58</v>
      </c>
      <c r="J101" s="64">
        <v>3.77</v>
      </c>
      <c r="K101" s="64">
        <v>113.57</v>
      </c>
      <c r="L101" s="64">
        <v>16.690000000000001</v>
      </c>
      <c r="M101" s="64">
        <v>80.790000000000006</v>
      </c>
      <c r="N101" s="64">
        <v>47.2</v>
      </c>
      <c r="O101" s="64">
        <v>0</v>
      </c>
      <c r="P101" s="64">
        <v>0.76</v>
      </c>
      <c r="Q101" s="64">
        <v>8.2100000000000009</v>
      </c>
      <c r="R101" s="198"/>
      <c r="S101" s="198"/>
      <c r="T101" s="198"/>
      <c r="U101" s="198"/>
    </row>
    <row r="102" spans="1:33" s="12" customFormat="1" x14ac:dyDescent="0.25">
      <c r="A102" s="215" t="s">
        <v>2549</v>
      </c>
      <c r="B102" s="64">
        <v>5.05</v>
      </c>
      <c r="C102" s="64">
        <v>44.07</v>
      </c>
      <c r="D102" s="64">
        <v>25.7</v>
      </c>
      <c r="E102" s="64">
        <v>6.1</v>
      </c>
      <c r="F102" s="64">
        <v>4.2</v>
      </c>
      <c r="G102" s="64">
        <v>57.03</v>
      </c>
      <c r="H102" s="64">
        <v>28.43</v>
      </c>
      <c r="I102" s="64">
        <v>9.9600000000000009</v>
      </c>
      <c r="J102" s="64">
        <v>2.38</v>
      </c>
      <c r="K102" s="64">
        <v>110.99</v>
      </c>
      <c r="L102" s="64">
        <v>16.45</v>
      </c>
      <c r="M102" s="64">
        <v>83.37</v>
      </c>
      <c r="N102" s="64">
        <v>47.3</v>
      </c>
      <c r="O102" s="64">
        <v>0</v>
      </c>
      <c r="P102" s="64">
        <v>0.76</v>
      </c>
      <c r="Q102" s="64">
        <v>8.2100000000000009</v>
      </c>
      <c r="R102" s="198"/>
      <c r="S102" s="198"/>
      <c r="T102" s="198"/>
      <c r="U102" s="198"/>
    </row>
    <row r="103" spans="1:33" s="12" customFormat="1" x14ac:dyDescent="0.25">
      <c r="A103" s="215" t="s">
        <v>2550</v>
      </c>
      <c r="B103" s="64">
        <v>5.17</v>
      </c>
      <c r="C103" s="64">
        <v>42.63</v>
      </c>
      <c r="D103" s="64">
        <v>25.04</v>
      </c>
      <c r="E103" s="64">
        <v>5.81</v>
      </c>
      <c r="F103" s="64">
        <v>3.97</v>
      </c>
      <c r="G103" s="64">
        <v>53.77</v>
      </c>
      <c r="H103" s="64">
        <v>24.76</v>
      </c>
      <c r="I103" s="64">
        <v>9.8000000000000007</v>
      </c>
      <c r="J103" s="64">
        <v>0.66</v>
      </c>
      <c r="K103" s="64">
        <v>83.44</v>
      </c>
      <c r="L103" s="64">
        <v>16.22</v>
      </c>
      <c r="M103" s="64">
        <v>86.76</v>
      </c>
      <c r="N103" s="64">
        <v>47.4</v>
      </c>
      <c r="O103" s="64">
        <v>0</v>
      </c>
      <c r="P103" s="64">
        <v>0.75</v>
      </c>
      <c r="Q103" s="64">
        <v>8.2100000000000009</v>
      </c>
      <c r="R103" s="198"/>
      <c r="S103" s="198"/>
      <c r="T103" s="198"/>
      <c r="U103" s="198"/>
    </row>
    <row r="104" spans="1:33" s="12" customFormat="1" x14ac:dyDescent="0.25">
      <c r="A104" s="215" t="s">
        <v>2551</v>
      </c>
      <c r="B104" s="64">
        <v>5.61</v>
      </c>
      <c r="C104" s="64">
        <v>43.31</v>
      </c>
      <c r="D104" s="64">
        <v>25.75</v>
      </c>
      <c r="E104" s="64">
        <v>5.75</v>
      </c>
      <c r="F104" s="64">
        <v>3.64</v>
      </c>
      <c r="G104" s="64">
        <v>52.38</v>
      </c>
      <c r="H104" s="64">
        <v>24.52</v>
      </c>
      <c r="I104" s="64">
        <v>9.68</v>
      </c>
      <c r="J104" s="64">
        <v>2.0299999999999998</v>
      </c>
      <c r="K104" s="64">
        <v>103.61</v>
      </c>
      <c r="L104" s="64">
        <v>16.03</v>
      </c>
      <c r="M104" s="64">
        <v>89.08</v>
      </c>
      <c r="N104" s="64">
        <v>47.3</v>
      </c>
      <c r="O104" s="64">
        <v>0</v>
      </c>
      <c r="P104" s="64">
        <v>0.75</v>
      </c>
      <c r="Q104" s="64">
        <v>8.2100000000000009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3.63</v>
      </c>
      <c r="C106" s="67">
        <f>MIN(C9:C104)</f>
        <v>38.51</v>
      </c>
      <c r="D106" s="67">
        <f t="shared" ref="D106:Q106" si="0">MIN(D9:D104)</f>
        <v>22.36</v>
      </c>
      <c r="E106" s="67">
        <f t="shared" si="0"/>
        <v>4.55</v>
      </c>
      <c r="F106" s="67">
        <f t="shared" si="0"/>
        <v>2.95</v>
      </c>
      <c r="G106" s="67">
        <f t="shared" si="0"/>
        <v>30.08</v>
      </c>
      <c r="H106" s="67">
        <f t="shared" si="0"/>
        <v>16.010000000000002</v>
      </c>
      <c r="I106" s="67">
        <f t="shared" si="0"/>
        <v>4.8099999999999996</v>
      </c>
      <c r="J106" s="67">
        <f t="shared" si="0"/>
        <v>0.37</v>
      </c>
      <c r="K106" s="67">
        <f t="shared" si="0"/>
        <v>0.74</v>
      </c>
      <c r="L106" s="67">
        <f t="shared" si="0"/>
        <v>12.97</v>
      </c>
      <c r="M106" s="67">
        <f t="shared" si="0"/>
        <v>39.729999999999997</v>
      </c>
      <c r="N106" s="67">
        <f t="shared" si="0"/>
        <v>46.7</v>
      </c>
      <c r="O106" s="67">
        <f t="shared" si="0"/>
        <v>0</v>
      </c>
      <c r="P106" s="67">
        <f t="shared" si="0"/>
        <v>0.48</v>
      </c>
      <c r="Q106" s="67">
        <f t="shared" si="0"/>
        <v>8.2100000000000009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14.9</v>
      </c>
      <c r="C107" s="66">
        <f t="shared" ref="C107:Q107" si="1">MAX(C9:C104)</f>
        <v>50.93</v>
      </c>
      <c r="D107" s="66">
        <f t="shared" si="1"/>
        <v>33.68</v>
      </c>
      <c r="E107" s="66">
        <f t="shared" si="1"/>
        <v>6.64</v>
      </c>
      <c r="F107" s="66">
        <f t="shared" si="1"/>
        <v>7.58</v>
      </c>
      <c r="G107" s="66">
        <f t="shared" si="1"/>
        <v>68.02</v>
      </c>
      <c r="H107" s="66">
        <f t="shared" si="1"/>
        <v>29.09</v>
      </c>
      <c r="I107" s="66">
        <f t="shared" si="1"/>
        <v>9.9600000000000009</v>
      </c>
      <c r="J107" s="66">
        <f t="shared" si="1"/>
        <v>4.78</v>
      </c>
      <c r="K107" s="66">
        <f t="shared" si="1"/>
        <v>358.22</v>
      </c>
      <c r="L107" s="66">
        <f t="shared" si="1"/>
        <v>24.37</v>
      </c>
      <c r="M107" s="66">
        <f t="shared" si="1"/>
        <v>93.77</v>
      </c>
      <c r="N107" s="66">
        <f t="shared" si="1"/>
        <v>554.9</v>
      </c>
      <c r="O107" s="66">
        <f t="shared" si="1"/>
        <v>0</v>
      </c>
      <c r="P107" s="66">
        <f t="shared" si="1"/>
        <v>0.86</v>
      </c>
      <c r="Q107" s="66">
        <f t="shared" si="1"/>
        <v>8.2100000000000009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6.4845833333333323</v>
      </c>
      <c r="C108" s="67">
        <f t="shared" ref="C108:Q108" si="2">AVERAGE(C9:C104)</f>
        <v>44.32</v>
      </c>
      <c r="D108" s="67">
        <f t="shared" si="2"/>
        <v>26.97937499999999</v>
      </c>
      <c r="E108" s="67">
        <f t="shared" si="2"/>
        <v>5.8266666666666671</v>
      </c>
      <c r="F108" s="67">
        <f t="shared" si="2"/>
        <v>4.1294791666666679</v>
      </c>
      <c r="G108" s="67">
        <f t="shared" si="2"/>
        <v>49.850833333333348</v>
      </c>
      <c r="H108" s="67">
        <f t="shared" si="2"/>
        <v>22.464374999999993</v>
      </c>
      <c r="I108" s="67">
        <f t="shared" si="2"/>
        <v>7.5360416666666667</v>
      </c>
      <c r="J108" s="67">
        <f t="shared" si="2"/>
        <v>2.5100000000000007</v>
      </c>
      <c r="K108" s="67">
        <f t="shared" si="2"/>
        <v>119.37697916666669</v>
      </c>
      <c r="L108" s="67">
        <f t="shared" si="2"/>
        <v>18.044166666666666</v>
      </c>
      <c r="M108" s="67">
        <f t="shared" si="2"/>
        <v>68.363958333333343</v>
      </c>
      <c r="N108" s="67">
        <f t="shared" si="2"/>
        <v>146.44791666666674</v>
      </c>
      <c r="O108" s="67">
        <f t="shared" si="2"/>
        <v>0</v>
      </c>
      <c r="P108" s="67">
        <f t="shared" si="2"/>
        <v>0.62645833333333345</v>
      </c>
      <c r="Q108" s="67">
        <f t="shared" si="2"/>
        <v>8.210000000000008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2.9496333105433123</v>
      </c>
      <c r="C109" s="67">
        <f t="shared" ref="C109:Q109" si="3">STDEV(C9:C104)</f>
        <v>2.8511958709876182</v>
      </c>
      <c r="D109" s="67">
        <f t="shared" si="3"/>
        <v>2.3912048548576386</v>
      </c>
      <c r="E109" s="67">
        <f t="shared" si="3"/>
        <v>0.36530784902791702</v>
      </c>
      <c r="F109" s="67">
        <f t="shared" si="3"/>
        <v>0.47938418785082088</v>
      </c>
      <c r="G109" s="67">
        <f t="shared" si="3"/>
        <v>10.025463230317838</v>
      </c>
      <c r="H109" s="67">
        <f t="shared" si="3"/>
        <v>4.3755184504840949</v>
      </c>
      <c r="I109" s="67">
        <f t="shared" si="3"/>
        <v>1.1714098380890956</v>
      </c>
      <c r="J109" s="67">
        <f t="shared" si="3"/>
        <v>1.196498399937346</v>
      </c>
      <c r="K109" s="67">
        <f t="shared" si="3"/>
        <v>71.910067710626748</v>
      </c>
      <c r="L109" s="67">
        <f t="shared" si="3"/>
        <v>3.4006317266577057</v>
      </c>
      <c r="M109" s="67">
        <f t="shared" si="3"/>
        <v>16.831903384201251</v>
      </c>
      <c r="N109" s="67">
        <f t="shared" si="3"/>
        <v>145.76959467754625</v>
      </c>
      <c r="O109" s="67">
        <f t="shared" si="3"/>
        <v>0</v>
      </c>
      <c r="P109" s="67">
        <f t="shared" si="3"/>
        <v>9.4523504920500712E-2</v>
      </c>
      <c r="Q109" s="67">
        <f t="shared" si="3"/>
        <v>7.1427264451533946E-15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8" sqref="G118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247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25/12/2024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231</v>
      </c>
      <c r="C7" s="198" t="s">
        <v>232</v>
      </c>
      <c r="D7" s="198" t="s">
        <v>233</v>
      </c>
      <c r="E7" s="198" t="s">
        <v>234</v>
      </c>
      <c r="F7" s="198" t="s">
        <v>235</v>
      </c>
      <c r="G7" s="198" t="s">
        <v>236</v>
      </c>
      <c r="H7" s="198" t="s">
        <v>237</v>
      </c>
      <c r="I7" s="198" t="s">
        <v>238</v>
      </c>
      <c r="J7" s="198" t="s">
        <v>239</v>
      </c>
      <c r="K7" s="198" t="s">
        <v>240</v>
      </c>
      <c r="L7" s="198" t="s">
        <v>241</v>
      </c>
      <c r="M7" s="198" t="s">
        <v>242</v>
      </c>
      <c r="N7" s="198" t="s">
        <v>243</v>
      </c>
      <c r="O7" s="198" t="s">
        <v>244</v>
      </c>
      <c r="P7" s="198" t="s">
        <v>245</v>
      </c>
      <c r="Q7" s="198" t="s">
        <v>246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2552</v>
      </c>
      <c r="B9" s="64">
        <v>5.91</v>
      </c>
      <c r="C9" s="64">
        <v>43.38</v>
      </c>
      <c r="D9" s="64">
        <v>26.03</v>
      </c>
      <c r="E9" s="64">
        <v>5.92</v>
      </c>
      <c r="F9" s="64">
        <v>3.64</v>
      </c>
      <c r="G9" s="64">
        <v>52.38</v>
      </c>
      <c r="H9" s="64">
        <v>24.52</v>
      </c>
      <c r="I9" s="64">
        <v>9.4499999999999993</v>
      </c>
      <c r="J9" s="64">
        <v>2.97</v>
      </c>
      <c r="K9" s="64">
        <v>105.97</v>
      </c>
      <c r="L9" s="64">
        <v>15.87</v>
      </c>
      <c r="M9" s="64">
        <v>91.35</v>
      </c>
      <c r="N9" s="64">
        <v>47.2</v>
      </c>
      <c r="O9" s="64">
        <v>0</v>
      </c>
      <c r="P9" s="64">
        <v>0.74</v>
      </c>
      <c r="Q9" s="64">
        <v>8.2100000000000009</v>
      </c>
      <c r="R9" s="198"/>
      <c r="S9" s="198"/>
      <c r="T9" s="198"/>
      <c r="U9" s="198"/>
    </row>
    <row r="10" spans="1:21" s="12" customFormat="1" x14ac:dyDescent="0.25">
      <c r="A10" s="215" t="s">
        <v>2553</v>
      </c>
      <c r="B10" s="64">
        <v>6.06</v>
      </c>
      <c r="C10" s="64">
        <v>41.78</v>
      </c>
      <c r="D10" s="64">
        <v>25.31</v>
      </c>
      <c r="E10" s="64">
        <v>5.62</v>
      </c>
      <c r="F10" s="64">
        <v>3.5</v>
      </c>
      <c r="G10" s="64">
        <v>52.38</v>
      </c>
      <c r="H10" s="64">
        <v>24.52</v>
      </c>
      <c r="I10" s="64">
        <v>9.17</v>
      </c>
      <c r="J10" s="64">
        <v>2.85</v>
      </c>
      <c r="K10" s="64">
        <v>106</v>
      </c>
      <c r="L10" s="64">
        <v>15.72</v>
      </c>
      <c r="M10" s="64">
        <v>93.39</v>
      </c>
      <c r="N10" s="64">
        <v>47.4</v>
      </c>
      <c r="O10" s="64">
        <v>0</v>
      </c>
      <c r="P10" s="64">
        <v>0.72</v>
      </c>
      <c r="Q10" s="64">
        <v>8.2100000000000009</v>
      </c>
      <c r="R10" s="198"/>
      <c r="S10" s="198"/>
      <c r="T10" s="198"/>
      <c r="U10" s="198"/>
    </row>
    <row r="11" spans="1:21" s="12" customFormat="1" x14ac:dyDescent="0.25">
      <c r="A11" s="215" t="s">
        <v>2554</v>
      </c>
      <c r="B11" s="64">
        <v>6.17</v>
      </c>
      <c r="C11" s="64">
        <v>43.79</v>
      </c>
      <c r="D11" s="64">
        <v>26.45</v>
      </c>
      <c r="E11" s="64">
        <v>5.48</v>
      </c>
      <c r="F11" s="64">
        <v>3.39</v>
      </c>
      <c r="G11" s="64">
        <v>50.89</v>
      </c>
      <c r="H11" s="64">
        <v>26.9</v>
      </c>
      <c r="I11" s="64">
        <v>8.68</v>
      </c>
      <c r="J11" s="64">
        <v>4.42</v>
      </c>
      <c r="K11" s="64">
        <v>111.31</v>
      </c>
      <c r="L11" s="64">
        <v>15.69</v>
      </c>
      <c r="M11" s="64">
        <v>94.37</v>
      </c>
      <c r="N11" s="64">
        <v>47.1</v>
      </c>
      <c r="O11" s="64">
        <v>0</v>
      </c>
      <c r="P11" s="64">
        <v>0.72</v>
      </c>
      <c r="Q11" s="64">
        <v>8.2100000000000009</v>
      </c>
      <c r="R11" s="198"/>
      <c r="S11" s="198"/>
      <c r="T11" s="198"/>
      <c r="U11" s="198"/>
    </row>
    <row r="12" spans="1:21" s="12" customFormat="1" x14ac:dyDescent="0.25">
      <c r="A12" s="215" t="s">
        <v>2555</v>
      </c>
      <c r="B12" s="64">
        <v>6.2</v>
      </c>
      <c r="C12" s="64">
        <v>40.92</v>
      </c>
      <c r="D12" s="64">
        <v>24.98</v>
      </c>
      <c r="E12" s="64">
        <v>5.43</v>
      </c>
      <c r="F12" s="64">
        <v>3.97</v>
      </c>
      <c r="G12" s="64">
        <v>50.26</v>
      </c>
      <c r="H12" s="64">
        <v>27.14</v>
      </c>
      <c r="I12" s="64">
        <v>8.49</v>
      </c>
      <c r="J12" s="64">
        <v>4.6900000000000004</v>
      </c>
      <c r="K12" s="64">
        <v>113.54</v>
      </c>
      <c r="L12" s="64">
        <v>15.62</v>
      </c>
      <c r="M12" s="64">
        <v>95.18</v>
      </c>
      <c r="N12" s="64">
        <v>47.5</v>
      </c>
      <c r="O12" s="64">
        <v>0</v>
      </c>
      <c r="P12" s="64">
        <v>0.7</v>
      </c>
      <c r="Q12" s="64">
        <v>8.2100000000000009</v>
      </c>
      <c r="R12" s="198"/>
      <c r="S12" s="198"/>
      <c r="T12" s="198"/>
      <c r="U12" s="198"/>
    </row>
    <row r="13" spans="1:21" s="12" customFormat="1" x14ac:dyDescent="0.25">
      <c r="A13" s="215" t="s">
        <v>2556</v>
      </c>
      <c r="B13" s="64">
        <v>6.12</v>
      </c>
      <c r="C13" s="64">
        <v>36.53</v>
      </c>
      <c r="D13" s="64">
        <v>22.62</v>
      </c>
      <c r="E13" s="64">
        <v>5.36</v>
      </c>
      <c r="F13" s="64">
        <v>4.2300000000000004</v>
      </c>
      <c r="G13" s="64">
        <v>50.26</v>
      </c>
      <c r="H13" s="64">
        <v>27.14</v>
      </c>
      <c r="I13" s="64">
        <v>8.8699999999999992</v>
      </c>
      <c r="J13" s="64">
        <v>3.9</v>
      </c>
      <c r="K13" s="64">
        <v>109.55</v>
      </c>
      <c r="L13" s="64">
        <v>15.46</v>
      </c>
      <c r="M13" s="64">
        <v>96.51</v>
      </c>
      <c r="N13" s="64">
        <v>47.5</v>
      </c>
      <c r="O13" s="64">
        <v>0</v>
      </c>
      <c r="P13" s="64">
        <v>0.66</v>
      </c>
      <c r="Q13" s="64">
        <v>8.2100000000000009</v>
      </c>
      <c r="R13" s="198"/>
      <c r="S13" s="198"/>
      <c r="T13" s="198"/>
      <c r="U13" s="198"/>
    </row>
    <row r="14" spans="1:21" s="12" customFormat="1" x14ac:dyDescent="0.25">
      <c r="A14" s="215" t="s">
        <v>2557</v>
      </c>
      <c r="B14" s="64">
        <v>6.11</v>
      </c>
      <c r="C14" s="64">
        <v>37.25</v>
      </c>
      <c r="D14" s="64">
        <v>22.99</v>
      </c>
      <c r="E14" s="64">
        <v>5.35</v>
      </c>
      <c r="F14" s="64">
        <v>3.95</v>
      </c>
      <c r="G14" s="64">
        <v>50.26</v>
      </c>
      <c r="H14" s="64">
        <v>27.14</v>
      </c>
      <c r="I14" s="64">
        <v>9</v>
      </c>
      <c r="J14" s="64">
        <v>3.63</v>
      </c>
      <c r="K14" s="64">
        <v>111.8</v>
      </c>
      <c r="L14" s="64">
        <v>15.37</v>
      </c>
      <c r="M14" s="64">
        <v>97.24</v>
      </c>
      <c r="N14" s="64">
        <v>47.6</v>
      </c>
      <c r="O14" s="64">
        <v>0</v>
      </c>
      <c r="P14" s="64">
        <v>0.67</v>
      </c>
      <c r="Q14" s="64">
        <v>8.2100000000000009</v>
      </c>
      <c r="R14" s="198"/>
      <c r="S14" s="198"/>
      <c r="T14" s="198"/>
      <c r="U14" s="198"/>
    </row>
    <row r="15" spans="1:21" s="12" customFormat="1" x14ac:dyDescent="0.25">
      <c r="A15" s="215" t="s">
        <v>2558</v>
      </c>
      <c r="B15" s="64">
        <v>6.14</v>
      </c>
      <c r="C15" s="64">
        <v>37.880000000000003</v>
      </c>
      <c r="D15" s="64">
        <v>23.33</v>
      </c>
      <c r="E15" s="64">
        <v>5.71</v>
      </c>
      <c r="F15" s="64">
        <v>3.8</v>
      </c>
      <c r="G15" s="64">
        <v>46.26</v>
      </c>
      <c r="H15" s="64">
        <v>25.41</v>
      </c>
      <c r="I15" s="64">
        <v>9.14</v>
      </c>
      <c r="J15" s="64">
        <v>2.89</v>
      </c>
      <c r="K15" s="64">
        <v>109.53</v>
      </c>
      <c r="L15" s="64">
        <v>15.23</v>
      </c>
      <c r="M15" s="64">
        <v>98.44</v>
      </c>
      <c r="N15" s="64">
        <v>47.7</v>
      </c>
      <c r="O15" s="64">
        <v>0</v>
      </c>
      <c r="P15" s="64">
        <v>0.66</v>
      </c>
      <c r="Q15" s="64">
        <v>8.2100000000000009</v>
      </c>
      <c r="R15" s="198"/>
      <c r="S15" s="198"/>
      <c r="T15" s="198"/>
      <c r="U15" s="198"/>
    </row>
    <row r="16" spans="1:21" s="12" customFormat="1" x14ac:dyDescent="0.25">
      <c r="A16" s="215" t="s">
        <v>2559</v>
      </c>
      <c r="B16" s="64">
        <v>6.2</v>
      </c>
      <c r="C16" s="64">
        <v>37.74</v>
      </c>
      <c r="D16" s="64">
        <v>23.31</v>
      </c>
      <c r="E16" s="64">
        <v>5.74</v>
      </c>
      <c r="F16" s="64">
        <v>3.77</v>
      </c>
      <c r="G16" s="64">
        <v>44.55</v>
      </c>
      <c r="H16" s="64">
        <v>25.27</v>
      </c>
      <c r="I16" s="64">
        <v>9.1300000000000008</v>
      </c>
      <c r="J16" s="64">
        <v>1.35</v>
      </c>
      <c r="K16" s="64">
        <v>107.35</v>
      </c>
      <c r="L16" s="64">
        <v>15.11</v>
      </c>
      <c r="M16" s="64">
        <v>99.57</v>
      </c>
      <c r="N16" s="64">
        <v>47.9</v>
      </c>
      <c r="O16" s="64">
        <v>0</v>
      </c>
      <c r="P16" s="64">
        <v>0.64</v>
      </c>
      <c r="Q16" s="64">
        <v>8.2100000000000009</v>
      </c>
      <c r="R16" s="198"/>
      <c r="S16" s="198"/>
      <c r="T16" s="198"/>
      <c r="U16" s="198"/>
    </row>
    <row r="17" spans="1:21" s="12" customFormat="1" x14ac:dyDescent="0.25">
      <c r="A17" s="215" t="s">
        <v>2560</v>
      </c>
      <c r="B17" s="64">
        <v>6.37</v>
      </c>
      <c r="C17" s="64">
        <v>37.71</v>
      </c>
      <c r="D17" s="64">
        <v>23.44</v>
      </c>
      <c r="E17" s="64">
        <v>5.73</v>
      </c>
      <c r="F17" s="64">
        <v>3.78</v>
      </c>
      <c r="G17" s="64">
        <v>44.55</v>
      </c>
      <c r="H17" s="64">
        <v>25.27</v>
      </c>
      <c r="I17" s="64">
        <v>8.82</v>
      </c>
      <c r="J17" s="64">
        <v>1.72</v>
      </c>
      <c r="K17" s="64">
        <v>112.93</v>
      </c>
      <c r="L17" s="64">
        <v>14.95</v>
      </c>
      <c r="M17" s="64">
        <v>100.53</v>
      </c>
      <c r="N17" s="64">
        <v>47.7</v>
      </c>
      <c r="O17" s="64">
        <v>0</v>
      </c>
      <c r="P17" s="64">
        <v>0.63</v>
      </c>
      <c r="Q17" s="64">
        <v>8.2100000000000009</v>
      </c>
      <c r="R17" s="198"/>
      <c r="S17" s="198"/>
      <c r="T17" s="198"/>
      <c r="U17" s="198"/>
    </row>
    <row r="18" spans="1:21" s="12" customFormat="1" x14ac:dyDescent="0.25">
      <c r="A18" s="215" t="s">
        <v>2561</v>
      </c>
      <c r="B18" s="64">
        <v>6.57</v>
      </c>
      <c r="C18" s="64">
        <v>36.909999999999997</v>
      </c>
      <c r="D18" s="64">
        <v>23.18</v>
      </c>
      <c r="E18" s="64">
        <v>5.62</v>
      </c>
      <c r="F18" s="64">
        <v>3.99</v>
      </c>
      <c r="G18" s="64">
        <v>44.55</v>
      </c>
      <c r="H18" s="64">
        <v>25.27</v>
      </c>
      <c r="I18" s="64">
        <v>8.56</v>
      </c>
      <c r="J18" s="64">
        <v>1.19</v>
      </c>
      <c r="K18" s="64">
        <v>100.6</v>
      </c>
      <c r="L18" s="64">
        <v>14.84</v>
      </c>
      <c r="M18" s="64">
        <v>100.9</v>
      </c>
      <c r="N18" s="64">
        <v>47.8</v>
      </c>
      <c r="O18" s="64">
        <v>0</v>
      </c>
      <c r="P18" s="64">
        <v>0.6</v>
      </c>
      <c r="Q18" s="64">
        <v>8.2100000000000009</v>
      </c>
      <c r="R18" s="198"/>
      <c r="S18" s="198"/>
      <c r="T18" s="198"/>
      <c r="U18" s="198"/>
    </row>
    <row r="19" spans="1:21" s="12" customFormat="1" x14ac:dyDescent="0.25">
      <c r="A19" s="215" t="s">
        <v>2562</v>
      </c>
      <c r="B19" s="64">
        <v>6.78</v>
      </c>
      <c r="C19" s="64">
        <v>36.979999999999997</v>
      </c>
      <c r="D19" s="64">
        <v>23.38</v>
      </c>
      <c r="E19" s="64">
        <v>5.54</v>
      </c>
      <c r="F19" s="64">
        <v>3.46</v>
      </c>
      <c r="G19" s="64">
        <v>39.6</v>
      </c>
      <c r="H19" s="64">
        <v>19.670000000000002</v>
      </c>
      <c r="I19" s="64">
        <v>8.44</v>
      </c>
      <c r="J19" s="64">
        <v>0.96</v>
      </c>
      <c r="K19" s="64">
        <v>93.93</v>
      </c>
      <c r="L19" s="64">
        <v>14.66</v>
      </c>
      <c r="M19" s="64">
        <v>101.61</v>
      </c>
      <c r="N19" s="64">
        <v>47.8</v>
      </c>
      <c r="O19" s="64">
        <v>0</v>
      </c>
      <c r="P19" s="64">
        <v>0.61</v>
      </c>
      <c r="Q19" s="64">
        <v>8.2100000000000009</v>
      </c>
      <c r="R19" s="198"/>
      <c r="S19" s="198"/>
      <c r="T19" s="198"/>
      <c r="U19" s="198"/>
    </row>
    <row r="20" spans="1:21" s="12" customFormat="1" x14ac:dyDescent="0.25">
      <c r="A20" s="215" t="s">
        <v>2563</v>
      </c>
      <c r="B20" s="64">
        <v>7.02</v>
      </c>
      <c r="C20" s="64">
        <v>37.61</v>
      </c>
      <c r="D20" s="64">
        <v>23.9</v>
      </c>
      <c r="E20" s="64">
        <v>5.59</v>
      </c>
      <c r="F20" s="64">
        <v>3.88</v>
      </c>
      <c r="G20" s="64">
        <v>37.479999999999997</v>
      </c>
      <c r="H20" s="64">
        <v>19.21</v>
      </c>
      <c r="I20" s="64">
        <v>7.86</v>
      </c>
      <c r="J20" s="64">
        <v>1.81</v>
      </c>
      <c r="K20" s="64">
        <v>107.02</v>
      </c>
      <c r="L20" s="64">
        <v>14.58</v>
      </c>
      <c r="M20" s="64">
        <v>101.82</v>
      </c>
      <c r="N20" s="64">
        <v>47.7</v>
      </c>
      <c r="O20" s="64">
        <v>0</v>
      </c>
      <c r="P20" s="64">
        <v>0.61</v>
      </c>
      <c r="Q20" s="64">
        <v>8.2100000000000009</v>
      </c>
      <c r="R20" s="198"/>
      <c r="S20" s="198"/>
      <c r="T20" s="198"/>
      <c r="U20" s="198"/>
    </row>
    <row r="21" spans="1:21" s="12" customFormat="1" x14ac:dyDescent="0.25">
      <c r="A21" s="215" t="s">
        <v>2564</v>
      </c>
      <c r="B21" s="64">
        <v>7.15</v>
      </c>
      <c r="C21" s="64">
        <v>39.96</v>
      </c>
      <c r="D21" s="64">
        <v>25.24</v>
      </c>
      <c r="E21" s="64">
        <v>5.51</v>
      </c>
      <c r="F21" s="64">
        <v>3.47</v>
      </c>
      <c r="G21" s="64">
        <v>37.479999999999997</v>
      </c>
      <c r="H21" s="64">
        <v>19.21</v>
      </c>
      <c r="I21" s="64">
        <v>8.36</v>
      </c>
      <c r="J21" s="64">
        <v>1.1100000000000001</v>
      </c>
      <c r="K21" s="64">
        <v>98.89</v>
      </c>
      <c r="L21" s="64">
        <v>14.48</v>
      </c>
      <c r="M21" s="64">
        <v>101.85</v>
      </c>
      <c r="N21" s="64">
        <v>47.9</v>
      </c>
      <c r="O21" s="64">
        <v>0</v>
      </c>
      <c r="P21" s="64">
        <v>0.6</v>
      </c>
      <c r="Q21" s="64">
        <v>8.2100000000000009</v>
      </c>
      <c r="R21" s="198"/>
      <c r="S21" s="198"/>
      <c r="T21" s="198"/>
      <c r="U21" s="198"/>
    </row>
    <row r="22" spans="1:21" s="12" customFormat="1" x14ac:dyDescent="0.25">
      <c r="A22" s="215" t="s">
        <v>2565</v>
      </c>
      <c r="B22" s="64">
        <v>7.18</v>
      </c>
      <c r="C22" s="64">
        <v>38.909999999999997</v>
      </c>
      <c r="D22" s="64">
        <v>24.71</v>
      </c>
      <c r="E22" s="64">
        <v>5.61</v>
      </c>
      <c r="F22" s="64">
        <v>3.75</v>
      </c>
      <c r="G22" s="64">
        <v>37.479999999999997</v>
      </c>
      <c r="H22" s="64">
        <v>19.21</v>
      </c>
      <c r="I22" s="64">
        <v>8.6300000000000008</v>
      </c>
      <c r="J22" s="64">
        <v>0.91</v>
      </c>
      <c r="K22" s="64">
        <v>94.54</v>
      </c>
      <c r="L22" s="64">
        <v>14.38</v>
      </c>
      <c r="M22" s="64">
        <v>101.88</v>
      </c>
      <c r="N22" s="64">
        <v>48.1</v>
      </c>
      <c r="O22" s="64">
        <v>0</v>
      </c>
      <c r="P22" s="64">
        <v>0.59</v>
      </c>
      <c r="Q22" s="64">
        <v>8.2100000000000009</v>
      </c>
      <c r="R22" s="198"/>
      <c r="S22" s="198"/>
      <c r="T22" s="198"/>
      <c r="U22" s="198"/>
    </row>
    <row r="23" spans="1:21" s="12" customFormat="1" x14ac:dyDescent="0.25">
      <c r="A23" s="215" t="s">
        <v>2566</v>
      </c>
      <c r="B23" s="64">
        <v>7.22</v>
      </c>
      <c r="C23" s="64">
        <v>39.119999999999997</v>
      </c>
      <c r="D23" s="64">
        <v>24.85</v>
      </c>
      <c r="E23" s="64">
        <v>5.62</v>
      </c>
      <c r="F23" s="64">
        <v>3.58</v>
      </c>
      <c r="G23" s="64">
        <v>35.659999999999997</v>
      </c>
      <c r="H23" s="64">
        <v>17.73</v>
      </c>
      <c r="I23" s="64">
        <v>8.6</v>
      </c>
      <c r="J23" s="64">
        <v>1.57</v>
      </c>
      <c r="K23" s="64">
        <v>102.99</v>
      </c>
      <c r="L23" s="64">
        <v>14.28</v>
      </c>
      <c r="M23" s="64">
        <v>101.88</v>
      </c>
      <c r="N23" s="64">
        <v>47.9</v>
      </c>
      <c r="O23" s="64">
        <v>0</v>
      </c>
      <c r="P23" s="64">
        <v>0.59</v>
      </c>
      <c r="Q23" s="64">
        <v>8.2100000000000009</v>
      </c>
      <c r="R23" s="198"/>
      <c r="S23" s="198"/>
      <c r="T23" s="198"/>
      <c r="U23" s="198"/>
    </row>
    <row r="24" spans="1:21" s="12" customFormat="1" x14ac:dyDescent="0.25">
      <c r="A24" s="215" t="s">
        <v>2567</v>
      </c>
      <c r="B24" s="64">
        <v>7.42</v>
      </c>
      <c r="C24" s="64">
        <v>37.74</v>
      </c>
      <c r="D24" s="64">
        <v>24.29</v>
      </c>
      <c r="E24" s="64">
        <v>5.42</v>
      </c>
      <c r="F24" s="64">
        <v>3.43</v>
      </c>
      <c r="G24" s="64">
        <v>34.880000000000003</v>
      </c>
      <c r="H24" s="64">
        <v>17.61</v>
      </c>
      <c r="I24" s="64">
        <v>8.39</v>
      </c>
      <c r="J24" s="64">
        <v>0.91</v>
      </c>
      <c r="K24" s="64">
        <v>100.71</v>
      </c>
      <c r="L24" s="64">
        <v>14.19</v>
      </c>
      <c r="M24" s="64">
        <v>101.88</v>
      </c>
      <c r="N24" s="64">
        <v>48.1</v>
      </c>
      <c r="O24" s="64">
        <v>0</v>
      </c>
      <c r="P24" s="64">
        <v>0.57999999999999996</v>
      </c>
      <c r="Q24" s="64">
        <v>8.2100000000000009</v>
      </c>
      <c r="R24" s="198"/>
      <c r="S24" s="198"/>
      <c r="T24" s="198"/>
      <c r="U24" s="198"/>
    </row>
    <row r="25" spans="1:21" s="12" customFormat="1" x14ac:dyDescent="0.25">
      <c r="A25" s="215" t="s">
        <v>2568</v>
      </c>
      <c r="B25" s="64">
        <v>7.6</v>
      </c>
      <c r="C25" s="64">
        <v>38.83</v>
      </c>
      <c r="D25" s="64">
        <v>25</v>
      </c>
      <c r="E25" s="64">
        <v>5.53</v>
      </c>
      <c r="F25" s="64">
        <v>3.37</v>
      </c>
      <c r="G25" s="64">
        <v>34.880000000000003</v>
      </c>
      <c r="H25" s="64">
        <v>17.61</v>
      </c>
      <c r="I25" s="64">
        <v>8.18</v>
      </c>
      <c r="J25" s="64">
        <v>0.34</v>
      </c>
      <c r="K25" s="64">
        <v>105.44</v>
      </c>
      <c r="L25" s="64">
        <v>14.15</v>
      </c>
      <c r="M25" s="64">
        <v>101.88</v>
      </c>
      <c r="N25" s="64">
        <v>48.1</v>
      </c>
      <c r="O25" s="64">
        <v>0</v>
      </c>
      <c r="P25" s="64">
        <v>0.56999999999999995</v>
      </c>
      <c r="Q25" s="64">
        <v>8.2100000000000009</v>
      </c>
      <c r="R25" s="198"/>
      <c r="S25" s="198"/>
      <c r="T25" s="198"/>
      <c r="U25" s="198"/>
    </row>
    <row r="26" spans="1:21" s="12" customFormat="1" x14ac:dyDescent="0.25">
      <c r="A26" s="215" t="s">
        <v>2569</v>
      </c>
      <c r="B26" s="64">
        <v>7.78</v>
      </c>
      <c r="C26" s="64">
        <v>38.08</v>
      </c>
      <c r="D26" s="64">
        <v>24.76</v>
      </c>
      <c r="E26" s="64">
        <v>5.64</v>
      </c>
      <c r="F26" s="64">
        <v>3.58</v>
      </c>
      <c r="G26" s="64">
        <v>34.880000000000003</v>
      </c>
      <c r="H26" s="64">
        <v>17.61</v>
      </c>
      <c r="I26" s="64">
        <v>7.93</v>
      </c>
      <c r="J26" s="64">
        <v>0.4</v>
      </c>
      <c r="K26" s="64">
        <v>102.43</v>
      </c>
      <c r="L26" s="64">
        <v>14.03</v>
      </c>
      <c r="M26" s="64">
        <v>101.88</v>
      </c>
      <c r="N26" s="64">
        <v>48.2</v>
      </c>
      <c r="O26" s="64">
        <v>0</v>
      </c>
      <c r="P26" s="64">
        <v>0.56000000000000005</v>
      </c>
      <c r="Q26" s="64">
        <v>8.2100000000000009</v>
      </c>
      <c r="R26" s="198"/>
      <c r="S26" s="198"/>
      <c r="T26" s="198"/>
      <c r="U26" s="198"/>
    </row>
    <row r="27" spans="1:21" s="12" customFormat="1" x14ac:dyDescent="0.25">
      <c r="A27" s="215" t="s">
        <v>2570</v>
      </c>
      <c r="B27" s="64">
        <v>7.93</v>
      </c>
      <c r="C27" s="64">
        <v>38.24</v>
      </c>
      <c r="D27" s="64">
        <v>24.97</v>
      </c>
      <c r="E27" s="64">
        <v>5.33</v>
      </c>
      <c r="F27" s="64">
        <v>3.39</v>
      </c>
      <c r="G27" s="64">
        <v>36.01</v>
      </c>
      <c r="H27" s="64">
        <v>17.75</v>
      </c>
      <c r="I27" s="64">
        <v>7.64</v>
      </c>
      <c r="J27" s="64">
        <v>2.58</v>
      </c>
      <c r="K27" s="64">
        <v>118.94</v>
      </c>
      <c r="L27" s="64">
        <v>14.02</v>
      </c>
      <c r="M27" s="64">
        <v>101.87</v>
      </c>
      <c r="N27" s="64">
        <v>47.6</v>
      </c>
      <c r="O27" s="64">
        <v>0</v>
      </c>
      <c r="P27" s="64">
        <v>0.56000000000000005</v>
      </c>
      <c r="Q27" s="64">
        <v>8.2100000000000009</v>
      </c>
      <c r="R27" s="198"/>
      <c r="S27" s="198"/>
      <c r="T27" s="198"/>
      <c r="U27" s="198"/>
    </row>
    <row r="28" spans="1:21" s="12" customFormat="1" x14ac:dyDescent="0.25">
      <c r="A28" s="215" t="s">
        <v>2571</v>
      </c>
      <c r="B28" s="64">
        <v>8.01</v>
      </c>
      <c r="C28" s="64">
        <v>39.22</v>
      </c>
      <c r="D28" s="64">
        <v>25.54</v>
      </c>
      <c r="E28" s="64">
        <v>5.89</v>
      </c>
      <c r="F28" s="64">
        <v>3.71</v>
      </c>
      <c r="G28" s="64">
        <v>36.49</v>
      </c>
      <c r="H28" s="64">
        <v>17.77</v>
      </c>
      <c r="I28" s="64">
        <v>7.37</v>
      </c>
      <c r="J28" s="64">
        <v>2.95</v>
      </c>
      <c r="K28" s="64">
        <v>116.07</v>
      </c>
      <c r="L28" s="64">
        <v>14.13</v>
      </c>
      <c r="M28" s="64">
        <v>101.84</v>
      </c>
      <c r="N28" s="64">
        <v>48</v>
      </c>
      <c r="O28" s="64">
        <v>0</v>
      </c>
      <c r="P28" s="64">
        <v>0.55000000000000004</v>
      </c>
      <c r="Q28" s="64">
        <v>8.2100000000000009</v>
      </c>
      <c r="R28" s="198"/>
      <c r="S28" s="198"/>
      <c r="T28" s="198"/>
      <c r="U28" s="198"/>
    </row>
    <row r="29" spans="1:21" s="12" customFormat="1" x14ac:dyDescent="0.25">
      <c r="A29" s="215" t="s">
        <v>2572</v>
      </c>
      <c r="B29" s="64">
        <v>8</v>
      </c>
      <c r="C29" s="64">
        <v>36.75</v>
      </c>
      <c r="D29" s="64">
        <v>24.24</v>
      </c>
      <c r="E29" s="64">
        <v>5.49</v>
      </c>
      <c r="F29" s="64">
        <v>3</v>
      </c>
      <c r="G29" s="64">
        <v>36.49</v>
      </c>
      <c r="H29" s="64">
        <v>17.77</v>
      </c>
      <c r="I29" s="64">
        <v>7.29</v>
      </c>
      <c r="J29" s="64">
        <v>2.64</v>
      </c>
      <c r="K29" s="64">
        <v>109.6</v>
      </c>
      <c r="L29" s="64">
        <v>14.12</v>
      </c>
      <c r="M29" s="64">
        <v>101.87</v>
      </c>
      <c r="N29" s="64">
        <v>48.3</v>
      </c>
      <c r="O29" s="64">
        <v>0</v>
      </c>
      <c r="P29" s="64">
        <v>0.53</v>
      </c>
      <c r="Q29" s="64">
        <v>8.2100000000000009</v>
      </c>
      <c r="R29" s="198"/>
      <c r="S29" s="198"/>
      <c r="T29" s="198"/>
      <c r="U29" s="198"/>
    </row>
    <row r="30" spans="1:21" s="12" customFormat="1" x14ac:dyDescent="0.25">
      <c r="A30" s="215" t="s">
        <v>2573</v>
      </c>
      <c r="B30" s="64">
        <v>7.99</v>
      </c>
      <c r="C30" s="64">
        <v>33.31</v>
      </c>
      <c r="D30" s="64">
        <v>22.44</v>
      </c>
      <c r="E30" s="64">
        <v>5.33</v>
      </c>
      <c r="F30" s="64">
        <v>4.22</v>
      </c>
      <c r="G30" s="64">
        <v>36.49</v>
      </c>
      <c r="H30" s="64">
        <v>17.77</v>
      </c>
      <c r="I30" s="210" t="s">
        <v>36</v>
      </c>
      <c r="J30" s="64">
        <v>2.57</v>
      </c>
      <c r="K30" s="64">
        <v>113.43</v>
      </c>
      <c r="L30" s="64">
        <v>14.17</v>
      </c>
      <c r="M30" s="64">
        <v>101.85</v>
      </c>
      <c r="N30" s="64">
        <v>48.4</v>
      </c>
      <c r="O30" s="64">
        <v>0</v>
      </c>
      <c r="P30" s="64">
        <v>0.52</v>
      </c>
      <c r="Q30" s="64">
        <v>8.2100000000000009</v>
      </c>
      <c r="R30" s="198"/>
      <c r="S30" s="198"/>
      <c r="T30" s="198"/>
      <c r="U30" s="198"/>
    </row>
    <row r="31" spans="1:21" s="12" customFormat="1" x14ac:dyDescent="0.25">
      <c r="A31" s="215" t="s">
        <v>2574</v>
      </c>
      <c r="B31" s="64">
        <v>8.15</v>
      </c>
      <c r="C31" s="64">
        <v>34.36</v>
      </c>
      <c r="D31" s="64">
        <v>23.11</v>
      </c>
      <c r="E31" s="64">
        <v>5.2</v>
      </c>
      <c r="F31" s="64">
        <v>3.65</v>
      </c>
      <c r="G31" s="64">
        <v>36.340000000000003</v>
      </c>
      <c r="H31" s="64">
        <v>16.07</v>
      </c>
      <c r="I31" s="210" t="s">
        <v>36</v>
      </c>
      <c r="J31" s="64">
        <v>1</v>
      </c>
      <c r="K31" s="64">
        <v>115.66</v>
      </c>
      <c r="L31" s="64">
        <v>14.25</v>
      </c>
      <c r="M31" s="64">
        <v>101.81</v>
      </c>
      <c r="N31" s="64">
        <v>48.6</v>
      </c>
      <c r="O31" s="64">
        <v>0</v>
      </c>
      <c r="P31" s="64">
        <v>0.53</v>
      </c>
      <c r="Q31" s="64">
        <v>8.2100000000000009</v>
      </c>
      <c r="R31" s="198"/>
      <c r="S31" s="198"/>
      <c r="T31" s="198"/>
      <c r="U31" s="198"/>
    </row>
    <row r="32" spans="1:21" s="12" customFormat="1" x14ac:dyDescent="0.25">
      <c r="A32" s="215" t="s">
        <v>2575</v>
      </c>
      <c r="B32" s="64">
        <v>8.4</v>
      </c>
      <c r="C32" s="64">
        <v>35.35</v>
      </c>
      <c r="D32" s="64">
        <v>23.83</v>
      </c>
      <c r="E32" s="64">
        <v>5.46</v>
      </c>
      <c r="F32" s="64">
        <v>3.65</v>
      </c>
      <c r="G32" s="64">
        <v>36.28</v>
      </c>
      <c r="H32" s="64">
        <v>15.93</v>
      </c>
      <c r="I32" s="210" t="s">
        <v>36</v>
      </c>
      <c r="J32" s="64">
        <v>1.26</v>
      </c>
      <c r="K32" s="64">
        <v>100.1</v>
      </c>
      <c r="L32" s="64">
        <v>14.27</v>
      </c>
      <c r="M32" s="64">
        <v>101.8</v>
      </c>
      <c r="N32" s="64">
        <v>48.6</v>
      </c>
      <c r="O32" s="64">
        <v>0</v>
      </c>
      <c r="P32" s="64">
        <v>0.51</v>
      </c>
      <c r="Q32" s="64">
        <v>8.2100000000000009</v>
      </c>
      <c r="R32" s="198"/>
      <c r="S32" s="198"/>
      <c r="T32" s="198"/>
      <c r="U32" s="198"/>
    </row>
    <row r="33" spans="1:21" s="12" customFormat="1" x14ac:dyDescent="0.25">
      <c r="A33" s="215" t="s">
        <v>2576</v>
      </c>
      <c r="B33" s="64">
        <v>8.6</v>
      </c>
      <c r="C33" s="64">
        <v>35.35</v>
      </c>
      <c r="D33" s="64">
        <v>23.99</v>
      </c>
      <c r="E33" s="64">
        <v>5.45</v>
      </c>
      <c r="F33" s="64">
        <v>3.56</v>
      </c>
      <c r="G33" s="64">
        <v>36.28</v>
      </c>
      <c r="H33" s="64">
        <v>15.93</v>
      </c>
      <c r="I33" s="210" t="s">
        <v>36</v>
      </c>
      <c r="J33" s="64">
        <v>1</v>
      </c>
      <c r="K33" s="64">
        <v>173.98</v>
      </c>
      <c r="L33" s="64">
        <v>14.31</v>
      </c>
      <c r="M33" s="64">
        <v>101.8</v>
      </c>
      <c r="N33" s="64">
        <v>48.6</v>
      </c>
      <c r="O33" s="64">
        <v>0</v>
      </c>
      <c r="P33" s="64">
        <v>0.5</v>
      </c>
      <c r="Q33" s="64">
        <v>8.2100000000000009</v>
      </c>
      <c r="R33" s="198"/>
      <c r="S33" s="198"/>
      <c r="T33" s="198"/>
      <c r="U33" s="198"/>
    </row>
    <row r="34" spans="1:21" s="12" customFormat="1" x14ac:dyDescent="0.25">
      <c r="A34" s="215" t="s">
        <v>2577</v>
      </c>
      <c r="B34" s="64">
        <v>8.89</v>
      </c>
      <c r="C34" s="64">
        <v>35.44</v>
      </c>
      <c r="D34" s="64">
        <v>24.27</v>
      </c>
      <c r="E34" s="64">
        <v>5.76</v>
      </c>
      <c r="F34" s="64">
        <v>3.59</v>
      </c>
      <c r="G34" s="64">
        <v>36.28</v>
      </c>
      <c r="H34" s="64">
        <v>15.93</v>
      </c>
      <c r="I34" s="210" t="s">
        <v>36</v>
      </c>
      <c r="J34" s="64">
        <v>1.1100000000000001</v>
      </c>
      <c r="K34" s="64">
        <v>110.32</v>
      </c>
      <c r="L34" s="64">
        <v>14.32</v>
      </c>
      <c r="M34" s="64">
        <v>101.8</v>
      </c>
      <c r="N34" s="64">
        <v>48.9</v>
      </c>
      <c r="O34" s="64">
        <v>0</v>
      </c>
      <c r="P34" s="64">
        <v>0.5</v>
      </c>
      <c r="Q34" s="64">
        <v>8.2100000000000009</v>
      </c>
      <c r="R34" s="198"/>
      <c r="S34" s="198"/>
      <c r="T34" s="198"/>
      <c r="U34" s="198"/>
    </row>
    <row r="35" spans="1:21" s="12" customFormat="1" x14ac:dyDescent="0.25">
      <c r="A35" s="215" t="s">
        <v>2578</v>
      </c>
      <c r="B35" s="64">
        <v>9.17</v>
      </c>
      <c r="C35" s="64">
        <v>35.61</v>
      </c>
      <c r="D35" s="64">
        <v>24.58</v>
      </c>
      <c r="E35" s="64">
        <v>5.55</v>
      </c>
      <c r="F35" s="64">
        <v>3.28</v>
      </c>
      <c r="G35" s="64">
        <v>33.22</v>
      </c>
      <c r="H35" s="64">
        <v>12.13</v>
      </c>
      <c r="I35" s="210" t="s">
        <v>36</v>
      </c>
      <c r="J35" s="64">
        <v>0.88</v>
      </c>
      <c r="K35" s="64">
        <v>162.9</v>
      </c>
      <c r="L35" s="64">
        <v>14.38</v>
      </c>
      <c r="M35" s="64">
        <v>101.81</v>
      </c>
      <c r="N35" s="64">
        <v>49.7</v>
      </c>
      <c r="O35" s="64">
        <v>0</v>
      </c>
      <c r="P35" s="64">
        <v>0.48</v>
      </c>
      <c r="Q35" s="64">
        <v>8.2100000000000009</v>
      </c>
      <c r="R35" s="198"/>
      <c r="S35" s="198"/>
      <c r="T35" s="198"/>
      <c r="U35" s="198"/>
    </row>
    <row r="36" spans="1:21" s="12" customFormat="1" x14ac:dyDescent="0.25">
      <c r="A36" s="215" t="s">
        <v>2579</v>
      </c>
      <c r="B36" s="64">
        <v>9.49</v>
      </c>
      <c r="C36" s="64">
        <v>35.17</v>
      </c>
      <c r="D36" s="64">
        <v>24.61</v>
      </c>
      <c r="E36" s="64">
        <v>5.87</v>
      </c>
      <c r="F36" s="64">
        <v>3.49</v>
      </c>
      <c r="G36" s="64">
        <v>31.91</v>
      </c>
      <c r="H36" s="64">
        <v>11.82</v>
      </c>
      <c r="I36" s="210" t="s">
        <v>36</v>
      </c>
      <c r="J36" s="64">
        <v>0.98</v>
      </c>
      <c r="K36" s="64">
        <v>135.07</v>
      </c>
      <c r="L36" s="64">
        <v>14.44</v>
      </c>
      <c r="M36" s="64">
        <v>101.8</v>
      </c>
      <c r="N36" s="64">
        <v>53.1</v>
      </c>
      <c r="O36" s="64">
        <v>0</v>
      </c>
      <c r="P36" s="64">
        <v>0.49</v>
      </c>
      <c r="Q36" s="64">
        <v>8.2100000000000009</v>
      </c>
      <c r="R36" s="198"/>
      <c r="S36" s="198"/>
      <c r="T36" s="198"/>
      <c r="U36" s="198"/>
    </row>
    <row r="37" spans="1:21" s="12" customFormat="1" x14ac:dyDescent="0.25">
      <c r="A37" s="215" t="s">
        <v>2580</v>
      </c>
      <c r="B37" s="64">
        <v>9.74</v>
      </c>
      <c r="C37" s="64">
        <v>37.090000000000003</v>
      </c>
      <c r="D37" s="64">
        <v>25.81</v>
      </c>
      <c r="E37" s="64">
        <v>5.86</v>
      </c>
      <c r="F37" s="64">
        <v>3.49</v>
      </c>
      <c r="G37" s="64">
        <v>31.91</v>
      </c>
      <c r="H37" s="64">
        <v>11.82</v>
      </c>
      <c r="I37" s="210" t="s">
        <v>36</v>
      </c>
      <c r="J37" s="64">
        <v>1.75</v>
      </c>
      <c r="K37" s="64">
        <v>99.83</v>
      </c>
      <c r="L37" s="64">
        <v>14.5</v>
      </c>
      <c r="M37" s="64">
        <v>101.83</v>
      </c>
      <c r="N37" s="64">
        <v>59.8</v>
      </c>
      <c r="O37" s="64">
        <v>0</v>
      </c>
      <c r="P37" s="64">
        <v>0.5</v>
      </c>
      <c r="Q37" s="64">
        <v>8.2100000000000009</v>
      </c>
      <c r="R37" s="198"/>
      <c r="S37" s="198"/>
      <c r="T37" s="198"/>
      <c r="U37" s="198"/>
    </row>
    <row r="38" spans="1:21" s="12" customFormat="1" x14ac:dyDescent="0.25">
      <c r="A38" s="215" t="s">
        <v>2581</v>
      </c>
      <c r="B38" s="64">
        <v>9.9</v>
      </c>
      <c r="C38" s="64">
        <v>39.01</v>
      </c>
      <c r="D38" s="64">
        <v>26.94</v>
      </c>
      <c r="E38" s="64">
        <v>5.49</v>
      </c>
      <c r="F38" s="64">
        <v>3.53</v>
      </c>
      <c r="G38" s="64">
        <v>31.91</v>
      </c>
      <c r="H38" s="64">
        <v>11.82</v>
      </c>
      <c r="I38" s="210" t="s">
        <v>36</v>
      </c>
      <c r="J38" s="64">
        <v>1.05</v>
      </c>
      <c r="K38" s="64">
        <v>43.58</v>
      </c>
      <c r="L38" s="64">
        <v>14.7</v>
      </c>
      <c r="M38" s="64">
        <v>101.82</v>
      </c>
      <c r="N38" s="64">
        <v>71.8</v>
      </c>
      <c r="O38" s="64">
        <v>0</v>
      </c>
      <c r="P38" s="64">
        <v>0.51</v>
      </c>
      <c r="Q38" s="64">
        <v>8.2100000000000009</v>
      </c>
      <c r="R38" s="198"/>
      <c r="S38" s="198"/>
      <c r="T38" s="198"/>
      <c r="U38" s="198"/>
    </row>
    <row r="39" spans="1:21" s="12" customFormat="1" x14ac:dyDescent="0.25">
      <c r="A39" s="215" t="s">
        <v>2582</v>
      </c>
      <c r="B39" s="64">
        <v>10.55</v>
      </c>
      <c r="C39" s="64">
        <v>39.700000000000003</v>
      </c>
      <c r="D39" s="64">
        <v>27.82</v>
      </c>
      <c r="E39" s="64">
        <v>5.71</v>
      </c>
      <c r="F39" s="64">
        <v>3.52</v>
      </c>
      <c r="G39" s="64">
        <v>31.13</v>
      </c>
      <c r="H39" s="64">
        <v>14.81</v>
      </c>
      <c r="I39" s="210" t="s">
        <v>36</v>
      </c>
      <c r="J39" s="64">
        <v>1.97</v>
      </c>
      <c r="K39" s="64">
        <v>349.22</v>
      </c>
      <c r="L39" s="64">
        <v>15.18</v>
      </c>
      <c r="M39" s="64">
        <v>99.61</v>
      </c>
      <c r="N39" s="64">
        <v>99.1</v>
      </c>
      <c r="O39" s="64">
        <v>0</v>
      </c>
      <c r="P39" s="64">
        <v>0.52</v>
      </c>
      <c r="Q39" s="64">
        <v>8.2100000000000009</v>
      </c>
      <c r="R39" s="198"/>
      <c r="S39" s="198"/>
      <c r="T39" s="198"/>
      <c r="U39" s="198"/>
    </row>
    <row r="40" spans="1:21" s="12" customFormat="1" x14ac:dyDescent="0.25">
      <c r="A40" s="215" t="s">
        <v>2583</v>
      </c>
      <c r="B40" s="64">
        <v>12.38</v>
      </c>
      <c r="C40" s="64">
        <v>38.15</v>
      </c>
      <c r="D40" s="64">
        <v>28.48</v>
      </c>
      <c r="E40" s="64">
        <v>5.63</v>
      </c>
      <c r="F40" s="64">
        <v>3.9</v>
      </c>
      <c r="G40" s="64">
        <v>30.79</v>
      </c>
      <c r="H40" s="64">
        <v>15.05</v>
      </c>
      <c r="I40" s="210" t="s">
        <v>36</v>
      </c>
      <c r="J40" s="64">
        <v>2.2000000000000002</v>
      </c>
      <c r="K40" s="64">
        <v>351.94</v>
      </c>
      <c r="L40" s="64">
        <v>15.56</v>
      </c>
      <c r="M40" s="64">
        <v>96.31</v>
      </c>
      <c r="N40" s="64">
        <v>95.1</v>
      </c>
      <c r="O40" s="64">
        <v>0</v>
      </c>
      <c r="P40" s="64">
        <v>0.53</v>
      </c>
      <c r="Q40" s="64">
        <v>8.2100000000000009</v>
      </c>
      <c r="R40" s="198"/>
      <c r="S40" s="198"/>
      <c r="T40" s="198"/>
      <c r="U40" s="198"/>
    </row>
    <row r="41" spans="1:21" s="12" customFormat="1" x14ac:dyDescent="0.25">
      <c r="A41" s="215" t="s">
        <v>2584</v>
      </c>
      <c r="B41" s="64">
        <v>14.24</v>
      </c>
      <c r="C41" s="64">
        <v>39.04</v>
      </c>
      <c r="D41" s="64">
        <v>30.44</v>
      </c>
      <c r="E41" s="64">
        <v>5.87</v>
      </c>
      <c r="F41" s="64">
        <v>3.95</v>
      </c>
      <c r="G41" s="64">
        <v>30.79</v>
      </c>
      <c r="H41" s="64">
        <v>15.05</v>
      </c>
      <c r="I41" s="210" t="s">
        <v>36</v>
      </c>
      <c r="J41" s="64">
        <v>2.38</v>
      </c>
      <c r="K41" s="64">
        <v>349.31</v>
      </c>
      <c r="L41" s="64">
        <v>15.4</v>
      </c>
      <c r="M41" s="64">
        <v>95.41</v>
      </c>
      <c r="N41" s="64">
        <v>102.9</v>
      </c>
      <c r="O41" s="64">
        <v>0</v>
      </c>
      <c r="P41" s="64">
        <v>0.55000000000000004</v>
      </c>
      <c r="Q41" s="64">
        <v>8.2100000000000009</v>
      </c>
      <c r="R41" s="198"/>
      <c r="S41" s="198"/>
      <c r="T41" s="198"/>
      <c r="U41" s="198"/>
    </row>
    <row r="42" spans="1:21" s="12" customFormat="1" x14ac:dyDescent="0.25">
      <c r="A42" s="215" t="s">
        <v>2585</v>
      </c>
      <c r="B42" s="64">
        <v>16.399999999999999</v>
      </c>
      <c r="C42" s="64">
        <v>39.71</v>
      </c>
      <c r="D42" s="64">
        <v>32.53</v>
      </c>
      <c r="E42" s="64">
        <v>5.9</v>
      </c>
      <c r="F42" s="64">
        <v>3.61</v>
      </c>
      <c r="G42" s="64">
        <v>30.79</v>
      </c>
      <c r="H42" s="64">
        <v>15.05</v>
      </c>
      <c r="I42" s="210" t="s">
        <v>36</v>
      </c>
      <c r="J42" s="64">
        <v>2.19</v>
      </c>
      <c r="K42" s="64">
        <v>349.95</v>
      </c>
      <c r="L42" s="64">
        <v>15.59</v>
      </c>
      <c r="M42" s="64">
        <v>94.64</v>
      </c>
      <c r="N42" s="64">
        <v>136.30000000000001</v>
      </c>
      <c r="O42" s="64">
        <v>0</v>
      </c>
      <c r="P42" s="64">
        <v>0.56999999999999995</v>
      </c>
      <c r="Q42" s="64">
        <v>8.2100000000000009</v>
      </c>
      <c r="R42" s="198"/>
      <c r="S42" s="198"/>
      <c r="T42" s="198"/>
      <c r="U42" s="198"/>
    </row>
    <row r="43" spans="1:21" s="12" customFormat="1" x14ac:dyDescent="0.25">
      <c r="A43" s="215" t="s">
        <v>2586</v>
      </c>
      <c r="B43" s="64">
        <v>18.39</v>
      </c>
      <c r="C43" s="64">
        <v>39.31</v>
      </c>
      <c r="D43" s="64">
        <v>33.909999999999997</v>
      </c>
      <c r="E43" s="64">
        <v>6.35</v>
      </c>
      <c r="F43" s="64">
        <v>3.92</v>
      </c>
      <c r="G43" s="64">
        <v>37.229999999999997</v>
      </c>
      <c r="H43" s="64">
        <v>14.67</v>
      </c>
      <c r="I43" s="210" t="s">
        <v>36</v>
      </c>
      <c r="J43" s="64">
        <v>1.62</v>
      </c>
      <c r="K43" s="64">
        <v>353.8</v>
      </c>
      <c r="L43" s="64">
        <v>16.010000000000002</v>
      </c>
      <c r="M43" s="64">
        <v>92.79</v>
      </c>
      <c r="N43" s="64">
        <v>173.4</v>
      </c>
      <c r="O43" s="64">
        <v>0</v>
      </c>
      <c r="P43" s="64">
        <v>0.59</v>
      </c>
      <c r="Q43" s="64">
        <v>8.2100000000000009</v>
      </c>
      <c r="R43" s="198"/>
      <c r="S43" s="198"/>
      <c r="T43" s="198"/>
      <c r="U43" s="198"/>
    </row>
    <row r="44" spans="1:21" s="12" customFormat="1" x14ac:dyDescent="0.25">
      <c r="A44" s="215" t="s">
        <v>2587</v>
      </c>
      <c r="B44" s="64">
        <v>19.75</v>
      </c>
      <c r="C44" s="64">
        <v>41.36</v>
      </c>
      <c r="D44" s="64">
        <v>36.07</v>
      </c>
      <c r="E44" s="64">
        <v>6.59</v>
      </c>
      <c r="F44" s="64">
        <v>3.95</v>
      </c>
      <c r="G44" s="64">
        <v>39.99</v>
      </c>
      <c r="H44" s="64">
        <v>14.61</v>
      </c>
      <c r="I44" s="210" t="s">
        <v>36</v>
      </c>
      <c r="J44" s="64">
        <v>0.85</v>
      </c>
      <c r="K44" s="64">
        <v>54.45</v>
      </c>
      <c r="L44" s="64">
        <v>16.489999999999998</v>
      </c>
      <c r="M44" s="64">
        <v>91.46</v>
      </c>
      <c r="N44" s="64">
        <v>236</v>
      </c>
      <c r="O44" s="64">
        <v>0</v>
      </c>
      <c r="P44" s="64">
        <v>0.61</v>
      </c>
      <c r="Q44" s="64">
        <v>8.2100000000000009</v>
      </c>
      <c r="R44" s="198"/>
      <c r="S44" s="198"/>
      <c r="T44" s="198"/>
      <c r="U44" s="198"/>
    </row>
    <row r="45" spans="1:21" s="12" customFormat="1" x14ac:dyDescent="0.25">
      <c r="A45" s="215" t="s">
        <v>2588</v>
      </c>
      <c r="B45" s="64">
        <v>20.81</v>
      </c>
      <c r="C45" s="64">
        <v>40.36</v>
      </c>
      <c r="D45" s="64">
        <v>36.4</v>
      </c>
      <c r="E45" s="64">
        <v>6.42</v>
      </c>
      <c r="F45" s="64">
        <v>4.3</v>
      </c>
      <c r="G45" s="64">
        <v>39.99</v>
      </c>
      <c r="H45" s="64">
        <v>14.61</v>
      </c>
      <c r="I45" s="210" t="s">
        <v>36</v>
      </c>
      <c r="J45" s="64">
        <v>0.53</v>
      </c>
      <c r="K45" s="64">
        <v>22.21</v>
      </c>
      <c r="L45" s="64">
        <v>17.420000000000002</v>
      </c>
      <c r="M45" s="64">
        <v>87.18</v>
      </c>
      <c r="N45" s="64">
        <v>363.9</v>
      </c>
      <c r="O45" s="64">
        <v>0</v>
      </c>
      <c r="P45" s="64">
        <v>0.62</v>
      </c>
      <c r="Q45" s="64">
        <v>8.2100000000000009</v>
      </c>
      <c r="R45" s="198"/>
      <c r="S45" s="198"/>
      <c r="T45" s="198"/>
      <c r="U45" s="198"/>
    </row>
    <row r="46" spans="1:21" s="12" customFormat="1" x14ac:dyDescent="0.25">
      <c r="A46" s="215" t="s">
        <v>2589</v>
      </c>
      <c r="B46" s="64">
        <v>21.55</v>
      </c>
      <c r="C46" s="64">
        <v>39.6</v>
      </c>
      <c r="D46" s="64">
        <v>36.6</v>
      </c>
      <c r="E46" s="64">
        <v>6.31</v>
      </c>
      <c r="F46" s="64">
        <v>3.6</v>
      </c>
      <c r="G46" s="64">
        <v>39.99</v>
      </c>
      <c r="H46" s="64">
        <v>14.61</v>
      </c>
      <c r="I46" s="210" t="s">
        <v>36</v>
      </c>
      <c r="J46" s="64">
        <v>1.5</v>
      </c>
      <c r="K46" s="64">
        <v>98.39</v>
      </c>
      <c r="L46" s="64">
        <v>18.420000000000002</v>
      </c>
      <c r="M46" s="64">
        <v>82.62</v>
      </c>
      <c r="N46" s="64">
        <v>447.5</v>
      </c>
      <c r="O46" s="64">
        <v>0</v>
      </c>
      <c r="P46" s="64">
        <v>0.63</v>
      </c>
      <c r="Q46" s="64">
        <v>8.2100000000000009</v>
      </c>
      <c r="R46" s="198"/>
      <c r="S46" s="198"/>
      <c r="T46" s="198"/>
      <c r="U46" s="198"/>
    </row>
    <row r="47" spans="1:21" s="12" customFormat="1" x14ac:dyDescent="0.25">
      <c r="A47" s="215" t="s">
        <v>2590</v>
      </c>
      <c r="B47" s="64">
        <v>21.74</v>
      </c>
      <c r="C47" s="64">
        <v>37.450000000000003</v>
      </c>
      <c r="D47" s="64">
        <v>35.630000000000003</v>
      </c>
      <c r="E47" s="64">
        <v>6.29</v>
      </c>
      <c r="F47" s="64">
        <v>3.56</v>
      </c>
      <c r="G47" s="64">
        <v>42.32</v>
      </c>
      <c r="H47" s="64">
        <v>15.5</v>
      </c>
      <c r="I47" s="210" t="s">
        <v>36</v>
      </c>
      <c r="J47" s="64">
        <v>2.21</v>
      </c>
      <c r="K47" s="64">
        <v>112.28</v>
      </c>
      <c r="L47" s="64">
        <v>18.309999999999999</v>
      </c>
      <c r="M47" s="64">
        <v>82.51</v>
      </c>
      <c r="N47" s="64">
        <v>426.4</v>
      </c>
      <c r="O47" s="64">
        <v>0</v>
      </c>
      <c r="P47" s="64">
        <v>0.63</v>
      </c>
      <c r="Q47" s="64">
        <v>8.2100000000000009</v>
      </c>
      <c r="R47" s="198"/>
      <c r="S47" s="198"/>
      <c r="T47" s="198"/>
      <c r="U47" s="198"/>
    </row>
    <row r="48" spans="1:21" s="12" customFormat="1" x14ac:dyDescent="0.25">
      <c r="A48" s="215" t="s">
        <v>2591</v>
      </c>
      <c r="B48" s="64">
        <v>21.21</v>
      </c>
      <c r="C48" s="64">
        <v>38.07</v>
      </c>
      <c r="D48" s="64">
        <v>35.520000000000003</v>
      </c>
      <c r="E48" s="64">
        <v>6.31</v>
      </c>
      <c r="F48" s="64">
        <v>3.69</v>
      </c>
      <c r="G48" s="64">
        <v>43.31</v>
      </c>
      <c r="H48" s="64">
        <v>15.57</v>
      </c>
      <c r="I48" s="210" t="s">
        <v>36</v>
      </c>
      <c r="J48" s="64">
        <v>2.33</v>
      </c>
      <c r="K48" s="64">
        <v>113.73</v>
      </c>
      <c r="L48" s="64">
        <v>17.940000000000001</v>
      </c>
      <c r="M48" s="64">
        <v>83.91</v>
      </c>
      <c r="N48" s="64">
        <v>330.6</v>
      </c>
      <c r="O48" s="64">
        <v>0</v>
      </c>
      <c r="P48" s="64">
        <v>0.63</v>
      </c>
      <c r="Q48" s="64">
        <v>8.2100000000000009</v>
      </c>
      <c r="R48" s="198"/>
      <c r="S48" s="198"/>
      <c r="T48" s="198"/>
      <c r="U48" s="198"/>
    </row>
    <row r="49" spans="1:21" s="12" customFormat="1" x14ac:dyDescent="0.25">
      <c r="A49" s="215" t="s">
        <v>2592</v>
      </c>
      <c r="B49" s="64">
        <v>20.41</v>
      </c>
      <c r="C49" s="64">
        <v>38.56</v>
      </c>
      <c r="D49" s="64">
        <v>35.14</v>
      </c>
      <c r="E49" s="64">
        <v>6.01</v>
      </c>
      <c r="F49" s="64">
        <v>3.57</v>
      </c>
      <c r="G49" s="64">
        <v>43.31</v>
      </c>
      <c r="H49" s="64">
        <v>15.57</v>
      </c>
      <c r="I49" s="210" t="s">
        <v>36</v>
      </c>
      <c r="J49" s="64">
        <v>2.2000000000000002</v>
      </c>
      <c r="K49" s="64">
        <v>111.38</v>
      </c>
      <c r="L49" s="64">
        <v>18.38</v>
      </c>
      <c r="M49" s="64">
        <v>80.150000000000006</v>
      </c>
      <c r="N49" s="64">
        <v>310.39999999999998</v>
      </c>
      <c r="O49" s="64">
        <v>0</v>
      </c>
      <c r="P49" s="64">
        <v>0.62</v>
      </c>
      <c r="Q49" s="64">
        <v>8.2100000000000009</v>
      </c>
      <c r="R49" s="198"/>
      <c r="S49" s="198"/>
      <c r="T49" s="198"/>
      <c r="U49" s="198"/>
    </row>
    <row r="50" spans="1:21" s="12" customFormat="1" x14ac:dyDescent="0.25">
      <c r="A50" s="215" t="s">
        <v>2593</v>
      </c>
      <c r="B50" s="64">
        <v>19.71</v>
      </c>
      <c r="C50" s="64">
        <v>38.43</v>
      </c>
      <c r="D50" s="64">
        <v>34.5</v>
      </c>
      <c r="E50" s="64">
        <v>6.23</v>
      </c>
      <c r="F50" s="64">
        <v>3.22</v>
      </c>
      <c r="G50" s="64">
        <v>43.31</v>
      </c>
      <c r="H50" s="64">
        <v>15.57</v>
      </c>
      <c r="I50" s="210" t="s">
        <v>36</v>
      </c>
      <c r="J50" s="64">
        <v>1</v>
      </c>
      <c r="K50" s="64">
        <v>98.41</v>
      </c>
      <c r="L50" s="64">
        <v>18.739999999999998</v>
      </c>
      <c r="M50" s="64">
        <v>77.59</v>
      </c>
      <c r="N50" s="64">
        <v>264.60000000000002</v>
      </c>
      <c r="O50" s="64">
        <v>0</v>
      </c>
      <c r="P50" s="64">
        <v>0.62</v>
      </c>
      <c r="Q50" s="64">
        <v>8.2100000000000009</v>
      </c>
      <c r="R50" s="198"/>
      <c r="S50" s="198"/>
      <c r="T50" s="198"/>
      <c r="U50" s="198"/>
    </row>
    <row r="51" spans="1:21" s="12" customFormat="1" x14ac:dyDescent="0.25">
      <c r="A51" s="215" t="s">
        <v>2594</v>
      </c>
      <c r="B51" s="64">
        <v>19.28</v>
      </c>
      <c r="C51" s="64">
        <v>38.94</v>
      </c>
      <c r="D51" s="64">
        <v>34.43</v>
      </c>
      <c r="E51" s="64">
        <v>6.58</v>
      </c>
      <c r="F51" s="64">
        <v>3.26</v>
      </c>
      <c r="G51" s="64">
        <v>43.67</v>
      </c>
      <c r="H51" s="64">
        <v>14.72</v>
      </c>
      <c r="I51" s="210" t="s">
        <v>36</v>
      </c>
      <c r="J51" s="64">
        <v>2.2999999999999998</v>
      </c>
      <c r="K51" s="64">
        <v>103.43</v>
      </c>
      <c r="L51" s="64">
        <v>18.79</v>
      </c>
      <c r="M51" s="64">
        <v>75.760000000000005</v>
      </c>
      <c r="N51" s="64">
        <v>295.7</v>
      </c>
      <c r="O51" s="64">
        <v>0</v>
      </c>
      <c r="P51" s="64">
        <v>0.57999999999999996</v>
      </c>
      <c r="Q51" s="64">
        <v>8.2100000000000009</v>
      </c>
      <c r="R51" s="198"/>
      <c r="S51" s="198"/>
      <c r="T51" s="198"/>
      <c r="U51" s="198"/>
    </row>
    <row r="52" spans="1:21" s="12" customFormat="1" x14ac:dyDescent="0.25">
      <c r="A52" s="215" t="s">
        <v>2595</v>
      </c>
      <c r="B52" s="64">
        <v>18.36</v>
      </c>
      <c r="C52" s="64">
        <v>38.74</v>
      </c>
      <c r="D52" s="64">
        <v>33.590000000000003</v>
      </c>
      <c r="E52" s="64">
        <v>6.27</v>
      </c>
      <c r="F52" s="64">
        <v>3.34</v>
      </c>
      <c r="G52" s="64">
        <v>43.83</v>
      </c>
      <c r="H52" s="64">
        <v>14.65</v>
      </c>
      <c r="I52" s="210" t="s">
        <v>36</v>
      </c>
      <c r="J52" s="64">
        <v>2.76</v>
      </c>
      <c r="K52" s="64">
        <v>110.33</v>
      </c>
      <c r="L52" s="64">
        <v>18.940000000000001</v>
      </c>
      <c r="M52" s="64">
        <v>73.099999999999994</v>
      </c>
      <c r="N52" s="64">
        <v>340.7</v>
      </c>
      <c r="O52" s="64">
        <v>0</v>
      </c>
      <c r="P52" s="64">
        <v>0.6</v>
      </c>
      <c r="Q52" s="64">
        <v>8.2100000000000009</v>
      </c>
      <c r="R52" s="198"/>
      <c r="S52" s="198"/>
      <c r="T52" s="198"/>
      <c r="U52" s="198"/>
    </row>
    <row r="53" spans="1:21" s="12" customFormat="1" x14ac:dyDescent="0.25">
      <c r="A53" s="215" t="s">
        <v>2596</v>
      </c>
      <c r="B53" s="64">
        <v>17.03</v>
      </c>
      <c r="C53" s="64">
        <v>39.049999999999997</v>
      </c>
      <c r="D53" s="64">
        <v>32.68</v>
      </c>
      <c r="E53" s="64">
        <v>6.49</v>
      </c>
      <c r="F53" s="64">
        <v>3.31</v>
      </c>
      <c r="G53" s="64">
        <v>43.83</v>
      </c>
      <c r="H53" s="64">
        <v>14.65</v>
      </c>
      <c r="I53" s="210" t="s">
        <v>36</v>
      </c>
      <c r="J53" s="64">
        <v>2.7</v>
      </c>
      <c r="K53" s="64">
        <v>109.99</v>
      </c>
      <c r="L53" s="64">
        <v>19.43</v>
      </c>
      <c r="M53" s="64">
        <v>69.92</v>
      </c>
      <c r="N53" s="64">
        <v>380</v>
      </c>
      <c r="O53" s="64">
        <v>0</v>
      </c>
      <c r="P53" s="64">
        <v>0.59</v>
      </c>
      <c r="Q53" s="64">
        <v>8.2100000000000009</v>
      </c>
      <c r="R53" s="198"/>
      <c r="S53" s="198"/>
      <c r="T53" s="198"/>
      <c r="U53" s="198"/>
    </row>
    <row r="54" spans="1:21" s="12" customFormat="1" x14ac:dyDescent="0.25">
      <c r="A54" s="215" t="s">
        <v>2597</v>
      </c>
      <c r="B54" s="64">
        <v>15.67</v>
      </c>
      <c r="C54" s="64">
        <v>40.51</v>
      </c>
      <c r="D54" s="64">
        <v>32.35</v>
      </c>
      <c r="E54" s="64">
        <v>6.2</v>
      </c>
      <c r="F54" s="64">
        <v>3.95</v>
      </c>
      <c r="G54" s="64">
        <v>43.83</v>
      </c>
      <c r="H54" s="64">
        <v>14.65</v>
      </c>
      <c r="I54" s="210" t="s">
        <v>36</v>
      </c>
      <c r="J54" s="64">
        <v>2.86</v>
      </c>
      <c r="K54" s="64">
        <v>109.64</v>
      </c>
      <c r="L54" s="64">
        <v>19.670000000000002</v>
      </c>
      <c r="M54" s="64">
        <v>67.84</v>
      </c>
      <c r="N54" s="64">
        <v>303.2</v>
      </c>
      <c r="O54" s="64">
        <v>0</v>
      </c>
      <c r="P54" s="64">
        <v>0.59</v>
      </c>
      <c r="Q54" s="64">
        <v>8.2100000000000009</v>
      </c>
      <c r="R54" s="198"/>
      <c r="S54" s="198"/>
      <c r="T54" s="198"/>
      <c r="U54" s="198"/>
    </row>
    <row r="55" spans="1:21" s="12" customFormat="1" x14ac:dyDescent="0.25">
      <c r="A55" s="215" t="s">
        <v>2598</v>
      </c>
      <c r="B55" s="64">
        <v>14.19</v>
      </c>
      <c r="C55" s="64">
        <v>41.65</v>
      </c>
      <c r="D55" s="64">
        <v>31.76</v>
      </c>
      <c r="E55" s="64">
        <v>6.1</v>
      </c>
      <c r="F55" s="64">
        <v>3.97</v>
      </c>
      <c r="G55" s="64">
        <v>37.78</v>
      </c>
      <c r="H55" s="64">
        <v>15.64</v>
      </c>
      <c r="I55" s="210" t="s">
        <v>36</v>
      </c>
      <c r="J55" s="64">
        <v>2.94</v>
      </c>
      <c r="K55" s="64">
        <v>104.13</v>
      </c>
      <c r="L55" s="64">
        <v>19.47</v>
      </c>
      <c r="M55" s="64">
        <v>67.28</v>
      </c>
      <c r="N55" s="64">
        <v>260.7</v>
      </c>
      <c r="O55" s="64">
        <v>0</v>
      </c>
      <c r="P55" s="64">
        <v>0.57999999999999996</v>
      </c>
      <c r="Q55" s="64">
        <v>8.2100000000000009</v>
      </c>
      <c r="R55" s="198"/>
      <c r="S55" s="198"/>
      <c r="T55" s="198"/>
      <c r="U55" s="198"/>
    </row>
    <row r="56" spans="1:21" s="12" customFormat="1" x14ac:dyDescent="0.25">
      <c r="A56" s="215" t="s">
        <v>2599</v>
      </c>
      <c r="B56" s="64">
        <v>12.69</v>
      </c>
      <c r="C56" s="64">
        <v>39.51</v>
      </c>
      <c r="D56" s="64">
        <v>29.44</v>
      </c>
      <c r="E56" s="64">
        <v>5.82</v>
      </c>
      <c r="F56" s="64">
        <v>3.81</v>
      </c>
      <c r="G56" s="64">
        <v>35.19</v>
      </c>
      <c r="H56" s="64">
        <v>15.71</v>
      </c>
      <c r="I56" s="210" t="s">
        <v>36</v>
      </c>
      <c r="J56" s="64">
        <v>2.61</v>
      </c>
      <c r="K56" s="64">
        <v>111.21</v>
      </c>
      <c r="L56" s="64">
        <v>19.48</v>
      </c>
      <c r="M56" s="64">
        <v>68.11</v>
      </c>
      <c r="N56" s="64">
        <v>221.2</v>
      </c>
      <c r="O56" s="64">
        <v>0</v>
      </c>
      <c r="P56" s="64">
        <v>0.56999999999999995</v>
      </c>
      <c r="Q56" s="64">
        <v>8.2100000000000009</v>
      </c>
      <c r="R56" s="198"/>
      <c r="S56" s="198"/>
      <c r="T56" s="198"/>
      <c r="U56" s="198"/>
    </row>
    <row r="57" spans="1:21" s="12" customFormat="1" x14ac:dyDescent="0.25">
      <c r="A57" s="215" t="s">
        <v>2600</v>
      </c>
      <c r="B57" s="64">
        <v>11.39</v>
      </c>
      <c r="C57" s="64">
        <v>42</v>
      </c>
      <c r="D57" s="64">
        <v>29.7</v>
      </c>
      <c r="E57" s="64">
        <v>5.99</v>
      </c>
      <c r="F57" s="64">
        <v>3.93</v>
      </c>
      <c r="G57" s="64">
        <v>35.19</v>
      </c>
      <c r="H57" s="64">
        <v>15.71</v>
      </c>
      <c r="I57" s="210" t="s">
        <v>36</v>
      </c>
      <c r="J57" s="64">
        <v>2.73</v>
      </c>
      <c r="K57" s="64">
        <v>110.75</v>
      </c>
      <c r="L57" s="64">
        <v>19.52</v>
      </c>
      <c r="M57" s="64">
        <v>68.14</v>
      </c>
      <c r="N57" s="64">
        <v>241.6</v>
      </c>
      <c r="O57" s="64">
        <v>0</v>
      </c>
      <c r="P57" s="64">
        <v>0.55000000000000004</v>
      </c>
      <c r="Q57" s="64">
        <v>8.2100000000000009</v>
      </c>
      <c r="R57" s="198"/>
      <c r="S57" s="198"/>
      <c r="T57" s="198"/>
      <c r="U57" s="198"/>
    </row>
    <row r="58" spans="1:21" s="12" customFormat="1" x14ac:dyDescent="0.25">
      <c r="A58" s="215" t="s">
        <v>2601</v>
      </c>
      <c r="B58" s="64">
        <v>10.46</v>
      </c>
      <c r="C58" s="64">
        <v>39.75</v>
      </c>
      <c r="D58" s="64">
        <v>27.78</v>
      </c>
      <c r="E58" s="64">
        <v>5.99</v>
      </c>
      <c r="F58" s="64">
        <v>4.34</v>
      </c>
      <c r="G58" s="64">
        <v>35.19</v>
      </c>
      <c r="H58" s="64">
        <v>15.71</v>
      </c>
      <c r="I58" s="210" t="s">
        <v>36</v>
      </c>
      <c r="J58" s="64">
        <v>2.14</v>
      </c>
      <c r="K58" s="64">
        <v>115.77</v>
      </c>
      <c r="L58" s="64">
        <v>20.14</v>
      </c>
      <c r="M58" s="64">
        <v>66.67</v>
      </c>
      <c r="N58" s="64">
        <v>288.5</v>
      </c>
      <c r="O58" s="64">
        <v>0</v>
      </c>
      <c r="P58" s="64">
        <v>0.55000000000000004</v>
      </c>
      <c r="Q58" s="64">
        <v>8.2100000000000009</v>
      </c>
      <c r="R58" s="198"/>
      <c r="S58" s="198"/>
      <c r="T58" s="198"/>
      <c r="U58" s="198"/>
    </row>
    <row r="59" spans="1:21" s="12" customFormat="1" x14ac:dyDescent="0.25">
      <c r="A59" s="215" t="s">
        <v>2602</v>
      </c>
      <c r="B59" s="64">
        <v>9.64</v>
      </c>
      <c r="C59" s="64">
        <v>43.87</v>
      </c>
      <c r="D59" s="64">
        <v>29.27</v>
      </c>
      <c r="E59" s="64">
        <v>5.81</v>
      </c>
      <c r="F59" s="64">
        <v>4.28</v>
      </c>
      <c r="G59" s="64">
        <v>35.5</v>
      </c>
      <c r="H59" s="64">
        <v>14.82</v>
      </c>
      <c r="I59" s="210" t="s">
        <v>36</v>
      </c>
      <c r="J59" s="64">
        <v>2.56</v>
      </c>
      <c r="K59" s="64">
        <v>103.42</v>
      </c>
      <c r="L59" s="64">
        <v>20.170000000000002</v>
      </c>
      <c r="M59" s="64">
        <v>65.260000000000005</v>
      </c>
      <c r="N59" s="64">
        <v>274</v>
      </c>
      <c r="O59" s="64">
        <v>0</v>
      </c>
      <c r="P59" s="64">
        <v>0.54</v>
      </c>
      <c r="Q59" s="64">
        <v>8.2100000000000009</v>
      </c>
      <c r="R59" s="198"/>
      <c r="S59" s="198"/>
      <c r="T59" s="198"/>
      <c r="U59" s="198"/>
    </row>
    <row r="60" spans="1:21" s="12" customFormat="1" x14ac:dyDescent="0.25">
      <c r="A60" s="215" t="s">
        <v>2603</v>
      </c>
      <c r="B60" s="64">
        <v>8.7200000000000006</v>
      </c>
      <c r="C60" s="64">
        <v>41.2</v>
      </c>
      <c r="D60" s="64">
        <v>27.14</v>
      </c>
      <c r="E60" s="64">
        <v>5.77</v>
      </c>
      <c r="F60" s="64">
        <v>3.98</v>
      </c>
      <c r="G60" s="64">
        <v>35.630000000000003</v>
      </c>
      <c r="H60" s="64">
        <v>14.7</v>
      </c>
      <c r="I60" s="210" t="s">
        <v>36</v>
      </c>
      <c r="J60" s="64">
        <v>2.4700000000000002</v>
      </c>
      <c r="K60" s="64">
        <v>141.53</v>
      </c>
      <c r="L60" s="64">
        <v>20.52</v>
      </c>
      <c r="M60" s="64">
        <v>64.66</v>
      </c>
      <c r="N60" s="64">
        <v>302.3</v>
      </c>
      <c r="O60" s="64">
        <v>0</v>
      </c>
      <c r="P60" s="64">
        <v>0.53</v>
      </c>
      <c r="Q60" s="64">
        <v>8.2100000000000009</v>
      </c>
      <c r="R60" s="198"/>
      <c r="S60" s="198"/>
      <c r="T60" s="198"/>
      <c r="U60" s="198"/>
    </row>
    <row r="61" spans="1:21" s="12" customFormat="1" x14ac:dyDescent="0.25">
      <c r="A61" s="215" t="s">
        <v>2604</v>
      </c>
      <c r="B61" s="64">
        <v>7.6</v>
      </c>
      <c r="C61" s="64">
        <v>44.58</v>
      </c>
      <c r="D61" s="64">
        <v>28.01</v>
      </c>
      <c r="E61" s="64">
        <v>5.61</v>
      </c>
      <c r="F61" s="64">
        <v>4.08</v>
      </c>
      <c r="G61" s="64">
        <v>35.630000000000003</v>
      </c>
      <c r="H61" s="64">
        <v>14.7</v>
      </c>
      <c r="I61" s="210" t="s">
        <v>36</v>
      </c>
      <c r="J61" s="64">
        <v>2.6</v>
      </c>
      <c r="K61" s="64">
        <v>106.1</v>
      </c>
      <c r="L61" s="64">
        <v>20.14</v>
      </c>
      <c r="M61" s="64">
        <v>64.56</v>
      </c>
      <c r="N61" s="64">
        <v>206.7</v>
      </c>
      <c r="O61" s="64">
        <v>0</v>
      </c>
      <c r="P61" s="64">
        <v>0.46</v>
      </c>
      <c r="Q61" s="64">
        <v>8.2100000000000009</v>
      </c>
      <c r="R61" s="198"/>
      <c r="S61" s="198"/>
      <c r="T61" s="198"/>
      <c r="U61" s="198"/>
    </row>
    <row r="62" spans="1:21" s="12" customFormat="1" x14ac:dyDescent="0.25">
      <c r="A62" s="215" t="s">
        <v>2605</v>
      </c>
      <c r="B62" s="64">
        <v>6.61</v>
      </c>
      <c r="C62" s="64">
        <v>41.5</v>
      </c>
      <c r="D62" s="64">
        <v>25.61</v>
      </c>
      <c r="E62" s="64">
        <v>5.59</v>
      </c>
      <c r="F62" s="64">
        <v>4.1500000000000004</v>
      </c>
      <c r="G62" s="64">
        <v>35.630000000000003</v>
      </c>
      <c r="H62" s="64">
        <v>14.7</v>
      </c>
      <c r="I62" s="210" t="s">
        <v>36</v>
      </c>
      <c r="J62" s="64">
        <v>2.48</v>
      </c>
      <c r="K62" s="64">
        <v>109.16</v>
      </c>
      <c r="L62" s="64">
        <v>20.2</v>
      </c>
      <c r="M62" s="64">
        <v>64.13</v>
      </c>
      <c r="N62" s="64">
        <v>197.8</v>
      </c>
      <c r="O62" s="64">
        <v>0</v>
      </c>
      <c r="P62" s="64">
        <v>0.47</v>
      </c>
      <c r="Q62" s="64">
        <v>8.2100000000000009</v>
      </c>
      <c r="R62" s="198"/>
      <c r="S62" s="198"/>
      <c r="T62" s="198"/>
      <c r="U62" s="198"/>
    </row>
    <row r="63" spans="1:21" s="12" customFormat="1" x14ac:dyDescent="0.25">
      <c r="A63" s="215" t="s">
        <v>2606</v>
      </c>
      <c r="B63" s="64">
        <v>5.91</v>
      </c>
      <c r="C63" s="64">
        <v>40.700000000000003</v>
      </c>
      <c r="D63" s="64">
        <v>24.63</v>
      </c>
      <c r="E63" s="64">
        <v>5.88</v>
      </c>
      <c r="F63" s="64">
        <v>3.77</v>
      </c>
      <c r="G63" s="64">
        <v>32.83</v>
      </c>
      <c r="H63" s="64">
        <v>14.25</v>
      </c>
      <c r="I63" s="210" t="s">
        <v>36</v>
      </c>
      <c r="J63" s="64">
        <v>3.12</v>
      </c>
      <c r="K63" s="64">
        <v>110.66</v>
      </c>
      <c r="L63" s="64">
        <v>20.36</v>
      </c>
      <c r="M63" s="64">
        <v>63.41</v>
      </c>
      <c r="N63" s="64">
        <v>282.60000000000002</v>
      </c>
      <c r="O63" s="64">
        <v>0</v>
      </c>
      <c r="P63" s="64">
        <v>0.46</v>
      </c>
      <c r="Q63" s="64">
        <v>8.2100000000000009</v>
      </c>
      <c r="R63" s="198"/>
      <c r="S63" s="198"/>
      <c r="T63" s="198"/>
      <c r="U63" s="198"/>
    </row>
    <row r="64" spans="1:21" s="12" customFormat="1" x14ac:dyDescent="0.25">
      <c r="A64" s="215" t="s">
        <v>2607</v>
      </c>
      <c r="B64" s="64">
        <v>5.46</v>
      </c>
      <c r="C64" s="64">
        <v>40.520000000000003</v>
      </c>
      <c r="D64" s="64">
        <v>24.17</v>
      </c>
      <c r="E64" s="64">
        <v>5.91</v>
      </c>
      <c r="F64" s="64">
        <v>3.71</v>
      </c>
      <c r="G64" s="64">
        <v>31.63</v>
      </c>
      <c r="H64" s="64">
        <v>14.22</v>
      </c>
      <c r="I64" s="210" t="s">
        <v>36</v>
      </c>
      <c r="J64" s="64">
        <v>2.4300000000000002</v>
      </c>
      <c r="K64" s="64">
        <v>112.95</v>
      </c>
      <c r="L64" s="64">
        <v>20.53</v>
      </c>
      <c r="M64" s="64">
        <v>62.92</v>
      </c>
      <c r="N64" s="64">
        <v>197.5</v>
      </c>
      <c r="O64" s="64">
        <v>0</v>
      </c>
      <c r="P64" s="64">
        <v>0.45</v>
      </c>
      <c r="Q64" s="64">
        <v>8.2100000000000009</v>
      </c>
      <c r="R64" s="198"/>
      <c r="S64" s="198"/>
      <c r="T64" s="198"/>
      <c r="U64" s="198"/>
    </row>
    <row r="65" spans="1:21" s="12" customFormat="1" x14ac:dyDescent="0.25">
      <c r="A65" s="215" t="s">
        <v>2608</v>
      </c>
      <c r="B65" s="64">
        <v>5.16</v>
      </c>
      <c r="C65" s="64">
        <v>40.64</v>
      </c>
      <c r="D65" s="64">
        <v>23.99</v>
      </c>
      <c r="E65" s="64">
        <v>5.86</v>
      </c>
      <c r="F65" s="64">
        <v>4.05</v>
      </c>
      <c r="G65" s="64">
        <v>31.63</v>
      </c>
      <c r="H65" s="64">
        <v>14.22</v>
      </c>
      <c r="I65" s="210" t="s">
        <v>36</v>
      </c>
      <c r="J65" s="64">
        <v>3.11</v>
      </c>
      <c r="K65" s="64">
        <v>110.96</v>
      </c>
      <c r="L65" s="64">
        <v>20.69</v>
      </c>
      <c r="M65" s="64">
        <v>62.48</v>
      </c>
      <c r="N65" s="64">
        <v>221.5</v>
      </c>
      <c r="O65" s="64">
        <v>0</v>
      </c>
      <c r="P65" s="64">
        <v>0.45</v>
      </c>
      <c r="Q65" s="64">
        <v>8.2100000000000009</v>
      </c>
      <c r="R65" s="198"/>
      <c r="S65" s="198"/>
      <c r="T65" s="198"/>
      <c r="U65" s="198"/>
    </row>
    <row r="66" spans="1:21" s="12" customFormat="1" x14ac:dyDescent="0.25">
      <c r="A66" s="215" t="s">
        <v>2609</v>
      </c>
      <c r="B66" s="64">
        <v>4.8899999999999997</v>
      </c>
      <c r="C66" s="64">
        <v>40.43</v>
      </c>
      <c r="D66" s="64">
        <v>23.67</v>
      </c>
      <c r="E66" s="64">
        <v>5.66</v>
      </c>
      <c r="F66" s="64">
        <v>4.2300000000000004</v>
      </c>
      <c r="G66" s="64">
        <v>31.63</v>
      </c>
      <c r="H66" s="64">
        <v>14.22</v>
      </c>
      <c r="I66" s="210" t="s">
        <v>36</v>
      </c>
      <c r="J66" s="64">
        <v>2.5299999999999998</v>
      </c>
      <c r="K66" s="64">
        <v>98.47</v>
      </c>
      <c r="L66" s="64">
        <v>20.6</v>
      </c>
      <c r="M66" s="64">
        <v>61.81</v>
      </c>
      <c r="N66" s="64">
        <v>225.1</v>
      </c>
      <c r="O66" s="64">
        <v>0</v>
      </c>
      <c r="P66" s="64">
        <v>0.43</v>
      </c>
      <c r="Q66" s="64">
        <v>8.2100000000000009</v>
      </c>
      <c r="R66" s="198"/>
      <c r="S66" s="198"/>
      <c r="T66" s="198"/>
      <c r="U66" s="198"/>
    </row>
    <row r="67" spans="1:21" s="12" customFormat="1" x14ac:dyDescent="0.25">
      <c r="A67" s="215" t="s">
        <v>2610</v>
      </c>
      <c r="B67" s="64">
        <v>4.6100000000000003</v>
      </c>
      <c r="C67" s="64">
        <v>40.26</v>
      </c>
      <c r="D67" s="64">
        <v>23.36</v>
      </c>
      <c r="E67" s="64">
        <v>5.47</v>
      </c>
      <c r="F67" s="64">
        <v>4.07</v>
      </c>
      <c r="G67" s="64">
        <v>30.16</v>
      </c>
      <c r="H67" s="64">
        <v>14.69</v>
      </c>
      <c r="I67" s="210" t="s">
        <v>36</v>
      </c>
      <c r="J67" s="64">
        <v>2.6</v>
      </c>
      <c r="K67" s="64">
        <v>122.47</v>
      </c>
      <c r="L67" s="64">
        <v>20.74</v>
      </c>
      <c r="M67" s="64">
        <v>61.05</v>
      </c>
      <c r="N67" s="64">
        <v>196.5</v>
      </c>
      <c r="O67" s="64">
        <v>0</v>
      </c>
      <c r="P67" s="64">
        <v>0.42</v>
      </c>
      <c r="Q67" s="64">
        <v>8.2100000000000009</v>
      </c>
      <c r="R67" s="198"/>
      <c r="S67" s="198"/>
      <c r="T67" s="198"/>
      <c r="U67" s="198"/>
    </row>
    <row r="68" spans="1:21" s="12" customFormat="1" x14ac:dyDescent="0.25">
      <c r="A68" s="215" t="s">
        <v>2611</v>
      </c>
      <c r="B68" s="64">
        <v>4.4000000000000004</v>
      </c>
      <c r="C68" s="64">
        <v>40.04</v>
      </c>
      <c r="D68" s="64">
        <v>23.07</v>
      </c>
      <c r="E68" s="64">
        <v>5.76</v>
      </c>
      <c r="F68" s="64">
        <v>4.1100000000000003</v>
      </c>
      <c r="G68" s="64">
        <v>29.49</v>
      </c>
      <c r="H68" s="64">
        <v>14.73</v>
      </c>
      <c r="I68" s="210" t="s">
        <v>36</v>
      </c>
      <c r="J68" s="64">
        <v>2.64</v>
      </c>
      <c r="K68" s="64">
        <v>97.62</v>
      </c>
      <c r="L68" s="64">
        <v>20.420000000000002</v>
      </c>
      <c r="M68" s="64">
        <v>62.08</v>
      </c>
      <c r="N68" s="64">
        <v>184.1</v>
      </c>
      <c r="O68" s="64">
        <v>0</v>
      </c>
      <c r="P68" s="64">
        <v>0.41</v>
      </c>
      <c r="Q68" s="64">
        <v>8.2100000000000009</v>
      </c>
      <c r="R68" s="198"/>
      <c r="S68" s="198"/>
      <c r="T68" s="198"/>
      <c r="U68" s="198"/>
    </row>
    <row r="69" spans="1:21" s="12" customFormat="1" x14ac:dyDescent="0.25">
      <c r="A69" s="215" t="s">
        <v>2612</v>
      </c>
      <c r="B69" s="64">
        <v>4.28</v>
      </c>
      <c r="C69" s="64">
        <v>39.61</v>
      </c>
      <c r="D69" s="64">
        <v>22.75</v>
      </c>
      <c r="E69" s="64">
        <v>5.69</v>
      </c>
      <c r="F69" s="64">
        <v>3.74</v>
      </c>
      <c r="G69" s="64">
        <v>29.49</v>
      </c>
      <c r="H69" s="64">
        <v>14.73</v>
      </c>
      <c r="I69" s="210" t="s">
        <v>36</v>
      </c>
      <c r="J69" s="64">
        <v>2.59</v>
      </c>
      <c r="K69" s="64">
        <v>120.28</v>
      </c>
      <c r="L69" s="64">
        <v>20.7</v>
      </c>
      <c r="M69" s="64">
        <v>60.91</v>
      </c>
      <c r="N69" s="64">
        <v>171.2</v>
      </c>
      <c r="O69" s="64">
        <v>0</v>
      </c>
      <c r="P69" s="64">
        <v>0.42</v>
      </c>
      <c r="Q69" s="64">
        <v>8.2100000000000009</v>
      </c>
      <c r="R69" s="198"/>
      <c r="S69" s="198"/>
      <c r="T69" s="198"/>
      <c r="U69" s="198"/>
    </row>
    <row r="70" spans="1:21" s="12" customFormat="1" x14ac:dyDescent="0.25">
      <c r="A70" s="215" t="s">
        <v>2613</v>
      </c>
      <c r="B70" s="64">
        <v>4.3</v>
      </c>
      <c r="C70" s="64">
        <v>39.92</v>
      </c>
      <c r="D70" s="64">
        <v>22.93</v>
      </c>
      <c r="E70" s="64">
        <v>5.66</v>
      </c>
      <c r="F70" s="64">
        <v>4.2699999999999996</v>
      </c>
      <c r="G70" s="64">
        <v>29.49</v>
      </c>
      <c r="H70" s="64">
        <v>14.73</v>
      </c>
      <c r="I70" s="210" t="s">
        <v>36</v>
      </c>
      <c r="J70" s="64">
        <v>3.57</v>
      </c>
      <c r="K70" s="64">
        <v>111.34</v>
      </c>
      <c r="L70" s="64">
        <v>20.34</v>
      </c>
      <c r="M70" s="64">
        <v>62.64</v>
      </c>
      <c r="N70" s="64">
        <v>154.6</v>
      </c>
      <c r="O70" s="64">
        <v>0</v>
      </c>
      <c r="P70" s="64">
        <v>0.42</v>
      </c>
      <c r="Q70" s="64">
        <v>8.2100000000000009</v>
      </c>
      <c r="R70" s="198"/>
      <c r="S70" s="198"/>
      <c r="T70" s="198"/>
      <c r="U70" s="198"/>
    </row>
    <row r="71" spans="1:21" s="12" customFormat="1" x14ac:dyDescent="0.25">
      <c r="A71" s="215" t="s">
        <v>2614</v>
      </c>
      <c r="B71" s="64">
        <v>4.1100000000000003</v>
      </c>
      <c r="C71" s="64">
        <v>41.88</v>
      </c>
      <c r="D71" s="64">
        <v>23.8</v>
      </c>
      <c r="E71" s="64">
        <v>5.76</v>
      </c>
      <c r="F71" s="64">
        <v>4.28</v>
      </c>
      <c r="G71" s="64">
        <v>28.56</v>
      </c>
      <c r="H71" s="64">
        <v>11.76</v>
      </c>
      <c r="I71" s="210" t="s">
        <v>36</v>
      </c>
      <c r="J71" s="64">
        <v>3.28</v>
      </c>
      <c r="K71" s="64">
        <v>98.89</v>
      </c>
      <c r="L71" s="64">
        <v>20.329999999999998</v>
      </c>
      <c r="M71" s="64">
        <v>59.94</v>
      </c>
      <c r="N71" s="64">
        <v>135.5</v>
      </c>
      <c r="O71" s="64">
        <v>0</v>
      </c>
      <c r="P71" s="64">
        <v>0.42</v>
      </c>
      <c r="Q71" s="64">
        <v>8.2100000000000009</v>
      </c>
      <c r="R71" s="198"/>
      <c r="S71" s="198"/>
      <c r="T71" s="198"/>
      <c r="U71" s="198"/>
    </row>
    <row r="72" spans="1:21" s="12" customFormat="1" x14ac:dyDescent="0.25">
      <c r="A72" s="215" t="s">
        <v>2615</v>
      </c>
      <c r="B72" s="64">
        <v>3.66</v>
      </c>
      <c r="C72" s="64">
        <v>41.96</v>
      </c>
      <c r="D72" s="64">
        <v>23.48</v>
      </c>
      <c r="E72" s="64">
        <v>4.8499999999999996</v>
      </c>
      <c r="F72" s="64">
        <v>4.6399999999999997</v>
      </c>
      <c r="G72" s="64">
        <v>28.16</v>
      </c>
      <c r="H72" s="64">
        <v>11.52</v>
      </c>
      <c r="I72" s="210" t="s">
        <v>36</v>
      </c>
      <c r="J72" s="64">
        <v>3.28</v>
      </c>
      <c r="K72" s="64">
        <v>105.52</v>
      </c>
      <c r="L72" s="64">
        <v>20.22</v>
      </c>
      <c r="M72" s="64">
        <v>60.63</v>
      </c>
      <c r="N72" s="64">
        <v>110.8</v>
      </c>
      <c r="O72" s="64">
        <v>0</v>
      </c>
      <c r="P72" s="64">
        <v>0.41</v>
      </c>
      <c r="Q72" s="64">
        <v>8.2100000000000009</v>
      </c>
      <c r="R72" s="198"/>
      <c r="S72" s="198"/>
      <c r="T72" s="198"/>
      <c r="U72" s="198"/>
    </row>
    <row r="73" spans="1:21" s="12" customFormat="1" x14ac:dyDescent="0.25">
      <c r="A73" s="215" t="s">
        <v>2616</v>
      </c>
      <c r="B73" s="64">
        <v>3.36</v>
      </c>
      <c r="C73" s="64">
        <v>38.76</v>
      </c>
      <c r="D73" s="64">
        <v>21.56</v>
      </c>
      <c r="E73" s="64">
        <v>4.8099999999999996</v>
      </c>
      <c r="F73" s="64">
        <v>4.83</v>
      </c>
      <c r="G73" s="64">
        <v>28.16</v>
      </c>
      <c r="H73" s="64">
        <v>11.52</v>
      </c>
      <c r="I73" s="210" t="s">
        <v>36</v>
      </c>
      <c r="J73" s="64">
        <v>1.78</v>
      </c>
      <c r="K73" s="64">
        <v>130.44</v>
      </c>
      <c r="L73" s="64">
        <v>20.29</v>
      </c>
      <c r="M73" s="64">
        <v>60.74</v>
      </c>
      <c r="N73" s="64">
        <v>105.4</v>
      </c>
      <c r="O73" s="64">
        <v>0</v>
      </c>
      <c r="P73" s="64">
        <v>0.41</v>
      </c>
      <c r="Q73" s="64">
        <v>8.2100000000000009</v>
      </c>
      <c r="R73" s="198"/>
      <c r="S73" s="198"/>
      <c r="T73" s="198"/>
      <c r="U73" s="198"/>
    </row>
    <row r="74" spans="1:21" s="12" customFormat="1" x14ac:dyDescent="0.25">
      <c r="A74" s="215" t="s">
        <v>2617</v>
      </c>
      <c r="B74" s="64">
        <v>3.19</v>
      </c>
      <c r="C74" s="64">
        <v>42.11</v>
      </c>
      <c r="D74" s="64">
        <v>23.18</v>
      </c>
      <c r="E74" s="64">
        <v>4.5999999999999996</v>
      </c>
      <c r="F74" s="64">
        <v>4.53</v>
      </c>
      <c r="G74" s="64">
        <v>28.16</v>
      </c>
      <c r="H74" s="64">
        <v>11.52</v>
      </c>
      <c r="I74" s="210" t="s">
        <v>36</v>
      </c>
      <c r="J74" s="64">
        <v>1.74</v>
      </c>
      <c r="K74" s="64">
        <v>114.57</v>
      </c>
      <c r="L74" s="64">
        <v>20.239999999999998</v>
      </c>
      <c r="M74" s="64">
        <v>58.17</v>
      </c>
      <c r="N74" s="64">
        <v>82.8</v>
      </c>
      <c r="O74" s="64">
        <v>0</v>
      </c>
      <c r="P74" s="64">
        <v>0.41</v>
      </c>
      <c r="Q74" s="64">
        <v>8.2100000000000009</v>
      </c>
      <c r="R74" s="198"/>
      <c r="S74" s="198"/>
      <c r="T74" s="198"/>
      <c r="U74" s="198"/>
    </row>
    <row r="75" spans="1:21" s="12" customFormat="1" x14ac:dyDescent="0.25">
      <c r="A75" s="215" t="s">
        <v>2618</v>
      </c>
      <c r="B75" s="64">
        <v>3.21</v>
      </c>
      <c r="C75" s="64">
        <v>40.79</v>
      </c>
      <c r="D75" s="64">
        <v>22.51</v>
      </c>
      <c r="E75" s="64">
        <v>4.54</v>
      </c>
      <c r="F75" s="64">
        <v>4.3600000000000003</v>
      </c>
      <c r="G75" s="64">
        <v>29.75</v>
      </c>
      <c r="H75" s="64">
        <v>10.9</v>
      </c>
      <c r="I75" s="210" t="s">
        <v>36</v>
      </c>
      <c r="J75" s="64">
        <v>2.71</v>
      </c>
      <c r="K75" s="64">
        <v>109.5</v>
      </c>
      <c r="L75" s="64">
        <v>20.14</v>
      </c>
      <c r="M75" s="64">
        <v>59.17</v>
      </c>
      <c r="N75" s="64">
        <v>76.3</v>
      </c>
      <c r="O75" s="64">
        <v>0</v>
      </c>
      <c r="P75" s="64">
        <v>0.41</v>
      </c>
      <c r="Q75" s="64">
        <v>8.2100000000000009</v>
      </c>
      <c r="R75" s="198"/>
      <c r="S75" s="198"/>
      <c r="T75" s="198"/>
      <c r="U75" s="198"/>
    </row>
    <row r="76" spans="1:21" s="12" customFormat="1" x14ac:dyDescent="0.25">
      <c r="A76" s="215" t="s">
        <v>2619</v>
      </c>
      <c r="B76" s="64">
        <v>3.3</v>
      </c>
      <c r="C76" s="64">
        <v>42.17</v>
      </c>
      <c r="D76" s="64">
        <v>23.3</v>
      </c>
      <c r="E76" s="64">
        <v>4.3600000000000003</v>
      </c>
      <c r="F76" s="64">
        <v>4.17</v>
      </c>
      <c r="G76" s="64">
        <v>30.43</v>
      </c>
      <c r="H76" s="64">
        <v>10.81</v>
      </c>
      <c r="I76" s="210" t="s">
        <v>36</v>
      </c>
      <c r="J76" s="64">
        <v>3.62</v>
      </c>
      <c r="K76" s="64">
        <v>110.53</v>
      </c>
      <c r="L76" s="64">
        <v>19.989999999999998</v>
      </c>
      <c r="M76" s="64">
        <v>60.35</v>
      </c>
      <c r="N76" s="64">
        <v>71.599999999999994</v>
      </c>
      <c r="O76" s="64">
        <v>0</v>
      </c>
      <c r="P76" s="64">
        <v>0.41</v>
      </c>
      <c r="Q76" s="64">
        <v>8.2100000000000009</v>
      </c>
      <c r="R76" s="198"/>
      <c r="S76" s="198"/>
      <c r="T76" s="198"/>
      <c r="U76" s="198"/>
    </row>
    <row r="77" spans="1:21" s="12" customFormat="1" x14ac:dyDescent="0.25">
      <c r="A77" s="215" t="s">
        <v>2620</v>
      </c>
      <c r="B77" s="64">
        <v>3.33</v>
      </c>
      <c r="C77" s="64">
        <v>42.6</v>
      </c>
      <c r="D77" s="64">
        <v>23.56</v>
      </c>
      <c r="E77" s="64">
        <v>4.21</v>
      </c>
      <c r="F77" s="64">
        <v>4.4400000000000004</v>
      </c>
      <c r="G77" s="64">
        <v>30.43</v>
      </c>
      <c r="H77" s="64">
        <v>10.81</v>
      </c>
      <c r="I77" s="210" t="s">
        <v>36</v>
      </c>
      <c r="J77" s="64">
        <v>3.4</v>
      </c>
      <c r="K77" s="64">
        <v>98.94</v>
      </c>
      <c r="L77" s="64">
        <v>19.86</v>
      </c>
      <c r="M77" s="64">
        <v>61.85</v>
      </c>
      <c r="N77" s="64">
        <v>61.9</v>
      </c>
      <c r="O77" s="64">
        <v>0</v>
      </c>
      <c r="P77" s="64">
        <v>0.4</v>
      </c>
      <c r="Q77" s="64">
        <v>8.2100000000000009</v>
      </c>
      <c r="R77" s="198"/>
      <c r="S77" s="198"/>
      <c r="T77" s="198"/>
      <c r="U77" s="198"/>
    </row>
    <row r="78" spans="1:21" s="12" customFormat="1" x14ac:dyDescent="0.25">
      <c r="A78" s="215" t="s">
        <v>2621</v>
      </c>
      <c r="B78" s="64">
        <v>3.27</v>
      </c>
      <c r="C78" s="64">
        <v>40.72</v>
      </c>
      <c r="D78" s="64">
        <v>22.52</v>
      </c>
      <c r="E78" s="64">
        <v>4.34</v>
      </c>
      <c r="F78" s="64">
        <v>4.3600000000000003</v>
      </c>
      <c r="G78" s="64">
        <v>30.43</v>
      </c>
      <c r="H78" s="64">
        <v>10.81</v>
      </c>
      <c r="I78" s="210" t="s">
        <v>36</v>
      </c>
      <c r="J78" s="64">
        <v>2.99</v>
      </c>
      <c r="K78" s="64">
        <v>100.44</v>
      </c>
      <c r="L78" s="64">
        <v>19.77</v>
      </c>
      <c r="M78" s="64">
        <v>63.64</v>
      </c>
      <c r="N78" s="64">
        <v>54.8</v>
      </c>
      <c r="O78" s="64">
        <v>0</v>
      </c>
      <c r="P78" s="64">
        <v>0.41</v>
      </c>
      <c r="Q78" s="64">
        <v>8.2100000000000009</v>
      </c>
      <c r="R78" s="198"/>
      <c r="S78" s="198"/>
      <c r="T78" s="198"/>
      <c r="U78" s="198"/>
    </row>
    <row r="79" spans="1:21" s="12" customFormat="1" x14ac:dyDescent="0.25">
      <c r="A79" s="215" t="s">
        <v>2622</v>
      </c>
      <c r="B79" s="64">
        <v>3.22</v>
      </c>
      <c r="C79" s="64">
        <v>42.93</v>
      </c>
      <c r="D79" s="64">
        <v>23.63</v>
      </c>
      <c r="E79" s="64">
        <v>4.51</v>
      </c>
      <c r="F79" s="64">
        <v>4.21</v>
      </c>
      <c r="G79" s="64">
        <v>32.299999999999997</v>
      </c>
      <c r="H79" s="64">
        <v>10.39</v>
      </c>
      <c r="I79" s="210" t="s">
        <v>36</v>
      </c>
      <c r="J79" s="64">
        <v>3.97</v>
      </c>
      <c r="K79" s="64">
        <v>103.23</v>
      </c>
      <c r="L79" s="64">
        <v>19.47</v>
      </c>
      <c r="M79" s="64">
        <v>68.67</v>
      </c>
      <c r="N79" s="64">
        <v>53.2</v>
      </c>
      <c r="O79" s="64">
        <v>0</v>
      </c>
      <c r="P79" s="64">
        <v>0.41</v>
      </c>
      <c r="Q79" s="64">
        <v>8.2100000000000009</v>
      </c>
      <c r="R79" s="198"/>
      <c r="S79" s="198"/>
      <c r="T79" s="198"/>
      <c r="U79" s="198"/>
    </row>
    <row r="80" spans="1:21" s="12" customFormat="1" x14ac:dyDescent="0.25">
      <c r="A80" s="215" t="s">
        <v>2623</v>
      </c>
      <c r="B80" s="64">
        <v>3.21</v>
      </c>
      <c r="C80" s="64">
        <v>39.92</v>
      </c>
      <c r="D80" s="64">
        <v>22.05</v>
      </c>
      <c r="E80" s="64">
        <v>4.8499999999999996</v>
      </c>
      <c r="F80" s="64">
        <v>4.9400000000000004</v>
      </c>
      <c r="G80" s="64">
        <v>33.1</v>
      </c>
      <c r="H80" s="64">
        <v>10.36</v>
      </c>
      <c r="I80" s="210" t="s">
        <v>36</v>
      </c>
      <c r="J80" s="64">
        <v>4.5199999999999996</v>
      </c>
      <c r="K80" s="64">
        <v>104.4</v>
      </c>
      <c r="L80" s="64">
        <v>19.05</v>
      </c>
      <c r="M80" s="64">
        <v>72.14</v>
      </c>
      <c r="N80" s="64">
        <v>52.8</v>
      </c>
      <c r="O80" s="64">
        <v>0</v>
      </c>
      <c r="P80" s="64">
        <v>0.42</v>
      </c>
      <c r="Q80" s="64">
        <v>8.2100000000000009</v>
      </c>
      <c r="R80" s="198"/>
      <c r="S80" s="198"/>
      <c r="T80" s="198"/>
      <c r="U80" s="198"/>
    </row>
    <row r="81" spans="1:26" s="12" customFormat="1" x14ac:dyDescent="0.25">
      <c r="A81" s="215" t="s">
        <v>2624</v>
      </c>
      <c r="B81" s="64">
        <v>3.29</v>
      </c>
      <c r="C81" s="64">
        <v>40.15</v>
      </c>
      <c r="D81" s="64">
        <v>22.24</v>
      </c>
      <c r="E81" s="64">
        <v>4.8099999999999996</v>
      </c>
      <c r="F81" s="64">
        <v>4.09</v>
      </c>
      <c r="G81" s="64">
        <v>33.1</v>
      </c>
      <c r="H81" s="64">
        <v>10.36</v>
      </c>
      <c r="I81" s="210" t="s">
        <v>36</v>
      </c>
      <c r="J81" s="64">
        <v>4.34</v>
      </c>
      <c r="K81" s="64">
        <v>102.46</v>
      </c>
      <c r="L81" s="64">
        <v>18.75</v>
      </c>
      <c r="M81" s="64">
        <v>74.430000000000007</v>
      </c>
      <c r="N81" s="64">
        <v>52.4</v>
      </c>
      <c r="O81" s="64">
        <v>0</v>
      </c>
      <c r="P81" s="64">
        <v>0.43</v>
      </c>
      <c r="Q81" s="64">
        <v>8.2100000000000009</v>
      </c>
      <c r="R81" s="198"/>
      <c r="S81" s="198"/>
      <c r="T81" s="198"/>
      <c r="U81" s="198"/>
    </row>
    <row r="82" spans="1:26" s="12" customFormat="1" x14ac:dyDescent="0.25">
      <c r="A82" s="215" t="s">
        <v>2625</v>
      </c>
      <c r="B82" s="64">
        <v>3.47</v>
      </c>
      <c r="C82" s="64">
        <v>40.65</v>
      </c>
      <c r="D82" s="64">
        <v>22.65</v>
      </c>
      <c r="E82" s="64">
        <v>5.15</v>
      </c>
      <c r="F82" s="64">
        <v>4</v>
      </c>
      <c r="G82" s="64">
        <v>33.1</v>
      </c>
      <c r="H82" s="64">
        <v>10.36</v>
      </c>
      <c r="I82" s="210" t="s">
        <v>36</v>
      </c>
      <c r="J82" s="64">
        <v>3.19</v>
      </c>
      <c r="K82" s="64">
        <v>95.55</v>
      </c>
      <c r="L82" s="64">
        <v>18.39</v>
      </c>
      <c r="M82" s="64">
        <v>75.92</v>
      </c>
      <c r="N82" s="64">
        <v>52.4</v>
      </c>
      <c r="O82" s="64">
        <v>0</v>
      </c>
      <c r="P82" s="64">
        <v>0.42</v>
      </c>
      <c r="Q82" s="64">
        <v>8.2100000000000009</v>
      </c>
      <c r="R82" s="198"/>
      <c r="S82" s="198"/>
      <c r="T82" s="198"/>
      <c r="U82" s="198"/>
    </row>
    <row r="83" spans="1:26" s="12" customFormat="1" x14ac:dyDescent="0.25">
      <c r="A83" s="215" t="s">
        <v>2626</v>
      </c>
      <c r="B83" s="64">
        <v>3.6</v>
      </c>
      <c r="C83" s="64">
        <v>40.47</v>
      </c>
      <c r="D83" s="64">
        <v>22.65</v>
      </c>
      <c r="E83" s="64">
        <v>5.09</v>
      </c>
      <c r="F83" s="64">
        <v>3.91</v>
      </c>
      <c r="G83" s="64">
        <v>34.090000000000003</v>
      </c>
      <c r="H83" s="64">
        <v>9.8699999999999992</v>
      </c>
      <c r="I83" s="210" t="s">
        <v>36</v>
      </c>
      <c r="J83" s="64">
        <v>1.98</v>
      </c>
      <c r="K83" s="64">
        <v>118.94</v>
      </c>
      <c r="L83" s="64">
        <v>18.059999999999999</v>
      </c>
      <c r="M83" s="64">
        <v>77.569999999999993</v>
      </c>
      <c r="N83" s="64">
        <v>52.1</v>
      </c>
      <c r="O83" s="64">
        <v>0</v>
      </c>
      <c r="P83" s="64">
        <v>0.42</v>
      </c>
      <c r="Q83" s="64">
        <v>8.2100000000000009</v>
      </c>
      <c r="R83" s="198"/>
      <c r="S83" s="198"/>
      <c r="T83" s="198"/>
      <c r="U83" s="198"/>
    </row>
    <row r="84" spans="1:26" s="12" customFormat="1" x14ac:dyDescent="0.25">
      <c r="A84" s="215" t="s">
        <v>2627</v>
      </c>
      <c r="B84" s="64">
        <v>3.67</v>
      </c>
      <c r="C84" s="64">
        <v>39.99</v>
      </c>
      <c r="D84" s="64">
        <v>22.46</v>
      </c>
      <c r="E84" s="64">
        <v>4.8600000000000003</v>
      </c>
      <c r="F84" s="64">
        <v>3.66</v>
      </c>
      <c r="G84" s="64">
        <v>34.51</v>
      </c>
      <c r="H84" s="64">
        <v>9.82</v>
      </c>
      <c r="I84" s="210" t="s">
        <v>36</v>
      </c>
      <c r="J84" s="64">
        <v>2.08</v>
      </c>
      <c r="K84" s="64">
        <v>107.16</v>
      </c>
      <c r="L84" s="64">
        <v>17.829999999999998</v>
      </c>
      <c r="M84" s="64">
        <v>78.959999999999994</v>
      </c>
      <c r="N84" s="64">
        <v>52</v>
      </c>
      <c r="O84" s="64">
        <v>0</v>
      </c>
      <c r="P84" s="64">
        <v>0.42</v>
      </c>
      <c r="Q84" s="64">
        <v>8.2100000000000009</v>
      </c>
      <c r="R84" s="198"/>
      <c r="S84" s="198"/>
      <c r="T84" s="198"/>
      <c r="U84" s="198"/>
    </row>
    <row r="85" spans="1:26" s="12" customFormat="1" x14ac:dyDescent="0.25">
      <c r="A85" s="215" t="s">
        <v>2628</v>
      </c>
      <c r="B85" s="64">
        <v>3.84</v>
      </c>
      <c r="C85" s="64">
        <v>39.450000000000003</v>
      </c>
      <c r="D85" s="64">
        <v>22.32</v>
      </c>
      <c r="E85" s="64">
        <v>5.22</v>
      </c>
      <c r="F85" s="64">
        <v>3.81</v>
      </c>
      <c r="G85" s="64">
        <v>34.51</v>
      </c>
      <c r="H85" s="64">
        <v>9.82</v>
      </c>
      <c r="I85" s="210" t="s">
        <v>36</v>
      </c>
      <c r="J85" s="64">
        <v>2.48</v>
      </c>
      <c r="K85" s="64">
        <v>106.6</v>
      </c>
      <c r="L85" s="64">
        <v>17.68</v>
      </c>
      <c r="M85" s="64">
        <v>80.290000000000006</v>
      </c>
      <c r="N85" s="64">
        <v>52</v>
      </c>
      <c r="O85" s="64">
        <v>0</v>
      </c>
      <c r="P85" s="64">
        <v>0.45</v>
      </c>
      <c r="Q85" s="64">
        <v>8.2100000000000009</v>
      </c>
      <c r="R85" s="198"/>
      <c r="S85" s="198"/>
      <c r="T85" s="198"/>
      <c r="U85" s="198"/>
    </row>
    <row r="86" spans="1:26" s="12" customFormat="1" x14ac:dyDescent="0.25">
      <c r="A86" s="215" t="s">
        <v>2629</v>
      </c>
      <c r="B86" s="64">
        <v>3.98</v>
      </c>
      <c r="C86" s="64">
        <v>38.479999999999997</v>
      </c>
      <c r="D86" s="64">
        <v>21.92</v>
      </c>
      <c r="E86" s="64">
        <v>5.01</v>
      </c>
      <c r="F86" s="64">
        <v>4.01</v>
      </c>
      <c r="G86" s="64">
        <v>34.51</v>
      </c>
      <c r="H86" s="64">
        <v>9.82</v>
      </c>
      <c r="I86" s="210" t="s">
        <v>36</v>
      </c>
      <c r="J86" s="64">
        <v>3.19</v>
      </c>
      <c r="K86" s="64">
        <v>93.98</v>
      </c>
      <c r="L86" s="64">
        <v>17.52</v>
      </c>
      <c r="M86" s="64">
        <v>81.14</v>
      </c>
      <c r="N86" s="64">
        <v>52</v>
      </c>
      <c r="O86" s="64">
        <v>0</v>
      </c>
      <c r="P86" s="64">
        <v>0.46</v>
      </c>
      <c r="Q86" s="64">
        <v>8.2100000000000009</v>
      </c>
      <c r="R86" s="198"/>
      <c r="S86" s="198"/>
      <c r="T86" s="198"/>
      <c r="U86" s="198"/>
    </row>
    <row r="87" spans="1:26" s="12" customFormat="1" x14ac:dyDescent="0.25">
      <c r="A87" s="215" t="s">
        <v>2630</v>
      </c>
      <c r="B87" s="64">
        <v>4.0599999999999996</v>
      </c>
      <c r="C87" s="64">
        <v>39.79</v>
      </c>
      <c r="D87" s="64">
        <v>22.67</v>
      </c>
      <c r="E87" s="64">
        <v>4.7300000000000004</v>
      </c>
      <c r="F87" s="64">
        <v>4.05</v>
      </c>
      <c r="G87" s="64">
        <v>30.45</v>
      </c>
      <c r="H87" s="64">
        <v>11</v>
      </c>
      <c r="I87" s="210" t="s">
        <v>36</v>
      </c>
      <c r="J87" s="64">
        <v>2.0699999999999998</v>
      </c>
      <c r="K87" s="64">
        <v>114.8</v>
      </c>
      <c r="L87" s="64">
        <v>17.37</v>
      </c>
      <c r="M87" s="64">
        <v>81.510000000000005</v>
      </c>
      <c r="N87" s="64">
        <v>52</v>
      </c>
      <c r="O87" s="64">
        <v>0</v>
      </c>
      <c r="P87" s="64">
        <v>0.47</v>
      </c>
      <c r="Q87" s="64">
        <v>8.2100000000000009</v>
      </c>
      <c r="R87" s="198"/>
      <c r="S87" s="198"/>
      <c r="T87" s="198"/>
      <c r="U87" s="198"/>
    </row>
    <row r="88" spans="1:26" s="12" customFormat="1" x14ac:dyDescent="0.25">
      <c r="A88" s="215" t="s">
        <v>2631</v>
      </c>
      <c r="B88" s="64">
        <v>4.13</v>
      </c>
      <c r="C88" s="64">
        <v>41</v>
      </c>
      <c r="D88" s="64">
        <v>23.35</v>
      </c>
      <c r="E88" s="64">
        <v>4.6500000000000004</v>
      </c>
      <c r="F88" s="64">
        <v>3.78</v>
      </c>
      <c r="G88" s="64">
        <v>28.7</v>
      </c>
      <c r="H88" s="64">
        <v>11.08</v>
      </c>
      <c r="I88" s="210" t="s">
        <v>36</v>
      </c>
      <c r="J88" s="64">
        <v>2.36</v>
      </c>
      <c r="K88" s="64">
        <v>102.09</v>
      </c>
      <c r="L88" s="64">
        <v>17.37</v>
      </c>
      <c r="M88" s="64">
        <v>81.760000000000005</v>
      </c>
      <c r="N88" s="64">
        <v>52.4</v>
      </c>
      <c r="O88" s="64">
        <v>0</v>
      </c>
      <c r="P88" s="64">
        <v>0.46</v>
      </c>
      <c r="Q88" s="64">
        <v>8.2100000000000009</v>
      </c>
      <c r="R88" s="198"/>
      <c r="S88" s="198"/>
      <c r="T88" s="198"/>
      <c r="U88" s="198"/>
    </row>
    <row r="89" spans="1:26" s="12" customFormat="1" x14ac:dyDescent="0.25">
      <c r="A89" s="215" t="s">
        <v>2632</v>
      </c>
      <c r="B89" s="64">
        <v>4.18</v>
      </c>
      <c r="C89" s="64">
        <v>40.21</v>
      </c>
      <c r="D89" s="64">
        <v>22.99</v>
      </c>
      <c r="E89" s="64">
        <v>4.68</v>
      </c>
      <c r="F89" s="64">
        <v>4.08</v>
      </c>
      <c r="G89" s="64">
        <v>28.7</v>
      </c>
      <c r="H89" s="64">
        <v>11.08</v>
      </c>
      <c r="I89" s="210" t="s">
        <v>36</v>
      </c>
      <c r="J89" s="64">
        <v>1.97</v>
      </c>
      <c r="K89" s="64">
        <v>127.63</v>
      </c>
      <c r="L89" s="64">
        <v>17.309999999999999</v>
      </c>
      <c r="M89" s="64">
        <v>82.49</v>
      </c>
      <c r="N89" s="64">
        <v>52.4</v>
      </c>
      <c r="O89" s="64">
        <v>0</v>
      </c>
      <c r="P89" s="64">
        <v>0.47</v>
      </c>
      <c r="Q89" s="64">
        <v>8.2100000000000009</v>
      </c>
      <c r="R89" s="198"/>
      <c r="S89" s="198"/>
      <c r="T89" s="198"/>
      <c r="U89" s="198"/>
    </row>
    <row r="90" spans="1:26" s="12" customFormat="1" x14ac:dyDescent="0.25">
      <c r="A90" s="215" t="s">
        <v>2633</v>
      </c>
      <c r="B90" s="64">
        <v>4.1900000000000004</v>
      </c>
      <c r="C90" s="64">
        <v>39.229999999999997</v>
      </c>
      <c r="D90" s="64">
        <v>22.48</v>
      </c>
      <c r="E90" s="64">
        <v>4.8499999999999996</v>
      </c>
      <c r="F90" s="64">
        <v>4.28</v>
      </c>
      <c r="G90" s="64">
        <v>28.7</v>
      </c>
      <c r="H90" s="64">
        <v>11.08</v>
      </c>
      <c r="I90" s="210" t="s">
        <v>36</v>
      </c>
      <c r="J90" s="64">
        <v>2.79</v>
      </c>
      <c r="K90" s="64">
        <v>103.58</v>
      </c>
      <c r="L90" s="64">
        <v>17.22</v>
      </c>
      <c r="M90" s="64">
        <v>83.23</v>
      </c>
      <c r="N90" s="64">
        <v>52.3</v>
      </c>
      <c r="O90" s="64">
        <v>0</v>
      </c>
      <c r="P90" s="64">
        <v>0.47</v>
      </c>
      <c r="Q90" s="64">
        <v>8.2100000000000009</v>
      </c>
      <c r="R90" s="198"/>
      <c r="S90" s="198"/>
      <c r="T90" s="198"/>
      <c r="U90" s="198"/>
    </row>
    <row r="91" spans="1:26" s="12" customFormat="1" x14ac:dyDescent="0.25">
      <c r="A91" s="215" t="s">
        <v>2634</v>
      </c>
      <c r="B91" s="64">
        <v>4.2699999999999996</v>
      </c>
      <c r="C91" s="64">
        <v>38.79</v>
      </c>
      <c r="D91" s="64">
        <v>22.31</v>
      </c>
      <c r="E91" s="64">
        <v>4.2699999999999996</v>
      </c>
      <c r="F91" s="64">
        <v>4.03</v>
      </c>
      <c r="G91" s="64">
        <v>31.37</v>
      </c>
      <c r="H91" s="64">
        <v>11.67</v>
      </c>
      <c r="I91" s="210" t="s">
        <v>36</v>
      </c>
      <c r="J91" s="64">
        <v>1.9</v>
      </c>
      <c r="K91" s="64">
        <v>150.88</v>
      </c>
      <c r="L91" s="64">
        <v>17.16</v>
      </c>
      <c r="M91" s="64">
        <v>83.93</v>
      </c>
      <c r="N91" s="64">
        <v>52.4</v>
      </c>
      <c r="O91" s="64">
        <v>0</v>
      </c>
      <c r="P91" s="64">
        <v>0.47</v>
      </c>
      <c r="Q91" s="64">
        <v>8.2100000000000009</v>
      </c>
      <c r="R91" s="198"/>
      <c r="S91" s="198"/>
      <c r="T91" s="198"/>
      <c r="U91" s="198"/>
    </row>
    <row r="92" spans="1:26" s="12" customFormat="1" x14ac:dyDescent="0.25">
      <c r="A92" s="215" t="s">
        <v>2635</v>
      </c>
      <c r="B92" s="64">
        <v>4.51</v>
      </c>
      <c r="C92" s="64">
        <v>40.56</v>
      </c>
      <c r="D92" s="64">
        <v>23.43</v>
      </c>
      <c r="E92" s="64">
        <v>4.2699999999999996</v>
      </c>
      <c r="F92" s="64">
        <v>3.85</v>
      </c>
      <c r="G92" s="64">
        <v>32.57</v>
      </c>
      <c r="H92" s="64">
        <v>11.73</v>
      </c>
      <c r="I92" s="210" t="s">
        <v>36</v>
      </c>
      <c r="J92" s="64">
        <v>2.36</v>
      </c>
      <c r="K92" s="64">
        <v>115.81</v>
      </c>
      <c r="L92" s="64">
        <v>17.07</v>
      </c>
      <c r="M92" s="64">
        <v>84.83</v>
      </c>
      <c r="N92" s="64">
        <v>52.4</v>
      </c>
      <c r="O92" s="64">
        <v>0</v>
      </c>
      <c r="P92" s="64">
        <v>0.47</v>
      </c>
      <c r="Q92" s="64">
        <v>8.2100000000000009</v>
      </c>
      <c r="R92" s="198"/>
      <c r="S92" s="198"/>
      <c r="T92" s="198"/>
      <c r="U92" s="198"/>
    </row>
    <row r="93" spans="1:26" s="12" customFormat="1" x14ac:dyDescent="0.25">
      <c r="A93" s="215" t="s">
        <v>2636</v>
      </c>
      <c r="B93" s="64">
        <v>4.67</v>
      </c>
      <c r="C93" s="64">
        <v>39.200000000000003</v>
      </c>
      <c r="D93" s="64">
        <v>22.85</v>
      </c>
      <c r="E93" s="64">
        <v>4.2699999999999996</v>
      </c>
      <c r="F93" s="64">
        <v>3.87</v>
      </c>
      <c r="G93" s="64">
        <v>32.57</v>
      </c>
      <c r="H93" s="64">
        <v>11.73</v>
      </c>
      <c r="I93" s="210" t="s">
        <v>36</v>
      </c>
      <c r="J93" s="64">
        <v>1.29</v>
      </c>
      <c r="K93" s="64">
        <v>125.12</v>
      </c>
      <c r="L93" s="64">
        <v>16.98</v>
      </c>
      <c r="M93" s="64">
        <v>85.35</v>
      </c>
      <c r="N93" s="64">
        <v>52.5</v>
      </c>
      <c r="O93" s="64">
        <v>0</v>
      </c>
      <c r="P93" s="64">
        <v>0.47</v>
      </c>
      <c r="Q93" s="64">
        <v>8.2100000000000009</v>
      </c>
      <c r="R93" s="198"/>
      <c r="S93" s="198"/>
      <c r="T93" s="198"/>
      <c r="U93" s="198"/>
    </row>
    <row r="94" spans="1:26" s="12" customFormat="1" x14ac:dyDescent="0.25">
      <c r="A94" s="215" t="s">
        <v>2637</v>
      </c>
      <c r="B94" s="64">
        <v>4.82</v>
      </c>
      <c r="C94" s="64">
        <v>39.24</v>
      </c>
      <c r="D94" s="64">
        <v>22.99</v>
      </c>
      <c r="E94" s="64">
        <v>4.46</v>
      </c>
      <c r="F94" s="64">
        <v>3.92</v>
      </c>
      <c r="G94" s="64">
        <v>32.57</v>
      </c>
      <c r="H94" s="64">
        <v>11.73</v>
      </c>
      <c r="I94" s="210" t="s">
        <v>36</v>
      </c>
      <c r="J94" s="64">
        <v>2.0299999999999998</v>
      </c>
      <c r="K94" s="64">
        <v>151.58000000000001</v>
      </c>
      <c r="L94" s="64">
        <v>16.850000000000001</v>
      </c>
      <c r="M94" s="64">
        <v>85.91</v>
      </c>
      <c r="N94" s="64">
        <v>52.4</v>
      </c>
      <c r="O94" s="64">
        <v>0</v>
      </c>
      <c r="P94" s="64">
        <v>0.47</v>
      </c>
      <c r="Q94" s="64">
        <v>8.2100000000000009</v>
      </c>
      <c r="R94" s="198"/>
      <c r="S94" s="198"/>
      <c r="T94" s="198"/>
      <c r="U94" s="198"/>
    </row>
    <row r="95" spans="1:26" s="12" customFormat="1" x14ac:dyDescent="0.25">
      <c r="A95" s="215" t="s">
        <v>2638</v>
      </c>
      <c r="B95" s="64">
        <v>5.03</v>
      </c>
      <c r="C95" s="64">
        <v>40.630000000000003</v>
      </c>
      <c r="D95" s="64">
        <v>23.89</v>
      </c>
      <c r="E95" s="64">
        <v>4.34</v>
      </c>
      <c r="F95" s="64">
        <v>3.98</v>
      </c>
      <c r="G95" s="64">
        <v>34.01</v>
      </c>
      <c r="H95" s="64">
        <v>14.22</v>
      </c>
      <c r="I95" s="210" t="s">
        <v>36</v>
      </c>
      <c r="J95" s="64">
        <v>1.92</v>
      </c>
      <c r="K95" s="64">
        <v>105.61</v>
      </c>
      <c r="L95" s="64">
        <v>16.7</v>
      </c>
      <c r="M95" s="64">
        <v>86.85</v>
      </c>
      <c r="N95" s="64">
        <v>52.3</v>
      </c>
      <c r="O95" s="64">
        <v>0</v>
      </c>
      <c r="P95" s="64">
        <v>0.47</v>
      </c>
      <c r="Q95" s="64">
        <v>8.2100000000000009</v>
      </c>
      <c r="R95" s="198"/>
      <c r="S95" s="198"/>
      <c r="T95" s="198"/>
      <c r="U95" s="198"/>
    </row>
    <row r="96" spans="1:26" s="12" customFormat="1" x14ac:dyDescent="0.25">
      <c r="A96" s="215" t="s">
        <v>2639</v>
      </c>
      <c r="B96" s="64">
        <v>5.26</v>
      </c>
      <c r="C96" s="64">
        <v>35.76</v>
      </c>
      <c r="D96" s="64">
        <v>21.53</v>
      </c>
      <c r="E96" s="64">
        <v>3.99</v>
      </c>
      <c r="F96" s="64">
        <v>3.75</v>
      </c>
      <c r="G96" s="64">
        <v>34.630000000000003</v>
      </c>
      <c r="H96" s="64">
        <v>14.43</v>
      </c>
      <c r="I96" s="210" t="s">
        <v>36</v>
      </c>
      <c r="J96" s="64">
        <v>1.68</v>
      </c>
      <c r="K96" s="64">
        <v>101.1</v>
      </c>
      <c r="L96" s="64">
        <v>16.63</v>
      </c>
      <c r="M96" s="64">
        <v>87.49</v>
      </c>
      <c r="N96" s="64">
        <v>52.2</v>
      </c>
      <c r="O96" s="64">
        <v>0</v>
      </c>
      <c r="P96" s="64">
        <v>0.46</v>
      </c>
      <c r="Q96" s="64">
        <v>8.2100000000000009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2640</v>
      </c>
      <c r="B97" s="64">
        <v>5.5</v>
      </c>
      <c r="C97" s="64">
        <v>34.6</v>
      </c>
      <c r="D97" s="64">
        <v>21.11</v>
      </c>
      <c r="E97" s="64">
        <v>4.1399999999999997</v>
      </c>
      <c r="F97" s="64">
        <v>3.74</v>
      </c>
      <c r="G97" s="64">
        <v>34.630000000000003</v>
      </c>
      <c r="H97" s="64">
        <v>14.43</v>
      </c>
      <c r="I97" s="210" t="s">
        <v>36</v>
      </c>
      <c r="J97" s="64">
        <v>3.8</v>
      </c>
      <c r="K97" s="64">
        <v>100.49</v>
      </c>
      <c r="L97" s="64">
        <v>16.68</v>
      </c>
      <c r="M97" s="64">
        <v>87.16</v>
      </c>
      <c r="N97" s="64">
        <v>52.2</v>
      </c>
      <c r="O97" s="64">
        <v>0</v>
      </c>
      <c r="P97" s="64">
        <v>0.47</v>
      </c>
      <c r="Q97" s="64">
        <v>8.2100000000000009</v>
      </c>
      <c r="R97" s="198"/>
      <c r="S97" s="198"/>
      <c r="T97" s="198"/>
      <c r="U97" s="198"/>
    </row>
    <row r="98" spans="1:33" s="12" customFormat="1" x14ac:dyDescent="0.25">
      <c r="A98" s="215" t="s">
        <v>2641</v>
      </c>
      <c r="B98" s="64">
        <v>5.74</v>
      </c>
      <c r="C98" s="64">
        <v>35.78</v>
      </c>
      <c r="D98" s="64">
        <v>21.92</v>
      </c>
      <c r="E98" s="64">
        <v>4.28</v>
      </c>
      <c r="F98" s="64">
        <v>3.94</v>
      </c>
      <c r="G98" s="64">
        <v>34.630000000000003</v>
      </c>
      <c r="H98" s="64">
        <v>14.43</v>
      </c>
      <c r="I98" s="210" t="s">
        <v>36</v>
      </c>
      <c r="J98" s="64">
        <v>5.0999999999999996</v>
      </c>
      <c r="K98" s="64">
        <v>108.1</v>
      </c>
      <c r="L98" s="64">
        <v>16.59</v>
      </c>
      <c r="M98" s="64">
        <v>87.7</v>
      </c>
      <c r="N98" s="64">
        <v>52.6</v>
      </c>
      <c r="O98" s="64">
        <v>0</v>
      </c>
      <c r="P98" s="64">
        <v>0.47</v>
      </c>
      <c r="Q98" s="64">
        <v>8.2100000000000009</v>
      </c>
      <c r="R98" s="198"/>
      <c r="S98" s="198"/>
      <c r="T98" s="198"/>
      <c r="U98" s="198"/>
    </row>
    <row r="99" spans="1:33" s="12" customFormat="1" x14ac:dyDescent="0.25">
      <c r="A99" s="215" t="s">
        <v>2642</v>
      </c>
      <c r="B99" s="64">
        <v>5.94</v>
      </c>
      <c r="C99" s="64">
        <v>36.159999999999997</v>
      </c>
      <c r="D99" s="64">
        <v>22.28</v>
      </c>
      <c r="E99" s="64">
        <v>4.1399999999999997</v>
      </c>
      <c r="F99" s="64">
        <v>3.66</v>
      </c>
      <c r="G99" s="64">
        <v>30.54</v>
      </c>
      <c r="H99" s="64">
        <v>10.61</v>
      </c>
      <c r="I99" s="210" t="s">
        <v>36</v>
      </c>
      <c r="J99" s="64">
        <v>4.78</v>
      </c>
      <c r="K99" s="64">
        <v>107.89</v>
      </c>
      <c r="L99" s="64">
        <v>16.36</v>
      </c>
      <c r="M99" s="64">
        <v>89.62</v>
      </c>
      <c r="N99" s="64">
        <v>52.4</v>
      </c>
      <c r="O99" s="64">
        <v>0</v>
      </c>
      <c r="P99" s="64">
        <v>0.46</v>
      </c>
      <c r="Q99" s="64">
        <v>8.2100000000000009</v>
      </c>
      <c r="R99" s="198"/>
      <c r="S99" s="198"/>
      <c r="T99" s="198"/>
      <c r="U99" s="198"/>
    </row>
    <row r="100" spans="1:33" s="12" customFormat="1" x14ac:dyDescent="0.25">
      <c r="A100" s="215" t="s">
        <v>2643</v>
      </c>
      <c r="B100" s="64">
        <v>6.21</v>
      </c>
      <c r="C100" s="64">
        <v>36.549999999999997</v>
      </c>
      <c r="D100" s="64">
        <v>22.7</v>
      </c>
      <c r="E100" s="64">
        <v>4.7</v>
      </c>
      <c r="F100" s="64">
        <v>3.63</v>
      </c>
      <c r="G100" s="64">
        <v>28.78</v>
      </c>
      <c r="H100" s="64">
        <v>10.37</v>
      </c>
      <c r="I100" s="210" t="s">
        <v>36</v>
      </c>
      <c r="J100" s="64">
        <v>4.12</v>
      </c>
      <c r="K100" s="64">
        <v>108.38</v>
      </c>
      <c r="L100" s="64">
        <v>16.14</v>
      </c>
      <c r="M100" s="64">
        <v>91.12</v>
      </c>
      <c r="N100" s="64">
        <v>52.4</v>
      </c>
      <c r="O100" s="64">
        <v>0</v>
      </c>
      <c r="P100" s="64">
        <v>0.46</v>
      </c>
      <c r="Q100" s="64">
        <v>8.2100000000000009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2644</v>
      </c>
      <c r="B101" s="64">
        <v>6.41</v>
      </c>
      <c r="C101" s="64">
        <v>35.96</v>
      </c>
      <c r="D101" s="64">
        <v>22.56</v>
      </c>
      <c r="E101" s="64">
        <v>4.49</v>
      </c>
      <c r="F101" s="64">
        <v>3.47</v>
      </c>
      <c r="G101" s="64">
        <v>28.78</v>
      </c>
      <c r="H101" s="64">
        <v>10.37</v>
      </c>
      <c r="I101" s="210" t="s">
        <v>36</v>
      </c>
      <c r="J101" s="64">
        <v>4.1399999999999997</v>
      </c>
      <c r="K101" s="64">
        <v>108.69</v>
      </c>
      <c r="L101" s="64">
        <v>15.96</v>
      </c>
      <c r="M101" s="64">
        <v>92.36</v>
      </c>
      <c r="N101" s="64">
        <v>52.3</v>
      </c>
      <c r="O101" s="64">
        <v>0</v>
      </c>
      <c r="P101" s="64">
        <v>0.46</v>
      </c>
      <c r="Q101" s="64">
        <v>8.2100000000000009</v>
      </c>
      <c r="R101" s="198"/>
      <c r="S101" s="198"/>
      <c r="T101" s="198"/>
      <c r="U101" s="198"/>
    </row>
    <row r="102" spans="1:33" s="12" customFormat="1" x14ac:dyDescent="0.25">
      <c r="A102" s="215" t="s">
        <v>2645</v>
      </c>
      <c r="B102" s="64">
        <v>6.42</v>
      </c>
      <c r="C102" s="64">
        <v>35.94</v>
      </c>
      <c r="D102" s="64">
        <v>22.55</v>
      </c>
      <c r="E102" s="64">
        <v>4.58</v>
      </c>
      <c r="F102" s="64">
        <v>3.65</v>
      </c>
      <c r="G102" s="64">
        <v>28.78</v>
      </c>
      <c r="H102" s="64">
        <v>10.37</v>
      </c>
      <c r="I102" s="210" t="s">
        <v>36</v>
      </c>
      <c r="J102" s="64">
        <v>3.54</v>
      </c>
      <c r="K102" s="64">
        <v>108.53</v>
      </c>
      <c r="L102" s="64">
        <v>15.91</v>
      </c>
      <c r="M102" s="64">
        <v>92.64</v>
      </c>
      <c r="N102" s="64">
        <v>52.3</v>
      </c>
      <c r="O102" s="64">
        <v>0</v>
      </c>
      <c r="P102" s="64">
        <v>0.45</v>
      </c>
      <c r="Q102" s="64">
        <v>8.2100000000000009</v>
      </c>
      <c r="R102" s="198"/>
      <c r="S102" s="198"/>
      <c r="T102" s="198"/>
      <c r="U102" s="198"/>
    </row>
    <row r="103" spans="1:33" s="12" customFormat="1" x14ac:dyDescent="0.25">
      <c r="A103" s="215" t="s">
        <v>2646</v>
      </c>
      <c r="B103" s="64">
        <v>6.4</v>
      </c>
      <c r="C103" s="64">
        <v>36.11</v>
      </c>
      <c r="D103" s="64">
        <v>22.62</v>
      </c>
      <c r="E103" s="64">
        <v>4.1100000000000003</v>
      </c>
      <c r="F103" s="64">
        <v>3.2</v>
      </c>
      <c r="G103" s="64">
        <v>25.79</v>
      </c>
      <c r="H103" s="64">
        <v>9.8699999999999992</v>
      </c>
      <c r="I103" s="210" t="s">
        <v>36</v>
      </c>
      <c r="J103" s="64">
        <v>2.56</v>
      </c>
      <c r="K103" s="64">
        <v>98.51</v>
      </c>
      <c r="L103" s="64">
        <v>15.87</v>
      </c>
      <c r="M103" s="64">
        <v>92.76</v>
      </c>
      <c r="N103" s="64">
        <v>52.3</v>
      </c>
      <c r="O103" s="64">
        <v>0</v>
      </c>
      <c r="P103" s="64">
        <v>0.45</v>
      </c>
      <c r="Q103" s="64">
        <v>8.2100000000000009</v>
      </c>
      <c r="R103" s="198"/>
      <c r="S103" s="198"/>
      <c r="T103" s="198"/>
      <c r="U103" s="198"/>
    </row>
    <row r="104" spans="1:33" s="12" customFormat="1" x14ac:dyDescent="0.25">
      <c r="A104" s="215" t="s">
        <v>2647</v>
      </c>
      <c r="B104" s="64">
        <v>6.28</v>
      </c>
      <c r="C104" s="64">
        <v>37.67</v>
      </c>
      <c r="D104" s="64">
        <v>23.34</v>
      </c>
      <c r="E104" s="64">
        <v>4.6900000000000004</v>
      </c>
      <c r="F104" s="64">
        <v>3.57</v>
      </c>
      <c r="G104" s="64">
        <v>24.5</v>
      </c>
      <c r="H104" s="64">
        <v>9.84</v>
      </c>
      <c r="I104" s="210" t="s">
        <v>36</v>
      </c>
      <c r="J104" s="64">
        <v>3.77</v>
      </c>
      <c r="K104" s="64">
        <v>102.17</v>
      </c>
      <c r="L104" s="64">
        <v>15.8</v>
      </c>
      <c r="M104" s="64">
        <v>93.55</v>
      </c>
      <c r="N104" s="64">
        <v>52.3</v>
      </c>
      <c r="O104" s="64">
        <v>0</v>
      </c>
      <c r="P104" s="64">
        <v>0.44</v>
      </c>
      <c r="Q104" s="64">
        <v>8.2100000000000009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3.19</v>
      </c>
      <c r="C106" s="67">
        <f>MIN(C9:C104)</f>
        <v>33.31</v>
      </c>
      <c r="D106" s="67">
        <f t="shared" ref="D106:Q106" si="0">MIN(D9:D104)</f>
        <v>21.11</v>
      </c>
      <c r="E106" s="67">
        <f t="shared" si="0"/>
        <v>3.99</v>
      </c>
      <c r="F106" s="67">
        <f t="shared" si="0"/>
        <v>3</v>
      </c>
      <c r="G106" s="67">
        <f t="shared" si="0"/>
        <v>24.5</v>
      </c>
      <c r="H106" s="67">
        <f t="shared" si="0"/>
        <v>9.82</v>
      </c>
      <c r="I106" s="67">
        <f t="shared" si="0"/>
        <v>7.29</v>
      </c>
      <c r="J106" s="67">
        <f t="shared" si="0"/>
        <v>0.34</v>
      </c>
      <c r="K106" s="67">
        <f t="shared" si="0"/>
        <v>22.21</v>
      </c>
      <c r="L106" s="67">
        <f t="shared" si="0"/>
        <v>14.02</v>
      </c>
      <c r="M106" s="67">
        <f t="shared" si="0"/>
        <v>58.17</v>
      </c>
      <c r="N106" s="67">
        <f t="shared" si="0"/>
        <v>47.1</v>
      </c>
      <c r="O106" s="67">
        <f t="shared" si="0"/>
        <v>0</v>
      </c>
      <c r="P106" s="67">
        <f t="shared" si="0"/>
        <v>0.4</v>
      </c>
      <c r="Q106" s="67">
        <f t="shared" si="0"/>
        <v>8.2100000000000009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21.74</v>
      </c>
      <c r="C107" s="66">
        <f t="shared" ref="C107:Q107" si="1">MAX(C9:C104)</f>
        <v>44.58</v>
      </c>
      <c r="D107" s="66">
        <f t="shared" si="1"/>
        <v>36.6</v>
      </c>
      <c r="E107" s="66">
        <f t="shared" si="1"/>
        <v>6.59</v>
      </c>
      <c r="F107" s="66">
        <f t="shared" si="1"/>
        <v>4.9400000000000004</v>
      </c>
      <c r="G107" s="66">
        <f t="shared" si="1"/>
        <v>52.38</v>
      </c>
      <c r="H107" s="66">
        <f t="shared" si="1"/>
        <v>27.14</v>
      </c>
      <c r="I107" s="66">
        <f t="shared" si="1"/>
        <v>9.4499999999999993</v>
      </c>
      <c r="J107" s="66">
        <f t="shared" si="1"/>
        <v>5.0999999999999996</v>
      </c>
      <c r="K107" s="66">
        <f t="shared" si="1"/>
        <v>353.8</v>
      </c>
      <c r="L107" s="66">
        <f t="shared" si="1"/>
        <v>20.74</v>
      </c>
      <c r="M107" s="66">
        <f t="shared" si="1"/>
        <v>101.88</v>
      </c>
      <c r="N107" s="66">
        <f t="shared" si="1"/>
        <v>447.5</v>
      </c>
      <c r="O107" s="66">
        <f t="shared" si="1"/>
        <v>0</v>
      </c>
      <c r="P107" s="66">
        <f t="shared" si="1"/>
        <v>0.74</v>
      </c>
      <c r="Q107" s="66">
        <f t="shared" si="1"/>
        <v>8.2100000000000009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8.1436458333333324</v>
      </c>
      <c r="C108" s="67">
        <f t="shared" ref="C108:Q108" si="2">AVERAGE(C9:C104)</f>
        <v>39.118645833333332</v>
      </c>
      <c r="D108" s="67">
        <f t="shared" si="2"/>
        <v>25.592395833333338</v>
      </c>
      <c r="E108" s="67">
        <f t="shared" si="2"/>
        <v>5.3691666666666675</v>
      </c>
      <c r="F108" s="67">
        <f t="shared" si="2"/>
        <v>3.843020833333334</v>
      </c>
      <c r="G108" s="67">
        <f t="shared" si="2"/>
        <v>35.546770833333333</v>
      </c>
      <c r="H108" s="67">
        <f t="shared" si="2"/>
        <v>15.065208333333326</v>
      </c>
      <c r="I108" s="67">
        <f t="shared" si="2"/>
        <v>8.4761904761904745</v>
      </c>
      <c r="J108" s="67">
        <f t="shared" si="2"/>
        <v>2.425416666666667</v>
      </c>
      <c r="K108" s="67">
        <f t="shared" si="2"/>
        <v>121.05624999999999</v>
      </c>
      <c r="L108" s="67">
        <f t="shared" si="2"/>
        <v>17.209062499999995</v>
      </c>
      <c r="M108" s="67">
        <f t="shared" si="2"/>
        <v>83.800416666666706</v>
      </c>
      <c r="N108" s="67">
        <f t="shared" si="2"/>
        <v>119.50416666666659</v>
      </c>
      <c r="O108" s="67">
        <f t="shared" si="2"/>
        <v>0</v>
      </c>
      <c r="P108" s="67">
        <f t="shared" si="2"/>
        <v>0.5194791666666666</v>
      </c>
      <c r="Q108" s="67">
        <f t="shared" si="2"/>
        <v>8.210000000000008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5.0786092418240196</v>
      </c>
      <c r="C109" s="67">
        <f t="shared" ref="C109:Q109" si="3">STDEV(C9:C104)</f>
        <v>2.282694907705948</v>
      </c>
      <c r="D109" s="67">
        <f t="shared" si="3"/>
        <v>4.1325951435646253</v>
      </c>
      <c r="E109" s="67">
        <f t="shared" si="3"/>
        <v>0.66581436747025524</v>
      </c>
      <c r="F109" s="67">
        <f t="shared" si="3"/>
        <v>0.36018743597617014</v>
      </c>
      <c r="G109" s="67">
        <f t="shared" si="3"/>
        <v>6.2308452573157602</v>
      </c>
      <c r="H109" s="67">
        <f t="shared" si="3"/>
        <v>4.5011074611914559</v>
      </c>
      <c r="I109" s="67">
        <f t="shared" si="3"/>
        <v>0.59376322040419605</v>
      </c>
      <c r="J109" s="67">
        <f t="shared" si="3"/>
        <v>1.0554908228843016</v>
      </c>
      <c r="K109" s="67">
        <f t="shared" si="3"/>
        <v>57.161122070125472</v>
      </c>
      <c r="L109" s="67">
        <f t="shared" si="3"/>
        <v>2.2540602327566326</v>
      </c>
      <c r="M109" s="67">
        <f t="shared" si="3"/>
        <v>15.027889995581255</v>
      </c>
      <c r="N109" s="67">
        <f t="shared" si="3"/>
        <v>105.39678604574203</v>
      </c>
      <c r="O109" s="67">
        <f t="shared" si="3"/>
        <v>0</v>
      </c>
      <c r="P109" s="67">
        <f t="shared" si="3"/>
        <v>8.6308745567315881E-2</v>
      </c>
      <c r="Q109" s="67">
        <f t="shared" si="3"/>
        <v>7.1427264451533946E-15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COUNT(I9:I104)+75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6" sqref="G11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247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26/12/2024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231</v>
      </c>
      <c r="C7" s="198" t="s">
        <v>232</v>
      </c>
      <c r="D7" s="198" t="s">
        <v>233</v>
      </c>
      <c r="E7" s="198" t="s">
        <v>234</v>
      </c>
      <c r="F7" s="198" t="s">
        <v>235</v>
      </c>
      <c r="G7" s="198" t="s">
        <v>236</v>
      </c>
      <c r="H7" s="198" t="s">
        <v>237</v>
      </c>
      <c r="I7" s="198" t="s">
        <v>238</v>
      </c>
      <c r="J7" s="198" t="s">
        <v>239</v>
      </c>
      <c r="K7" s="198" t="s">
        <v>240</v>
      </c>
      <c r="L7" s="198" t="s">
        <v>241</v>
      </c>
      <c r="M7" s="198" t="s">
        <v>242</v>
      </c>
      <c r="N7" s="198" t="s">
        <v>243</v>
      </c>
      <c r="O7" s="198" t="s">
        <v>244</v>
      </c>
      <c r="P7" s="198" t="s">
        <v>245</v>
      </c>
      <c r="Q7" s="198" t="s">
        <v>246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2648</v>
      </c>
      <c r="B9" s="64">
        <v>6.12</v>
      </c>
      <c r="C9" s="64">
        <v>38.29</v>
      </c>
      <c r="D9" s="64">
        <v>23.54</v>
      </c>
      <c r="E9" s="64">
        <v>4.13</v>
      </c>
      <c r="F9" s="64">
        <v>3.83</v>
      </c>
      <c r="G9" s="64">
        <v>24.5</v>
      </c>
      <c r="H9" s="64">
        <v>9.84</v>
      </c>
      <c r="I9" s="210" t="s">
        <v>36</v>
      </c>
      <c r="J9" s="64">
        <v>4.18</v>
      </c>
      <c r="K9" s="64">
        <v>102.28</v>
      </c>
      <c r="L9" s="64">
        <v>15.65</v>
      </c>
      <c r="M9" s="64">
        <v>95.08</v>
      </c>
      <c r="N9" s="64">
        <v>52.5</v>
      </c>
      <c r="O9" s="64">
        <v>0</v>
      </c>
      <c r="P9" s="64">
        <v>0.44</v>
      </c>
      <c r="Q9" s="64">
        <v>8.2100000000000009</v>
      </c>
      <c r="R9" s="198"/>
      <c r="S9" s="198"/>
      <c r="T9" s="198"/>
      <c r="U9" s="198"/>
    </row>
    <row r="10" spans="1:21" s="12" customFormat="1" x14ac:dyDescent="0.25">
      <c r="A10" s="215" t="s">
        <v>2649</v>
      </c>
      <c r="B10" s="64">
        <v>5.96</v>
      </c>
      <c r="C10" s="64">
        <v>38.03</v>
      </c>
      <c r="D10" s="64">
        <v>23.27</v>
      </c>
      <c r="E10" s="64">
        <v>4.16</v>
      </c>
      <c r="F10" s="64">
        <v>3.78</v>
      </c>
      <c r="G10" s="64">
        <v>24.5</v>
      </c>
      <c r="H10" s="64">
        <v>9.84</v>
      </c>
      <c r="I10" s="210" t="s">
        <v>36</v>
      </c>
      <c r="J10" s="64">
        <v>3.78</v>
      </c>
      <c r="K10" s="64">
        <v>109.78</v>
      </c>
      <c r="L10" s="64">
        <v>15.52</v>
      </c>
      <c r="M10" s="64">
        <v>96.48</v>
      </c>
      <c r="N10" s="64">
        <v>52.8</v>
      </c>
      <c r="O10" s="64">
        <v>0</v>
      </c>
      <c r="P10" s="64">
        <v>0.43</v>
      </c>
      <c r="Q10" s="64">
        <v>8.2100000000000009</v>
      </c>
      <c r="R10" s="198"/>
      <c r="S10" s="198"/>
      <c r="T10" s="198"/>
      <c r="U10" s="198"/>
    </row>
    <row r="11" spans="1:21" s="12" customFormat="1" x14ac:dyDescent="0.25">
      <c r="A11" s="215" t="s">
        <v>2650</v>
      </c>
      <c r="B11" s="64">
        <v>5.85</v>
      </c>
      <c r="C11" s="64">
        <v>36.6</v>
      </c>
      <c r="D11" s="64">
        <v>22.44</v>
      </c>
      <c r="E11" s="64">
        <v>3.79</v>
      </c>
      <c r="F11" s="64">
        <v>3.97</v>
      </c>
      <c r="G11" s="64">
        <v>23.98</v>
      </c>
      <c r="H11" s="64">
        <v>8.6300000000000008</v>
      </c>
      <c r="I11" s="210" t="s">
        <v>36</v>
      </c>
      <c r="J11" s="64">
        <v>3.5</v>
      </c>
      <c r="K11" s="64">
        <v>103.85</v>
      </c>
      <c r="L11" s="64">
        <v>15.42</v>
      </c>
      <c r="M11" s="64">
        <v>97.58</v>
      </c>
      <c r="N11" s="64">
        <v>52.4</v>
      </c>
      <c r="O11" s="64">
        <v>0</v>
      </c>
      <c r="P11" s="64">
        <v>0.43</v>
      </c>
      <c r="Q11" s="64">
        <v>8.2100000000000009</v>
      </c>
      <c r="R11" s="198"/>
      <c r="S11" s="198"/>
      <c r="T11" s="198"/>
      <c r="U11" s="198"/>
    </row>
    <row r="12" spans="1:21" s="12" customFormat="1" x14ac:dyDescent="0.25">
      <c r="A12" s="215" t="s">
        <v>2651</v>
      </c>
      <c r="B12" s="64">
        <v>5.98</v>
      </c>
      <c r="C12" s="64">
        <v>37.35</v>
      </c>
      <c r="D12" s="64">
        <v>22.94</v>
      </c>
      <c r="E12" s="64">
        <v>4.21</v>
      </c>
      <c r="F12" s="64">
        <v>3.48</v>
      </c>
      <c r="G12" s="64">
        <v>23.75</v>
      </c>
      <c r="H12" s="64">
        <v>8.49</v>
      </c>
      <c r="I12" s="210" t="s">
        <v>36</v>
      </c>
      <c r="J12" s="64">
        <v>1.02</v>
      </c>
      <c r="K12" s="64">
        <v>55.95</v>
      </c>
      <c r="L12" s="64">
        <v>15.32</v>
      </c>
      <c r="M12" s="64">
        <v>98.73</v>
      </c>
      <c r="N12" s="64">
        <v>52.7</v>
      </c>
      <c r="O12" s="64">
        <v>0</v>
      </c>
      <c r="P12" s="64">
        <v>0.43</v>
      </c>
      <c r="Q12" s="64">
        <v>8.2100000000000009</v>
      </c>
      <c r="R12" s="198"/>
      <c r="S12" s="198"/>
      <c r="T12" s="198"/>
      <c r="U12" s="198"/>
    </row>
    <row r="13" spans="1:21" s="12" customFormat="1" x14ac:dyDescent="0.25">
      <c r="A13" s="215" t="s">
        <v>2652</v>
      </c>
      <c r="B13" s="64">
        <v>6.21</v>
      </c>
      <c r="C13" s="64">
        <v>37.590000000000003</v>
      </c>
      <c r="D13" s="64">
        <v>23.25</v>
      </c>
      <c r="E13" s="64">
        <v>3.78</v>
      </c>
      <c r="F13" s="64">
        <v>3.71</v>
      </c>
      <c r="G13" s="64">
        <v>23.75</v>
      </c>
      <c r="H13" s="64">
        <v>8.49</v>
      </c>
      <c r="I13" s="210" t="s">
        <v>36</v>
      </c>
      <c r="J13" s="64">
        <v>1.21</v>
      </c>
      <c r="K13" s="64">
        <v>56.37</v>
      </c>
      <c r="L13" s="64">
        <v>15.18</v>
      </c>
      <c r="M13" s="64">
        <v>99.72</v>
      </c>
      <c r="N13" s="64">
        <v>52.6</v>
      </c>
      <c r="O13" s="64">
        <v>0</v>
      </c>
      <c r="P13" s="64">
        <v>0.42</v>
      </c>
      <c r="Q13" s="64">
        <v>8.2100000000000009</v>
      </c>
      <c r="R13" s="198"/>
      <c r="S13" s="198"/>
      <c r="T13" s="198"/>
      <c r="U13" s="198"/>
    </row>
    <row r="14" spans="1:21" s="12" customFormat="1" x14ac:dyDescent="0.25">
      <c r="A14" s="215" t="s">
        <v>2653</v>
      </c>
      <c r="B14" s="64">
        <v>6.5</v>
      </c>
      <c r="C14" s="64">
        <v>37.94</v>
      </c>
      <c r="D14" s="64">
        <v>23.66</v>
      </c>
      <c r="E14" s="64">
        <v>3.8</v>
      </c>
      <c r="F14" s="64">
        <v>3.82</v>
      </c>
      <c r="G14" s="64">
        <v>23.75</v>
      </c>
      <c r="H14" s="64">
        <v>8.49</v>
      </c>
      <c r="I14" s="210" t="s">
        <v>36</v>
      </c>
      <c r="J14" s="64">
        <v>1.86</v>
      </c>
      <c r="K14" s="64">
        <v>108.56</v>
      </c>
      <c r="L14" s="64">
        <v>15.17</v>
      </c>
      <c r="M14" s="64">
        <v>99.86</v>
      </c>
      <c r="N14" s="64">
        <v>52.4</v>
      </c>
      <c r="O14" s="64">
        <v>0</v>
      </c>
      <c r="P14" s="64">
        <v>0.42</v>
      </c>
      <c r="Q14" s="64">
        <v>8.2100000000000009</v>
      </c>
      <c r="R14" s="198"/>
      <c r="S14" s="198"/>
      <c r="T14" s="198"/>
      <c r="U14" s="198"/>
    </row>
    <row r="15" spans="1:21" s="12" customFormat="1" x14ac:dyDescent="0.25">
      <c r="A15" s="215" t="s">
        <v>2654</v>
      </c>
      <c r="B15" s="64">
        <v>6.75</v>
      </c>
      <c r="C15" s="64">
        <v>36.76</v>
      </c>
      <c r="D15" s="64">
        <v>23.24</v>
      </c>
      <c r="E15" s="64">
        <v>3.84</v>
      </c>
      <c r="F15" s="64">
        <v>2.97</v>
      </c>
      <c r="G15" s="64">
        <v>20.65</v>
      </c>
      <c r="H15" s="64">
        <v>9.83</v>
      </c>
      <c r="I15" s="210" t="s">
        <v>36</v>
      </c>
      <c r="J15" s="64">
        <v>4.21</v>
      </c>
      <c r="K15" s="64">
        <v>114.34</v>
      </c>
      <c r="L15" s="64">
        <v>15.2</v>
      </c>
      <c r="M15" s="64">
        <v>99.44</v>
      </c>
      <c r="N15" s="64">
        <v>52.1</v>
      </c>
      <c r="O15" s="64">
        <v>0</v>
      </c>
      <c r="P15" s="64">
        <v>0.41</v>
      </c>
      <c r="Q15" s="64">
        <v>8.2100000000000009</v>
      </c>
      <c r="R15" s="198"/>
      <c r="S15" s="198"/>
      <c r="T15" s="198"/>
      <c r="U15" s="198"/>
    </row>
    <row r="16" spans="1:21" s="12" customFormat="1" x14ac:dyDescent="0.25">
      <c r="A16" s="215" t="s">
        <v>2655</v>
      </c>
      <c r="B16" s="64">
        <v>6.78</v>
      </c>
      <c r="C16" s="64">
        <v>38.36</v>
      </c>
      <c r="D16" s="64">
        <v>24.11</v>
      </c>
      <c r="E16" s="64">
        <v>4.03</v>
      </c>
      <c r="F16" s="64">
        <v>3.37</v>
      </c>
      <c r="G16" s="64">
        <v>19.25</v>
      </c>
      <c r="H16" s="64">
        <v>9.94</v>
      </c>
      <c r="I16" s="210" t="s">
        <v>36</v>
      </c>
      <c r="J16" s="64">
        <v>3.93</v>
      </c>
      <c r="K16" s="64">
        <v>110.64</v>
      </c>
      <c r="L16" s="64">
        <v>15</v>
      </c>
      <c r="M16" s="64">
        <v>100.74</v>
      </c>
      <c r="N16" s="64">
        <v>52.4</v>
      </c>
      <c r="O16" s="64">
        <v>0</v>
      </c>
      <c r="P16" s="64">
        <v>0.42</v>
      </c>
      <c r="Q16" s="64">
        <v>8.2100000000000009</v>
      </c>
      <c r="R16" s="198"/>
      <c r="S16" s="198"/>
      <c r="T16" s="198"/>
      <c r="U16" s="198"/>
    </row>
    <row r="17" spans="1:21" s="12" customFormat="1" x14ac:dyDescent="0.25">
      <c r="A17" s="215" t="s">
        <v>2656</v>
      </c>
      <c r="B17" s="64">
        <v>6.88</v>
      </c>
      <c r="C17" s="64">
        <v>36.75</v>
      </c>
      <c r="D17" s="64">
        <v>23.34</v>
      </c>
      <c r="E17" s="64">
        <v>4.09</v>
      </c>
      <c r="F17" s="64">
        <v>3.13</v>
      </c>
      <c r="G17" s="64">
        <v>19.25</v>
      </c>
      <c r="H17" s="64">
        <v>9.94</v>
      </c>
      <c r="I17" s="210" t="s">
        <v>36</v>
      </c>
      <c r="J17" s="64">
        <v>4.7699999999999996</v>
      </c>
      <c r="K17" s="64">
        <v>104.87</v>
      </c>
      <c r="L17" s="64">
        <v>15.1</v>
      </c>
      <c r="M17" s="64">
        <v>99.36</v>
      </c>
      <c r="N17" s="64">
        <v>52.1</v>
      </c>
      <c r="O17" s="64">
        <v>0</v>
      </c>
      <c r="P17" s="64">
        <v>0.4</v>
      </c>
      <c r="Q17" s="64">
        <v>8.2100000000000009</v>
      </c>
      <c r="R17" s="198"/>
      <c r="S17" s="198"/>
      <c r="T17" s="198"/>
      <c r="U17" s="198"/>
    </row>
    <row r="18" spans="1:21" s="12" customFormat="1" x14ac:dyDescent="0.25">
      <c r="A18" s="215" t="s">
        <v>2657</v>
      </c>
      <c r="B18" s="64">
        <v>6.81</v>
      </c>
      <c r="C18" s="64">
        <v>35.06</v>
      </c>
      <c r="D18" s="64">
        <v>22.41</v>
      </c>
      <c r="E18" s="64">
        <v>3.97</v>
      </c>
      <c r="F18" s="64">
        <v>4.0199999999999996</v>
      </c>
      <c r="G18" s="64">
        <v>19.25</v>
      </c>
      <c r="H18" s="64">
        <v>9.94</v>
      </c>
      <c r="I18" s="210" t="s">
        <v>36</v>
      </c>
      <c r="J18" s="64">
        <v>5.25</v>
      </c>
      <c r="K18" s="64">
        <v>111.25</v>
      </c>
      <c r="L18" s="64">
        <v>15.3</v>
      </c>
      <c r="M18" s="64">
        <v>97.64</v>
      </c>
      <c r="N18" s="64">
        <v>52.1</v>
      </c>
      <c r="O18" s="64">
        <v>0</v>
      </c>
      <c r="P18" s="64">
        <v>0.41</v>
      </c>
      <c r="Q18" s="64">
        <v>8.2100000000000009</v>
      </c>
      <c r="R18" s="198"/>
      <c r="S18" s="198"/>
      <c r="T18" s="198"/>
      <c r="U18" s="198"/>
    </row>
    <row r="19" spans="1:21" s="12" customFormat="1" x14ac:dyDescent="0.25">
      <c r="A19" s="215" t="s">
        <v>2658</v>
      </c>
      <c r="B19" s="64">
        <v>6.67</v>
      </c>
      <c r="C19" s="64">
        <v>35.74</v>
      </c>
      <c r="D19" s="64">
        <v>22.65</v>
      </c>
      <c r="E19" s="64">
        <v>3.85</v>
      </c>
      <c r="F19" s="64">
        <v>3.62</v>
      </c>
      <c r="G19" s="64">
        <v>19.579999999999998</v>
      </c>
      <c r="H19" s="64">
        <v>8.9</v>
      </c>
      <c r="I19" s="210" t="s">
        <v>36</v>
      </c>
      <c r="J19" s="64">
        <v>4.57</v>
      </c>
      <c r="K19" s="64">
        <v>113.78</v>
      </c>
      <c r="L19" s="64">
        <v>15.28</v>
      </c>
      <c r="M19" s="64">
        <v>98.05</v>
      </c>
      <c r="N19" s="64">
        <v>52.3</v>
      </c>
      <c r="O19" s="64">
        <v>0</v>
      </c>
      <c r="P19" s="64">
        <v>0.4</v>
      </c>
      <c r="Q19" s="64">
        <v>8.2100000000000009</v>
      </c>
      <c r="R19" s="198"/>
      <c r="S19" s="198"/>
      <c r="T19" s="198"/>
      <c r="U19" s="198"/>
    </row>
    <row r="20" spans="1:21" s="12" customFormat="1" x14ac:dyDescent="0.25">
      <c r="A20" s="215" t="s">
        <v>2659</v>
      </c>
      <c r="B20" s="64">
        <v>6.61</v>
      </c>
      <c r="C20" s="64">
        <v>35.78</v>
      </c>
      <c r="D20" s="64">
        <v>22.62</v>
      </c>
      <c r="E20" s="64">
        <v>4.3499999999999996</v>
      </c>
      <c r="F20" s="64">
        <v>4.07</v>
      </c>
      <c r="G20" s="64">
        <v>19.73</v>
      </c>
      <c r="H20" s="64">
        <v>8.82</v>
      </c>
      <c r="I20" s="210" t="s">
        <v>36</v>
      </c>
      <c r="J20" s="64">
        <v>4.43</v>
      </c>
      <c r="K20" s="64">
        <v>111.89</v>
      </c>
      <c r="L20" s="64">
        <v>15.12</v>
      </c>
      <c r="M20" s="64">
        <v>99.48</v>
      </c>
      <c r="N20" s="64">
        <v>52.6</v>
      </c>
      <c r="O20" s="64">
        <v>0</v>
      </c>
      <c r="P20" s="64">
        <v>0.39</v>
      </c>
      <c r="Q20" s="64">
        <v>8.2100000000000009</v>
      </c>
      <c r="R20" s="198"/>
      <c r="S20" s="198"/>
      <c r="T20" s="198"/>
      <c r="U20" s="198"/>
    </row>
    <row r="21" spans="1:21" s="12" customFormat="1" x14ac:dyDescent="0.25">
      <c r="A21" s="215" t="s">
        <v>2660</v>
      </c>
      <c r="B21" s="64">
        <v>6.62</v>
      </c>
      <c r="C21" s="64">
        <v>35.28</v>
      </c>
      <c r="D21" s="64">
        <v>22.36</v>
      </c>
      <c r="E21" s="64">
        <v>3.77</v>
      </c>
      <c r="F21" s="64">
        <v>3.87</v>
      </c>
      <c r="G21" s="64">
        <v>19.73</v>
      </c>
      <c r="H21" s="64">
        <v>8.82</v>
      </c>
      <c r="I21" s="210" t="s">
        <v>36</v>
      </c>
      <c r="J21" s="64">
        <v>4.96</v>
      </c>
      <c r="K21" s="64">
        <v>111.98</v>
      </c>
      <c r="L21" s="64">
        <v>15.08</v>
      </c>
      <c r="M21" s="64">
        <v>99.78</v>
      </c>
      <c r="N21" s="64">
        <v>52.4</v>
      </c>
      <c r="O21" s="64">
        <v>0</v>
      </c>
      <c r="P21" s="64">
        <v>0.38</v>
      </c>
      <c r="Q21" s="64">
        <v>8.2100000000000009</v>
      </c>
      <c r="R21" s="198"/>
      <c r="S21" s="198"/>
      <c r="T21" s="198"/>
      <c r="U21" s="198"/>
    </row>
    <row r="22" spans="1:21" s="12" customFormat="1" x14ac:dyDescent="0.25">
      <c r="A22" s="215" t="s">
        <v>2661</v>
      </c>
      <c r="B22" s="64">
        <v>6.56</v>
      </c>
      <c r="C22" s="64">
        <v>34.72</v>
      </c>
      <c r="D22" s="64">
        <v>22.03</v>
      </c>
      <c r="E22" s="64">
        <v>4.2699999999999996</v>
      </c>
      <c r="F22" s="64">
        <v>3.39</v>
      </c>
      <c r="G22" s="64">
        <v>19.73</v>
      </c>
      <c r="H22" s="64">
        <v>8.82</v>
      </c>
      <c r="I22" s="210" t="s">
        <v>36</v>
      </c>
      <c r="J22" s="64">
        <v>3.89</v>
      </c>
      <c r="K22" s="64">
        <v>118.37</v>
      </c>
      <c r="L22" s="64">
        <v>14.94</v>
      </c>
      <c r="M22" s="64">
        <v>100.77</v>
      </c>
      <c r="N22" s="64">
        <v>52.6</v>
      </c>
      <c r="O22" s="64">
        <v>0</v>
      </c>
      <c r="P22" s="64">
        <v>0.38</v>
      </c>
      <c r="Q22" s="64">
        <v>8.2100000000000009</v>
      </c>
      <c r="R22" s="198"/>
      <c r="S22" s="198"/>
      <c r="T22" s="198"/>
      <c r="U22" s="198"/>
    </row>
    <row r="23" spans="1:21" s="12" customFormat="1" x14ac:dyDescent="0.25">
      <c r="A23" s="215" t="s">
        <v>2662</v>
      </c>
      <c r="B23" s="64">
        <v>6.69</v>
      </c>
      <c r="C23" s="64">
        <v>34.74</v>
      </c>
      <c r="D23" s="64">
        <v>22.14</v>
      </c>
      <c r="E23" s="64">
        <v>4.0599999999999996</v>
      </c>
      <c r="F23" s="64">
        <v>3.32</v>
      </c>
      <c r="G23" s="64">
        <v>18.5</v>
      </c>
      <c r="H23" s="64">
        <v>7.69</v>
      </c>
      <c r="I23" s="210" t="s">
        <v>36</v>
      </c>
      <c r="J23" s="64">
        <v>3.13</v>
      </c>
      <c r="K23" s="64">
        <v>109.24</v>
      </c>
      <c r="L23" s="64">
        <v>14.76</v>
      </c>
      <c r="M23" s="64">
        <v>101.79</v>
      </c>
      <c r="N23" s="64">
        <v>52.6</v>
      </c>
      <c r="O23" s="64">
        <v>0</v>
      </c>
      <c r="P23" s="64">
        <v>0.37</v>
      </c>
      <c r="Q23" s="64">
        <v>8.2100000000000009</v>
      </c>
      <c r="R23" s="198"/>
      <c r="S23" s="198"/>
      <c r="T23" s="198"/>
      <c r="U23" s="198"/>
    </row>
    <row r="24" spans="1:21" s="12" customFormat="1" x14ac:dyDescent="0.25">
      <c r="A24" s="215" t="s">
        <v>2663</v>
      </c>
      <c r="B24" s="64">
        <v>6.88</v>
      </c>
      <c r="C24" s="64">
        <v>34.78</v>
      </c>
      <c r="D24" s="64">
        <v>22.31</v>
      </c>
      <c r="E24" s="64">
        <v>4.37</v>
      </c>
      <c r="F24" s="64">
        <v>3.75</v>
      </c>
      <c r="G24" s="64">
        <v>17.98</v>
      </c>
      <c r="H24" s="64">
        <v>7.6</v>
      </c>
      <c r="I24" s="210" t="s">
        <v>36</v>
      </c>
      <c r="J24" s="64">
        <v>3.88</v>
      </c>
      <c r="K24" s="64">
        <v>110.71</v>
      </c>
      <c r="L24" s="64">
        <v>14.68</v>
      </c>
      <c r="M24" s="64">
        <v>101.9</v>
      </c>
      <c r="N24" s="64">
        <v>52.4</v>
      </c>
      <c r="O24" s="64">
        <v>0</v>
      </c>
      <c r="P24" s="64">
        <v>0.37</v>
      </c>
      <c r="Q24" s="64">
        <v>8.2100000000000009</v>
      </c>
      <c r="R24" s="198"/>
      <c r="S24" s="198"/>
      <c r="T24" s="198"/>
      <c r="U24" s="198"/>
    </row>
    <row r="25" spans="1:21" s="12" customFormat="1" x14ac:dyDescent="0.25">
      <c r="A25" s="215" t="s">
        <v>2664</v>
      </c>
      <c r="B25" s="64">
        <v>7.07</v>
      </c>
      <c r="C25" s="64">
        <v>36.69</v>
      </c>
      <c r="D25" s="64">
        <v>23.47</v>
      </c>
      <c r="E25" s="64">
        <v>4.78</v>
      </c>
      <c r="F25" s="64">
        <v>3.58</v>
      </c>
      <c r="G25" s="64">
        <v>17.98</v>
      </c>
      <c r="H25" s="64">
        <v>7.6</v>
      </c>
      <c r="I25" s="210" t="s">
        <v>36</v>
      </c>
      <c r="J25" s="64">
        <v>2.19</v>
      </c>
      <c r="K25" s="64">
        <v>107.15</v>
      </c>
      <c r="L25" s="64">
        <v>14.56</v>
      </c>
      <c r="M25" s="64">
        <v>101.92</v>
      </c>
      <c r="N25" s="64">
        <v>52.6</v>
      </c>
      <c r="O25" s="64">
        <v>0</v>
      </c>
      <c r="P25" s="64">
        <v>0.37</v>
      </c>
      <c r="Q25" s="64">
        <v>8.2100000000000009</v>
      </c>
      <c r="R25" s="198"/>
      <c r="S25" s="198"/>
      <c r="T25" s="198"/>
      <c r="U25" s="198"/>
    </row>
    <row r="26" spans="1:21" s="12" customFormat="1" x14ac:dyDescent="0.25">
      <c r="A26" s="215" t="s">
        <v>2665</v>
      </c>
      <c r="B26" s="64">
        <v>7.19</v>
      </c>
      <c r="C26" s="64">
        <v>37.5</v>
      </c>
      <c r="D26" s="64">
        <v>23.99</v>
      </c>
      <c r="E26" s="64">
        <v>4.26</v>
      </c>
      <c r="F26" s="64">
        <v>3.43</v>
      </c>
      <c r="G26" s="64">
        <v>17.98</v>
      </c>
      <c r="H26" s="64">
        <v>7.6</v>
      </c>
      <c r="I26" s="210" t="s">
        <v>36</v>
      </c>
      <c r="J26" s="64">
        <v>1.1499999999999999</v>
      </c>
      <c r="K26" s="64">
        <v>54.15</v>
      </c>
      <c r="L26" s="64">
        <v>14.38</v>
      </c>
      <c r="M26" s="64">
        <v>101.93</v>
      </c>
      <c r="N26" s="64">
        <v>52.8</v>
      </c>
      <c r="O26" s="64">
        <v>0</v>
      </c>
      <c r="P26" s="64">
        <v>0.38</v>
      </c>
      <c r="Q26" s="64">
        <v>8.2100000000000009</v>
      </c>
      <c r="R26" s="198"/>
      <c r="S26" s="198"/>
      <c r="T26" s="198"/>
      <c r="U26" s="198"/>
    </row>
    <row r="27" spans="1:21" s="12" customFormat="1" x14ac:dyDescent="0.25">
      <c r="A27" s="215" t="s">
        <v>2666</v>
      </c>
      <c r="B27" s="64">
        <v>7.55</v>
      </c>
      <c r="C27" s="64">
        <v>34.5</v>
      </c>
      <c r="D27" s="64">
        <v>22.7</v>
      </c>
      <c r="E27" s="64">
        <v>4.1399999999999997</v>
      </c>
      <c r="F27" s="64">
        <v>3.51</v>
      </c>
      <c r="G27" s="64">
        <v>18.96</v>
      </c>
      <c r="H27" s="64">
        <v>6.31</v>
      </c>
      <c r="I27" s="210" t="s">
        <v>36</v>
      </c>
      <c r="J27" s="64">
        <v>1.33</v>
      </c>
      <c r="K27" s="64">
        <v>3.11</v>
      </c>
      <c r="L27" s="64">
        <v>14.15</v>
      </c>
      <c r="M27" s="64">
        <v>101.96</v>
      </c>
      <c r="N27" s="64">
        <v>52.7</v>
      </c>
      <c r="O27" s="64">
        <v>0</v>
      </c>
      <c r="P27" s="64">
        <v>0.37</v>
      </c>
      <c r="Q27" s="64">
        <v>8.2100000000000009</v>
      </c>
      <c r="R27" s="198"/>
      <c r="S27" s="198"/>
      <c r="T27" s="198"/>
      <c r="U27" s="198"/>
    </row>
    <row r="28" spans="1:21" s="12" customFormat="1" x14ac:dyDescent="0.25">
      <c r="A28" s="215" t="s">
        <v>2667</v>
      </c>
      <c r="B28" s="64">
        <v>8.3800000000000008</v>
      </c>
      <c r="C28" s="64">
        <v>37.58</v>
      </c>
      <c r="D28" s="64">
        <v>24.98</v>
      </c>
      <c r="E28" s="64">
        <v>4.0599999999999996</v>
      </c>
      <c r="F28" s="64">
        <v>3.86</v>
      </c>
      <c r="G28" s="64">
        <v>19.39</v>
      </c>
      <c r="H28" s="64">
        <v>6.13</v>
      </c>
      <c r="I28" s="210" t="s">
        <v>36</v>
      </c>
      <c r="J28" s="64">
        <v>2.71</v>
      </c>
      <c r="K28" s="64">
        <v>333.22</v>
      </c>
      <c r="L28" s="64">
        <v>14</v>
      </c>
      <c r="M28" s="64">
        <v>101.98</v>
      </c>
      <c r="N28" s="64">
        <v>52.5</v>
      </c>
      <c r="O28" s="64">
        <v>0</v>
      </c>
      <c r="P28" s="64">
        <v>0.38</v>
      </c>
      <c r="Q28" s="64">
        <v>8.2100000000000009</v>
      </c>
      <c r="R28" s="198"/>
      <c r="S28" s="198"/>
      <c r="T28" s="198"/>
      <c r="U28" s="198"/>
    </row>
    <row r="29" spans="1:21" s="12" customFormat="1" x14ac:dyDescent="0.25">
      <c r="A29" s="215" t="s">
        <v>2668</v>
      </c>
      <c r="B29" s="64">
        <v>9.41</v>
      </c>
      <c r="C29" s="64">
        <v>34.75</v>
      </c>
      <c r="D29" s="64">
        <v>24.32</v>
      </c>
      <c r="E29" s="64">
        <v>3.96</v>
      </c>
      <c r="F29" s="64">
        <v>3.75</v>
      </c>
      <c r="G29" s="64">
        <v>19.39</v>
      </c>
      <c r="H29" s="64">
        <v>6.13</v>
      </c>
      <c r="I29" s="210" t="s">
        <v>36</v>
      </c>
      <c r="J29" s="64">
        <v>1.53</v>
      </c>
      <c r="K29" s="64">
        <v>352.67</v>
      </c>
      <c r="L29" s="64">
        <v>13.92</v>
      </c>
      <c r="M29" s="64">
        <v>101.98</v>
      </c>
      <c r="N29" s="64">
        <v>52.7</v>
      </c>
      <c r="O29" s="64">
        <v>0</v>
      </c>
      <c r="P29" s="64">
        <v>0.39</v>
      </c>
      <c r="Q29" s="64">
        <v>8.2100000000000009</v>
      </c>
      <c r="R29" s="198"/>
      <c r="S29" s="198"/>
      <c r="T29" s="198"/>
      <c r="U29" s="198"/>
    </row>
    <row r="30" spans="1:21" s="12" customFormat="1" x14ac:dyDescent="0.25">
      <c r="A30" s="215" t="s">
        <v>2669</v>
      </c>
      <c r="B30" s="64">
        <v>10.57</v>
      </c>
      <c r="C30" s="64">
        <v>38.1</v>
      </c>
      <c r="D30" s="64">
        <v>27.01</v>
      </c>
      <c r="E30" s="64">
        <v>4.13</v>
      </c>
      <c r="F30" s="64">
        <v>3.99</v>
      </c>
      <c r="G30" s="64">
        <v>19.39</v>
      </c>
      <c r="H30" s="64">
        <v>6.13</v>
      </c>
      <c r="I30" s="210" t="s">
        <v>36</v>
      </c>
      <c r="J30" s="64">
        <v>1.71</v>
      </c>
      <c r="K30" s="64">
        <v>6.53</v>
      </c>
      <c r="L30" s="64">
        <v>13.95</v>
      </c>
      <c r="M30" s="64">
        <v>102</v>
      </c>
      <c r="N30" s="64">
        <v>52.6</v>
      </c>
      <c r="O30" s="64">
        <v>0</v>
      </c>
      <c r="P30" s="64">
        <v>0.4</v>
      </c>
      <c r="Q30" s="64">
        <v>8.2100000000000009</v>
      </c>
      <c r="R30" s="198"/>
      <c r="S30" s="198"/>
      <c r="T30" s="198"/>
      <c r="U30" s="198"/>
    </row>
    <row r="31" spans="1:21" s="12" customFormat="1" x14ac:dyDescent="0.25">
      <c r="A31" s="215" t="s">
        <v>2670</v>
      </c>
      <c r="B31" s="64">
        <v>11.37</v>
      </c>
      <c r="C31" s="64">
        <v>35.97</v>
      </c>
      <c r="D31" s="64">
        <v>26.54</v>
      </c>
      <c r="E31" s="64">
        <v>4.1500000000000004</v>
      </c>
      <c r="F31" s="64">
        <v>3.66</v>
      </c>
      <c r="G31" s="64">
        <v>22.12</v>
      </c>
      <c r="H31" s="64">
        <v>4.68</v>
      </c>
      <c r="I31" s="210" t="s">
        <v>36</v>
      </c>
      <c r="J31" s="64">
        <v>2.84</v>
      </c>
      <c r="K31" s="64">
        <v>6.18</v>
      </c>
      <c r="L31" s="64">
        <v>13.84</v>
      </c>
      <c r="M31" s="64">
        <v>102</v>
      </c>
      <c r="N31" s="64">
        <v>52.7</v>
      </c>
      <c r="O31" s="64">
        <v>0</v>
      </c>
      <c r="P31" s="64">
        <v>0.4</v>
      </c>
      <c r="Q31" s="64">
        <v>8.2100000000000009</v>
      </c>
      <c r="R31" s="198"/>
      <c r="S31" s="198"/>
      <c r="T31" s="198"/>
      <c r="U31" s="198"/>
    </row>
    <row r="32" spans="1:21" s="12" customFormat="1" x14ac:dyDescent="0.25">
      <c r="A32" s="215" t="s">
        <v>2671</v>
      </c>
      <c r="B32" s="64">
        <v>12.26</v>
      </c>
      <c r="C32" s="64">
        <v>38.1</v>
      </c>
      <c r="D32" s="64">
        <v>28.36</v>
      </c>
      <c r="E32" s="64">
        <v>4.46</v>
      </c>
      <c r="F32" s="64">
        <v>3.59</v>
      </c>
      <c r="G32" s="64">
        <v>23.29</v>
      </c>
      <c r="H32" s="64">
        <v>4.5599999999999996</v>
      </c>
      <c r="I32" s="210" t="s">
        <v>36</v>
      </c>
      <c r="J32" s="64">
        <v>3.39</v>
      </c>
      <c r="K32" s="64">
        <v>359.44</v>
      </c>
      <c r="L32" s="64">
        <v>13.65</v>
      </c>
      <c r="M32" s="64">
        <v>102</v>
      </c>
      <c r="N32" s="64">
        <v>52.9</v>
      </c>
      <c r="O32" s="64">
        <v>0</v>
      </c>
      <c r="P32" s="64">
        <v>0.41</v>
      </c>
      <c r="Q32" s="64">
        <v>8.2100000000000009</v>
      </c>
      <c r="R32" s="198"/>
      <c r="S32" s="198"/>
      <c r="T32" s="198"/>
      <c r="U32" s="198"/>
    </row>
    <row r="33" spans="1:21" s="12" customFormat="1" x14ac:dyDescent="0.25">
      <c r="A33" s="215" t="s">
        <v>2672</v>
      </c>
      <c r="B33" s="64">
        <v>13.09</v>
      </c>
      <c r="C33" s="64">
        <v>35.24</v>
      </c>
      <c r="D33" s="64">
        <v>27.53</v>
      </c>
      <c r="E33" s="64">
        <v>4.38</v>
      </c>
      <c r="F33" s="64">
        <v>3.21</v>
      </c>
      <c r="G33" s="64">
        <v>23.29</v>
      </c>
      <c r="H33" s="64">
        <v>4.5599999999999996</v>
      </c>
      <c r="I33" s="210" t="s">
        <v>36</v>
      </c>
      <c r="J33" s="64">
        <v>1.45</v>
      </c>
      <c r="K33" s="64">
        <v>69.08</v>
      </c>
      <c r="L33" s="64">
        <v>13.37</v>
      </c>
      <c r="M33" s="64">
        <v>101.99</v>
      </c>
      <c r="N33" s="64">
        <v>53</v>
      </c>
      <c r="O33" s="64">
        <v>0</v>
      </c>
      <c r="P33" s="64">
        <v>0.42</v>
      </c>
      <c r="Q33" s="64">
        <v>8.2100000000000009</v>
      </c>
      <c r="R33" s="198"/>
      <c r="S33" s="198"/>
      <c r="T33" s="198"/>
      <c r="U33" s="198"/>
    </row>
    <row r="34" spans="1:21" s="12" customFormat="1" x14ac:dyDescent="0.25">
      <c r="A34" s="215" t="s">
        <v>2673</v>
      </c>
      <c r="B34" s="64">
        <v>13.85</v>
      </c>
      <c r="C34" s="64">
        <v>31.29</v>
      </c>
      <c r="D34" s="64">
        <v>26.08</v>
      </c>
      <c r="E34" s="64">
        <v>3.99</v>
      </c>
      <c r="F34" s="64">
        <v>3.55</v>
      </c>
      <c r="G34" s="64">
        <v>23.29</v>
      </c>
      <c r="H34" s="64">
        <v>4.5599999999999996</v>
      </c>
      <c r="I34" s="210" t="s">
        <v>36</v>
      </c>
      <c r="J34" s="64">
        <v>0.45</v>
      </c>
      <c r="K34" s="64">
        <v>94.94</v>
      </c>
      <c r="L34" s="64">
        <v>13.22</v>
      </c>
      <c r="M34" s="64">
        <v>101.98</v>
      </c>
      <c r="N34" s="64">
        <v>53.1</v>
      </c>
      <c r="O34" s="64">
        <v>0</v>
      </c>
      <c r="P34" s="64">
        <v>0.42</v>
      </c>
      <c r="Q34" s="64">
        <v>8.2100000000000009</v>
      </c>
      <c r="R34" s="198"/>
      <c r="S34" s="198"/>
      <c r="T34" s="198"/>
      <c r="U34" s="198"/>
    </row>
    <row r="35" spans="1:21" s="12" customFormat="1" x14ac:dyDescent="0.25">
      <c r="A35" s="215" t="s">
        <v>2674</v>
      </c>
      <c r="B35" s="64">
        <v>14.89</v>
      </c>
      <c r="C35" s="64">
        <v>32.32</v>
      </c>
      <c r="D35" s="64">
        <v>27.45</v>
      </c>
      <c r="E35" s="64">
        <v>4.57</v>
      </c>
      <c r="F35" s="64">
        <v>3.47</v>
      </c>
      <c r="G35" s="64">
        <v>23.49</v>
      </c>
      <c r="H35" s="64">
        <v>7.21</v>
      </c>
      <c r="I35" s="210" t="s">
        <v>36</v>
      </c>
      <c r="J35" s="64">
        <v>1.56</v>
      </c>
      <c r="K35" s="64">
        <v>2.8</v>
      </c>
      <c r="L35" s="64">
        <v>13.16</v>
      </c>
      <c r="M35" s="64">
        <v>101.98</v>
      </c>
      <c r="N35" s="64">
        <v>55.2</v>
      </c>
      <c r="O35" s="64">
        <v>0</v>
      </c>
      <c r="P35" s="64">
        <v>0.44</v>
      </c>
      <c r="Q35" s="64">
        <v>8.2100000000000009</v>
      </c>
      <c r="R35" s="198"/>
      <c r="S35" s="198"/>
      <c r="T35" s="198"/>
      <c r="U35" s="198"/>
    </row>
    <row r="36" spans="1:21" s="12" customFormat="1" x14ac:dyDescent="0.25">
      <c r="A36" s="215" t="s">
        <v>2675</v>
      </c>
      <c r="B36" s="64">
        <v>16.86</v>
      </c>
      <c r="C36" s="64">
        <v>33.049999999999997</v>
      </c>
      <c r="D36" s="64">
        <v>29.41</v>
      </c>
      <c r="E36" s="64">
        <v>4.88</v>
      </c>
      <c r="F36" s="64">
        <v>3.07</v>
      </c>
      <c r="G36" s="64">
        <v>23.58</v>
      </c>
      <c r="H36" s="64">
        <v>7.43</v>
      </c>
      <c r="I36" s="210" t="s">
        <v>36</v>
      </c>
      <c r="J36" s="64">
        <v>2.4</v>
      </c>
      <c r="K36" s="64">
        <v>345.15</v>
      </c>
      <c r="L36" s="64">
        <v>13.2</v>
      </c>
      <c r="M36" s="64">
        <v>101.98</v>
      </c>
      <c r="N36" s="64">
        <v>64.599999999999994</v>
      </c>
      <c r="O36" s="64">
        <v>0</v>
      </c>
      <c r="P36" s="64">
        <v>0.45</v>
      </c>
      <c r="Q36" s="64">
        <v>8.2100000000000009</v>
      </c>
      <c r="R36" s="198"/>
      <c r="S36" s="198"/>
      <c r="T36" s="198"/>
      <c r="U36" s="198"/>
    </row>
    <row r="37" spans="1:21" s="12" customFormat="1" x14ac:dyDescent="0.25">
      <c r="A37" s="215" t="s">
        <v>2676</v>
      </c>
      <c r="B37" s="64">
        <v>18.95</v>
      </c>
      <c r="C37" s="64">
        <v>33.36</v>
      </c>
      <c r="D37" s="64">
        <v>31.25</v>
      </c>
      <c r="E37" s="64">
        <v>4.99</v>
      </c>
      <c r="F37" s="64">
        <v>3.32</v>
      </c>
      <c r="G37" s="64">
        <v>23.58</v>
      </c>
      <c r="H37" s="64">
        <v>7.43</v>
      </c>
      <c r="I37" s="210" t="s">
        <v>36</v>
      </c>
      <c r="J37" s="64">
        <v>1.1599999999999999</v>
      </c>
      <c r="K37" s="64">
        <v>53.48</v>
      </c>
      <c r="L37" s="64">
        <v>13.39</v>
      </c>
      <c r="M37" s="64">
        <v>101.98</v>
      </c>
      <c r="N37" s="64">
        <v>76.8</v>
      </c>
      <c r="O37" s="64">
        <v>0</v>
      </c>
      <c r="P37" s="64">
        <v>0.45</v>
      </c>
      <c r="Q37" s="64">
        <v>8.2100000000000009</v>
      </c>
      <c r="R37" s="198"/>
      <c r="S37" s="198"/>
      <c r="T37" s="198"/>
      <c r="U37" s="198"/>
    </row>
    <row r="38" spans="1:21" s="12" customFormat="1" x14ac:dyDescent="0.25">
      <c r="A38" s="215" t="s">
        <v>2677</v>
      </c>
      <c r="B38" s="64">
        <v>20.62</v>
      </c>
      <c r="C38" s="64">
        <v>33.01</v>
      </c>
      <c r="D38" s="64">
        <v>32.4</v>
      </c>
      <c r="E38" s="64">
        <v>5.16</v>
      </c>
      <c r="F38" s="64">
        <v>4.0199999999999996</v>
      </c>
      <c r="G38" s="64">
        <v>23.58</v>
      </c>
      <c r="H38" s="64">
        <v>7.43</v>
      </c>
      <c r="I38" s="210" t="s">
        <v>36</v>
      </c>
      <c r="J38" s="64">
        <v>1.1299999999999999</v>
      </c>
      <c r="K38" s="64">
        <v>340.83</v>
      </c>
      <c r="L38" s="64">
        <v>13.74</v>
      </c>
      <c r="M38" s="64">
        <v>101.98</v>
      </c>
      <c r="N38" s="64">
        <v>94.4</v>
      </c>
      <c r="O38" s="64">
        <v>0</v>
      </c>
      <c r="P38" s="64">
        <v>0.48</v>
      </c>
      <c r="Q38" s="64">
        <v>8.2100000000000009</v>
      </c>
      <c r="R38" s="198"/>
      <c r="S38" s="198"/>
      <c r="T38" s="198"/>
      <c r="U38" s="198"/>
    </row>
    <row r="39" spans="1:21" s="12" customFormat="1" x14ac:dyDescent="0.25">
      <c r="A39" s="215" t="s">
        <v>2678</v>
      </c>
      <c r="B39" s="64">
        <v>21.81</v>
      </c>
      <c r="C39" s="64">
        <v>33.53</v>
      </c>
      <c r="D39" s="64">
        <v>33.64</v>
      </c>
      <c r="E39" s="64">
        <v>4.37</v>
      </c>
      <c r="F39" s="64">
        <v>3.47</v>
      </c>
      <c r="G39" s="64">
        <v>27.22</v>
      </c>
      <c r="H39" s="64">
        <v>10.119999999999999</v>
      </c>
      <c r="I39" s="210" t="s">
        <v>36</v>
      </c>
      <c r="J39" s="64">
        <v>0.33</v>
      </c>
      <c r="K39" s="64">
        <v>27.33</v>
      </c>
      <c r="L39" s="64">
        <v>14.16</v>
      </c>
      <c r="M39" s="64">
        <v>101.44</v>
      </c>
      <c r="N39" s="64">
        <v>120.3</v>
      </c>
      <c r="O39" s="64">
        <v>0</v>
      </c>
      <c r="P39" s="64">
        <v>0.5</v>
      </c>
      <c r="Q39" s="64">
        <v>8.2100000000000009</v>
      </c>
      <c r="R39" s="198"/>
      <c r="S39" s="198"/>
      <c r="T39" s="198"/>
      <c r="U39" s="198"/>
    </row>
    <row r="40" spans="1:21" s="12" customFormat="1" x14ac:dyDescent="0.25">
      <c r="A40" s="215" t="s">
        <v>2679</v>
      </c>
      <c r="B40" s="64">
        <v>22.6</v>
      </c>
      <c r="C40" s="64">
        <v>33.700000000000003</v>
      </c>
      <c r="D40" s="64">
        <v>34.36</v>
      </c>
      <c r="E40" s="64">
        <v>6.54</v>
      </c>
      <c r="F40" s="64">
        <v>3.01</v>
      </c>
      <c r="G40" s="64">
        <v>28.78</v>
      </c>
      <c r="H40" s="64">
        <v>10.34</v>
      </c>
      <c r="I40" s="210" t="s">
        <v>36</v>
      </c>
      <c r="J40" s="64">
        <v>2</v>
      </c>
      <c r="K40" s="64">
        <v>104.98</v>
      </c>
      <c r="L40" s="64">
        <v>14.54</v>
      </c>
      <c r="M40" s="64">
        <v>101.54</v>
      </c>
      <c r="N40" s="64">
        <v>150.80000000000001</v>
      </c>
      <c r="O40" s="64">
        <v>0</v>
      </c>
      <c r="P40" s="64">
        <v>0.51</v>
      </c>
      <c r="Q40" s="64">
        <v>8.2100000000000009</v>
      </c>
      <c r="R40" s="198"/>
      <c r="S40" s="198"/>
      <c r="T40" s="198"/>
      <c r="U40" s="198"/>
    </row>
    <row r="41" spans="1:21" s="12" customFormat="1" x14ac:dyDescent="0.25">
      <c r="A41" s="215" t="s">
        <v>2680</v>
      </c>
      <c r="B41" s="64">
        <v>23.41</v>
      </c>
      <c r="C41" s="64">
        <v>33.81</v>
      </c>
      <c r="D41" s="64">
        <v>35.06</v>
      </c>
      <c r="E41" s="64">
        <v>6.52</v>
      </c>
      <c r="F41" s="64">
        <v>3.37</v>
      </c>
      <c r="G41" s="64">
        <v>28.78</v>
      </c>
      <c r="H41" s="64">
        <v>10.34</v>
      </c>
      <c r="I41" s="210" t="s">
        <v>36</v>
      </c>
      <c r="J41" s="64">
        <v>0.7</v>
      </c>
      <c r="K41" s="64">
        <v>36.71</v>
      </c>
      <c r="L41" s="64">
        <v>15.4</v>
      </c>
      <c r="M41" s="64">
        <v>100.88</v>
      </c>
      <c r="N41" s="64">
        <v>190.1</v>
      </c>
      <c r="O41" s="64">
        <v>0</v>
      </c>
      <c r="P41" s="64">
        <v>0.51</v>
      </c>
      <c r="Q41" s="64">
        <v>8.2100000000000009</v>
      </c>
      <c r="R41" s="198"/>
      <c r="S41" s="198"/>
      <c r="T41" s="198"/>
      <c r="U41" s="198"/>
    </row>
    <row r="42" spans="1:21" s="12" customFormat="1" x14ac:dyDescent="0.25">
      <c r="A42" s="215" t="s">
        <v>2681</v>
      </c>
      <c r="B42" s="64">
        <v>23.66</v>
      </c>
      <c r="C42" s="64">
        <v>36.56</v>
      </c>
      <c r="D42" s="64">
        <v>36.700000000000003</v>
      </c>
      <c r="E42" s="64">
        <v>6.5</v>
      </c>
      <c r="F42" s="64">
        <v>3.9</v>
      </c>
      <c r="G42" s="64">
        <v>28.78</v>
      </c>
      <c r="H42" s="64">
        <v>10.34</v>
      </c>
      <c r="I42" s="210" t="s">
        <v>36</v>
      </c>
      <c r="J42" s="64">
        <v>1.33</v>
      </c>
      <c r="K42" s="64">
        <v>86.48</v>
      </c>
      <c r="L42" s="64">
        <v>15.8</v>
      </c>
      <c r="M42" s="64">
        <v>99.6</v>
      </c>
      <c r="N42" s="64">
        <v>206.8</v>
      </c>
      <c r="O42" s="64">
        <v>0</v>
      </c>
      <c r="P42" s="64">
        <v>0.53</v>
      </c>
      <c r="Q42" s="64">
        <v>8.2100000000000009</v>
      </c>
      <c r="R42" s="198"/>
      <c r="S42" s="198"/>
      <c r="T42" s="198"/>
      <c r="U42" s="198"/>
    </row>
    <row r="43" spans="1:21" s="12" customFormat="1" x14ac:dyDescent="0.25">
      <c r="A43" s="215" t="s">
        <v>2682</v>
      </c>
      <c r="B43" s="64">
        <v>23.85</v>
      </c>
      <c r="C43" s="64">
        <v>38.26</v>
      </c>
      <c r="D43" s="64">
        <v>37.74</v>
      </c>
      <c r="E43" s="64">
        <v>6.71</v>
      </c>
      <c r="F43" s="64">
        <v>4.12</v>
      </c>
      <c r="G43" s="64">
        <v>33.96</v>
      </c>
      <c r="H43" s="64">
        <v>11.88</v>
      </c>
      <c r="I43" s="210" t="s">
        <v>36</v>
      </c>
      <c r="J43" s="64">
        <v>2.52</v>
      </c>
      <c r="K43" s="64">
        <v>113.59</v>
      </c>
      <c r="L43" s="64">
        <v>16.309999999999999</v>
      </c>
      <c r="M43" s="64">
        <v>97.72</v>
      </c>
      <c r="N43" s="64">
        <v>212.4</v>
      </c>
      <c r="O43" s="64">
        <v>0</v>
      </c>
      <c r="P43" s="64">
        <v>0.54</v>
      </c>
      <c r="Q43" s="64">
        <v>8.2100000000000009</v>
      </c>
      <c r="R43" s="198"/>
      <c r="S43" s="198"/>
      <c r="T43" s="198"/>
      <c r="U43" s="198"/>
    </row>
    <row r="44" spans="1:21" s="12" customFormat="1" x14ac:dyDescent="0.25">
      <c r="A44" s="215" t="s">
        <v>2683</v>
      </c>
      <c r="B44" s="64">
        <v>23.86</v>
      </c>
      <c r="C44" s="64">
        <v>36.520000000000003</v>
      </c>
      <c r="D44" s="64">
        <v>36.840000000000003</v>
      </c>
      <c r="E44" s="64">
        <v>6.38</v>
      </c>
      <c r="F44" s="64">
        <v>3.69</v>
      </c>
      <c r="G44" s="64">
        <v>36.18</v>
      </c>
      <c r="H44" s="64">
        <v>12.09</v>
      </c>
      <c r="I44" s="210" t="s">
        <v>36</v>
      </c>
      <c r="J44" s="64">
        <v>2.71</v>
      </c>
      <c r="K44" s="64">
        <v>113.36</v>
      </c>
      <c r="L44" s="64">
        <v>16.61</v>
      </c>
      <c r="M44" s="64">
        <v>97.14</v>
      </c>
      <c r="N44" s="64">
        <v>304.60000000000002</v>
      </c>
      <c r="O44" s="64">
        <v>0</v>
      </c>
      <c r="P44" s="64">
        <v>0.55000000000000004</v>
      </c>
      <c r="Q44" s="64">
        <v>8.2100000000000009</v>
      </c>
      <c r="R44" s="198"/>
      <c r="S44" s="198"/>
      <c r="T44" s="198"/>
      <c r="U44" s="198"/>
    </row>
    <row r="45" spans="1:21" s="12" customFormat="1" x14ac:dyDescent="0.25">
      <c r="A45" s="215" t="s">
        <v>2684</v>
      </c>
      <c r="B45" s="64">
        <v>23.33</v>
      </c>
      <c r="C45" s="64">
        <v>38.4</v>
      </c>
      <c r="D45" s="64">
        <v>37.39</v>
      </c>
      <c r="E45" s="64">
        <v>6.42</v>
      </c>
      <c r="F45" s="64">
        <v>4.07</v>
      </c>
      <c r="G45" s="64">
        <v>36.18</v>
      </c>
      <c r="H45" s="64">
        <v>12.09</v>
      </c>
      <c r="I45" s="210" t="s">
        <v>36</v>
      </c>
      <c r="J45" s="64">
        <v>4.26</v>
      </c>
      <c r="K45" s="64">
        <v>110.17</v>
      </c>
      <c r="L45" s="64">
        <v>16.940000000000001</v>
      </c>
      <c r="M45" s="64">
        <v>95.36</v>
      </c>
      <c r="N45" s="64">
        <v>304.3</v>
      </c>
      <c r="O45" s="64">
        <v>0</v>
      </c>
      <c r="P45" s="64">
        <v>0.55000000000000004</v>
      </c>
      <c r="Q45" s="64">
        <v>8.2100000000000009</v>
      </c>
      <c r="R45" s="198"/>
      <c r="S45" s="198"/>
      <c r="T45" s="198"/>
      <c r="U45" s="198"/>
    </row>
    <row r="46" spans="1:21" s="12" customFormat="1" x14ac:dyDescent="0.25">
      <c r="A46" s="215" t="s">
        <v>2685</v>
      </c>
      <c r="B46" s="64">
        <v>22.16</v>
      </c>
      <c r="C46" s="64">
        <v>37.17</v>
      </c>
      <c r="D46" s="64">
        <v>35.82</v>
      </c>
      <c r="E46" s="64">
        <v>5.9</v>
      </c>
      <c r="F46" s="64">
        <v>4.46</v>
      </c>
      <c r="G46" s="64">
        <v>36.18</v>
      </c>
      <c r="H46" s="64">
        <v>12.09</v>
      </c>
      <c r="I46" s="210" t="s">
        <v>36</v>
      </c>
      <c r="J46" s="64">
        <v>5.05</v>
      </c>
      <c r="K46" s="64">
        <v>112.08</v>
      </c>
      <c r="L46" s="64">
        <v>17.25</v>
      </c>
      <c r="M46" s="64">
        <v>93.02</v>
      </c>
      <c r="N46" s="64">
        <v>353.4</v>
      </c>
      <c r="O46" s="64">
        <v>0</v>
      </c>
      <c r="P46" s="64">
        <v>0.55000000000000004</v>
      </c>
      <c r="Q46" s="64">
        <v>8.2100000000000009</v>
      </c>
      <c r="R46" s="198"/>
      <c r="S46" s="198"/>
      <c r="T46" s="198"/>
      <c r="U46" s="198"/>
    </row>
    <row r="47" spans="1:21" s="12" customFormat="1" x14ac:dyDescent="0.25">
      <c r="A47" s="215" t="s">
        <v>2686</v>
      </c>
      <c r="B47" s="64">
        <v>20.399999999999999</v>
      </c>
      <c r="C47" s="64">
        <v>40.770000000000003</v>
      </c>
      <c r="D47" s="64">
        <v>36.28</v>
      </c>
      <c r="E47" s="64">
        <v>6.11</v>
      </c>
      <c r="F47" s="64">
        <v>3.4</v>
      </c>
      <c r="G47" s="64">
        <v>35.08</v>
      </c>
      <c r="H47" s="64">
        <v>10.27</v>
      </c>
      <c r="I47" s="210" t="s">
        <v>36</v>
      </c>
      <c r="J47" s="64">
        <v>4.49</v>
      </c>
      <c r="K47" s="64">
        <v>111.02</v>
      </c>
      <c r="L47" s="64">
        <v>17.989999999999998</v>
      </c>
      <c r="M47" s="64">
        <v>89.06</v>
      </c>
      <c r="N47" s="64">
        <v>406</v>
      </c>
      <c r="O47" s="64">
        <v>0</v>
      </c>
      <c r="P47" s="64">
        <v>0.55000000000000004</v>
      </c>
      <c r="Q47" s="64">
        <v>8.2100000000000009</v>
      </c>
      <c r="R47" s="198"/>
      <c r="S47" s="198"/>
      <c r="T47" s="198"/>
      <c r="U47" s="198"/>
    </row>
    <row r="48" spans="1:21" s="12" customFormat="1" x14ac:dyDescent="0.25">
      <c r="A48" s="215" t="s">
        <v>2687</v>
      </c>
      <c r="B48" s="64">
        <v>18.54</v>
      </c>
      <c r="C48" s="64">
        <v>36.299999999999997</v>
      </c>
      <c r="D48" s="64">
        <v>32.46</v>
      </c>
      <c r="E48" s="64">
        <v>6.04</v>
      </c>
      <c r="F48" s="64">
        <v>2.98</v>
      </c>
      <c r="G48" s="64">
        <v>34.61</v>
      </c>
      <c r="H48" s="64">
        <v>10.130000000000001</v>
      </c>
      <c r="I48" s="210" t="s">
        <v>36</v>
      </c>
      <c r="J48" s="64">
        <v>3.54</v>
      </c>
      <c r="K48" s="64">
        <v>104.41</v>
      </c>
      <c r="L48" s="64">
        <v>18.649999999999999</v>
      </c>
      <c r="M48" s="64">
        <v>85.62</v>
      </c>
      <c r="N48" s="64">
        <v>431.6</v>
      </c>
      <c r="O48" s="64">
        <v>0</v>
      </c>
      <c r="P48" s="64">
        <v>0.54</v>
      </c>
      <c r="Q48" s="64">
        <v>8.2100000000000009</v>
      </c>
      <c r="R48" s="198"/>
      <c r="S48" s="198"/>
      <c r="T48" s="198"/>
      <c r="U48" s="198"/>
    </row>
    <row r="49" spans="1:21" s="12" customFormat="1" x14ac:dyDescent="0.25">
      <c r="A49" s="215" t="s">
        <v>2688</v>
      </c>
      <c r="B49" s="64">
        <v>16.71</v>
      </c>
      <c r="C49" s="64">
        <v>40.96</v>
      </c>
      <c r="D49" s="64">
        <v>33.42</v>
      </c>
      <c r="E49" s="64">
        <v>5.6</v>
      </c>
      <c r="F49" s="64">
        <v>3.71</v>
      </c>
      <c r="G49" s="64">
        <v>34.61</v>
      </c>
      <c r="H49" s="64">
        <v>10.130000000000001</v>
      </c>
      <c r="I49" s="210" t="s">
        <v>36</v>
      </c>
      <c r="J49" s="64">
        <v>2.89</v>
      </c>
      <c r="K49" s="64">
        <v>115.58</v>
      </c>
      <c r="L49" s="64">
        <v>18.899999999999999</v>
      </c>
      <c r="M49" s="64">
        <v>83.91</v>
      </c>
      <c r="N49" s="64">
        <v>355.1</v>
      </c>
      <c r="O49" s="64">
        <v>0</v>
      </c>
      <c r="P49" s="64">
        <v>0.53</v>
      </c>
      <c r="Q49" s="64">
        <v>8.2100000000000009</v>
      </c>
      <c r="R49" s="198"/>
      <c r="S49" s="198"/>
      <c r="T49" s="198"/>
      <c r="U49" s="198"/>
    </row>
    <row r="50" spans="1:21" s="12" customFormat="1" x14ac:dyDescent="0.25">
      <c r="A50" s="215" t="s">
        <v>2689</v>
      </c>
      <c r="B50" s="64">
        <v>15.28</v>
      </c>
      <c r="C50" s="64">
        <v>39.19</v>
      </c>
      <c r="D50" s="64">
        <v>31.35</v>
      </c>
      <c r="E50" s="64">
        <v>5.82</v>
      </c>
      <c r="F50" s="64">
        <v>3.48</v>
      </c>
      <c r="G50" s="64">
        <v>34.61</v>
      </c>
      <c r="H50" s="64">
        <v>10.130000000000001</v>
      </c>
      <c r="I50" s="210" t="s">
        <v>36</v>
      </c>
      <c r="J50" s="64">
        <v>2.7</v>
      </c>
      <c r="K50" s="64">
        <v>119.78</v>
      </c>
      <c r="L50" s="64">
        <v>19.38</v>
      </c>
      <c r="M50" s="64">
        <v>82.25</v>
      </c>
      <c r="N50" s="64">
        <v>375.2</v>
      </c>
      <c r="O50" s="64">
        <v>0</v>
      </c>
      <c r="P50" s="64">
        <v>0.52</v>
      </c>
      <c r="Q50" s="64">
        <v>8.2100000000000009</v>
      </c>
      <c r="R50" s="198"/>
      <c r="S50" s="198"/>
      <c r="T50" s="198"/>
      <c r="U50" s="198"/>
    </row>
    <row r="51" spans="1:21" s="12" customFormat="1" x14ac:dyDescent="0.25">
      <c r="A51" s="215" t="s">
        <v>2690</v>
      </c>
      <c r="B51" s="64">
        <v>14.34</v>
      </c>
      <c r="C51" s="64">
        <v>36.25</v>
      </c>
      <c r="D51" s="64">
        <v>29.06</v>
      </c>
      <c r="E51" s="64">
        <v>5.91</v>
      </c>
      <c r="F51" s="64">
        <v>3.39</v>
      </c>
      <c r="G51" s="64">
        <v>31.51</v>
      </c>
      <c r="H51" s="64">
        <v>10.52</v>
      </c>
      <c r="I51" s="210" t="s">
        <v>36</v>
      </c>
      <c r="J51" s="64">
        <v>2.87</v>
      </c>
      <c r="K51" s="64">
        <v>126.15</v>
      </c>
      <c r="L51" s="64">
        <v>20.07</v>
      </c>
      <c r="M51" s="64">
        <v>78.02</v>
      </c>
      <c r="N51" s="64">
        <v>357.5</v>
      </c>
      <c r="O51" s="64">
        <v>0</v>
      </c>
      <c r="P51" s="64">
        <v>0.51</v>
      </c>
      <c r="Q51" s="64">
        <v>8.2100000000000009</v>
      </c>
      <c r="R51" s="198"/>
      <c r="S51" s="198"/>
      <c r="T51" s="198"/>
      <c r="U51" s="198"/>
    </row>
    <row r="52" spans="1:21" s="12" customFormat="1" x14ac:dyDescent="0.25">
      <c r="A52" s="215" t="s">
        <v>2691</v>
      </c>
      <c r="B52" s="64">
        <v>13.13</v>
      </c>
      <c r="C52" s="64">
        <v>37.22</v>
      </c>
      <c r="D52" s="64">
        <v>28.6</v>
      </c>
      <c r="E52" s="64">
        <v>5.52</v>
      </c>
      <c r="F52" s="64">
        <v>3.83</v>
      </c>
      <c r="G52" s="64">
        <v>30.18</v>
      </c>
      <c r="H52" s="64">
        <v>10.55</v>
      </c>
      <c r="I52" s="210" t="s">
        <v>36</v>
      </c>
      <c r="J52" s="64">
        <v>1.93</v>
      </c>
      <c r="K52" s="64">
        <v>128.26</v>
      </c>
      <c r="L52" s="64">
        <v>20.350000000000001</v>
      </c>
      <c r="M52" s="64">
        <v>76.73</v>
      </c>
      <c r="N52" s="64">
        <v>450.7</v>
      </c>
      <c r="O52" s="64">
        <v>0</v>
      </c>
      <c r="P52" s="64">
        <v>0.51</v>
      </c>
      <c r="Q52" s="64">
        <v>8.2100000000000009</v>
      </c>
      <c r="R52" s="198"/>
      <c r="S52" s="198"/>
      <c r="T52" s="198"/>
      <c r="U52" s="198"/>
    </row>
    <row r="53" spans="1:21" s="12" customFormat="1" x14ac:dyDescent="0.25">
      <c r="A53" s="215" t="s">
        <v>2692</v>
      </c>
      <c r="B53" s="64">
        <v>9.4700000000000006</v>
      </c>
      <c r="C53" s="64">
        <v>38.82</v>
      </c>
      <c r="D53" s="64">
        <v>26.5</v>
      </c>
      <c r="E53" s="64">
        <v>5.79</v>
      </c>
      <c r="F53" s="64">
        <v>4.84</v>
      </c>
      <c r="G53" s="64">
        <v>30.18</v>
      </c>
      <c r="H53" s="64">
        <v>10.55</v>
      </c>
      <c r="I53" s="210" t="s">
        <v>36</v>
      </c>
      <c r="J53" s="64">
        <v>2.44</v>
      </c>
      <c r="K53" s="64">
        <v>138.66</v>
      </c>
      <c r="L53" s="64">
        <v>21.34</v>
      </c>
      <c r="M53" s="64">
        <v>72.42</v>
      </c>
      <c r="N53" s="64">
        <v>674.6</v>
      </c>
      <c r="O53" s="64">
        <v>0</v>
      </c>
      <c r="P53" s="64">
        <v>0.49</v>
      </c>
      <c r="Q53" s="64">
        <v>8.2100000000000009</v>
      </c>
      <c r="R53" s="198"/>
      <c r="S53" s="198"/>
      <c r="T53" s="198"/>
      <c r="U53" s="198"/>
    </row>
    <row r="54" spans="1:21" s="12" customFormat="1" x14ac:dyDescent="0.25">
      <c r="A54" s="215" t="s">
        <v>2693</v>
      </c>
      <c r="B54" s="64">
        <v>6.29</v>
      </c>
      <c r="C54" s="64">
        <v>40.11</v>
      </c>
      <c r="D54" s="64">
        <v>24.62</v>
      </c>
      <c r="E54" s="64">
        <v>6.27</v>
      </c>
      <c r="F54" s="64">
        <v>4.63</v>
      </c>
      <c r="G54" s="64">
        <v>30.18</v>
      </c>
      <c r="H54" s="64">
        <v>10.55</v>
      </c>
      <c r="I54" s="210" t="s">
        <v>36</v>
      </c>
      <c r="J54" s="64">
        <v>1.67</v>
      </c>
      <c r="K54" s="64">
        <v>110.92</v>
      </c>
      <c r="L54" s="64">
        <v>21.87</v>
      </c>
      <c r="M54" s="64">
        <v>70.430000000000007</v>
      </c>
      <c r="N54" s="64">
        <v>430.4</v>
      </c>
      <c r="O54" s="64">
        <v>0</v>
      </c>
      <c r="P54" s="64">
        <v>0.49</v>
      </c>
      <c r="Q54" s="64">
        <v>8.2100000000000009</v>
      </c>
      <c r="R54" s="198"/>
      <c r="S54" s="198"/>
      <c r="T54" s="198"/>
      <c r="U54" s="198"/>
    </row>
    <row r="55" spans="1:21" s="12" customFormat="1" x14ac:dyDescent="0.25">
      <c r="A55" s="215" t="s">
        <v>2694</v>
      </c>
      <c r="B55" s="64">
        <v>5.34</v>
      </c>
      <c r="C55" s="64">
        <v>39.78</v>
      </c>
      <c r="D55" s="64">
        <v>23.69</v>
      </c>
      <c r="E55" s="64">
        <v>6.19</v>
      </c>
      <c r="F55" s="64">
        <v>4.5</v>
      </c>
      <c r="G55" s="64">
        <v>28.47</v>
      </c>
      <c r="H55" s="64">
        <v>10.52</v>
      </c>
      <c r="I55" s="210" t="s">
        <v>36</v>
      </c>
      <c r="J55" s="64">
        <v>2.5299999999999998</v>
      </c>
      <c r="K55" s="64">
        <v>103.5</v>
      </c>
      <c r="L55" s="64">
        <v>21.81</v>
      </c>
      <c r="M55" s="64">
        <v>69.8</v>
      </c>
      <c r="N55" s="64">
        <v>449.9</v>
      </c>
      <c r="O55" s="64">
        <v>0</v>
      </c>
      <c r="P55" s="64">
        <v>0.45</v>
      </c>
      <c r="Q55" s="64">
        <v>8.2100000000000009</v>
      </c>
      <c r="R55" s="198"/>
      <c r="S55" s="198"/>
      <c r="T55" s="198"/>
      <c r="U55" s="198"/>
    </row>
    <row r="56" spans="1:21" s="12" customFormat="1" x14ac:dyDescent="0.25">
      <c r="A56" s="215" t="s">
        <v>2695</v>
      </c>
      <c r="B56" s="64">
        <v>4.95</v>
      </c>
      <c r="C56" s="64">
        <v>39.299999999999997</v>
      </c>
      <c r="D56" s="64">
        <v>23.13</v>
      </c>
      <c r="E56" s="64">
        <v>6.51</v>
      </c>
      <c r="F56" s="64">
        <v>4.43</v>
      </c>
      <c r="G56" s="64">
        <v>27.74</v>
      </c>
      <c r="H56" s="64">
        <v>10.52</v>
      </c>
      <c r="I56" s="210" t="s">
        <v>36</v>
      </c>
      <c r="J56" s="64">
        <v>0.46</v>
      </c>
      <c r="K56" s="64">
        <v>325.12</v>
      </c>
      <c r="L56" s="64">
        <v>22.61</v>
      </c>
      <c r="M56" s="64">
        <v>67.13</v>
      </c>
      <c r="N56" s="64">
        <v>443.2</v>
      </c>
      <c r="O56" s="64">
        <v>0</v>
      </c>
      <c r="P56" s="64">
        <v>0.47</v>
      </c>
      <c r="Q56" s="64">
        <v>8.2100000000000009</v>
      </c>
      <c r="R56" s="198"/>
      <c r="S56" s="198"/>
      <c r="T56" s="198"/>
      <c r="U56" s="198"/>
    </row>
    <row r="57" spans="1:21" s="12" customFormat="1" x14ac:dyDescent="0.25">
      <c r="A57" s="215" t="s">
        <v>2696</v>
      </c>
      <c r="B57" s="64">
        <v>4.84</v>
      </c>
      <c r="C57" s="64">
        <v>38.47</v>
      </c>
      <c r="D57" s="64">
        <v>22.61</v>
      </c>
      <c r="E57" s="64">
        <v>6.25</v>
      </c>
      <c r="F57" s="64">
        <v>3.96</v>
      </c>
      <c r="G57" s="64">
        <v>27.74</v>
      </c>
      <c r="H57" s="64">
        <v>10.52</v>
      </c>
      <c r="I57" s="210" t="s">
        <v>36</v>
      </c>
      <c r="J57" s="64">
        <v>2.93</v>
      </c>
      <c r="K57" s="64">
        <v>105.78</v>
      </c>
      <c r="L57" s="64">
        <v>22.06</v>
      </c>
      <c r="M57" s="64">
        <v>68.459999999999994</v>
      </c>
      <c r="N57" s="64">
        <v>398.8</v>
      </c>
      <c r="O57" s="64">
        <v>0</v>
      </c>
      <c r="P57" s="64">
        <v>0.47</v>
      </c>
      <c r="Q57" s="64">
        <v>8.2100000000000009</v>
      </c>
      <c r="R57" s="198"/>
      <c r="S57" s="198"/>
      <c r="T57" s="198"/>
      <c r="U57" s="198"/>
    </row>
    <row r="58" spans="1:21" s="12" customFormat="1" x14ac:dyDescent="0.25">
      <c r="A58" s="215" t="s">
        <v>2697</v>
      </c>
      <c r="B58" s="64">
        <v>4.8</v>
      </c>
      <c r="C58" s="64">
        <v>40.14</v>
      </c>
      <c r="D58" s="64">
        <v>23.44</v>
      </c>
      <c r="E58" s="64">
        <v>6.43</v>
      </c>
      <c r="F58" s="64">
        <v>3.93</v>
      </c>
      <c r="G58" s="64">
        <v>27.74</v>
      </c>
      <c r="H58" s="64">
        <v>10.52</v>
      </c>
      <c r="I58" s="210" t="s">
        <v>36</v>
      </c>
      <c r="J58" s="64">
        <v>1.58</v>
      </c>
      <c r="K58" s="64">
        <v>95.17</v>
      </c>
      <c r="L58" s="64">
        <v>22.41</v>
      </c>
      <c r="M58" s="64">
        <v>67.41</v>
      </c>
      <c r="N58" s="64">
        <v>396.6</v>
      </c>
      <c r="O58" s="64">
        <v>0</v>
      </c>
      <c r="P58" s="64">
        <v>0.47</v>
      </c>
      <c r="Q58" s="64">
        <v>8.2100000000000009</v>
      </c>
      <c r="R58" s="198"/>
      <c r="S58" s="198"/>
      <c r="T58" s="198"/>
      <c r="U58" s="198"/>
    </row>
    <row r="59" spans="1:21" s="12" customFormat="1" x14ac:dyDescent="0.25">
      <c r="A59" s="215" t="s">
        <v>2698</v>
      </c>
      <c r="B59" s="64">
        <v>4.78</v>
      </c>
      <c r="C59" s="64">
        <v>38.56</v>
      </c>
      <c r="D59" s="64">
        <v>22.6</v>
      </c>
      <c r="E59" s="64">
        <v>6.82</v>
      </c>
      <c r="F59" s="64">
        <v>4.2699999999999996</v>
      </c>
      <c r="G59" s="64">
        <v>21.17</v>
      </c>
      <c r="H59" s="64">
        <v>7.89</v>
      </c>
      <c r="I59" s="210" t="s">
        <v>36</v>
      </c>
      <c r="J59" s="64">
        <v>1.1599999999999999</v>
      </c>
      <c r="K59" s="64">
        <v>101.29</v>
      </c>
      <c r="L59" s="64">
        <v>22.4</v>
      </c>
      <c r="M59" s="64">
        <v>67.150000000000006</v>
      </c>
      <c r="N59" s="64">
        <v>316.7</v>
      </c>
      <c r="O59" s="64">
        <v>0</v>
      </c>
      <c r="P59" s="64">
        <v>0.48</v>
      </c>
      <c r="Q59" s="64">
        <v>8.2100000000000009</v>
      </c>
      <c r="R59" s="198"/>
      <c r="S59" s="198"/>
      <c r="T59" s="198"/>
      <c r="U59" s="198"/>
    </row>
    <row r="60" spans="1:21" s="12" customFormat="1" x14ac:dyDescent="0.25">
      <c r="A60" s="215" t="s">
        <v>2699</v>
      </c>
      <c r="B60" s="64">
        <v>4.4400000000000004</v>
      </c>
      <c r="C60" s="64">
        <v>34.86</v>
      </c>
      <c r="D60" s="64">
        <v>20.399999999999999</v>
      </c>
      <c r="E60" s="64">
        <v>6.6</v>
      </c>
      <c r="F60" s="64">
        <v>5.41</v>
      </c>
      <c r="G60" s="64">
        <v>18.36</v>
      </c>
      <c r="H60" s="64">
        <v>7.53</v>
      </c>
      <c r="I60" s="210" t="s">
        <v>36</v>
      </c>
      <c r="J60" s="64">
        <v>0.82</v>
      </c>
      <c r="K60" s="64">
        <v>125.59</v>
      </c>
      <c r="L60" s="64">
        <v>22.71</v>
      </c>
      <c r="M60" s="64">
        <v>65.84</v>
      </c>
      <c r="N60" s="64">
        <v>342</v>
      </c>
      <c r="O60" s="64">
        <v>0</v>
      </c>
      <c r="P60" s="64">
        <v>0</v>
      </c>
      <c r="Q60" s="64">
        <v>8.2100000000000009</v>
      </c>
      <c r="R60" s="198"/>
      <c r="S60" s="198"/>
      <c r="T60" s="198"/>
      <c r="U60" s="198"/>
    </row>
    <row r="61" spans="1:21" s="12" customFormat="1" x14ac:dyDescent="0.25">
      <c r="A61" s="215" t="s">
        <v>2700</v>
      </c>
      <c r="B61" s="64">
        <v>3.72</v>
      </c>
      <c r="C61" s="64">
        <v>39.28</v>
      </c>
      <c r="D61" s="64">
        <v>22.13</v>
      </c>
      <c r="E61" s="64">
        <v>6.27</v>
      </c>
      <c r="F61" s="64">
        <v>5.61</v>
      </c>
      <c r="G61" s="64">
        <v>18.36</v>
      </c>
      <c r="H61" s="64">
        <v>7.53</v>
      </c>
      <c r="I61" s="210" t="s">
        <v>36</v>
      </c>
      <c r="J61" s="64">
        <v>1.99</v>
      </c>
      <c r="K61" s="64">
        <v>103.38</v>
      </c>
      <c r="L61" s="64">
        <v>22.44</v>
      </c>
      <c r="M61" s="64">
        <v>66.78</v>
      </c>
      <c r="N61" s="64">
        <v>234.5</v>
      </c>
      <c r="O61" s="64">
        <v>0</v>
      </c>
      <c r="P61" s="64">
        <v>0</v>
      </c>
      <c r="Q61" s="64">
        <v>8.2100000000000009</v>
      </c>
      <c r="R61" s="198"/>
      <c r="S61" s="198"/>
      <c r="T61" s="198"/>
      <c r="U61" s="198"/>
    </row>
    <row r="62" spans="1:21" s="12" customFormat="1" x14ac:dyDescent="0.25">
      <c r="A62" s="215" t="s">
        <v>2701</v>
      </c>
      <c r="B62" s="64">
        <v>3.22</v>
      </c>
      <c r="C62" s="64">
        <v>32.18</v>
      </c>
      <c r="D62" s="64">
        <v>18.02</v>
      </c>
      <c r="E62" s="64">
        <v>5.76</v>
      </c>
      <c r="F62" s="64">
        <v>9.0500000000000007</v>
      </c>
      <c r="G62" s="64">
        <v>18.36</v>
      </c>
      <c r="H62" s="64">
        <v>7.53</v>
      </c>
      <c r="I62" s="210" t="s">
        <v>36</v>
      </c>
      <c r="J62" s="64">
        <v>2.91</v>
      </c>
      <c r="K62" s="64">
        <v>143.58000000000001</v>
      </c>
      <c r="L62" s="64">
        <v>22.01</v>
      </c>
      <c r="M62" s="64">
        <v>67.819999999999993</v>
      </c>
      <c r="N62" s="64">
        <v>276.5</v>
      </c>
      <c r="O62" s="64">
        <v>0</v>
      </c>
      <c r="P62" s="64">
        <v>0</v>
      </c>
      <c r="Q62" s="64">
        <v>8.2100000000000009</v>
      </c>
      <c r="R62" s="198"/>
      <c r="S62" s="198"/>
      <c r="T62" s="198"/>
      <c r="U62" s="198"/>
    </row>
    <row r="63" spans="1:21" s="12" customFormat="1" x14ac:dyDescent="0.25">
      <c r="A63" s="215" t="s">
        <v>2702</v>
      </c>
      <c r="B63" s="64">
        <v>2.48</v>
      </c>
      <c r="C63" s="64">
        <v>37.58</v>
      </c>
      <c r="D63" s="64">
        <v>20.25</v>
      </c>
      <c r="E63" s="64">
        <v>6.91</v>
      </c>
      <c r="F63" s="64">
        <v>8.58</v>
      </c>
      <c r="G63" s="64">
        <v>26.9</v>
      </c>
      <c r="H63" s="64">
        <v>7.8</v>
      </c>
      <c r="I63" s="210" t="s">
        <v>36</v>
      </c>
      <c r="J63" s="64">
        <v>1.45</v>
      </c>
      <c r="K63" s="64">
        <v>353.41</v>
      </c>
      <c r="L63" s="64">
        <v>22.69</v>
      </c>
      <c r="M63" s="64">
        <v>65.760000000000005</v>
      </c>
      <c r="N63" s="64">
        <v>230.9</v>
      </c>
      <c r="O63" s="64">
        <v>0</v>
      </c>
      <c r="P63" s="64">
        <v>0</v>
      </c>
      <c r="Q63" s="64">
        <v>8.2100000000000009</v>
      </c>
      <c r="R63" s="198"/>
      <c r="S63" s="198"/>
      <c r="T63" s="198"/>
      <c r="U63" s="198"/>
    </row>
    <row r="64" spans="1:21" s="12" customFormat="1" x14ac:dyDescent="0.25">
      <c r="A64" s="215" t="s">
        <v>2703</v>
      </c>
      <c r="B64" s="64">
        <v>3.41</v>
      </c>
      <c r="C64" s="64">
        <v>37.840000000000003</v>
      </c>
      <c r="D64" s="64">
        <v>21.13</v>
      </c>
      <c r="E64" s="64">
        <v>6.86</v>
      </c>
      <c r="F64" s="64">
        <v>8.86</v>
      </c>
      <c r="G64" s="64">
        <v>30.56</v>
      </c>
      <c r="H64" s="64">
        <v>7.82</v>
      </c>
      <c r="I64" s="210" t="s">
        <v>36</v>
      </c>
      <c r="J64" s="64">
        <v>0.11</v>
      </c>
      <c r="K64" s="64">
        <v>356.88</v>
      </c>
      <c r="L64" s="64">
        <v>23.22</v>
      </c>
      <c r="M64" s="64">
        <v>64.13</v>
      </c>
      <c r="N64" s="64">
        <v>213.3</v>
      </c>
      <c r="O64" s="64">
        <v>0</v>
      </c>
      <c r="P64" s="64">
        <v>0</v>
      </c>
      <c r="Q64" s="64">
        <v>8.2100000000000009</v>
      </c>
      <c r="R64" s="198"/>
      <c r="S64" s="198"/>
      <c r="T64" s="198"/>
      <c r="U64" s="198"/>
    </row>
    <row r="65" spans="1:21" s="12" customFormat="1" x14ac:dyDescent="0.25">
      <c r="A65" s="215" t="s">
        <v>2704</v>
      </c>
      <c r="B65" s="64">
        <v>3.76</v>
      </c>
      <c r="C65" s="64">
        <v>39.9</v>
      </c>
      <c r="D65" s="64">
        <v>22.48</v>
      </c>
      <c r="E65" s="64">
        <v>6.53</v>
      </c>
      <c r="F65" s="64">
        <v>8.98</v>
      </c>
      <c r="G65" s="64">
        <v>30.56</v>
      </c>
      <c r="H65" s="64">
        <v>7.82</v>
      </c>
      <c r="I65" s="210" t="s">
        <v>36</v>
      </c>
      <c r="J65" s="64">
        <v>0.27</v>
      </c>
      <c r="K65" s="64">
        <v>355.94</v>
      </c>
      <c r="L65" s="64">
        <v>23.18</v>
      </c>
      <c r="M65" s="64">
        <v>64.48</v>
      </c>
      <c r="N65" s="64">
        <v>234.4</v>
      </c>
      <c r="O65" s="64">
        <v>0</v>
      </c>
      <c r="P65" s="64">
        <v>0</v>
      </c>
      <c r="Q65" s="64">
        <v>8.2100000000000009</v>
      </c>
      <c r="R65" s="198"/>
      <c r="S65" s="198"/>
      <c r="T65" s="198"/>
      <c r="U65" s="198"/>
    </row>
    <row r="66" spans="1:21" s="12" customFormat="1" x14ac:dyDescent="0.25">
      <c r="A66" s="215" t="s">
        <v>2705</v>
      </c>
      <c r="B66" s="64">
        <v>3.59</v>
      </c>
      <c r="C66" s="64">
        <v>34.83</v>
      </c>
      <c r="D66" s="64">
        <v>19.7</v>
      </c>
      <c r="E66" s="64">
        <v>6.71</v>
      </c>
      <c r="F66" s="64">
        <v>9.42</v>
      </c>
      <c r="G66" s="64">
        <v>30.56</v>
      </c>
      <c r="H66" s="64">
        <v>7.82</v>
      </c>
      <c r="I66" s="210" t="s">
        <v>36</v>
      </c>
      <c r="J66" s="64">
        <v>1.1299999999999999</v>
      </c>
      <c r="K66" s="64">
        <v>337.29</v>
      </c>
      <c r="L66" s="64">
        <v>23.13</v>
      </c>
      <c r="M66" s="64">
        <v>64.209999999999994</v>
      </c>
      <c r="N66" s="64">
        <v>177.9</v>
      </c>
      <c r="O66" s="64">
        <v>0</v>
      </c>
      <c r="P66" s="64">
        <v>0</v>
      </c>
      <c r="Q66" s="64">
        <v>8.2100000000000009</v>
      </c>
      <c r="R66" s="198"/>
      <c r="S66" s="198"/>
      <c r="T66" s="198"/>
      <c r="U66" s="198"/>
    </row>
    <row r="67" spans="1:21" s="12" customFormat="1" x14ac:dyDescent="0.25">
      <c r="A67" s="215" t="s">
        <v>2706</v>
      </c>
      <c r="B67" s="64">
        <v>3.93</v>
      </c>
      <c r="C67" s="64">
        <v>43.4</v>
      </c>
      <c r="D67" s="64">
        <v>24.45</v>
      </c>
      <c r="E67" s="64">
        <v>7.24</v>
      </c>
      <c r="F67" s="64">
        <v>7.08</v>
      </c>
      <c r="G67" s="64">
        <v>30.18</v>
      </c>
      <c r="H67" s="64">
        <v>7.1</v>
      </c>
      <c r="I67" s="210" t="s">
        <v>36</v>
      </c>
      <c r="J67" s="64">
        <v>1.8</v>
      </c>
      <c r="K67" s="64">
        <v>150.49</v>
      </c>
      <c r="L67" s="64">
        <v>22.65</v>
      </c>
      <c r="M67" s="64">
        <v>66.44</v>
      </c>
      <c r="N67" s="64">
        <v>210.1</v>
      </c>
      <c r="O67" s="64">
        <v>0</v>
      </c>
      <c r="P67" s="64">
        <v>0</v>
      </c>
      <c r="Q67" s="64">
        <v>8.2100000000000009</v>
      </c>
      <c r="R67" s="198"/>
      <c r="S67" s="198"/>
      <c r="T67" s="198"/>
      <c r="U67" s="198"/>
    </row>
    <row r="68" spans="1:21" s="12" customFormat="1" x14ac:dyDescent="0.25">
      <c r="A68" s="215" t="s">
        <v>2707</v>
      </c>
      <c r="B68" s="64">
        <v>3.33</v>
      </c>
      <c r="C68" s="64">
        <v>36.159999999999997</v>
      </c>
      <c r="D68" s="64">
        <v>20.190000000000001</v>
      </c>
      <c r="E68" s="64">
        <v>7.07</v>
      </c>
      <c r="F68" s="64">
        <v>6.63</v>
      </c>
      <c r="G68" s="64">
        <v>30.01</v>
      </c>
      <c r="H68" s="64">
        <v>7.05</v>
      </c>
      <c r="I68" s="210" t="s">
        <v>36</v>
      </c>
      <c r="J68" s="64">
        <v>0.97</v>
      </c>
      <c r="K68" s="64">
        <v>269.26</v>
      </c>
      <c r="L68" s="64">
        <v>23.28</v>
      </c>
      <c r="M68" s="64">
        <v>64.27</v>
      </c>
      <c r="N68" s="64">
        <v>221.4</v>
      </c>
      <c r="O68" s="64">
        <v>0</v>
      </c>
      <c r="P68" s="64">
        <v>0</v>
      </c>
      <c r="Q68" s="64">
        <v>8.2100000000000009</v>
      </c>
      <c r="R68" s="198"/>
      <c r="S68" s="198"/>
      <c r="T68" s="198"/>
      <c r="U68" s="198"/>
    </row>
    <row r="69" spans="1:21" s="12" customFormat="1" x14ac:dyDescent="0.25">
      <c r="A69" s="215" t="s">
        <v>2708</v>
      </c>
      <c r="B69" s="64">
        <v>2.91</v>
      </c>
      <c r="C69" s="64">
        <v>33.81</v>
      </c>
      <c r="D69" s="64">
        <v>18.63</v>
      </c>
      <c r="E69" s="64">
        <v>6.88</v>
      </c>
      <c r="F69" s="64">
        <v>6.93</v>
      </c>
      <c r="G69" s="64">
        <v>30.01</v>
      </c>
      <c r="H69" s="64">
        <v>7.05</v>
      </c>
      <c r="I69" s="210" t="s">
        <v>36</v>
      </c>
      <c r="J69" s="64">
        <v>1.62</v>
      </c>
      <c r="K69" s="64">
        <v>308.93</v>
      </c>
      <c r="L69" s="64">
        <v>23.79</v>
      </c>
      <c r="M69" s="64">
        <v>62.57</v>
      </c>
      <c r="N69" s="64">
        <v>152.19999999999999</v>
      </c>
      <c r="O69" s="64">
        <v>0</v>
      </c>
      <c r="P69" s="64">
        <v>0</v>
      </c>
      <c r="Q69" s="64">
        <v>8.2100000000000009</v>
      </c>
      <c r="R69" s="198"/>
      <c r="S69" s="198"/>
      <c r="T69" s="198"/>
      <c r="U69" s="198"/>
    </row>
    <row r="70" spans="1:21" s="12" customFormat="1" x14ac:dyDescent="0.25">
      <c r="A70" s="215" t="s">
        <v>2709</v>
      </c>
      <c r="B70" s="64">
        <v>3.87</v>
      </c>
      <c r="C70" s="64">
        <v>33.97</v>
      </c>
      <c r="D70" s="64">
        <v>19.48</v>
      </c>
      <c r="E70" s="64">
        <v>6.59</v>
      </c>
      <c r="F70" s="64">
        <v>7.45</v>
      </c>
      <c r="G70" s="64">
        <v>30.01</v>
      </c>
      <c r="H70" s="64">
        <v>7.05</v>
      </c>
      <c r="I70" s="210" t="s">
        <v>36</v>
      </c>
      <c r="J70" s="64">
        <v>0.82</v>
      </c>
      <c r="K70" s="64">
        <v>2.58</v>
      </c>
      <c r="L70" s="64">
        <v>23.38</v>
      </c>
      <c r="M70" s="64">
        <v>63.88</v>
      </c>
      <c r="N70" s="64">
        <v>106.4</v>
      </c>
      <c r="O70" s="64">
        <v>0</v>
      </c>
      <c r="P70" s="64">
        <v>0</v>
      </c>
      <c r="Q70" s="64">
        <v>8.2100000000000009</v>
      </c>
      <c r="R70" s="198"/>
      <c r="S70" s="198"/>
      <c r="T70" s="198"/>
      <c r="U70" s="198"/>
    </row>
    <row r="71" spans="1:21" s="12" customFormat="1" x14ac:dyDescent="0.25">
      <c r="A71" s="215" t="s">
        <v>2710</v>
      </c>
      <c r="B71" s="64">
        <v>4.4400000000000004</v>
      </c>
      <c r="C71" s="64">
        <v>33.32</v>
      </c>
      <c r="D71" s="64">
        <v>19.59</v>
      </c>
      <c r="E71" s="64">
        <v>6.99</v>
      </c>
      <c r="F71" s="64">
        <v>9.06</v>
      </c>
      <c r="G71" s="64">
        <v>31.04</v>
      </c>
      <c r="H71" s="64">
        <v>7.74</v>
      </c>
      <c r="I71" s="210" t="s">
        <v>36</v>
      </c>
      <c r="J71" s="64">
        <v>1.1000000000000001</v>
      </c>
      <c r="K71" s="64">
        <v>236.26</v>
      </c>
      <c r="L71" s="64">
        <v>22.22</v>
      </c>
      <c r="M71" s="64">
        <v>67.5</v>
      </c>
      <c r="N71" s="64">
        <v>117.1</v>
      </c>
      <c r="O71" s="64">
        <v>0</v>
      </c>
      <c r="P71" s="64">
        <v>0</v>
      </c>
      <c r="Q71" s="64">
        <v>8.2100000000000009</v>
      </c>
      <c r="R71" s="198"/>
      <c r="S71" s="198"/>
      <c r="T71" s="198"/>
      <c r="U71" s="198"/>
    </row>
    <row r="72" spans="1:21" s="12" customFormat="1" x14ac:dyDescent="0.25">
      <c r="A72" s="215" t="s">
        <v>2711</v>
      </c>
      <c r="B72" s="64">
        <v>4.5</v>
      </c>
      <c r="C72" s="64">
        <v>32.799999999999997</v>
      </c>
      <c r="D72" s="64">
        <v>19.37</v>
      </c>
      <c r="E72" s="64">
        <v>4.34</v>
      </c>
      <c r="F72" s="64">
        <v>9.5299999999999994</v>
      </c>
      <c r="G72" s="64">
        <v>31.48</v>
      </c>
      <c r="H72" s="64">
        <v>7.8</v>
      </c>
      <c r="I72" s="210" t="s">
        <v>36</v>
      </c>
      <c r="J72" s="64">
        <v>0.53</v>
      </c>
      <c r="K72" s="64">
        <v>177.75</v>
      </c>
      <c r="L72" s="64">
        <v>22.04</v>
      </c>
      <c r="M72" s="64">
        <v>68.290000000000006</v>
      </c>
      <c r="N72" s="64">
        <v>118</v>
      </c>
      <c r="O72" s="64">
        <v>0</v>
      </c>
      <c r="P72" s="64">
        <v>0</v>
      </c>
      <c r="Q72" s="64">
        <v>8.2100000000000009</v>
      </c>
      <c r="R72" s="198"/>
      <c r="S72" s="198"/>
      <c r="T72" s="198"/>
      <c r="U72" s="198"/>
    </row>
    <row r="73" spans="1:21" s="12" customFormat="1" x14ac:dyDescent="0.25">
      <c r="A73" s="215" t="s">
        <v>2712</v>
      </c>
      <c r="B73" s="64">
        <v>4.16</v>
      </c>
      <c r="C73" s="64">
        <v>32.47</v>
      </c>
      <c r="D73" s="64">
        <v>18.920000000000002</v>
      </c>
      <c r="E73" s="64">
        <v>4.79</v>
      </c>
      <c r="F73" s="64">
        <v>10.36</v>
      </c>
      <c r="G73" s="64">
        <v>31.48</v>
      </c>
      <c r="H73" s="64">
        <v>7.8</v>
      </c>
      <c r="I73" s="210" t="s">
        <v>36</v>
      </c>
      <c r="J73" s="64">
        <v>1.55</v>
      </c>
      <c r="K73" s="64">
        <v>150.84</v>
      </c>
      <c r="L73" s="64">
        <v>21.7</v>
      </c>
      <c r="M73" s="64">
        <v>70</v>
      </c>
      <c r="N73" s="64">
        <v>107</v>
      </c>
      <c r="O73" s="64">
        <v>0</v>
      </c>
      <c r="P73" s="64">
        <v>0</v>
      </c>
      <c r="Q73" s="64">
        <v>8.2100000000000009</v>
      </c>
      <c r="R73" s="198"/>
      <c r="S73" s="198"/>
      <c r="T73" s="198"/>
      <c r="U73" s="198"/>
    </row>
    <row r="74" spans="1:21" s="12" customFormat="1" x14ac:dyDescent="0.25">
      <c r="A74" s="215" t="s">
        <v>2713</v>
      </c>
      <c r="B74" s="64">
        <v>3.51</v>
      </c>
      <c r="C74" s="64">
        <v>32.83</v>
      </c>
      <c r="D74" s="64">
        <v>18.59</v>
      </c>
      <c r="E74" s="64">
        <v>5.07</v>
      </c>
      <c r="F74" s="64">
        <v>11.48</v>
      </c>
      <c r="G74" s="64">
        <v>31.48</v>
      </c>
      <c r="H74" s="64">
        <v>7.8</v>
      </c>
      <c r="I74" s="210" t="s">
        <v>36</v>
      </c>
      <c r="J74" s="64">
        <v>1.73</v>
      </c>
      <c r="K74" s="64">
        <v>158.5</v>
      </c>
      <c r="L74" s="64">
        <v>21.43</v>
      </c>
      <c r="M74" s="64">
        <v>70.89</v>
      </c>
      <c r="N74" s="64">
        <v>92.9</v>
      </c>
      <c r="O74" s="64">
        <v>0</v>
      </c>
      <c r="P74" s="64">
        <v>0</v>
      </c>
      <c r="Q74" s="64">
        <v>8.2100000000000009</v>
      </c>
      <c r="R74" s="198"/>
      <c r="S74" s="198"/>
      <c r="T74" s="198"/>
      <c r="U74" s="198"/>
    </row>
    <row r="75" spans="1:21" s="12" customFormat="1" x14ac:dyDescent="0.25">
      <c r="A75" s="215" t="s">
        <v>2714</v>
      </c>
      <c r="B75" s="64">
        <v>3.48</v>
      </c>
      <c r="C75" s="64">
        <v>35.94</v>
      </c>
      <c r="D75" s="64">
        <v>20.190000000000001</v>
      </c>
      <c r="E75" s="64">
        <v>4.72</v>
      </c>
      <c r="F75" s="64">
        <v>5.43</v>
      </c>
      <c r="G75" s="64">
        <v>33.57</v>
      </c>
      <c r="H75" s="64">
        <v>8.06</v>
      </c>
      <c r="I75" s="210" t="s">
        <v>36</v>
      </c>
      <c r="J75" s="64">
        <v>1.94</v>
      </c>
      <c r="K75" s="64">
        <v>165.86</v>
      </c>
      <c r="L75" s="64">
        <v>21.01</v>
      </c>
      <c r="M75" s="64">
        <v>73.400000000000006</v>
      </c>
      <c r="N75" s="64">
        <v>86.5</v>
      </c>
      <c r="O75" s="64">
        <v>0</v>
      </c>
      <c r="P75" s="64">
        <v>0</v>
      </c>
      <c r="Q75" s="64">
        <v>8.2100000000000009</v>
      </c>
      <c r="R75" s="198"/>
      <c r="S75" s="198"/>
      <c r="T75" s="198"/>
      <c r="U75" s="198"/>
    </row>
    <row r="76" spans="1:21" s="12" customFormat="1" x14ac:dyDescent="0.25">
      <c r="A76" s="215" t="s">
        <v>2715</v>
      </c>
      <c r="B76" s="64">
        <v>3.89</v>
      </c>
      <c r="C76" s="64">
        <v>36.01</v>
      </c>
      <c r="D76" s="64">
        <v>20.56</v>
      </c>
      <c r="E76" s="64">
        <v>4.6900000000000004</v>
      </c>
      <c r="F76" s="64">
        <v>5.05</v>
      </c>
      <c r="G76" s="64">
        <v>34.47</v>
      </c>
      <c r="H76" s="64">
        <v>8.09</v>
      </c>
      <c r="I76" s="210" t="s">
        <v>36</v>
      </c>
      <c r="J76" s="64">
        <v>2.88</v>
      </c>
      <c r="K76" s="64">
        <v>146.27000000000001</v>
      </c>
      <c r="L76" s="64">
        <v>20.63</v>
      </c>
      <c r="M76" s="64">
        <v>75.09</v>
      </c>
      <c r="N76" s="64">
        <v>79.099999999999994</v>
      </c>
      <c r="O76" s="64">
        <v>0</v>
      </c>
      <c r="P76" s="64">
        <v>0</v>
      </c>
      <c r="Q76" s="64">
        <v>8.2100000000000009</v>
      </c>
      <c r="R76" s="198"/>
      <c r="S76" s="198"/>
      <c r="T76" s="198"/>
      <c r="U76" s="198"/>
    </row>
    <row r="77" spans="1:21" s="12" customFormat="1" x14ac:dyDescent="0.25">
      <c r="A77" s="215" t="s">
        <v>2716</v>
      </c>
      <c r="B77" s="64">
        <v>3.98</v>
      </c>
      <c r="C77" s="64">
        <v>36.090000000000003</v>
      </c>
      <c r="D77" s="64">
        <v>20.67</v>
      </c>
      <c r="E77" s="64">
        <v>5.34</v>
      </c>
      <c r="F77" s="64">
        <v>6.99</v>
      </c>
      <c r="G77" s="64">
        <v>34.47</v>
      </c>
      <c r="H77" s="64">
        <v>8.09</v>
      </c>
      <c r="I77" s="210" t="s">
        <v>36</v>
      </c>
      <c r="J77" s="64">
        <v>2.25</v>
      </c>
      <c r="K77" s="64">
        <v>142.37</v>
      </c>
      <c r="L77" s="64">
        <v>20.39</v>
      </c>
      <c r="M77" s="64">
        <v>76.64</v>
      </c>
      <c r="N77" s="64">
        <v>71.099999999999994</v>
      </c>
      <c r="O77" s="64">
        <v>0</v>
      </c>
      <c r="P77" s="64">
        <v>0</v>
      </c>
      <c r="Q77" s="64">
        <v>8.2100000000000009</v>
      </c>
      <c r="R77" s="198"/>
      <c r="S77" s="198"/>
      <c r="T77" s="198"/>
      <c r="U77" s="198"/>
    </row>
    <row r="78" spans="1:21" s="12" customFormat="1" x14ac:dyDescent="0.25">
      <c r="A78" s="215" t="s">
        <v>2717</v>
      </c>
      <c r="B78" s="64">
        <v>4.1100000000000003</v>
      </c>
      <c r="C78" s="64">
        <v>35.799999999999997</v>
      </c>
      <c r="D78" s="64">
        <v>20.62</v>
      </c>
      <c r="E78" s="64">
        <v>4.9400000000000004</v>
      </c>
      <c r="F78" s="64">
        <v>5.62</v>
      </c>
      <c r="G78" s="64">
        <v>34.47</v>
      </c>
      <c r="H78" s="64">
        <v>8.09</v>
      </c>
      <c r="I78" s="210" t="s">
        <v>36</v>
      </c>
      <c r="J78" s="64">
        <v>1.56</v>
      </c>
      <c r="K78" s="64">
        <v>151.65</v>
      </c>
      <c r="L78" s="64">
        <v>20.170000000000002</v>
      </c>
      <c r="M78" s="64">
        <v>77.650000000000006</v>
      </c>
      <c r="N78" s="64">
        <v>65.2</v>
      </c>
      <c r="O78" s="64">
        <v>0</v>
      </c>
      <c r="P78" s="64">
        <v>0</v>
      </c>
      <c r="Q78" s="64">
        <v>8.2100000000000009</v>
      </c>
      <c r="R78" s="198"/>
      <c r="S78" s="198"/>
      <c r="T78" s="198"/>
      <c r="U78" s="198"/>
    </row>
    <row r="79" spans="1:21" s="12" customFormat="1" x14ac:dyDescent="0.25">
      <c r="A79" s="215" t="s">
        <v>2718</v>
      </c>
      <c r="B79" s="64">
        <v>4.51</v>
      </c>
      <c r="C79" s="64">
        <v>37.299999999999997</v>
      </c>
      <c r="D79" s="64">
        <v>21.73</v>
      </c>
      <c r="E79" s="64">
        <v>5.58</v>
      </c>
      <c r="F79" s="64">
        <v>3.77</v>
      </c>
      <c r="G79" s="64">
        <v>26.53</v>
      </c>
      <c r="H79" s="64">
        <v>8.8000000000000007</v>
      </c>
      <c r="I79" s="210" t="s">
        <v>36</v>
      </c>
      <c r="J79" s="64">
        <v>2.4</v>
      </c>
      <c r="K79" s="64">
        <v>147.21</v>
      </c>
      <c r="L79" s="64">
        <v>19.940000000000001</v>
      </c>
      <c r="M79" s="64">
        <v>78.73</v>
      </c>
      <c r="N79" s="64">
        <v>62.2</v>
      </c>
      <c r="O79" s="64">
        <v>0</v>
      </c>
      <c r="P79" s="64">
        <v>0</v>
      </c>
      <c r="Q79" s="64">
        <v>8.2100000000000009</v>
      </c>
      <c r="R79" s="198"/>
      <c r="S79" s="198"/>
      <c r="T79" s="198"/>
      <c r="U79" s="198"/>
    </row>
    <row r="80" spans="1:21" s="12" customFormat="1" x14ac:dyDescent="0.25">
      <c r="A80" s="215" t="s">
        <v>2719</v>
      </c>
      <c r="B80" s="64">
        <v>5.1100000000000003</v>
      </c>
      <c r="C80" s="64">
        <v>37.5</v>
      </c>
      <c r="D80" s="64">
        <v>22.32</v>
      </c>
      <c r="E80" s="64">
        <v>4.9800000000000004</v>
      </c>
      <c r="F80" s="64">
        <v>3.91</v>
      </c>
      <c r="G80" s="64">
        <v>23.12</v>
      </c>
      <c r="H80" s="64">
        <v>8.85</v>
      </c>
      <c r="I80" s="210" t="s">
        <v>36</v>
      </c>
      <c r="J80" s="64">
        <v>1.87</v>
      </c>
      <c r="K80" s="64">
        <v>171.66</v>
      </c>
      <c r="L80" s="64">
        <v>19.72</v>
      </c>
      <c r="M80" s="64">
        <v>79.59</v>
      </c>
      <c r="N80" s="64">
        <v>61.7</v>
      </c>
      <c r="O80" s="64">
        <v>0</v>
      </c>
      <c r="P80" s="64">
        <v>0</v>
      </c>
      <c r="Q80" s="64">
        <v>8.2100000000000009</v>
      </c>
      <c r="R80" s="198"/>
      <c r="S80" s="198"/>
      <c r="T80" s="198"/>
      <c r="U80" s="198"/>
    </row>
    <row r="81" spans="1:26" s="12" customFormat="1" x14ac:dyDescent="0.25">
      <c r="A81" s="215" t="s">
        <v>2720</v>
      </c>
      <c r="B81" s="64">
        <v>5.76</v>
      </c>
      <c r="C81" s="64">
        <v>36.57</v>
      </c>
      <c r="D81" s="64">
        <v>22.35</v>
      </c>
      <c r="E81" s="64">
        <v>4.76</v>
      </c>
      <c r="F81" s="64">
        <v>3.71</v>
      </c>
      <c r="G81" s="64">
        <v>23.12</v>
      </c>
      <c r="H81" s="64">
        <v>8.85</v>
      </c>
      <c r="I81" s="210" t="s">
        <v>36</v>
      </c>
      <c r="J81" s="64">
        <v>1.98</v>
      </c>
      <c r="K81" s="64">
        <v>152.47</v>
      </c>
      <c r="L81" s="64">
        <v>19.53</v>
      </c>
      <c r="M81" s="64">
        <v>80.760000000000005</v>
      </c>
      <c r="N81" s="64">
        <v>61.4</v>
      </c>
      <c r="O81" s="64">
        <v>0</v>
      </c>
      <c r="P81" s="64">
        <v>0</v>
      </c>
      <c r="Q81" s="64">
        <v>8.2100000000000009</v>
      </c>
      <c r="R81" s="198"/>
      <c r="S81" s="198"/>
      <c r="T81" s="198"/>
      <c r="U81" s="198"/>
    </row>
    <row r="82" spans="1:26" s="12" customFormat="1" x14ac:dyDescent="0.25">
      <c r="A82" s="215" t="s">
        <v>2721</v>
      </c>
      <c r="B82" s="64">
        <v>7</v>
      </c>
      <c r="C82" s="64">
        <v>36.72</v>
      </c>
      <c r="D82" s="64">
        <v>23.42</v>
      </c>
      <c r="E82" s="64">
        <v>4.5</v>
      </c>
      <c r="F82" s="64">
        <v>3.24</v>
      </c>
      <c r="G82" s="64">
        <v>23.12</v>
      </c>
      <c r="H82" s="64">
        <v>8.85</v>
      </c>
      <c r="I82" s="210" t="s">
        <v>36</v>
      </c>
      <c r="J82" s="64">
        <v>1.64</v>
      </c>
      <c r="K82" s="64">
        <v>178.57</v>
      </c>
      <c r="L82" s="64">
        <v>19.34</v>
      </c>
      <c r="M82" s="64">
        <v>81.739999999999995</v>
      </c>
      <c r="N82" s="64">
        <v>61.4</v>
      </c>
      <c r="O82" s="64">
        <v>0</v>
      </c>
      <c r="P82" s="64">
        <v>0</v>
      </c>
      <c r="Q82" s="64">
        <v>8.2100000000000009</v>
      </c>
      <c r="R82" s="198"/>
      <c r="S82" s="198"/>
      <c r="T82" s="198"/>
      <c r="U82" s="198"/>
    </row>
    <row r="83" spans="1:26" s="12" customFormat="1" x14ac:dyDescent="0.25">
      <c r="A83" s="215" t="s">
        <v>2722</v>
      </c>
      <c r="B83" s="64">
        <v>8.08</v>
      </c>
      <c r="C83" s="64">
        <v>36.840000000000003</v>
      </c>
      <c r="D83" s="64">
        <v>24.35</v>
      </c>
      <c r="E83" s="64">
        <v>4.96</v>
      </c>
      <c r="F83" s="64">
        <v>4.05</v>
      </c>
      <c r="G83" s="64">
        <v>36.6</v>
      </c>
      <c r="H83" s="64">
        <v>8.32</v>
      </c>
      <c r="I83" s="210" t="s">
        <v>36</v>
      </c>
      <c r="J83" s="64">
        <v>1.71</v>
      </c>
      <c r="K83" s="64">
        <v>163.05000000000001</v>
      </c>
      <c r="L83" s="64">
        <v>19.14</v>
      </c>
      <c r="M83" s="64">
        <v>82.44</v>
      </c>
      <c r="N83" s="64">
        <v>61.3</v>
      </c>
      <c r="O83" s="64">
        <v>0</v>
      </c>
      <c r="P83" s="64">
        <v>0</v>
      </c>
      <c r="Q83" s="64">
        <v>8.2100000000000009</v>
      </c>
      <c r="R83" s="198"/>
      <c r="S83" s="198"/>
      <c r="T83" s="198"/>
      <c r="U83" s="198"/>
    </row>
    <row r="84" spans="1:26" s="12" customFormat="1" x14ac:dyDescent="0.25">
      <c r="A84" s="215" t="s">
        <v>2723</v>
      </c>
      <c r="B84" s="64">
        <v>8.99</v>
      </c>
      <c r="C84" s="64">
        <v>34.71</v>
      </c>
      <c r="D84" s="64">
        <v>23.97</v>
      </c>
      <c r="E84" s="64">
        <v>4.9400000000000004</v>
      </c>
      <c r="F84" s="64">
        <v>5.19</v>
      </c>
      <c r="G84" s="64">
        <v>42.37</v>
      </c>
      <c r="H84" s="64">
        <v>8.27</v>
      </c>
      <c r="I84" s="210" t="s">
        <v>36</v>
      </c>
      <c r="J84" s="64">
        <v>1.55</v>
      </c>
      <c r="K84" s="64">
        <v>181.02</v>
      </c>
      <c r="L84" s="64">
        <v>19</v>
      </c>
      <c r="M84" s="64">
        <v>83.01</v>
      </c>
      <c r="N84" s="64">
        <v>61.1</v>
      </c>
      <c r="O84" s="64">
        <v>0</v>
      </c>
      <c r="P84" s="64">
        <v>0</v>
      </c>
      <c r="Q84" s="64">
        <v>8.2100000000000009</v>
      </c>
      <c r="R84" s="198"/>
      <c r="S84" s="198"/>
      <c r="T84" s="198"/>
      <c r="U84" s="198"/>
    </row>
    <row r="85" spans="1:26" s="12" customFormat="1" x14ac:dyDescent="0.25">
      <c r="A85" s="215" t="s">
        <v>2724</v>
      </c>
      <c r="B85" s="64">
        <v>9.7799999999999994</v>
      </c>
      <c r="C85" s="64">
        <v>31.15</v>
      </c>
      <c r="D85" s="64">
        <v>22.74</v>
      </c>
      <c r="E85" s="64">
        <v>4.93</v>
      </c>
      <c r="F85" s="64">
        <v>5.0199999999999996</v>
      </c>
      <c r="G85" s="64">
        <v>42.37</v>
      </c>
      <c r="H85" s="64">
        <v>8.27</v>
      </c>
      <c r="I85" s="210" t="s">
        <v>36</v>
      </c>
      <c r="J85" s="64">
        <v>1.56</v>
      </c>
      <c r="K85" s="64">
        <v>197.74</v>
      </c>
      <c r="L85" s="64">
        <v>18.850000000000001</v>
      </c>
      <c r="M85" s="64">
        <v>83.95</v>
      </c>
      <c r="N85" s="64">
        <v>61.1</v>
      </c>
      <c r="O85" s="64">
        <v>0</v>
      </c>
      <c r="P85" s="64">
        <v>0</v>
      </c>
      <c r="Q85" s="64">
        <v>8.2100000000000009</v>
      </c>
      <c r="R85" s="198"/>
      <c r="S85" s="198"/>
      <c r="T85" s="198"/>
      <c r="U85" s="198"/>
    </row>
    <row r="86" spans="1:26" s="12" customFormat="1" x14ac:dyDescent="0.25">
      <c r="A86" s="215" t="s">
        <v>2725</v>
      </c>
      <c r="B86" s="64">
        <v>10.78</v>
      </c>
      <c r="C86" s="64">
        <v>31.38</v>
      </c>
      <c r="D86" s="64">
        <v>23.66</v>
      </c>
      <c r="E86" s="64">
        <v>4.7</v>
      </c>
      <c r="F86" s="64">
        <v>4.58</v>
      </c>
      <c r="G86" s="64">
        <v>42.37</v>
      </c>
      <c r="H86" s="64">
        <v>8.27</v>
      </c>
      <c r="I86" s="210" t="s">
        <v>36</v>
      </c>
      <c r="J86" s="64">
        <v>1.74</v>
      </c>
      <c r="K86" s="64">
        <v>249.87</v>
      </c>
      <c r="L86" s="64">
        <v>18.52</v>
      </c>
      <c r="M86" s="64">
        <v>86.65</v>
      </c>
      <c r="N86" s="64">
        <v>61.1</v>
      </c>
      <c r="O86" s="64">
        <v>0</v>
      </c>
      <c r="P86" s="64">
        <v>0</v>
      </c>
      <c r="Q86" s="64">
        <v>8.2100000000000009</v>
      </c>
      <c r="R86" s="198"/>
      <c r="S86" s="198"/>
      <c r="T86" s="198"/>
      <c r="U86" s="198"/>
    </row>
    <row r="87" spans="1:26" s="12" customFormat="1" x14ac:dyDescent="0.25">
      <c r="A87" s="215" t="s">
        <v>2726</v>
      </c>
      <c r="B87" s="64">
        <v>11.99</v>
      </c>
      <c r="C87" s="64">
        <v>31.99</v>
      </c>
      <c r="D87" s="64">
        <v>24.96</v>
      </c>
      <c r="E87" s="64">
        <v>5.07</v>
      </c>
      <c r="F87" s="64">
        <v>4.34</v>
      </c>
      <c r="G87" s="64">
        <v>44.32</v>
      </c>
      <c r="H87" s="64">
        <v>12.32</v>
      </c>
      <c r="I87" s="210" t="s">
        <v>36</v>
      </c>
      <c r="J87" s="64">
        <v>1.81</v>
      </c>
      <c r="K87" s="64">
        <v>304.51</v>
      </c>
      <c r="L87" s="64">
        <v>18.21</v>
      </c>
      <c r="M87" s="64">
        <v>88.79</v>
      </c>
      <c r="N87" s="64">
        <v>60.8</v>
      </c>
      <c r="O87" s="64">
        <v>0</v>
      </c>
      <c r="P87" s="64">
        <v>0</v>
      </c>
      <c r="Q87" s="64">
        <v>8.2100000000000009</v>
      </c>
      <c r="R87" s="198"/>
      <c r="S87" s="198"/>
      <c r="T87" s="198"/>
      <c r="U87" s="198"/>
    </row>
    <row r="88" spans="1:26" s="12" customFormat="1" x14ac:dyDescent="0.25">
      <c r="A88" s="215" t="s">
        <v>2727</v>
      </c>
      <c r="B88" s="64">
        <v>14</v>
      </c>
      <c r="C88" s="64">
        <v>32.81</v>
      </c>
      <c r="D88" s="64">
        <v>26.99</v>
      </c>
      <c r="E88" s="64">
        <v>5.12</v>
      </c>
      <c r="F88" s="64">
        <v>4.2</v>
      </c>
      <c r="G88" s="64">
        <v>45.15</v>
      </c>
      <c r="H88" s="64">
        <v>12.65</v>
      </c>
      <c r="I88" s="210" t="s">
        <v>36</v>
      </c>
      <c r="J88" s="64">
        <v>1.9</v>
      </c>
      <c r="K88" s="64">
        <v>294.69</v>
      </c>
      <c r="L88" s="64">
        <v>17.82</v>
      </c>
      <c r="M88" s="64">
        <v>92.16</v>
      </c>
      <c r="N88" s="64">
        <v>60.5</v>
      </c>
      <c r="O88" s="64">
        <v>0</v>
      </c>
      <c r="P88" s="64">
        <v>0</v>
      </c>
      <c r="Q88" s="64">
        <v>8.2100000000000009</v>
      </c>
      <c r="R88" s="198"/>
      <c r="S88" s="198"/>
      <c r="T88" s="198"/>
      <c r="U88" s="198"/>
    </row>
    <row r="89" spans="1:26" s="12" customFormat="1" x14ac:dyDescent="0.25">
      <c r="A89" s="215" t="s">
        <v>2728</v>
      </c>
      <c r="B89" s="64">
        <v>17.43</v>
      </c>
      <c r="C89" s="64">
        <v>33</v>
      </c>
      <c r="D89" s="64">
        <v>29.84</v>
      </c>
      <c r="E89" s="64">
        <v>5.26</v>
      </c>
      <c r="F89" s="64">
        <v>4.24</v>
      </c>
      <c r="G89" s="64">
        <v>45.15</v>
      </c>
      <c r="H89" s="64">
        <v>12.65</v>
      </c>
      <c r="I89" s="210" t="s">
        <v>36</v>
      </c>
      <c r="J89" s="64">
        <v>1.68</v>
      </c>
      <c r="K89" s="64">
        <v>312.92</v>
      </c>
      <c r="L89" s="64">
        <v>17.489999999999998</v>
      </c>
      <c r="M89" s="64">
        <v>96.64</v>
      </c>
      <c r="N89" s="64">
        <v>60.2</v>
      </c>
      <c r="O89" s="64">
        <v>0</v>
      </c>
      <c r="P89" s="64">
        <v>0</v>
      </c>
      <c r="Q89" s="64">
        <v>8.2100000000000009</v>
      </c>
      <c r="R89" s="198"/>
      <c r="S89" s="198"/>
      <c r="T89" s="198"/>
      <c r="U89" s="198"/>
    </row>
    <row r="90" spans="1:26" s="12" customFormat="1" x14ac:dyDescent="0.25">
      <c r="A90" s="215" t="s">
        <v>2729</v>
      </c>
      <c r="B90" s="64">
        <v>22.23</v>
      </c>
      <c r="C90" s="64">
        <v>33.43</v>
      </c>
      <c r="D90" s="64">
        <v>33.92</v>
      </c>
      <c r="E90" s="64">
        <v>5.55</v>
      </c>
      <c r="F90" s="64">
        <v>4.99</v>
      </c>
      <c r="G90" s="64">
        <v>45.15</v>
      </c>
      <c r="H90" s="64">
        <v>12.65</v>
      </c>
      <c r="I90" s="210" t="s">
        <v>36</v>
      </c>
      <c r="J90" s="64">
        <v>1.87</v>
      </c>
      <c r="K90" s="64">
        <v>310.36</v>
      </c>
      <c r="L90" s="64">
        <v>17.23</v>
      </c>
      <c r="M90" s="64">
        <v>98.93</v>
      </c>
      <c r="N90" s="64">
        <v>59.9</v>
      </c>
      <c r="O90" s="64">
        <v>0</v>
      </c>
      <c r="P90" s="64">
        <v>0</v>
      </c>
      <c r="Q90" s="64">
        <v>8.2100000000000009</v>
      </c>
      <c r="R90" s="198"/>
      <c r="S90" s="198"/>
      <c r="T90" s="198"/>
      <c r="U90" s="198"/>
    </row>
    <row r="91" spans="1:26" s="12" customFormat="1" x14ac:dyDescent="0.25">
      <c r="A91" s="215" t="s">
        <v>2730</v>
      </c>
      <c r="B91" s="64">
        <v>28.2</v>
      </c>
      <c r="C91" s="64">
        <v>33.56</v>
      </c>
      <c r="D91" s="64">
        <v>38.78</v>
      </c>
      <c r="E91" s="64">
        <v>5.92</v>
      </c>
      <c r="F91" s="64">
        <v>4.07</v>
      </c>
      <c r="G91" s="64">
        <v>61.39</v>
      </c>
      <c r="H91" s="64">
        <v>14.73</v>
      </c>
      <c r="I91" s="210" t="s">
        <v>36</v>
      </c>
      <c r="J91" s="64">
        <v>1.52</v>
      </c>
      <c r="K91" s="64">
        <v>311.02999999999997</v>
      </c>
      <c r="L91" s="64">
        <v>17.02</v>
      </c>
      <c r="M91" s="64">
        <v>100.53</v>
      </c>
      <c r="N91" s="64">
        <v>59.9</v>
      </c>
      <c r="O91" s="64">
        <v>0</v>
      </c>
      <c r="P91" s="64">
        <v>0</v>
      </c>
      <c r="Q91" s="64">
        <v>8.23</v>
      </c>
      <c r="R91" s="198"/>
      <c r="S91" s="198"/>
      <c r="T91" s="198"/>
      <c r="U91" s="198"/>
    </row>
    <row r="92" spans="1:26" s="12" customFormat="1" x14ac:dyDescent="0.25">
      <c r="A92" s="215" t="s">
        <v>2731</v>
      </c>
      <c r="B92" s="64">
        <v>34.65</v>
      </c>
      <c r="C92" s="64">
        <v>36.04</v>
      </c>
      <c r="D92" s="64">
        <v>45.24</v>
      </c>
      <c r="E92" s="64">
        <v>6.57</v>
      </c>
      <c r="F92" s="64">
        <v>3.98</v>
      </c>
      <c r="G92" s="64">
        <v>68.36</v>
      </c>
      <c r="H92" s="64">
        <v>14.96</v>
      </c>
      <c r="I92" s="210" t="s">
        <v>36</v>
      </c>
      <c r="J92" s="64">
        <v>1.89</v>
      </c>
      <c r="K92" s="64">
        <v>286.02999999999997</v>
      </c>
      <c r="L92" s="64">
        <v>16.82</v>
      </c>
      <c r="M92" s="64">
        <v>100.7</v>
      </c>
      <c r="N92" s="64">
        <v>59.9</v>
      </c>
      <c r="O92" s="64">
        <v>0</v>
      </c>
      <c r="P92" s="64">
        <v>0</v>
      </c>
      <c r="Q92" s="64">
        <v>8.66</v>
      </c>
      <c r="R92" s="198"/>
      <c r="S92" s="198"/>
      <c r="T92" s="198"/>
      <c r="U92" s="198"/>
    </row>
    <row r="93" spans="1:26" s="12" customFormat="1" x14ac:dyDescent="0.25">
      <c r="A93" s="215" t="s">
        <v>2732</v>
      </c>
      <c r="B93" s="64">
        <v>42.74</v>
      </c>
      <c r="C93" s="64">
        <v>35.24</v>
      </c>
      <c r="D93" s="64">
        <v>51.31</v>
      </c>
      <c r="E93" s="64">
        <v>7.06</v>
      </c>
      <c r="F93" s="64">
        <v>4.3899999999999997</v>
      </c>
      <c r="G93" s="64">
        <v>68.36</v>
      </c>
      <c r="H93" s="64">
        <v>14.96</v>
      </c>
      <c r="I93" s="210" t="s">
        <v>36</v>
      </c>
      <c r="J93" s="64">
        <v>1.78</v>
      </c>
      <c r="K93" s="64">
        <v>343.61</v>
      </c>
      <c r="L93" s="64">
        <v>16.690000000000001</v>
      </c>
      <c r="M93" s="64">
        <v>101.09</v>
      </c>
      <c r="N93" s="64">
        <v>59.9</v>
      </c>
      <c r="O93" s="64">
        <v>0</v>
      </c>
      <c r="P93" s="64">
        <v>0</v>
      </c>
      <c r="Q93" s="64">
        <v>9.3000000000000007</v>
      </c>
      <c r="R93" s="198"/>
      <c r="S93" s="198"/>
      <c r="T93" s="198"/>
      <c r="U93" s="198"/>
    </row>
    <row r="94" spans="1:26" s="12" customFormat="1" x14ac:dyDescent="0.25">
      <c r="A94" s="215" t="s">
        <v>2733</v>
      </c>
      <c r="B94" s="64">
        <v>51.36</v>
      </c>
      <c r="C94" s="64">
        <v>36.24</v>
      </c>
      <c r="D94" s="64">
        <v>58.75</v>
      </c>
      <c r="E94" s="64">
        <v>7.13</v>
      </c>
      <c r="F94" s="64">
        <v>4.2300000000000004</v>
      </c>
      <c r="G94" s="64">
        <v>68.36</v>
      </c>
      <c r="H94" s="64">
        <v>14.96</v>
      </c>
      <c r="I94" s="210" t="s">
        <v>36</v>
      </c>
      <c r="J94" s="64">
        <v>2.0499999999999998</v>
      </c>
      <c r="K94" s="64">
        <v>344.45</v>
      </c>
      <c r="L94" s="64">
        <v>16.670000000000002</v>
      </c>
      <c r="M94" s="64">
        <v>101.95</v>
      </c>
      <c r="N94" s="64">
        <v>59.9</v>
      </c>
      <c r="O94" s="64">
        <v>0</v>
      </c>
      <c r="P94" s="64">
        <v>0</v>
      </c>
      <c r="Q94" s="64">
        <v>9.8000000000000007</v>
      </c>
      <c r="R94" s="198"/>
      <c r="S94" s="198"/>
      <c r="T94" s="198"/>
      <c r="U94" s="198"/>
    </row>
    <row r="95" spans="1:26" s="12" customFormat="1" x14ac:dyDescent="0.25">
      <c r="A95" s="215" t="s">
        <v>2734</v>
      </c>
      <c r="B95" s="64">
        <v>58.99</v>
      </c>
      <c r="C95" s="64">
        <v>36.81</v>
      </c>
      <c r="D95" s="64">
        <v>65.16</v>
      </c>
      <c r="E95" s="64">
        <v>7.24</v>
      </c>
      <c r="F95" s="64">
        <v>4.33</v>
      </c>
      <c r="G95" s="64">
        <v>85.18</v>
      </c>
      <c r="H95" s="64">
        <v>15.63</v>
      </c>
      <c r="I95" s="210" t="s">
        <v>36</v>
      </c>
      <c r="J95" s="64">
        <v>1.94</v>
      </c>
      <c r="K95" s="64">
        <v>309.43</v>
      </c>
      <c r="L95" s="64">
        <v>16.489999999999998</v>
      </c>
      <c r="M95" s="64">
        <v>101.96</v>
      </c>
      <c r="N95" s="64">
        <v>60.1</v>
      </c>
      <c r="O95" s="64">
        <v>0</v>
      </c>
      <c r="P95" s="64">
        <v>0</v>
      </c>
      <c r="Q95" s="64">
        <v>9.91</v>
      </c>
      <c r="R95" s="198"/>
      <c r="S95" s="198"/>
      <c r="T95" s="198"/>
      <c r="U95" s="198"/>
    </row>
    <row r="96" spans="1:26" s="12" customFormat="1" x14ac:dyDescent="0.25">
      <c r="A96" s="215" t="s">
        <v>2735</v>
      </c>
      <c r="B96" s="64">
        <v>63.25</v>
      </c>
      <c r="C96" s="64">
        <v>36.950000000000003</v>
      </c>
      <c r="D96" s="64">
        <v>68.650000000000006</v>
      </c>
      <c r="E96" s="64">
        <v>7.39</v>
      </c>
      <c r="F96" s="64">
        <v>3.73</v>
      </c>
      <c r="G96" s="64">
        <v>92.39</v>
      </c>
      <c r="H96" s="64">
        <v>15.67</v>
      </c>
      <c r="I96" s="210" t="s">
        <v>36</v>
      </c>
      <c r="J96" s="64">
        <v>1.8</v>
      </c>
      <c r="K96" s="64">
        <v>339.96</v>
      </c>
      <c r="L96" s="64">
        <v>16.38</v>
      </c>
      <c r="M96" s="64">
        <v>101.96</v>
      </c>
      <c r="N96" s="64">
        <v>60.3</v>
      </c>
      <c r="O96" s="64">
        <v>0</v>
      </c>
      <c r="P96" s="64">
        <v>0</v>
      </c>
      <c r="Q96" s="64">
        <v>9.9600000000000009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2736</v>
      </c>
      <c r="B97" s="64">
        <v>68.02</v>
      </c>
      <c r="C97" s="64">
        <v>37.24</v>
      </c>
      <c r="D97" s="64">
        <v>72.62</v>
      </c>
      <c r="E97" s="64">
        <v>7.64</v>
      </c>
      <c r="F97" s="64">
        <v>3.92</v>
      </c>
      <c r="G97" s="64">
        <v>92.39</v>
      </c>
      <c r="H97" s="64">
        <v>15.67</v>
      </c>
      <c r="I97" s="210" t="s">
        <v>36</v>
      </c>
      <c r="J97" s="64">
        <v>2.14</v>
      </c>
      <c r="K97" s="64">
        <v>357.75</v>
      </c>
      <c r="L97" s="64">
        <v>16.29</v>
      </c>
      <c r="M97" s="64">
        <v>101.98</v>
      </c>
      <c r="N97" s="64">
        <v>60.2</v>
      </c>
      <c r="O97" s="64">
        <v>0</v>
      </c>
      <c r="P97" s="64">
        <v>0</v>
      </c>
      <c r="Q97" s="64">
        <v>10.01</v>
      </c>
      <c r="R97" s="198"/>
      <c r="S97" s="198"/>
      <c r="T97" s="198"/>
      <c r="U97" s="198"/>
    </row>
    <row r="98" spans="1:33" s="12" customFormat="1" x14ac:dyDescent="0.25">
      <c r="A98" s="215" t="s">
        <v>2737</v>
      </c>
      <c r="B98" s="64">
        <v>78.39</v>
      </c>
      <c r="C98" s="64">
        <v>37.82</v>
      </c>
      <c r="D98" s="64">
        <v>81.25</v>
      </c>
      <c r="E98" s="64">
        <v>8.61</v>
      </c>
      <c r="F98" s="64">
        <v>4.54</v>
      </c>
      <c r="G98" s="64">
        <v>92.39</v>
      </c>
      <c r="H98" s="64">
        <v>15.67</v>
      </c>
      <c r="I98" s="210" t="s">
        <v>36</v>
      </c>
      <c r="J98" s="64">
        <v>2.12</v>
      </c>
      <c r="K98" s="64">
        <v>355.95</v>
      </c>
      <c r="L98" s="64">
        <v>16.16</v>
      </c>
      <c r="M98" s="64">
        <v>101.98</v>
      </c>
      <c r="N98" s="64">
        <v>60.1</v>
      </c>
      <c r="O98" s="64">
        <v>0</v>
      </c>
      <c r="P98" s="64">
        <v>0</v>
      </c>
      <c r="Q98" s="64">
        <v>10.08</v>
      </c>
      <c r="R98" s="198"/>
      <c r="S98" s="198"/>
      <c r="T98" s="198"/>
      <c r="U98" s="198"/>
    </row>
    <row r="99" spans="1:33" s="12" customFormat="1" x14ac:dyDescent="0.25">
      <c r="A99" s="215" t="s">
        <v>2738</v>
      </c>
      <c r="B99" s="64">
        <v>87.09</v>
      </c>
      <c r="C99" s="64">
        <v>37.61</v>
      </c>
      <c r="D99" s="64">
        <v>88.11</v>
      </c>
      <c r="E99" s="64">
        <v>8.69</v>
      </c>
      <c r="F99" s="64">
        <v>3.92</v>
      </c>
      <c r="G99" s="64">
        <v>104.42</v>
      </c>
      <c r="H99" s="64">
        <v>22.49</v>
      </c>
      <c r="I99" s="210" t="s">
        <v>36</v>
      </c>
      <c r="J99" s="64">
        <v>2.0699999999999998</v>
      </c>
      <c r="K99" s="64">
        <v>302.45</v>
      </c>
      <c r="L99" s="64">
        <v>16.2</v>
      </c>
      <c r="M99" s="64">
        <v>102</v>
      </c>
      <c r="N99" s="64">
        <v>60</v>
      </c>
      <c r="O99" s="64">
        <v>0</v>
      </c>
      <c r="P99" s="64">
        <v>0</v>
      </c>
      <c r="Q99" s="64">
        <v>10.14</v>
      </c>
      <c r="R99" s="198"/>
      <c r="S99" s="198"/>
      <c r="T99" s="198"/>
      <c r="U99" s="198"/>
    </row>
    <row r="100" spans="1:33" s="12" customFormat="1" x14ac:dyDescent="0.25">
      <c r="A100" s="215" t="s">
        <v>2739</v>
      </c>
      <c r="B100" s="64">
        <v>93.55</v>
      </c>
      <c r="C100" s="64">
        <v>36.56</v>
      </c>
      <c r="D100" s="64">
        <v>92.75</v>
      </c>
      <c r="E100" s="64">
        <v>8.77</v>
      </c>
      <c r="F100" s="64">
        <v>3.5</v>
      </c>
      <c r="G100" s="64">
        <v>109.57</v>
      </c>
      <c r="H100" s="64">
        <v>23.04</v>
      </c>
      <c r="I100" s="210" t="s">
        <v>36</v>
      </c>
      <c r="J100" s="64">
        <v>2.2200000000000002</v>
      </c>
      <c r="K100" s="64">
        <v>277.58</v>
      </c>
      <c r="L100" s="64">
        <v>16.239999999999998</v>
      </c>
      <c r="M100" s="64">
        <v>101.99</v>
      </c>
      <c r="N100" s="64">
        <v>60</v>
      </c>
      <c r="O100" s="64">
        <v>0</v>
      </c>
      <c r="P100" s="64">
        <v>0</v>
      </c>
      <c r="Q100" s="64">
        <v>10.19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2740</v>
      </c>
      <c r="B101" s="64">
        <v>96.66</v>
      </c>
      <c r="C101" s="64">
        <v>35.200000000000003</v>
      </c>
      <c r="D101" s="64">
        <v>94.53</v>
      </c>
      <c r="E101" s="64">
        <v>8.49</v>
      </c>
      <c r="F101" s="64">
        <v>4.66</v>
      </c>
      <c r="G101" s="64">
        <v>109.57</v>
      </c>
      <c r="H101" s="64">
        <v>23.04</v>
      </c>
      <c r="I101" s="210" t="s">
        <v>36</v>
      </c>
      <c r="J101" s="64">
        <v>2.02</v>
      </c>
      <c r="K101" s="64">
        <v>317.66000000000003</v>
      </c>
      <c r="L101" s="64">
        <v>16.420000000000002</v>
      </c>
      <c r="M101" s="64">
        <v>101.97</v>
      </c>
      <c r="N101" s="64">
        <v>59.9</v>
      </c>
      <c r="O101" s="64">
        <v>0</v>
      </c>
      <c r="P101" s="64">
        <v>0</v>
      </c>
      <c r="Q101" s="64">
        <v>10.220000000000001</v>
      </c>
      <c r="R101" s="198"/>
      <c r="S101" s="198"/>
      <c r="T101" s="198"/>
      <c r="U101" s="198"/>
    </row>
    <row r="102" spans="1:33" s="12" customFormat="1" x14ac:dyDescent="0.25">
      <c r="A102" s="215" t="s">
        <v>2741</v>
      </c>
      <c r="B102" s="64">
        <v>98.71</v>
      </c>
      <c r="C102" s="64">
        <v>35.74</v>
      </c>
      <c r="D102" s="64">
        <v>96.46</v>
      </c>
      <c r="E102" s="64">
        <v>8.67</v>
      </c>
      <c r="F102" s="64">
        <v>4.7</v>
      </c>
      <c r="G102" s="64">
        <v>109.57</v>
      </c>
      <c r="H102" s="64">
        <v>23.04</v>
      </c>
      <c r="I102" s="210" t="s">
        <v>36</v>
      </c>
      <c r="J102" s="64">
        <v>2.2599999999999998</v>
      </c>
      <c r="K102" s="64">
        <v>270.54000000000002</v>
      </c>
      <c r="L102" s="64">
        <v>16.43</v>
      </c>
      <c r="M102" s="64">
        <v>101.97</v>
      </c>
      <c r="N102" s="64">
        <v>59.9</v>
      </c>
      <c r="O102" s="64">
        <v>0</v>
      </c>
      <c r="P102" s="64">
        <v>0</v>
      </c>
      <c r="Q102" s="64">
        <v>10.210000000000001</v>
      </c>
      <c r="R102" s="198"/>
      <c r="S102" s="198"/>
      <c r="T102" s="198"/>
      <c r="U102" s="198"/>
    </row>
    <row r="103" spans="1:33" s="12" customFormat="1" x14ac:dyDescent="0.25">
      <c r="A103" s="215" t="s">
        <v>2742</v>
      </c>
      <c r="B103" s="64">
        <v>99.35</v>
      </c>
      <c r="C103" s="64">
        <v>36.49</v>
      </c>
      <c r="D103" s="64">
        <v>97.36</v>
      </c>
      <c r="E103" s="64">
        <v>8.39</v>
      </c>
      <c r="F103" s="64">
        <v>3.93</v>
      </c>
      <c r="G103" s="64">
        <v>90.89</v>
      </c>
      <c r="H103" s="64">
        <v>23.65</v>
      </c>
      <c r="I103" s="210" t="s">
        <v>36</v>
      </c>
      <c r="J103" s="64">
        <v>1.72</v>
      </c>
      <c r="K103" s="64">
        <v>321.27</v>
      </c>
      <c r="L103" s="64">
        <v>16.34</v>
      </c>
      <c r="M103" s="64">
        <v>101.97</v>
      </c>
      <c r="N103" s="64">
        <v>60.1</v>
      </c>
      <c r="O103" s="64">
        <v>0</v>
      </c>
      <c r="P103" s="64">
        <v>0</v>
      </c>
      <c r="Q103" s="64">
        <v>10.26</v>
      </c>
      <c r="R103" s="198"/>
      <c r="S103" s="198"/>
      <c r="T103" s="198"/>
      <c r="U103" s="198"/>
    </row>
    <row r="104" spans="1:33" s="12" customFormat="1" x14ac:dyDescent="0.25">
      <c r="A104" s="215" t="s">
        <v>2743</v>
      </c>
      <c r="B104" s="64">
        <v>100.21</v>
      </c>
      <c r="C104" s="64">
        <v>37.369999999999997</v>
      </c>
      <c r="D104" s="64">
        <v>98.51</v>
      </c>
      <c r="E104" s="64">
        <v>7.66</v>
      </c>
      <c r="F104" s="64">
        <v>4.33</v>
      </c>
      <c r="G104" s="64">
        <v>82.88</v>
      </c>
      <c r="H104" s="64">
        <v>23.69</v>
      </c>
      <c r="I104" s="210" t="s">
        <v>36</v>
      </c>
      <c r="J104" s="64">
        <v>2.1</v>
      </c>
      <c r="K104" s="64">
        <v>345.49</v>
      </c>
      <c r="L104" s="64">
        <v>16.059999999999999</v>
      </c>
      <c r="M104" s="64">
        <v>101.96</v>
      </c>
      <c r="N104" s="64">
        <v>60.2</v>
      </c>
      <c r="O104" s="64">
        <v>0</v>
      </c>
      <c r="P104" s="64">
        <v>0</v>
      </c>
      <c r="Q104" s="64">
        <v>10.28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2.48</v>
      </c>
      <c r="C106" s="67">
        <f>MIN(C9:C104)</f>
        <v>31.15</v>
      </c>
      <c r="D106" s="67">
        <f t="shared" ref="D106:Q106" si="0">MIN(D9:D104)</f>
        <v>18.02</v>
      </c>
      <c r="E106" s="67">
        <f t="shared" si="0"/>
        <v>3.77</v>
      </c>
      <c r="F106" s="67">
        <f t="shared" si="0"/>
        <v>2.97</v>
      </c>
      <c r="G106" s="67">
        <f t="shared" si="0"/>
        <v>17.98</v>
      </c>
      <c r="H106" s="67">
        <f t="shared" si="0"/>
        <v>4.5599999999999996</v>
      </c>
      <c r="I106" s="67">
        <f t="shared" si="0"/>
        <v>0</v>
      </c>
      <c r="J106" s="67">
        <f t="shared" si="0"/>
        <v>0.11</v>
      </c>
      <c r="K106" s="67">
        <f t="shared" si="0"/>
        <v>2.58</v>
      </c>
      <c r="L106" s="67">
        <f t="shared" si="0"/>
        <v>13.16</v>
      </c>
      <c r="M106" s="67">
        <f t="shared" si="0"/>
        <v>62.57</v>
      </c>
      <c r="N106" s="67">
        <f t="shared" si="0"/>
        <v>52.1</v>
      </c>
      <c r="O106" s="67">
        <f t="shared" si="0"/>
        <v>0</v>
      </c>
      <c r="P106" s="67">
        <f t="shared" si="0"/>
        <v>0</v>
      </c>
      <c r="Q106" s="67">
        <f t="shared" si="0"/>
        <v>8.2100000000000009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100.21</v>
      </c>
      <c r="C107" s="66">
        <f t="shared" ref="C107:Q107" si="1">MAX(C9:C104)</f>
        <v>43.4</v>
      </c>
      <c r="D107" s="66">
        <f t="shared" si="1"/>
        <v>98.51</v>
      </c>
      <c r="E107" s="66">
        <f t="shared" si="1"/>
        <v>8.77</v>
      </c>
      <c r="F107" s="66">
        <f t="shared" si="1"/>
        <v>11.48</v>
      </c>
      <c r="G107" s="66">
        <f t="shared" si="1"/>
        <v>109.57</v>
      </c>
      <c r="H107" s="66">
        <f t="shared" si="1"/>
        <v>23.69</v>
      </c>
      <c r="I107" s="66">
        <f t="shared" si="1"/>
        <v>0</v>
      </c>
      <c r="J107" s="66">
        <f t="shared" si="1"/>
        <v>5.25</v>
      </c>
      <c r="K107" s="66">
        <f t="shared" si="1"/>
        <v>359.44</v>
      </c>
      <c r="L107" s="66">
        <f t="shared" si="1"/>
        <v>23.79</v>
      </c>
      <c r="M107" s="66">
        <f t="shared" si="1"/>
        <v>102</v>
      </c>
      <c r="N107" s="66">
        <f t="shared" si="1"/>
        <v>674.6</v>
      </c>
      <c r="O107" s="66">
        <f t="shared" si="1"/>
        <v>0</v>
      </c>
      <c r="P107" s="66">
        <f t="shared" si="1"/>
        <v>0.55000000000000004</v>
      </c>
      <c r="Q107" s="66">
        <f t="shared" si="1"/>
        <v>10.28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18.71916666666667</v>
      </c>
      <c r="C108" s="67">
        <f t="shared" ref="C108:Q108" si="2">AVERAGE(C9:C104)</f>
        <v>36.149895833333325</v>
      </c>
      <c r="D108" s="67">
        <f t="shared" si="2"/>
        <v>32.523020833333341</v>
      </c>
      <c r="E108" s="67">
        <f t="shared" si="2"/>
        <v>5.6027083333333314</v>
      </c>
      <c r="F108" s="67">
        <f t="shared" si="2"/>
        <v>4.651458333333335</v>
      </c>
      <c r="G108" s="67">
        <f t="shared" si="2"/>
        <v>36.650937500000005</v>
      </c>
      <c r="H108" s="67">
        <f t="shared" si="2"/>
        <v>10.20260416666666</v>
      </c>
      <c r="I108" s="67" t="e">
        <f t="shared" si="2"/>
        <v>#DIV/0!</v>
      </c>
      <c r="J108" s="67">
        <f t="shared" si="2"/>
        <v>2.191979166666667</v>
      </c>
      <c r="K108" s="67">
        <f t="shared" si="2"/>
        <v>178.71906250000006</v>
      </c>
      <c r="L108" s="67">
        <f t="shared" si="2"/>
        <v>17.803854166666675</v>
      </c>
      <c r="M108" s="67">
        <f t="shared" si="2"/>
        <v>88.876979166666615</v>
      </c>
      <c r="N108" s="67">
        <f t="shared" si="2"/>
        <v>142.66875000000002</v>
      </c>
      <c r="O108" s="67">
        <f t="shared" si="2"/>
        <v>0</v>
      </c>
      <c r="P108" s="67">
        <f t="shared" si="2"/>
        <v>0.23937499999999998</v>
      </c>
      <c r="Q108" s="67">
        <f t="shared" si="2"/>
        <v>8.442395833333336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24.604205402913781</v>
      </c>
      <c r="C109" s="67">
        <f t="shared" ref="C109:Q109" si="3">STDEV(C9:C104)</f>
        <v>2.385925174099873</v>
      </c>
      <c r="D109" s="67">
        <f t="shared" si="3"/>
        <v>19.803474821077092</v>
      </c>
      <c r="E109" s="67">
        <f t="shared" si="3"/>
        <v>1.3497184729195868</v>
      </c>
      <c r="F109" s="67">
        <f t="shared" si="3"/>
        <v>1.8123877702700768</v>
      </c>
      <c r="G109" s="67">
        <f t="shared" si="3"/>
        <v>23.339871152764132</v>
      </c>
      <c r="H109" s="67">
        <f t="shared" si="3"/>
        <v>4.1977824333159806</v>
      </c>
      <c r="I109" s="67" t="e">
        <f t="shared" si="3"/>
        <v>#DIV/0!</v>
      </c>
      <c r="J109" s="67">
        <f t="shared" si="3"/>
        <v>1.1594241944686579</v>
      </c>
      <c r="K109" s="67">
        <f t="shared" si="3"/>
        <v>108.53813632062204</v>
      </c>
      <c r="L109" s="67">
        <f t="shared" si="3"/>
        <v>3.1851849057427666</v>
      </c>
      <c r="M109" s="67">
        <f t="shared" si="3"/>
        <v>14.314461669367173</v>
      </c>
      <c r="N109" s="67">
        <f t="shared" si="3"/>
        <v>135.47076228548542</v>
      </c>
      <c r="O109" s="67">
        <f t="shared" si="3"/>
        <v>0</v>
      </c>
      <c r="P109" s="67">
        <f t="shared" si="3"/>
        <v>0.22996023683740588</v>
      </c>
      <c r="Q109" s="67">
        <f t="shared" si="3"/>
        <v>0.61212785866261377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COUNT(G9:G104)+4</f>
        <v>100</v>
      </c>
      <c r="H110" s="66">
        <f>COUNT(H9:H104)+4</f>
        <v>100</v>
      </c>
      <c r="I110" s="66">
        <f>COUNT(I9:I104)+96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COUNT(Q9:Q104)+1</f>
        <v>97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P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/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11" sqref="I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247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27/12/2024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231</v>
      </c>
      <c r="C7" s="198" t="s">
        <v>232</v>
      </c>
      <c r="D7" s="198" t="s">
        <v>233</v>
      </c>
      <c r="E7" s="198" t="s">
        <v>234</v>
      </c>
      <c r="F7" s="198" t="s">
        <v>235</v>
      </c>
      <c r="G7" s="198" t="s">
        <v>236</v>
      </c>
      <c r="H7" s="198" t="s">
        <v>237</v>
      </c>
      <c r="I7" s="198" t="s">
        <v>238</v>
      </c>
      <c r="J7" s="198" t="s">
        <v>239</v>
      </c>
      <c r="K7" s="198" t="s">
        <v>240</v>
      </c>
      <c r="L7" s="198" t="s">
        <v>241</v>
      </c>
      <c r="M7" s="198" t="s">
        <v>242</v>
      </c>
      <c r="N7" s="198" t="s">
        <v>243</v>
      </c>
      <c r="O7" s="198" t="s">
        <v>244</v>
      </c>
      <c r="P7" s="198" t="s">
        <v>245</v>
      </c>
      <c r="Q7" s="198" t="s">
        <v>246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2744</v>
      </c>
      <c r="B9" s="64">
        <v>100.23</v>
      </c>
      <c r="C9" s="64">
        <v>37.840000000000003</v>
      </c>
      <c r="D9" s="64">
        <v>98.77</v>
      </c>
      <c r="E9" s="64">
        <v>8.44</v>
      </c>
      <c r="F9" s="64">
        <v>4.09</v>
      </c>
      <c r="G9" s="64">
        <v>82.88</v>
      </c>
      <c r="H9" s="64">
        <v>23.69</v>
      </c>
      <c r="I9" s="210" t="s">
        <v>36</v>
      </c>
      <c r="J9" s="64">
        <v>2.2799999999999998</v>
      </c>
      <c r="K9" s="64">
        <v>14</v>
      </c>
      <c r="L9" s="64">
        <v>16</v>
      </c>
      <c r="M9" s="64">
        <v>101.96</v>
      </c>
      <c r="N9" s="64">
        <v>59.9</v>
      </c>
      <c r="O9" s="64">
        <v>0</v>
      </c>
      <c r="P9" s="64">
        <v>0</v>
      </c>
      <c r="Q9" s="64">
        <v>10.3</v>
      </c>
      <c r="R9" s="198"/>
      <c r="S9" s="198"/>
      <c r="T9" s="198"/>
      <c r="U9" s="198"/>
    </row>
    <row r="10" spans="1:21" s="12" customFormat="1" x14ac:dyDescent="0.25">
      <c r="A10" s="215" t="s">
        <v>2745</v>
      </c>
      <c r="B10" s="64">
        <v>99.74</v>
      </c>
      <c r="C10" s="64">
        <v>37.04</v>
      </c>
      <c r="D10" s="64">
        <v>97.96</v>
      </c>
      <c r="E10" s="64">
        <v>8.2799999999999994</v>
      </c>
      <c r="F10" s="64">
        <v>4.26</v>
      </c>
      <c r="G10" s="64">
        <v>82.88</v>
      </c>
      <c r="H10" s="64">
        <v>23.69</v>
      </c>
      <c r="I10" s="210" t="s">
        <v>36</v>
      </c>
      <c r="J10" s="64">
        <v>1.91</v>
      </c>
      <c r="K10" s="64">
        <v>325.58999999999997</v>
      </c>
      <c r="L10" s="64">
        <v>15.83</v>
      </c>
      <c r="M10" s="64">
        <v>101.97</v>
      </c>
      <c r="N10" s="64">
        <v>60</v>
      </c>
      <c r="O10" s="64">
        <v>0</v>
      </c>
      <c r="P10" s="64">
        <v>0</v>
      </c>
      <c r="Q10" s="64">
        <v>10.31</v>
      </c>
      <c r="R10" s="198"/>
      <c r="S10" s="198"/>
      <c r="T10" s="198"/>
      <c r="U10" s="198"/>
    </row>
    <row r="11" spans="1:21" s="12" customFormat="1" x14ac:dyDescent="0.25">
      <c r="A11" s="215" t="s">
        <v>2746</v>
      </c>
      <c r="B11" s="64">
        <v>99.27</v>
      </c>
      <c r="C11" s="64">
        <v>37.299999999999997</v>
      </c>
      <c r="D11" s="64">
        <v>97.71</v>
      </c>
      <c r="E11" s="64">
        <v>8.31</v>
      </c>
      <c r="F11" s="64">
        <v>4.8600000000000003</v>
      </c>
      <c r="G11" s="64">
        <v>80.73</v>
      </c>
      <c r="H11" s="64">
        <v>22.34</v>
      </c>
      <c r="I11" s="210" t="s">
        <v>36</v>
      </c>
      <c r="J11" s="64">
        <v>1.22</v>
      </c>
      <c r="K11" s="64">
        <v>313.61</v>
      </c>
      <c r="L11" s="64">
        <v>15.61</v>
      </c>
      <c r="M11" s="64">
        <v>102</v>
      </c>
      <c r="N11" s="64">
        <v>59.7</v>
      </c>
      <c r="O11" s="64">
        <v>0</v>
      </c>
      <c r="P11" s="64">
        <v>0</v>
      </c>
      <c r="Q11" s="64">
        <v>10.31</v>
      </c>
      <c r="R11" s="198"/>
      <c r="S11" s="198"/>
      <c r="T11" s="198"/>
      <c r="U11" s="198"/>
    </row>
    <row r="12" spans="1:21" s="12" customFormat="1" x14ac:dyDescent="0.25">
      <c r="A12" s="215" t="s">
        <v>2747</v>
      </c>
      <c r="B12" s="64">
        <v>97.87</v>
      </c>
      <c r="C12" s="64">
        <v>40.24</v>
      </c>
      <c r="D12" s="64">
        <v>98.13</v>
      </c>
      <c r="E12" s="64">
        <v>8.0299999999999994</v>
      </c>
      <c r="F12" s="64">
        <v>4.6500000000000004</v>
      </c>
      <c r="G12" s="64">
        <v>79.760000000000005</v>
      </c>
      <c r="H12" s="64">
        <v>22.2</v>
      </c>
      <c r="I12" s="210" t="s">
        <v>36</v>
      </c>
      <c r="J12" s="64">
        <v>1.1599999999999999</v>
      </c>
      <c r="K12" s="64">
        <v>152.38999999999999</v>
      </c>
      <c r="L12" s="64">
        <v>15.81</v>
      </c>
      <c r="M12" s="64">
        <v>101.99</v>
      </c>
      <c r="N12" s="64">
        <v>59.5</v>
      </c>
      <c r="O12" s="64">
        <v>0</v>
      </c>
      <c r="P12" s="64">
        <v>0</v>
      </c>
      <c r="Q12" s="64">
        <v>10.32</v>
      </c>
      <c r="R12" s="198"/>
      <c r="S12" s="198"/>
      <c r="T12" s="198"/>
      <c r="U12" s="198"/>
    </row>
    <row r="13" spans="1:21" s="12" customFormat="1" x14ac:dyDescent="0.25">
      <c r="A13" s="215" t="s">
        <v>2748</v>
      </c>
      <c r="B13" s="64">
        <v>95.3</v>
      </c>
      <c r="C13" s="64">
        <v>41.44</v>
      </c>
      <c r="D13" s="64">
        <v>96.7</v>
      </c>
      <c r="E13" s="64">
        <v>7.85</v>
      </c>
      <c r="F13" s="64">
        <v>3.81</v>
      </c>
      <c r="G13" s="64">
        <v>79.760000000000005</v>
      </c>
      <c r="H13" s="64">
        <v>22.2</v>
      </c>
      <c r="I13" s="210" t="s">
        <v>36</v>
      </c>
      <c r="J13" s="64">
        <v>2.52</v>
      </c>
      <c r="K13" s="64">
        <v>114.2</v>
      </c>
      <c r="L13" s="64">
        <v>16.43</v>
      </c>
      <c r="M13" s="64">
        <v>100.92</v>
      </c>
      <c r="N13" s="64">
        <v>59.1</v>
      </c>
      <c r="O13" s="64">
        <v>0</v>
      </c>
      <c r="P13" s="64">
        <v>0</v>
      </c>
      <c r="Q13" s="64">
        <v>10.31</v>
      </c>
      <c r="R13" s="198"/>
      <c r="S13" s="198"/>
      <c r="T13" s="198"/>
      <c r="U13" s="198"/>
    </row>
    <row r="14" spans="1:21" s="12" customFormat="1" x14ac:dyDescent="0.25">
      <c r="A14" s="215" t="s">
        <v>2749</v>
      </c>
      <c r="B14" s="64">
        <v>91.65</v>
      </c>
      <c r="C14" s="64">
        <v>39.229999999999997</v>
      </c>
      <c r="D14" s="64">
        <v>92.61</v>
      </c>
      <c r="E14" s="64">
        <v>7.38</v>
      </c>
      <c r="F14" s="64">
        <v>4.5199999999999996</v>
      </c>
      <c r="G14" s="64">
        <v>79.760000000000005</v>
      </c>
      <c r="H14" s="64">
        <v>22.2</v>
      </c>
      <c r="I14" s="210" t="s">
        <v>36</v>
      </c>
      <c r="J14" s="64">
        <v>1.52</v>
      </c>
      <c r="K14" s="64">
        <v>109.45</v>
      </c>
      <c r="L14" s="64">
        <v>16.66</v>
      </c>
      <c r="M14" s="64">
        <v>99.69</v>
      </c>
      <c r="N14" s="64">
        <v>59.6</v>
      </c>
      <c r="O14" s="64">
        <v>0</v>
      </c>
      <c r="P14" s="64">
        <v>0</v>
      </c>
      <c r="Q14" s="64">
        <v>10.26</v>
      </c>
      <c r="R14" s="198"/>
      <c r="S14" s="198"/>
      <c r="T14" s="198"/>
      <c r="U14" s="198"/>
    </row>
    <row r="15" spans="1:21" s="12" customFormat="1" x14ac:dyDescent="0.25">
      <c r="A15" s="215" t="s">
        <v>2750</v>
      </c>
      <c r="B15" s="64">
        <v>87.82</v>
      </c>
      <c r="C15" s="64">
        <v>37.04</v>
      </c>
      <c r="D15" s="64">
        <v>88.4</v>
      </c>
      <c r="E15" s="64">
        <v>7.07</v>
      </c>
      <c r="F15" s="64">
        <v>4.46</v>
      </c>
      <c r="G15" s="64">
        <v>67.86</v>
      </c>
      <c r="H15" s="64">
        <v>16.82</v>
      </c>
      <c r="I15" s="210" t="s">
        <v>36</v>
      </c>
      <c r="J15" s="64">
        <v>0.73</v>
      </c>
      <c r="K15" s="64">
        <v>308.45</v>
      </c>
      <c r="L15" s="64">
        <v>16.55</v>
      </c>
      <c r="M15" s="64">
        <v>100.29</v>
      </c>
      <c r="N15" s="64">
        <v>59.9</v>
      </c>
      <c r="O15" s="64">
        <v>0</v>
      </c>
      <c r="P15" s="64">
        <v>0</v>
      </c>
      <c r="Q15" s="64">
        <v>10.23</v>
      </c>
      <c r="R15" s="198"/>
      <c r="S15" s="198"/>
      <c r="T15" s="198"/>
      <c r="U15" s="198"/>
    </row>
    <row r="16" spans="1:21" s="12" customFormat="1" x14ac:dyDescent="0.25">
      <c r="A16" s="215" t="s">
        <v>2751</v>
      </c>
      <c r="B16" s="64">
        <v>84.29</v>
      </c>
      <c r="C16" s="64">
        <v>35.54</v>
      </c>
      <c r="D16" s="64">
        <v>84.78</v>
      </c>
      <c r="E16" s="64">
        <v>6.82</v>
      </c>
      <c r="F16" s="64">
        <v>4.09</v>
      </c>
      <c r="G16" s="64">
        <v>62.76</v>
      </c>
      <c r="H16" s="64">
        <v>16.37</v>
      </c>
      <c r="I16" s="210" t="s">
        <v>36</v>
      </c>
      <c r="J16" s="64">
        <v>0.57999999999999996</v>
      </c>
      <c r="K16" s="64">
        <v>146.32</v>
      </c>
      <c r="L16" s="64">
        <v>16.25</v>
      </c>
      <c r="M16" s="64">
        <v>101.84</v>
      </c>
      <c r="N16" s="64">
        <v>59.9</v>
      </c>
      <c r="O16" s="64">
        <v>0</v>
      </c>
      <c r="P16" s="64">
        <v>0</v>
      </c>
      <c r="Q16" s="64">
        <v>10.210000000000001</v>
      </c>
      <c r="R16" s="198"/>
      <c r="S16" s="198"/>
      <c r="T16" s="198"/>
      <c r="U16" s="198"/>
    </row>
    <row r="17" spans="1:21" s="12" customFormat="1" x14ac:dyDescent="0.25">
      <c r="A17" s="215" t="s">
        <v>2752</v>
      </c>
      <c r="B17" s="64">
        <v>80.459999999999994</v>
      </c>
      <c r="C17" s="64">
        <v>37.020000000000003</v>
      </c>
      <c r="D17" s="64">
        <v>82.49</v>
      </c>
      <c r="E17" s="64">
        <v>6.57</v>
      </c>
      <c r="F17" s="64">
        <v>4.16</v>
      </c>
      <c r="G17" s="64">
        <v>62.76</v>
      </c>
      <c r="H17" s="64">
        <v>16.37</v>
      </c>
      <c r="I17" s="210" t="s">
        <v>36</v>
      </c>
      <c r="J17" s="64">
        <v>1.81</v>
      </c>
      <c r="K17" s="64">
        <v>89.07</v>
      </c>
      <c r="L17" s="64">
        <v>16.37</v>
      </c>
      <c r="M17" s="64">
        <v>101.15</v>
      </c>
      <c r="N17" s="64">
        <v>59.5</v>
      </c>
      <c r="O17" s="64">
        <v>0</v>
      </c>
      <c r="P17" s="64">
        <v>0</v>
      </c>
      <c r="Q17" s="64">
        <v>10.130000000000001</v>
      </c>
      <c r="R17" s="198"/>
      <c r="S17" s="198"/>
      <c r="T17" s="198"/>
      <c r="U17" s="198"/>
    </row>
    <row r="18" spans="1:21" s="12" customFormat="1" x14ac:dyDescent="0.25">
      <c r="A18" s="215" t="s">
        <v>2753</v>
      </c>
      <c r="B18" s="64">
        <v>76.95</v>
      </c>
      <c r="C18" s="64">
        <v>36.049999999999997</v>
      </c>
      <c r="D18" s="64">
        <v>79.16</v>
      </c>
      <c r="E18" s="64">
        <v>6.13</v>
      </c>
      <c r="F18" s="64">
        <v>3.9</v>
      </c>
      <c r="G18" s="64">
        <v>62.76</v>
      </c>
      <c r="H18" s="64">
        <v>16.37</v>
      </c>
      <c r="I18" s="210" t="s">
        <v>36</v>
      </c>
      <c r="J18" s="64">
        <v>1.6</v>
      </c>
      <c r="K18" s="64">
        <v>340.32</v>
      </c>
      <c r="L18" s="64">
        <v>16.170000000000002</v>
      </c>
      <c r="M18" s="64">
        <v>101.81</v>
      </c>
      <c r="N18" s="64">
        <v>60.1</v>
      </c>
      <c r="O18" s="64">
        <v>0</v>
      </c>
      <c r="P18" s="64">
        <v>0</v>
      </c>
      <c r="Q18" s="64">
        <v>10.11</v>
      </c>
      <c r="R18" s="198"/>
      <c r="S18" s="198"/>
      <c r="T18" s="198"/>
      <c r="U18" s="198"/>
    </row>
    <row r="19" spans="1:21" s="12" customFormat="1" x14ac:dyDescent="0.25">
      <c r="A19" s="215" t="s">
        <v>2754</v>
      </c>
      <c r="B19" s="64">
        <v>73.599999999999994</v>
      </c>
      <c r="C19" s="64">
        <v>35.42</v>
      </c>
      <c r="D19" s="64">
        <v>76.150000000000006</v>
      </c>
      <c r="E19" s="64">
        <v>6.5</v>
      </c>
      <c r="F19" s="64">
        <v>4.07</v>
      </c>
      <c r="G19" s="64">
        <v>51.38</v>
      </c>
      <c r="H19" s="64">
        <v>14.18</v>
      </c>
      <c r="I19" s="210" t="s">
        <v>36</v>
      </c>
      <c r="J19" s="64">
        <v>1.1200000000000001</v>
      </c>
      <c r="K19" s="64">
        <v>355.28</v>
      </c>
      <c r="L19" s="64">
        <v>15.78</v>
      </c>
      <c r="M19" s="64">
        <v>101.98</v>
      </c>
      <c r="N19" s="64">
        <v>59.9</v>
      </c>
      <c r="O19" s="64">
        <v>0</v>
      </c>
      <c r="P19" s="64">
        <v>0</v>
      </c>
      <c r="Q19" s="64">
        <v>10.08</v>
      </c>
      <c r="R19" s="198"/>
      <c r="S19" s="198"/>
      <c r="T19" s="198"/>
      <c r="U19" s="198"/>
    </row>
    <row r="20" spans="1:21" s="12" customFormat="1" x14ac:dyDescent="0.25">
      <c r="A20" s="215" t="s">
        <v>2755</v>
      </c>
      <c r="B20" s="64">
        <v>70.58</v>
      </c>
      <c r="C20" s="64">
        <v>36.270000000000003</v>
      </c>
      <c r="D20" s="64">
        <v>74.17</v>
      </c>
      <c r="E20" s="64">
        <v>6.24</v>
      </c>
      <c r="F20" s="64">
        <v>3.81</v>
      </c>
      <c r="G20" s="64">
        <v>46.5</v>
      </c>
      <c r="H20" s="64">
        <v>14</v>
      </c>
      <c r="I20" s="210" t="s">
        <v>36</v>
      </c>
      <c r="J20" s="64">
        <v>1.33</v>
      </c>
      <c r="K20" s="64">
        <v>11.06</v>
      </c>
      <c r="L20" s="64">
        <v>15.6</v>
      </c>
      <c r="M20" s="64">
        <v>101.98</v>
      </c>
      <c r="N20" s="64">
        <v>59.9</v>
      </c>
      <c r="O20" s="64">
        <v>0</v>
      </c>
      <c r="P20" s="64">
        <v>0</v>
      </c>
      <c r="Q20" s="64">
        <v>10.050000000000001</v>
      </c>
      <c r="R20" s="198"/>
      <c r="S20" s="198"/>
      <c r="T20" s="198"/>
      <c r="U20" s="198"/>
    </row>
    <row r="21" spans="1:21" s="12" customFormat="1" x14ac:dyDescent="0.25">
      <c r="A21" s="215" t="s">
        <v>2756</v>
      </c>
      <c r="B21" s="64">
        <v>67.83</v>
      </c>
      <c r="C21" s="64">
        <v>37.270000000000003</v>
      </c>
      <c r="D21" s="64">
        <v>72.489999999999995</v>
      </c>
      <c r="E21" s="64">
        <v>6.12</v>
      </c>
      <c r="F21" s="64">
        <v>3.74</v>
      </c>
      <c r="G21" s="64">
        <v>46.5</v>
      </c>
      <c r="H21" s="64">
        <v>14</v>
      </c>
      <c r="I21" s="210" t="s">
        <v>36</v>
      </c>
      <c r="J21" s="64">
        <v>2.29</v>
      </c>
      <c r="K21" s="64">
        <v>311.94</v>
      </c>
      <c r="L21" s="64">
        <v>15.41</v>
      </c>
      <c r="M21" s="64">
        <v>101.99</v>
      </c>
      <c r="N21" s="64">
        <v>59.8</v>
      </c>
      <c r="O21" s="64">
        <v>0</v>
      </c>
      <c r="P21" s="64">
        <v>0</v>
      </c>
      <c r="Q21" s="64">
        <v>10.02</v>
      </c>
      <c r="R21" s="198"/>
      <c r="S21" s="198"/>
      <c r="T21" s="198"/>
      <c r="U21" s="198"/>
    </row>
    <row r="22" spans="1:21" s="12" customFormat="1" x14ac:dyDescent="0.25">
      <c r="A22" s="215" t="s">
        <v>2757</v>
      </c>
      <c r="B22" s="64">
        <v>65.59</v>
      </c>
      <c r="C22" s="64">
        <v>30.48</v>
      </c>
      <c r="D22" s="64">
        <v>67.14</v>
      </c>
      <c r="E22" s="64">
        <v>6.29</v>
      </c>
      <c r="F22" s="64">
        <v>4.5</v>
      </c>
      <c r="G22" s="64">
        <v>46.5</v>
      </c>
      <c r="H22" s="64">
        <v>14</v>
      </c>
      <c r="I22" s="210" t="s">
        <v>36</v>
      </c>
      <c r="J22" s="64">
        <v>2.74</v>
      </c>
      <c r="K22" s="64">
        <v>356.23</v>
      </c>
      <c r="L22" s="64">
        <v>15.14</v>
      </c>
      <c r="M22" s="64">
        <v>102</v>
      </c>
      <c r="N22" s="64">
        <v>59.6</v>
      </c>
      <c r="O22" s="64">
        <v>0</v>
      </c>
      <c r="P22" s="64">
        <v>0</v>
      </c>
      <c r="Q22" s="64">
        <v>9.98</v>
      </c>
      <c r="R22" s="198"/>
      <c r="S22" s="198"/>
      <c r="T22" s="198"/>
      <c r="U22" s="198"/>
    </row>
    <row r="23" spans="1:21" s="12" customFormat="1" x14ac:dyDescent="0.25">
      <c r="A23" s="215" t="s">
        <v>2758</v>
      </c>
      <c r="B23" s="64">
        <v>63.48</v>
      </c>
      <c r="C23" s="64">
        <v>32.22</v>
      </c>
      <c r="D23" s="64">
        <v>66.37</v>
      </c>
      <c r="E23" s="64">
        <v>6.01</v>
      </c>
      <c r="F23" s="64">
        <v>4.04</v>
      </c>
      <c r="G23" s="64">
        <v>40.86</v>
      </c>
      <c r="H23" s="64">
        <v>13.46</v>
      </c>
      <c r="I23" s="210" t="s">
        <v>36</v>
      </c>
      <c r="J23" s="64">
        <v>2.76</v>
      </c>
      <c r="K23" s="64">
        <v>90.24</v>
      </c>
      <c r="L23" s="64">
        <v>15.07</v>
      </c>
      <c r="M23" s="64">
        <v>102</v>
      </c>
      <c r="N23" s="64">
        <v>59.3</v>
      </c>
      <c r="O23" s="64">
        <v>0</v>
      </c>
      <c r="P23" s="64">
        <v>0</v>
      </c>
      <c r="Q23" s="64">
        <v>9.94</v>
      </c>
      <c r="R23" s="198"/>
      <c r="S23" s="198"/>
      <c r="T23" s="198"/>
      <c r="U23" s="198"/>
    </row>
    <row r="24" spans="1:21" s="12" customFormat="1" x14ac:dyDescent="0.25">
      <c r="A24" s="215" t="s">
        <v>2759</v>
      </c>
      <c r="B24" s="64">
        <v>61.59</v>
      </c>
      <c r="C24" s="64">
        <v>33.69</v>
      </c>
      <c r="D24" s="64">
        <v>65.61</v>
      </c>
      <c r="E24" s="64">
        <v>5.73</v>
      </c>
      <c r="F24" s="64">
        <v>3.71</v>
      </c>
      <c r="G24" s="64">
        <v>38.44</v>
      </c>
      <c r="H24" s="64">
        <v>13.42</v>
      </c>
      <c r="I24" s="210" t="s">
        <v>36</v>
      </c>
      <c r="J24" s="64">
        <v>1.54</v>
      </c>
      <c r="K24" s="64">
        <v>282.17</v>
      </c>
      <c r="L24" s="64">
        <v>14.97</v>
      </c>
      <c r="M24" s="64">
        <v>102</v>
      </c>
      <c r="N24" s="64">
        <v>59.4</v>
      </c>
      <c r="O24" s="64">
        <v>0</v>
      </c>
      <c r="P24" s="64">
        <v>0</v>
      </c>
      <c r="Q24" s="64">
        <v>9.9499999999999993</v>
      </c>
      <c r="R24" s="198"/>
      <c r="S24" s="198"/>
      <c r="T24" s="198"/>
      <c r="U24" s="198"/>
    </row>
    <row r="25" spans="1:21" s="12" customFormat="1" x14ac:dyDescent="0.25">
      <c r="A25" s="215" t="s">
        <v>2760</v>
      </c>
      <c r="B25" s="64">
        <v>59.65</v>
      </c>
      <c r="C25" s="64">
        <v>34.590000000000003</v>
      </c>
      <c r="D25" s="64">
        <v>64.53</v>
      </c>
      <c r="E25" s="64">
        <v>6.12</v>
      </c>
      <c r="F25" s="64">
        <v>3.28</v>
      </c>
      <c r="G25" s="64">
        <v>38.44</v>
      </c>
      <c r="H25" s="64">
        <v>13.42</v>
      </c>
      <c r="I25" s="210" t="s">
        <v>36</v>
      </c>
      <c r="J25" s="64">
        <v>3.26</v>
      </c>
      <c r="K25" s="64">
        <v>107.24</v>
      </c>
      <c r="L25" s="64">
        <v>14.94</v>
      </c>
      <c r="M25" s="64">
        <v>102</v>
      </c>
      <c r="N25" s="64">
        <v>58.9</v>
      </c>
      <c r="O25" s="64">
        <v>0</v>
      </c>
      <c r="P25" s="64">
        <v>0</v>
      </c>
      <c r="Q25" s="64">
        <v>9.9600000000000009</v>
      </c>
      <c r="R25" s="198"/>
      <c r="S25" s="198"/>
      <c r="T25" s="198"/>
      <c r="U25" s="198"/>
    </row>
    <row r="26" spans="1:21" s="12" customFormat="1" x14ac:dyDescent="0.25">
      <c r="A26" s="215" t="s">
        <v>2761</v>
      </c>
      <c r="B26" s="64">
        <v>57.56</v>
      </c>
      <c r="C26" s="64">
        <v>35.01</v>
      </c>
      <c r="D26" s="64">
        <v>63.07</v>
      </c>
      <c r="E26" s="64">
        <v>6.05</v>
      </c>
      <c r="F26" s="64">
        <v>3.35</v>
      </c>
      <c r="G26" s="64">
        <v>38.44</v>
      </c>
      <c r="H26" s="64">
        <v>13.42</v>
      </c>
      <c r="I26" s="210" t="s">
        <v>36</v>
      </c>
      <c r="J26" s="64">
        <v>0.57999999999999996</v>
      </c>
      <c r="K26" s="64">
        <v>333.32</v>
      </c>
      <c r="L26" s="64">
        <v>14.99</v>
      </c>
      <c r="M26" s="64">
        <v>102</v>
      </c>
      <c r="N26" s="64">
        <v>59.1</v>
      </c>
      <c r="O26" s="64">
        <v>0</v>
      </c>
      <c r="P26" s="64">
        <v>0</v>
      </c>
      <c r="Q26" s="64">
        <v>9.9600000000000009</v>
      </c>
      <c r="R26" s="198"/>
      <c r="S26" s="198"/>
      <c r="T26" s="198"/>
      <c r="U26" s="198"/>
    </row>
    <row r="27" spans="1:21" s="12" customFormat="1" x14ac:dyDescent="0.25">
      <c r="A27" s="215" t="s">
        <v>2762</v>
      </c>
      <c r="B27" s="64">
        <v>55.88</v>
      </c>
      <c r="C27" s="64">
        <v>35.39</v>
      </c>
      <c r="D27" s="64">
        <v>61.92</v>
      </c>
      <c r="E27" s="64">
        <v>6.37</v>
      </c>
      <c r="F27" s="64">
        <v>3.8</v>
      </c>
      <c r="G27" s="64">
        <v>38.03</v>
      </c>
      <c r="H27" s="64">
        <v>12.96</v>
      </c>
      <c r="I27" s="210" t="s">
        <v>36</v>
      </c>
      <c r="J27" s="64">
        <v>0.63</v>
      </c>
      <c r="K27" s="64">
        <v>8.51</v>
      </c>
      <c r="L27" s="64">
        <v>14.88</v>
      </c>
      <c r="M27" s="64">
        <v>102</v>
      </c>
      <c r="N27" s="64">
        <v>59.1</v>
      </c>
      <c r="O27" s="64">
        <v>0</v>
      </c>
      <c r="P27" s="64">
        <v>0</v>
      </c>
      <c r="Q27" s="64">
        <v>9.9499999999999993</v>
      </c>
      <c r="R27" s="198"/>
      <c r="S27" s="198"/>
      <c r="T27" s="198"/>
      <c r="U27" s="198"/>
    </row>
    <row r="28" spans="1:21" s="12" customFormat="1" x14ac:dyDescent="0.25">
      <c r="A28" s="215" t="s">
        <v>2763</v>
      </c>
      <c r="B28" s="64">
        <v>54.32</v>
      </c>
      <c r="C28" s="64">
        <v>36.130000000000003</v>
      </c>
      <c r="D28" s="64">
        <v>61.06</v>
      </c>
      <c r="E28" s="64">
        <v>6.03</v>
      </c>
      <c r="F28" s="64">
        <v>4.25</v>
      </c>
      <c r="G28" s="64">
        <v>37.85</v>
      </c>
      <c r="H28" s="64">
        <v>12.9</v>
      </c>
      <c r="I28" s="210" t="s">
        <v>36</v>
      </c>
      <c r="J28" s="64">
        <v>0.94</v>
      </c>
      <c r="K28" s="64">
        <v>94.93</v>
      </c>
      <c r="L28" s="64">
        <v>14.85</v>
      </c>
      <c r="M28" s="64">
        <v>102</v>
      </c>
      <c r="N28" s="64">
        <v>59.1</v>
      </c>
      <c r="O28" s="64">
        <v>0</v>
      </c>
      <c r="P28" s="64">
        <v>0</v>
      </c>
      <c r="Q28" s="64">
        <v>9.94</v>
      </c>
      <c r="R28" s="198"/>
      <c r="S28" s="198"/>
      <c r="T28" s="198"/>
      <c r="U28" s="198"/>
    </row>
    <row r="29" spans="1:21" s="12" customFormat="1" x14ac:dyDescent="0.25">
      <c r="A29" s="215" t="s">
        <v>2764</v>
      </c>
      <c r="B29" s="64">
        <v>52.55</v>
      </c>
      <c r="C29" s="64">
        <v>36.5</v>
      </c>
      <c r="D29" s="64">
        <v>59.84</v>
      </c>
      <c r="E29" s="64">
        <v>6</v>
      </c>
      <c r="F29" s="64">
        <v>3.86</v>
      </c>
      <c r="G29" s="64">
        <v>37.85</v>
      </c>
      <c r="H29" s="64">
        <v>12.9</v>
      </c>
      <c r="I29" s="210" t="s">
        <v>36</v>
      </c>
      <c r="J29" s="64">
        <v>0.36</v>
      </c>
      <c r="K29" s="64">
        <v>91.12</v>
      </c>
      <c r="L29" s="64">
        <v>14.94</v>
      </c>
      <c r="M29" s="64">
        <v>102.01</v>
      </c>
      <c r="N29" s="64">
        <v>59</v>
      </c>
      <c r="O29" s="64">
        <v>0</v>
      </c>
      <c r="P29" s="64">
        <v>0</v>
      </c>
      <c r="Q29" s="64">
        <v>9.92</v>
      </c>
      <c r="R29" s="198"/>
      <c r="S29" s="198"/>
      <c r="T29" s="198"/>
      <c r="U29" s="198"/>
    </row>
    <row r="30" spans="1:21" s="12" customFormat="1" x14ac:dyDescent="0.25">
      <c r="A30" s="215" t="s">
        <v>2765</v>
      </c>
      <c r="B30" s="64">
        <v>50.69</v>
      </c>
      <c r="C30" s="64">
        <v>36.35</v>
      </c>
      <c r="D30" s="64">
        <v>58.26</v>
      </c>
      <c r="E30" s="64">
        <v>5.96</v>
      </c>
      <c r="F30" s="64">
        <v>3.27</v>
      </c>
      <c r="G30" s="64">
        <v>37.85</v>
      </c>
      <c r="H30" s="64">
        <v>12.9</v>
      </c>
      <c r="I30" s="210" t="s">
        <v>36</v>
      </c>
      <c r="J30" s="64">
        <v>0.91</v>
      </c>
      <c r="K30" s="64">
        <v>350.98</v>
      </c>
      <c r="L30" s="64">
        <v>14.77</v>
      </c>
      <c r="M30" s="64">
        <v>102.03</v>
      </c>
      <c r="N30" s="64">
        <v>59.3</v>
      </c>
      <c r="O30" s="64">
        <v>0</v>
      </c>
      <c r="P30" s="64">
        <v>0</v>
      </c>
      <c r="Q30" s="64">
        <v>9.89</v>
      </c>
      <c r="R30" s="198"/>
      <c r="S30" s="198"/>
      <c r="T30" s="198"/>
      <c r="U30" s="198"/>
    </row>
    <row r="31" spans="1:21" s="12" customFormat="1" x14ac:dyDescent="0.25">
      <c r="A31" s="215" t="s">
        <v>2766</v>
      </c>
      <c r="B31" s="64">
        <v>49.18</v>
      </c>
      <c r="C31" s="64">
        <v>36</v>
      </c>
      <c r="D31" s="64">
        <v>56.87</v>
      </c>
      <c r="E31" s="64">
        <v>5.66</v>
      </c>
      <c r="F31" s="64">
        <v>3.98</v>
      </c>
      <c r="G31" s="64">
        <v>32.33</v>
      </c>
      <c r="H31" s="64">
        <v>10.98</v>
      </c>
      <c r="I31" s="210" t="s">
        <v>36</v>
      </c>
      <c r="J31" s="64">
        <v>1.26</v>
      </c>
      <c r="K31" s="64">
        <v>329.89</v>
      </c>
      <c r="L31" s="64">
        <v>14.65</v>
      </c>
      <c r="M31" s="64">
        <v>102.03</v>
      </c>
      <c r="N31" s="64">
        <v>59.1</v>
      </c>
      <c r="O31" s="64">
        <v>0</v>
      </c>
      <c r="P31" s="64">
        <v>0</v>
      </c>
      <c r="Q31" s="64">
        <v>9.86</v>
      </c>
      <c r="R31" s="198"/>
      <c r="S31" s="198"/>
      <c r="T31" s="198"/>
      <c r="U31" s="198"/>
    </row>
    <row r="32" spans="1:21" s="12" customFormat="1" x14ac:dyDescent="0.25">
      <c r="A32" s="215" t="s">
        <v>2767</v>
      </c>
      <c r="B32" s="64">
        <v>47.99</v>
      </c>
      <c r="C32" s="64">
        <v>35.03</v>
      </c>
      <c r="D32" s="64">
        <v>55.4</v>
      </c>
      <c r="E32" s="64">
        <v>6.14</v>
      </c>
      <c r="F32" s="64">
        <v>3.86</v>
      </c>
      <c r="G32" s="64">
        <v>29.96</v>
      </c>
      <c r="H32" s="64">
        <v>10.82</v>
      </c>
      <c r="I32" s="210" t="s">
        <v>36</v>
      </c>
      <c r="J32" s="64">
        <v>0.24</v>
      </c>
      <c r="K32" s="64">
        <v>110.36</v>
      </c>
      <c r="L32" s="64">
        <v>14.6</v>
      </c>
      <c r="M32" s="64">
        <v>102.03</v>
      </c>
      <c r="N32" s="64">
        <v>59</v>
      </c>
      <c r="O32" s="64">
        <v>0</v>
      </c>
      <c r="P32" s="64">
        <v>0</v>
      </c>
      <c r="Q32" s="64">
        <v>9.84</v>
      </c>
      <c r="R32" s="198"/>
      <c r="S32" s="198"/>
      <c r="T32" s="198"/>
      <c r="U32" s="198"/>
    </row>
    <row r="33" spans="1:21" s="12" customFormat="1" x14ac:dyDescent="0.25">
      <c r="A33" s="215" t="s">
        <v>2768</v>
      </c>
      <c r="B33" s="64">
        <v>46.44</v>
      </c>
      <c r="C33" s="64">
        <v>34.49</v>
      </c>
      <c r="D33" s="64">
        <v>53.88</v>
      </c>
      <c r="E33" s="64">
        <v>6.08</v>
      </c>
      <c r="F33" s="64">
        <v>3.3</v>
      </c>
      <c r="G33" s="64">
        <v>29.96</v>
      </c>
      <c r="H33" s="64">
        <v>10.82</v>
      </c>
      <c r="I33" s="210" t="s">
        <v>36</v>
      </c>
      <c r="J33" s="64">
        <v>0.19</v>
      </c>
      <c r="K33" s="64">
        <v>81.14</v>
      </c>
      <c r="L33" s="64">
        <v>14.55</v>
      </c>
      <c r="M33" s="64">
        <v>102.03</v>
      </c>
      <c r="N33" s="64">
        <v>59.1</v>
      </c>
      <c r="O33" s="64">
        <v>0</v>
      </c>
      <c r="P33" s="64">
        <v>0</v>
      </c>
      <c r="Q33" s="64">
        <v>9.73</v>
      </c>
      <c r="R33" s="198"/>
      <c r="S33" s="198"/>
      <c r="T33" s="198"/>
      <c r="U33" s="198"/>
    </row>
    <row r="34" spans="1:21" s="12" customFormat="1" x14ac:dyDescent="0.25">
      <c r="A34" s="215" t="s">
        <v>2769</v>
      </c>
      <c r="B34" s="64">
        <v>44.97</v>
      </c>
      <c r="C34" s="64">
        <v>34.83</v>
      </c>
      <c r="D34" s="64">
        <v>52.89</v>
      </c>
      <c r="E34" s="64">
        <v>6.16</v>
      </c>
      <c r="F34" s="64">
        <v>3.6</v>
      </c>
      <c r="G34" s="64">
        <v>29.96</v>
      </c>
      <c r="H34" s="64">
        <v>10.82</v>
      </c>
      <c r="I34" s="210" t="s">
        <v>36</v>
      </c>
      <c r="J34" s="64">
        <v>1.49</v>
      </c>
      <c r="K34" s="64">
        <v>320.33999999999997</v>
      </c>
      <c r="L34" s="64">
        <v>14.46</v>
      </c>
      <c r="M34" s="64">
        <v>102.03</v>
      </c>
      <c r="N34" s="64">
        <v>59.6</v>
      </c>
      <c r="O34" s="64">
        <v>0</v>
      </c>
      <c r="P34" s="64">
        <v>0</v>
      </c>
      <c r="Q34" s="64">
        <v>9.58</v>
      </c>
      <c r="R34" s="198"/>
      <c r="S34" s="198"/>
      <c r="T34" s="198"/>
      <c r="U34" s="198"/>
    </row>
    <row r="35" spans="1:21" s="12" customFormat="1" x14ac:dyDescent="0.25">
      <c r="A35" s="215" t="s">
        <v>2770</v>
      </c>
      <c r="B35" s="64">
        <v>44.57</v>
      </c>
      <c r="C35" s="64">
        <v>35.68</v>
      </c>
      <c r="D35" s="64">
        <v>53</v>
      </c>
      <c r="E35" s="64">
        <v>6.09</v>
      </c>
      <c r="F35" s="64">
        <v>3.72</v>
      </c>
      <c r="G35" s="64">
        <v>38.4</v>
      </c>
      <c r="H35" s="64">
        <v>12.25</v>
      </c>
      <c r="I35" s="210" t="s">
        <v>36</v>
      </c>
      <c r="J35" s="64">
        <v>0.73</v>
      </c>
      <c r="K35" s="64">
        <v>7.02</v>
      </c>
      <c r="L35" s="64">
        <v>14.38</v>
      </c>
      <c r="M35" s="64">
        <v>102.03</v>
      </c>
      <c r="N35" s="64">
        <v>62.3</v>
      </c>
      <c r="O35" s="64">
        <v>0</v>
      </c>
      <c r="P35" s="64">
        <v>0</v>
      </c>
      <c r="Q35" s="64">
        <v>9.49</v>
      </c>
      <c r="R35" s="198"/>
      <c r="S35" s="198"/>
      <c r="T35" s="198"/>
      <c r="U35" s="198"/>
    </row>
    <row r="36" spans="1:21" s="12" customFormat="1" x14ac:dyDescent="0.25">
      <c r="A36" s="215" t="s">
        <v>2771</v>
      </c>
      <c r="B36" s="64">
        <v>44.07</v>
      </c>
      <c r="C36" s="64">
        <v>34.65</v>
      </c>
      <c r="D36" s="64">
        <v>52.07</v>
      </c>
      <c r="E36" s="64">
        <v>6.24</v>
      </c>
      <c r="F36" s="64">
        <v>3.77</v>
      </c>
      <c r="G36" s="64">
        <v>42.02</v>
      </c>
      <c r="H36" s="64">
        <v>12.35</v>
      </c>
      <c r="I36" s="210" t="s">
        <v>36</v>
      </c>
      <c r="J36" s="64">
        <v>1.51</v>
      </c>
      <c r="K36" s="64">
        <v>319.2</v>
      </c>
      <c r="L36" s="64">
        <v>14.43</v>
      </c>
      <c r="M36" s="64">
        <v>102.03</v>
      </c>
      <c r="N36" s="64">
        <v>70.900000000000006</v>
      </c>
      <c r="O36" s="64">
        <v>0</v>
      </c>
      <c r="P36" s="64">
        <v>0</v>
      </c>
      <c r="Q36" s="64">
        <v>9.4499999999999993</v>
      </c>
      <c r="R36" s="198"/>
      <c r="S36" s="198"/>
      <c r="T36" s="198"/>
      <c r="U36" s="198"/>
    </row>
    <row r="37" spans="1:21" s="12" customFormat="1" x14ac:dyDescent="0.25">
      <c r="A37" s="215" t="s">
        <v>2772</v>
      </c>
      <c r="B37" s="64">
        <v>43.57</v>
      </c>
      <c r="C37" s="64">
        <v>36.33</v>
      </c>
      <c r="D37" s="64">
        <v>52.54</v>
      </c>
      <c r="E37" s="64">
        <v>6.04</v>
      </c>
      <c r="F37" s="64">
        <v>3.99</v>
      </c>
      <c r="G37" s="64">
        <v>42.02</v>
      </c>
      <c r="H37" s="64">
        <v>12.35</v>
      </c>
      <c r="I37" s="210" t="s">
        <v>36</v>
      </c>
      <c r="J37" s="64">
        <v>0.61</v>
      </c>
      <c r="K37" s="64">
        <v>334.66</v>
      </c>
      <c r="L37" s="64">
        <v>14.64</v>
      </c>
      <c r="M37" s="64">
        <v>102.03</v>
      </c>
      <c r="N37" s="64">
        <v>84.3</v>
      </c>
      <c r="O37" s="64">
        <v>0</v>
      </c>
      <c r="P37" s="64">
        <v>0</v>
      </c>
      <c r="Q37" s="64">
        <v>9.39</v>
      </c>
      <c r="R37" s="198"/>
      <c r="S37" s="198"/>
      <c r="T37" s="198"/>
      <c r="U37" s="198"/>
    </row>
    <row r="38" spans="1:21" s="12" customFormat="1" x14ac:dyDescent="0.25">
      <c r="A38" s="215" t="s">
        <v>2773</v>
      </c>
      <c r="B38" s="64">
        <v>43.54</v>
      </c>
      <c r="C38" s="64">
        <v>34.15</v>
      </c>
      <c r="D38" s="64">
        <v>51.38</v>
      </c>
      <c r="E38" s="64">
        <v>6.28</v>
      </c>
      <c r="F38" s="64">
        <v>3.57</v>
      </c>
      <c r="G38" s="64">
        <v>42.02</v>
      </c>
      <c r="H38" s="64">
        <v>12.35</v>
      </c>
      <c r="I38" s="210" t="s">
        <v>36</v>
      </c>
      <c r="J38" s="64">
        <v>0.47</v>
      </c>
      <c r="K38" s="64">
        <v>96.18</v>
      </c>
      <c r="L38" s="64">
        <v>15.01</v>
      </c>
      <c r="M38" s="64">
        <v>102.02</v>
      </c>
      <c r="N38" s="64">
        <v>99</v>
      </c>
      <c r="O38" s="64">
        <v>0</v>
      </c>
      <c r="P38" s="64">
        <v>0</v>
      </c>
      <c r="Q38" s="64">
        <v>9.34</v>
      </c>
      <c r="R38" s="198"/>
      <c r="S38" s="198"/>
      <c r="T38" s="198"/>
      <c r="U38" s="198"/>
    </row>
    <row r="39" spans="1:21" s="12" customFormat="1" x14ac:dyDescent="0.25">
      <c r="A39" s="215" t="s">
        <v>2774</v>
      </c>
      <c r="B39" s="64">
        <v>42.99</v>
      </c>
      <c r="C39" s="64">
        <v>33.43</v>
      </c>
      <c r="D39" s="64">
        <v>50.57</v>
      </c>
      <c r="E39" s="64">
        <v>6.37</v>
      </c>
      <c r="F39" s="64">
        <v>4</v>
      </c>
      <c r="G39" s="64">
        <v>44.86</v>
      </c>
      <c r="H39" s="64">
        <v>15.73</v>
      </c>
      <c r="I39" s="210" t="s">
        <v>36</v>
      </c>
      <c r="J39" s="64">
        <v>1.92</v>
      </c>
      <c r="K39" s="64">
        <v>115.29</v>
      </c>
      <c r="L39" s="64">
        <v>15.43</v>
      </c>
      <c r="M39" s="64">
        <v>102</v>
      </c>
      <c r="N39" s="64">
        <v>119</v>
      </c>
      <c r="O39" s="64">
        <v>0</v>
      </c>
      <c r="P39" s="64">
        <v>0</v>
      </c>
      <c r="Q39" s="64">
        <v>9.23</v>
      </c>
      <c r="R39" s="198"/>
      <c r="S39" s="198"/>
      <c r="T39" s="198"/>
      <c r="U39" s="198"/>
    </row>
    <row r="40" spans="1:21" s="12" customFormat="1" x14ac:dyDescent="0.25">
      <c r="A40" s="215" t="s">
        <v>2775</v>
      </c>
      <c r="B40" s="64">
        <v>42</v>
      </c>
      <c r="C40" s="64">
        <v>35.89</v>
      </c>
      <c r="D40" s="64">
        <v>51.06</v>
      </c>
      <c r="E40" s="64">
        <v>6.74</v>
      </c>
      <c r="F40" s="64">
        <v>3.56</v>
      </c>
      <c r="G40" s="64">
        <v>46.07</v>
      </c>
      <c r="H40" s="64">
        <v>16.010000000000002</v>
      </c>
      <c r="I40" s="210" t="s">
        <v>36</v>
      </c>
      <c r="J40" s="64">
        <v>1.92</v>
      </c>
      <c r="K40" s="64">
        <v>106.58</v>
      </c>
      <c r="L40" s="64">
        <v>16.28</v>
      </c>
      <c r="M40" s="64">
        <v>100.01</v>
      </c>
      <c r="N40" s="64">
        <v>229.6</v>
      </c>
      <c r="O40" s="64">
        <v>0</v>
      </c>
      <c r="P40" s="64">
        <v>0</v>
      </c>
      <c r="Q40" s="64">
        <v>9.19</v>
      </c>
      <c r="R40" s="198"/>
      <c r="S40" s="198"/>
      <c r="T40" s="198"/>
      <c r="U40" s="198"/>
    </row>
    <row r="41" spans="1:21" s="12" customFormat="1" x14ac:dyDescent="0.25">
      <c r="A41" s="215" t="s">
        <v>2776</v>
      </c>
      <c r="B41" s="64">
        <v>40.520000000000003</v>
      </c>
      <c r="C41" s="64">
        <v>36.54</v>
      </c>
      <c r="D41" s="64">
        <v>50.21</v>
      </c>
      <c r="E41" s="64">
        <v>6.19</v>
      </c>
      <c r="F41" s="64">
        <v>3.97</v>
      </c>
      <c r="G41" s="64">
        <v>46.07</v>
      </c>
      <c r="H41" s="64">
        <v>16.010000000000002</v>
      </c>
      <c r="I41" s="210" t="s">
        <v>36</v>
      </c>
      <c r="J41" s="64">
        <v>2.68</v>
      </c>
      <c r="K41" s="64">
        <v>113.05</v>
      </c>
      <c r="L41" s="64">
        <v>17.28</v>
      </c>
      <c r="M41" s="64">
        <v>95.37</v>
      </c>
      <c r="N41" s="64">
        <v>277</v>
      </c>
      <c r="O41" s="64">
        <v>0</v>
      </c>
      <c r="P41" s="64">
        <v>0</v>
      </c>
      <c r="Q41" s="64">
        <v>9.1199999999999992</v>
      </c>
      <c r="R41" s="198"/>
      <c r="S41" s="198"/>
      <c r="T41" s="198"/>
      <c r="U41" s="198"/>
    </row>
    <row r="42" spans="1:21" s="12" customFormat="1" x14ac:dyDescent="0.25">
      <c r="A42" s="215" t="s">
        <v>2777</v>
      </c>
      <c r="B42" s="64">
        <v>38.549999999999997</v>
      </c>
      <c r="C42" s="64">
        <v>37.36</v>
      </c>
      <c r="D42" s="64">
        <v>49.06</v>
      </c>
      <c r="E42" s="64">
        <v>6.2</v>
      </c>
      <c r="F42" s="64">
        <v>3.2</v>
      </c>
      <c r="G42" s="64">
        <v>46.07</v>
      </c>
      <c r="H42" s="64">
        <v>16.010000000000002</v>
      </c>
      <c r="I42" s="210" t="s">
        <v>36</v>
      </c>
      <c r="J42" s="64">
        <v>2.8</v>
      </c>
      <c r="K42" s="64">
        <v>111.61</v>
      </c>
      <c r="L42" s="64">
        <v>17.79</v>
      </c>
      <c r="M42" s="64">
        <v>93.35</v>
      </c>
      <c r="N42" s="64">
        <v>328.6</v>
      </c>
      <c r="O42" s="64">
        <v>0</v>
      </c>
      <c r="P42" s="64">
        <v>0</v>
      </c>
      <c r="Q42" s="64">
        <v>9.02</v>
      </c>
      <c r="R42" s="198"/>
      <c r="S42" s="198"/>
      <c r="T42" s="198"/>
      <c r="U42" s="198"/>
    </row>
    <row r="43" spans="1:21" s="12" customFormat="1" x14ac:dyDescent="0.25">
      <c r="A43" s="215" t="s">
        <v>2778</v>
      </c>
      <c r="B43" s="64">
        <v>36.200000000000003</v>
      </c>
      <c r="C43" s="64">
        <v>37.36</v>
      </c>
      <c r="D43" s="64">
        <v>47.17</v>
      </c>
      <c r="E43" s="64">
        <v>6.24</v>
      </c>
      <c r="F43" s="64">
        <v>3.84</v>
      </c>
      <c r="G43" s="64">
        <v>48.62</v>
      </c>
      <c r="H43" s="64">
        <v>18.829999999999998</v>
      </c>
      <c r="I43" s="210" t="s">
        <v>36</v>
      </c>
      <c r="J43" s="64">
        <v>3.08</v>
      </c>
      <c r="K43" s="64">
        <v>115.63</v>
      </c>
      <c r="L43" s="64">
        <v>18.559999999999999</v>
      </c>
      <c r="M43" s="64">
        <v>90.81</v>
      </c>
      <c r="N43" s="64">
        <v>373.5</v>
      </c>
      <c r="O43" s="64">
        <v>0</v>
      </c>
      <c r="P43" s="64">
        <v>0</v>
      </c>
      <c r="Q43" s="64">
        <v>8.86</v>
      </c>
      <c r="R43" s="198"/>
      <c r="S43" s="198"/>
      <c r="T43" s="198"/>
      <c r="U43" s="198"/>
    </row>
    <row r="44" spans="1:21" s="12" customFormat="1" x14ac:dyDescent="0.25">
      <c r="A44" s="215" t="s">
        <v>2779</v>
      </c>
      <c r="B44" s="64">
        <v>33.659999999999997</v>
      </c>
      <c r="C44" s="64">
        <v>37.64</v>
      </c>
      <c r="D44" s="64">
        <v>45.28</v>
      </c>
      <c r="E44" s="64">
        <v>6.04</v>
      </c>
      <c r="F44" s="64">
        <v>4.04</v>
      </c>
      <c r="G44" s="64">
        <v>49.71</v>
      </c>
      <c r="H44" s="64">
        <v>19.22</v>
      </c>
      <c r="I44" s="210" t="s">
        <v>36</v>
      </c>
      <c r="J44" s="64">
        <v>3.81</v>
      </c>
      <c r="K44" s="64">
        <v>113.17</v>
      </c>
      <c r="L44" s="64">
        <v>18.55</v>
      </c>
      <c r="M44" s="64">
        <v>91.75</v>
      </c>
      <c r="N44" s="64">
        <v>412.5</v>
      </c>
      <c r="O44" s="64">
        <v>0</v>
      </c>
      <c r="P44" s="64">
        <v>0</v>
      </c>
      <c r="Q44" s="64">
        <v>8.67</v>
      </c>
      <c r="R44" s="198"/>
      <c r="S44" s="198"/>
      <c r="T44" s="198"/>
      <c r="U44" s="198"/>
    </row>
    <row r="45" spans="1:21" s="12" customFormat="1" x14ac:dyDescent="0.25">
      <c r="A45" s="215" t="s">
        <v>2780</v>
      </c>
      <c r="B45" s="64">
        <v>30.79</v>
      </c>
      <c r="C45" s="64">
        <v>37.67</v>
      </c>
      <c r="D45" s="64">
        <v>42.99</v>
      </c>
      <c r="E45" s="64">
        <v>6.09</v>
      </c>
      <c r="F45" s="64">
        <v>4.42</v>
      </c>
      <c r="G45" s="64">
        <v>49.71</v>
      </c>
      <c r="H45" s="64">
        <v>19.22</v>
      </c>
      <c r="I45" s="210" t="s">
        <v>36</v>
      </c>
      <c r="J45" s="64">
        <v>3.55</v>
      </c>
      <c r="K45" s="64">
        <v>110.97</v>
      </c>
      <c r="L45" s="64">
        <v>18.989999999999998</v>
      </c>
      <c r="M45" s="64">
        <v>90.45</v>
      </c>
      <c r="N45" s="64">
        <v>447.5</v>
      </c>
      <c r="O45" s="64">
        <v>0</v>
      </c>
      <c r="P45" s="64">
        <v>0</v>
      </c>
      <c r="Q45" s="64">
        <v>8.42</v>
      </c>
      <c r="R45" s="198"/>
      <c r="S45" s="198"/>
      <c r="T45" s="198"/>
      <c r="U45" s="198"/>
    </row>
    <row r="46" spans="1:21" s="12" customFormat="1" x14ac:dyDescent="0.25">
      <c r="A46" s="215" t="s">
        <v>2781</v>
      </c>
      <c r="B46" s="64">
        <v>27.83</v>
      </c>
      <c r="C46" s="64">
        <v>37.47</v>
      </c>
      <c r="D46" s="64">
        <v>40.520000000000003</v>
      </c>
      <c r="E46" s="64">
        <v>5.81</v>
      </c>
      <c r="F46" s="64">
        <v>3.88</v>
      </c>
      <c r="G46" s="64">
        <v>49.71</v>
      </c>
      <c r="H46" s="64">
        <v>19.22</v>
      </c>
      <c r="I46" s="210" t="s">
        <v>36</v>
      </c>
      <c r="J46" s="64">
        <v>3.75</v>
      </c>
      <c r="K46" s="64">
        <v>111.93</v>
      </c>
      <c r="L46" s="64">
        <v>19.600000000000001</v>
      </c>
      <c r="M46" s="64">
        <v>88.36</v>
      </c>
      <c r="N46" s="64">
        <v>495.6</v>
      </c>
      <c r="O46" s="64">
        <v>0</v>
      </c>
      <c r="P46" s="64">
        <v>0</v>
      </c>
      <c r="Q46" s="64">
        <v>8.2200000000000006</v>
      </c>
      <c r="R46" s="198"/>
      <c r="S46" s="198"/>
      <c r="T46" s="198"/>
      <c r="U46" s="198"/>
    </row>
    <row r="47" spans="1:21" s="12" customFormat="1" x14ac:dyDescent="0.25">
      <c r="A47" s="215" t="s">
        <v>2782</v>
      </c>
      <c r="B47" s="64">
        <v>24.89</v>
      </c>
      <c r="C47" s="64">
        <v>36.78</v>
      </c>
      <c r="D47" s="64">
        <v>37.799999999999997</v>
      </c>
      <c r="E47" s="64">
        <v>5.78</v>
      </c>
      <c r="F47" s="64">
        <v>4.05</v>
      </c>
      <c r="G47" s="64">
        <v>46.69</v>
      </c>
      <c r="H47" s="64">
        <v>17.37</v>
      </c>
      <c r="I47" s="210" t="s">
        <v>36</v>
      </c>
      <c r="J47" s="64">
        <v>3.43</v>
      </c>
      <c r="K47" s="64">
        <v>115.19</v>
      </c>
      <c r="L47" s="64">
        <v>20.46</v>
      </c>
      <c r="M47" s="64">
        <v>85.01</v>
      </c>
      <c r="N47" s="64">
        <v>541.4</v>
      </c>
      <c r="O47" s="64">
        <v>0</v>
      </c>
      <c r="P47" s="64">
        <v>0</v>
      </c>
      <c r="Q47" s="64">
        <v>8.2100000000000009</v>
      </c>
      <c r="R47" s="198"/>
      <c r="S47" s="198"/>
      <c r="T47" s="198"/>
      <c r="U47" s="198"/>
    </row>
    <row r="48" spans="1:21" s="12" customFormat="1" x14ac:dyDescent="0.25">
      <c r="A48" s="215" t="s">
        <v>2783</v>
      </c>
      <c r="B48" s="64">
        <v>22.21</v>
      </c>
      <c r="C48" s="64">
        <v>36.89</v>
      </c>
      <c r="D48" s="64">
        <v>35.700000000000003</v>
      </c>
      <c r="E48" s="64">
        <v>6.19</v>
      </c>
      <c r="F48" s="64">
        <v>4.0599999999999996</v>
      </c>
      <c r="G48" s="64">
        <v>45.39</v>
      </c>
      <c r="H48" s="64">
        <v>17.22</v>
      </c>
      <c r="I48" s="210" t="s">
        <v>36</v>
      </c>
      <c r="J48" s="64">
        <v>4.05</v>
      </c>
      <c r="K48" s="64">
        <v>112.58</v>
      </c>
      <c r="L48" s="64">
        <v>20.29</v>
      </c>
      <c r="M48" s="64">
        <v>84.82</v>
      </c>
      <c r="N48" s="64">
        <v>572.79999999999995</v>
      </c>
      <c r="O48" s="64">
        <v>0</v>
      </c>
      <c r="P48" s="64">
        <v>0</v>
      </c>
      <c r="Q48" s="64">
        <v>8.2100000000000009</v>
      </c>
      <c r="R48" s="198"/>
      <c r="S48" s="198"/>
      <c r="T48" s="198"/>
      <c r="U48" s="198"/>
    </row>
    <row r="49" spans="1:21" s="12" customFormat="1" x14ac:dyDescent="0.25">
      <c r="A49" s="215" t="s">
        <v>2784</v>
      </c>
      <c r="B49" s="64">
        <v>19.489999999999998</v>
      </c>
      <c r="C49" s="64">
        <v>35.049999999999997</v>
      </c>
      <c r="D49" s="64">
        <v>32.56</v>
      </c>
      <c r="E49" s="64">
        <v>5.87</v>
      </c>
      <c r="F49" s="64">
        <v>3.97</v>
      </c>
      <c r="G49" s="64">
        <v>45.39</v>
      </c>
      <c r="H49" s="64">
        <v>17.22</v>
      </c>
      <c r="I49" s="210" t="s">
        <v>36</v>
      </c>
      <c r="J49" s="64">
        <v>3.57</v>
      </c>
      <c r="K49" s="64">
        <v>110.85</v>
      </c>
      <c r="L49" s="64">
        <v>20.76</v>
      </c>
      <c r="M49" s="64">
        <v>82.83</v>
      </c>
      <c r="N49" s="64">
        <v>576.1</v>
      </c>
      <c r="O49" s="64">
        <v>0</v>
      </c>
      <c r="P49" s="64">
        <v>0</v>
      </c>
      <c r="Q49" s="64">
        <v>8.2100000000000009</v>
      </c>
      <c r="R49" s="198"/>
      <c r="S49" s="198"/>
      <c r="T49" s="198"/>
      <c r="U49" s="198"/>
    </row>
    <row r="50" spans="1:21" s="12" customFormat="1" x14ac:dyDescent="0.25">
      <c r="A50" s="215" t="s">
        <v>2785</v>
      </c>
      <c r="B50" s="64">
        <v>17.149999999999999</v>
      </c>
      <c r="C50" s="64">
        <v>35.200000000000003</v>
      </c>
      <c r="D50" s="64">
        <v>30.77</v>
      </c>
      <c r="E50" s="64">
        <v>4.99</v>
      </c>
      <c r="F50" s="64">
        <v>3.65</v>
      </c>
      <c r="G50" s="64">
        <v>45.39</v>
      </c>
      <c r="H50" s="64">
        <v>17.22</v>
      </c>
      <c r="I50" s="210" t="s">
        <v>36</v>
      </c>
      <c r="J50" s="64">
        <v>3.45</v>
      </c>
      <c r="K50" s="64">
        <v>110.32</v>
      </c>
      <c r="L50" s="64">
        <v>21.58</v>
      </c>
      <c r="M50" s="64">
        <v>79.260000000000005</v>
      </c>
      <c r="N50" s="64">
        <v>626.4</v>
      </c>
      <c r="O50" s="64">
        <v>0</v>
      </c>
      <c r="P50" s="64">
        <v>0</v>
      </c>
      <c r="Q50" s="64">
        <v>8.2100000000000009</v>
      </c>
      <c r="R50" s="198"/>
      <c r="S50" s="198"/>
      <c r="T50" s="198"/>
      <c r="U50" s="198"/>
    </row>
    <row r="51" spans="1:21" s="12" customFormat="1" x14ac:dyDescent="0.25">
      <c r="A51" s="215" t="s">
        <v>2786</v>
      </c>
      <c r="B51" s="64">
        <v>15.39</v>
      </c>
      <c r="C51" s="64">
        <v>36.01</v>
      </c>
      <c r="D51" s="64">
        <v>29.78</v>
      </c>
      <c r="E51" s="64">
        <v>5.45</v>
      </c>
      <c r="F51" s="64">
        <v>3.86</v>
      </c>
      <c r="G51" s="64">
        <v>38.79</v>
      </c>
      <c r="H51" s="64">
        <v>14.01</v>
      </c>
      <c r="I51" s="210" t="s">
        <v>36</v>
      </c>
      <c r="J51" s="64">
        <v>3.46</v>
      </c>
      <c r="K51" s="64">
        <v>108.91</v>
      </c>
      <c r="L51" s="64">
        <v>21.65</v>
      </c>
      <c r="M51" s="64">
        <v>77.599999999999994</v>
      </c>
      <c r="N51" s="64">
        <v>628.4</v>
      </c>
      <c r="O51" s="64">
        <v>0</v>
      </c>
      <c r="P51" s="64">
        <v>0</v>
      </c>
      <c r="Q51" s="64">
        <v>8.2100000000000009</v>
      </c>
      <c r="R51" s="198"/>
      <c r="S51" s="198"/>
      <c r="T51" s="198"/>
      <c r="U51" s="198"/>
    </row>
    <row r="52" spans="1:21" s="12" customFormat="1" x14ac:dyDescent="0.25">
      <c r="A52" s="215" t="s">
        <v>2787</v>
      </c>
      <c r="B52" s="64">
        <v>9.9600000000000009</v>
      </c>
      <c r="C52" s="64">
        <v>36.15</v>
      </c>
      <c r="D52" s="64">
        <v>25.5</v>
      </c>
      <c r="E52" s="64">
        <v>6.09</v>
      </c>
      <c r="F52" s="64">
        <v>8.36</v>
      </c>
      <c r="G52" s="64">
        <v>35.97</v>
      </c>
      <c r="H52" s="64">
        <v>13.74</v>
      </c>
      <c r="I52" s="210" t="s">
        <v>36</v>
      </c>
      <c r="J52" s="64">
        <v>2.66</v>
      </c>
      <c r="K52" s="64">
        <v>110.27</v>
      </c>
      <c r="L52" s="64">
        <v>22.68</v>
      </c>
      <c r="M52" s="64">
        <v>72.83</v>
      </c>
      <c r="N52" s="64">
        <v>728.1</v>
      </c>
      <c r="O52" s="64">
        <v>0</v>
      </c>
      <c r="P52" s="64">
        <v>0.05</v>
      </c>
      <c r="Q52" s="64">
        <v>8.2100000000000009</v>
      </c>
      <c r="R52" s="198"/>
      <c r="S52" s="198"/>
      <c r="T52" s="198"/>
      <c r="U52" s="198"/>
    </row>
    <row r="53" spans="1:21" s="12" customFormat="1" x14ac:dyDescent="0.25">
      <c r="A53" s="215" t="s">
        <v>2788</v>
      </c>
      <c r="B53" s="64">
        <v>3.45</v>
      </c>
      <c r="C53" s="64">
        <v>30.08</v>
      </c>
      <c r="D53" s="64">
        <v>17.11</v>
      </c>
      <c r="E53" s="64">
        <v>8.65</v>
      </c>
      <c r="F53" s="64">
        <v>11.77</v>
      </c>
      <c r="G53" s="64">
        <v>35.97</v>
      </c>
      <c r="H53" s="64">
        <v>13.74</v>
      </c>
      <c r="I53" s="210" t="s">
        <v>36</v>
      </c>
      <c r="J53" s="64">
        <v>3.46</v>
      </c>
      <c r="K53" s="64">
        <v>112.03</v>
      </c>
      <c r="L53" s="64">
        <v>22.29</v>
      </c>
      <c r="M53" s="64">
        <v>73.010000000000005</v>
      </c>
      <c r="N53" s="64">
        <v>586.6</v>
      </c>
      <c r="O53" s="64">
        <v>0</v>
      </c>
      <c r="P53" s="64">
        <v>0.4</v>
      </c>
      <c r="Q53" s="64">
        <v>8.2100000000000009</v>
      </c>
      <c r="R53" s="198"/>
      <c r="S53" s="198"/>
      <c r="T53" s="198"/>
      <c r="U53" s="198"/>
    </row>
    <row r="54" spans="1:21" s="12" customFormat="1" x14ac:dyDescent="0.25">
      <c r="A54" s="215" t="s">
        <v>2789</v>
      </c>
      <c r="B54" s="64">
        <v>1.82</v>
      </c>
      <c r="C54" s="64">
        <v>34.729999999999997</v>
      </c>
      <c r="D54" s="64">
        <v>18.23</v>
      </c>
      <c r="E54" s="64">
        <v>8.24</v>
      </c>
      <c r="F54" s="64">
        <v>10.81</v>
      </c>
      <c r="G54" s="64">
        <v>35.97</v>
      </c>
      <c r="H54" s="64">
        <v>13.74</v>
      </c>
      <c r="I54" s="210" t="s">
        <v>36</v>
      </c>
      <c r="J54" s="64">
        <v>3.69</v>
      </c>
      <c r="K54" s="64">
        <v>107.25</v>
      </c>
      <c r="L54" s="64">
        <v>22.08</v>
      </c>
      <c r="M54" s="64">
        <v>70.709999999999994</v>
      </c>
      <c r="N54" s="64">
        <v>568.4</v>
      </c>
      <c r="O54" s="64">
        <v>0</v>
      </c>
      <c r="P54" s="64">
        <v>0.24</v>
      </c>
      <c r="Q54" s="64">
        <v>8.2100000000000009</v>
      </c>
      <c r="R54" s="198"/>
      <c r="S54" s="198"/>
      <c r="T54" s="198"/>
      <c r="U54" s="198"/>
    </row>
    <row r="55" spans="1:21" s="12" customFormat="1" x14ac:dyDescent="0.25">
      <c r="A55" s="215" t="s">
        <v>2790</v>
      </c>
      <c r="B55" s="64">
        <v>1.44</v>
      </c>
      <c r="C55" s="64">
        <v>29.94</v>
      </c>
      <c r="D55" s="64">
        <v>15.42</v>
      </c>
      <c r="E55" s="64">
        <v>7.19</v>
      </c>
      <c r="F55" s="64">
        <v>9.84</v>
      </c>
      <c r="G55" s="64">
        <v>25.72</v>
      </c>
      <c r="H55" s="64">
        <v>10.68</v>
      </c>
      <c r="I55" s="210" t="s">
        <v>36</v>
      </c>
      <c r="J55" s="64">
        <v>2.75</v>
      </c>
      <c r="K55" s="64">
        <v>99.09</v>
      </c>
      <c r="L55" s="64">
        <v>22.51</v>
      </c>
      <c r="M55" s="64">
        <v>68.599999999999994</v>
      </c>
      <c r="N55" s="64">
        <v>672</v>
      </c>
      <c r="O55" s="64">
        <v>0</v>
      </c>
      <c r="P55" s="64">
        <v>0.11</v>
      </c>
      <c r="Q55" s="64">
        <v>8.2100000000000009</v>
      </c>
      <c r="R55" s="198"/>
      <c r="S55" s="198"/>
      <c r="T55" s="198"/>
      <c r="U55" s="198"/>
    </row>
    <row r="56" spans="1:21" s="12" customFormat="1" x14ac:dyDescent="0.25">
      <c r="A56" s="215" t="s">
        <v>2791</v>
      </c>
      <c r="B56" s="64">
        <v>1.51</v>
      </c>
      <c r="C56" s="64">
        <v>24.59</v>
      </c>
      <c r="D56" s="64">
        <v>12.68</v>
      </c>
      <c r="E56" s="64">
        <v>7.19</v>
      </c>
      <c r="F56" s="64">
        <v>15.1</v>
      </c>
      <c r="G56" s="64">
        <v>21.33</v>
      </c>
      <c r="H56" s="64">
        <v>10.43</v>
      </c>
      <c r="I56" s="210" t="s">
        <v>36</v>
      </c>
      <c r="J56" s="64">
        <v>2.56</v>
      </c>
      <c r="K56" s="64">
        <v>120.9</v>
      </c>
      <c r="L56" s="64">
        <v>22.68</v>
      </c>
      <c r="M56" s="64">
        <v>67.84</v>
      </c>
      <c r="N56" s="64">
        <v>503.1</v>
      </c>
      <c r="O56" s="64">
        <v>0</v>
      </c>
      <c r="P56" s="64">
        <v>0.11</v>
      </c>
      <c r="Q56" s="64">
        <v>8.2100000000000009</v>
      </c>
      <c r="R56" s="198"/>
      <c r="S56" s="198"/>
      <c r="T56" s="198"/>
      <c r="U56" s="198"/>
    </row>
    <row r="57" spans="1:21" s="12" customFormat="1" x14ac:dyDescent="0.25">
      <c r="A57" s="215" t="s">
        <v>2792</v>
      </c>
      <c r="B57" s="64">
        <v>1.21</v>
      </c>
      <c r="C57" s="64">
        <v>24.88</v>
      </c>
      <c r="D57" s="64">
        <v>12.59</v>
      </c>
      <c r="E57" s="64">
        <v>8.01</v>
      </c>
      <c r="F57" s="64">
        <v>16.690000000000001</v>
      </c>
      <c r="G57" s="64">
        <v>21.33</v>
      </c>
      <c r="H57" s="64">
        <v>10.43</v>
      </c>
      <c r="I57" s="210" t="s">
        <v>36</v>
      </c>
      <c r="J57" s="64">
        <v>3.41</v>
      </c>
      <c r="K57" s="64">
        <v>117.34</v>
      </c>
      <c r="L57" s="64">
        <v>22.98</v>
      </c>
      <c r="M57" s="64">
        <v>67.209999999999994</v>
      </c>
      <c r="N57" s="64">
        <v>673.1</v>
      </c>
      <c r="O57" s="64">
        <v>0</v>
      </c>
      <c r="P57" s="64">
        <v>0.35</v>
      </c>
      <c r="Q57" s="64">
        <v>8.2100000000000009</v>
      </c>
      <c r="R57" s="198"/>
      <c r="S57" s="198"/>
      <c r="T57" s="198"/>
      <c r="U57" s="198"/>
    </row>
    <row r="58" spans="1:21" s="12" customFormat="1" x14ac:dyDescent="0.25">
      <c r="A58" s="215" t="s">
        <v>2793</v>
      </c>
      <c r="B58" s="64">
        <v>1.34</v>
      </c>
      <c r="C58" s="64">
        <v>25.29</v>
      </c>
      <c r="D58" s="64">
        <v>12.91</v>
      </c>
      <c r="E58" s="64">
        <v>7.26</v>
      </c>
      <c r="F58" s="64">
        <v>9.4600000000000009</v>
      </c>
      <c r="G58" s="64">
        <v>21.33</v>
      </c>
      <c r="H58" s="64">
        <v>10.43</v>
      </c>
      <c r="I58" s="210" t="s">
        <v>36</v>
      </c>
      <c r="J58" s="64">
        <v>3.13</v>
      </c>
      <c r="K58" s="64">
        <v>106.16</v>
      </c>
      <c r="L58" s="64">
        <v>23.57</v>
      </c>
      <c r="M58" s="64">
        <v>64.78</v>
      </c>
      <c r="N58" s="64">
        <v>693.3</v>
      </c>
      <c r="O58" s="64">
        <v>0</v>
      </c>
      <c r="P58" s="64">
        <v>0.34</v>
      </c>
      <c r="Q58" s="64">
        <v>8.2100000000000009</v>
      </c>
      <c r="R58" s="198"/>
      <c r="S58" s="198"/>
      <c r="T58" s="198"/>
      <c r="U58" s="198"/>
    </row>
    <row r="59" spans="1:21" s="12" customFormat="1" x14ac:dyDescent="0.25">
      <c r="A59" s="215" t="s">
        <v>2794</v>
      </c>
      <c r="B59" s="64">
        <v>1.73</v>
      </c>
      <c r="C59" s="64">
        <v>24.43</v>
      </c>
      <c r="D59" s="64">
        <v>12.78</v>
      </c>
      <c r="E59" s="64">
        <v>6.74</v>
      </c>
      <c r="F59" s="64">
        <v>7.55</v>
      </c>
      <c r="G59" s="64">
        <v>33.29</v>
      </c>
      <c r="H59" s="64">
        <v>13.11</v>
      </c>
      <c r="I59" s="210" t="s">
        <v>36</v>
      </c>
      <c r="J59" s="64">
        <v>3.11</v>
      </c>
      <c r="K59" s="64">
        <v>110.41</v>
      </c>
      <c r="L59" s="64">
        <v>23.45</v>
      </c>
      <c r="M59" s="64">
        <v>64.44</v>
      </c>
      <c r="N59" s="64">
        <v>575.6</v>
      </c>
      <c r="O59" s="64">
        <v>0</v>
      </c>
      <c r="P59" s="64">
        <v>0.32</v>
      </c>
      <c r="Q59" s="64">
        <v>8.2100000000000009</v>
      </c>
      <c r="R59" s="198"/>
      <c r="S59" s="198"/>
      <c r="T59" s="198"/>
      <c r="U59" s="198"/>
    </row>
    <row r="60" spans="1:21" s="12" customFormat="1" x14ac:dyDescent="0.25">
      <c r="A60" s="215" t="s">
        <v>2795</v>
      </c>
      <c r="B60" s="64">
        <v>1.71</v>
      </c>
      <c r="C60" s="64">
        <v>23.93</v>
      </c>
      <c r="D60" s="64">
        <v>12.5</v>
      </c>
      <c r="E60" s="64">
        <v>6.45</v>
      </c>
      <c r="F60" s="64">
        <v>6.14</v>
      </c>
      <c r="G60" s="64">
        <v>38.409999999999997</v>
      </c>
      <c r="H60" s="64">
        <v>13.45</v>
      </c>
      <c r="I60" s="210" t="s">
        <v>36</v>
      </c>
      <c r="J60" s="64">
        <v>2.1800000000000002</v>
      </c>
      <c r="K60" s="64">
        <v>125.3</v>
      </c>
      <c r="L60" s="64">
        <v>23.26</v>
      </c>
      <c r="M60" s="64">
        <v>64.3</v>
      </c>
      <c r="N60" s="64">
        <v>438</v>
      </c>
      <c r="O60" s="64">
        <v>0</v>
      </c>
      <c r="P60" s="64">
        <v>0.32</v>
      </c>
      <c r="Q60" s="64">
        <v>8.2100000000000009</v>
      </c>
      <c r="R60" s="198"/>
      <c r="S60" s="198"/>
      <c r="T60" s="198"/>
      <c r="U60" s="198"/>
    </row>
    <row r="61" spans="1:21" s="12" customFormat="1" x14ac:dyDescent="0.25">
      <c r="A61" s="215" t="s">
        <v>2796</v>
      </c>
      <c r="B61" s="64">
        <v>1.9</v>
      </c>
      <c r="C61" s="64">
        <v>23.44</v>
      </c>
      <c r="D61" s="64">
        <v>12.39</v>
      </c>
      <c r="E61" s="64">
        <v>5.56</v>
      </c>
      <c r="F61" s="64">
        <v>6.53</v>
      </c>
      <c r="G61" s="64">
        <v>38.409999999999997</v>
      </c>
      <c r="H61" s="64">
        <v>13.45</v>
      </c>
      <c r="I61" s="210" t="s">
        <v>36</v>
      </c>
      <c r="J61" s="64">
        <v>2.61</v>
      </c>
      <c r="K61" s="64">
        <v>120.33</v>
      </c>
      <c r="L61" s="64">
        <v>23.79</v>
      </c>
      <c r="M61" s="64">
        <v>62.05</v>
      </c>
      <c r="N61" s="64">
        <v>591.20000000000005</v>
      </c>
      <c r="O61" s="64">
        <v>0</v>
      </c>
      <c r="P61" s="64">
        <v>0.35</v>
      </c>
      <c r="Q61" s="64">
        <v>8.2100000000000009</v>
      </c>
      <c r="R61" s="198"/>
      <c r="S61" s="198"/>
      <c r="T61" s="198"/>
      <c r="U61" s="198"/>
    </row>
    <row r="62" spans="1:21" s="12" customFormat="1" x14ac:dyDescent="0.25">
      <c r="A62" s="215" t="s">
        <v>2797</v>
      </c>
      <c r="B62" s="64">
        <v>1.76</v>
      </c>
      <c r="C62" s="64">
        <v>24.93</v>
      </c>
      <c r="D62" s="64">
        <v>13.06</v>
      </c>
      <c r="E62" s="64">
        <v>5.63</v>
      </c>
      <c r="F62" s="64">
        <v>9.1199999999999992</v>
      </c>
      <c r="G62" s="64">
        <v>38.409999999999997</v>
      </c>
      <c r="H62" s="64">
        <v>13.45</v>
      </c>
      <c r="I62" s="210" t="s">
        <v>36</v>
      </c>
      <c r="J62" s="64">
        <v>3.2</v>
      </c>
      <c r="K62" s="64">
        <v>106.3</v>
      </c>
      <c r="L62" s="64">
        <v>23.22</v>
      </c>
      <c r="M62" s="64">
        <v>63.16</v>
      </c>
      <c r="N62" s="64">
        <v>424.9</v>
      </c>
      <c r="O62" s="64">
        <v>0</v>
      </c>
      <c r="P62" s="64">
        <v>0.37</v>
      </c>
      <c r="Q62" s="64">
        <v>8.2100000000000009</v>
      </c>
      <c r="R62" s="198"/>
      <c r="S62" s="198"/>
      <c r="T62" s="198"/>
      <c r="U62" s="198"/>
    </row>
    <row r="63" spans="1:21" s="12" customFormat="1" x14ac:dyDescent="0.25">
      <c r="A63" s="215" t="s">
        <v>2798</v>
      </c>
      <c r="B63" s="64">
        <v>1.73</v>
      </c>
      <c r="C63" s="64">
        <v>24.92</v>
      </c>
      <c r="D63" s="64">
        <v>13.03</v>
      </c>
      <c r="E63" s="64">
        <v>6.23</v>
      </c>
      <c r="F63" s="64">
        <v>7.14</v>
      </c>
      <c r="G63" s="64">
        <v>38.659999999999997</v>
      </c>
      <c r="H63" s="64">
        <v>11.28</v>
      </c>
      <c r="I63" s="210" t="s">
        <v>36</v>
      </c>
      <c r="J63" s="64">
        <v>0.28000000000000003</v>
      </c>
      <c r="K63" s="64">
        <v>155.72</v>
      </c>
      <c r="L63" s="64">
        <v>23.47</v>
      </c>
      <c r="M63" s="64">
        <v>61.24</v>
      </c>
      <c r="N63" s="64">
        <v>431.1</v>
      </c>
      <c r="O63" s="64">
        <v>0</v>
      </c>
      <c r="P63" s="64">
        <v>0.38</v>
      </c>
      <c r="Q63" s="64">
        <v>8.2100000000000009</v>
      </c>
      <c r="R63" s="198"/>
      <c r="S63" s="198"/>
      <c r="T63" s="198"/>
      <c r="U63" s="198"/>
    </row>
    <row r="64" spans="1:21" s="12" customFormat="1" x14ac:dyDescent="0.25">
      <c r="A64" s="215" t="s">
        <v>2799</v>
      </c>
      <c r="B64" s="64">
        <v>1.75</v>
      </c>
      <c r="C64" s="64">
        <v>22.37</v>
      </c>
      <c r="D64" s="64">
        <v>11.72</v>
      </c>
      <c r="E64" s="64">
        <v>6.4</v>
      </c>
      <c r="F64" s="64">
        <v>8.15</v>
      </c>
      <c r="G64" s="64">
        <v>38.76</v>
      </c>
      <c r="H64" s="64">
        <v>11.1</v>
      </c>
      <c r="I64" s="210" t="s">
        <v>36</v>
      </c>
      <c r="J64" s="64">
        <v>2.08</v>
      </c>
      <c r="K64" s="64">
        <v>115.9</v>
      </c>
      <c r="L64" s="64">
        <v>24.21</v>
      </c>
      <c r="M64" s="64">
        <v>59.47</v>
      </c>
      <c r="N64" s="64">
        <v>563.79999999999995</v>
      </c>
      <c r="O64" s="64">
        <v>0</v>
      </c>
      <c r="P64" s="64">
        <v>0.38</v>
      </c>
      <c r="Q64" s="64">
        <v>8.2100000000000009</v>
      </c>
      <c r="R64" s="198"/>
      <c r="S64" s="198"/>
      <c r="T64" s="198"/>
      <c r="U64" s="198"/>
    </row>
    <row r="65" spans="1:21" s="12" customFormat="1" x14ac:dyDescent="0.25">
      <c r="A65" s="215" t="s">
        <v>2800</v>
      </c>
      <c r="B65" s="64">
        <v>1.73</v>
      </c>
      <c r="C65" s="64">
        <v>22.16</v>
      </c>
      <c r="D65" s="64">
        <v>11.59</v>
      </c>
      <c r="E65" s="64">
        <v>7.1</v>
      </c>
      <c r="F65" s="64">
        <v>18.579999999999998</v>
      </c>
      <c r="G65" s="64">
        <v>38.76</v>
      </c>
      <c r="H65" s="64">
        <v>11.1</v>
      </c>
      <c r="I65" s="210" t="s">
        <v>36</v>
      </c>
      <c r="J65" s="64">
        <v>1.06</v>
      </c>
      <c r="K65" s="64">
        <v>72.27</v>
      </c>
      <c r="L65" s="64">
        <v>25.22</v>
      </c>
      <c r="M65" s="64">
        <v>54.83</v>
      </c>
      <c r="N65" s="64">
        <v>288.10000000000002</v>
      </c>
      <c r="O65" s="64">
        <v>0</v>
      </c>
      <c r="P65" s="64">
        <v>0.37</v>
      </c>
      <c r="Q65" s="64">
        <v>8.2100000000000009</v>
      </c>
      <c r="R65" s="198"/>
      <c r="S65" s="198"/>
      <c r="T65" s="198"/>
      <c r="U65" s="198"/>
    </row>
    <row r="66" spans="1:21" s="12" customFormat="1" x14ac:dyDescent="0.25">
      <c r="A66" s="215" t="s">
        <v>2801</v>
      </c>
      <c r="B66" s="64">
        <v>1.34</v>
      </c>
      <c r="C66" s="64">
        <v>22.55</v>
      </c>
      <c r="D66" s="64">
        <v>11.48</v>
      </c>
      <c r="E66" s="64">
        <v>9.18</v>
      </c>
      <c r="F66" s="64">
        <v>31.51</v>
      </c>
      <c r="G66" s="64">
        <v>38.76</v>
      </c>
      <c r="H66" s="64">
        <v>11.1</v>
      </c>
      <c r="I66" s="210" t="s">
        <v>36</v>
      </c>
      <c r="J66" s="64">
        <v>1.96</v>
      </c>
      <c r="K66" s="64">
        <v>106.99</v>
      </c>
      <c r="L66" s="64">
        <v>24.16</v>
      </c>
      <c r="M66" s="64">
        <v>58.07</v>
      </c>
      <c r="N66" s="64">
        <v>161.30000000000001</v>
      </c>
      <c r="O66" s="64">
        <v>0</v>
      </c>
      <c r="P66" s="64">
        <v>0.47</v>
      </c>
      <c r="Q66" s="64">
        <v>8.2100000000000009</v>
      </c>
      <c r="R66" s="198"/>
      <c r="S66" s="198"/>
      <c r="T66" s="198"/>
      <c r="U66" s="198"/>
    </row>
    <row r="67" spans="1:21" s="12" customFormat="1" x14ac:dyDescent="0.25">
      <c r="A67" s="215" t="s">
        <v>2802</v>
      </c>
      <c r="B67" s="64">
        <v>1.1200000000000001</v>
      </c>
      <c r="C67" s="64">
        <v>27.79</v>
      </c>
      <c r="D67" s="64">
        <v>14.04</v>
      </c>
      <c r="E67" s="64">
        <v>8.48</v>
      </c>
      <c r="F67" s="64">
        <v>20.89</v>
      </c>
      <c r="G67" s="64">
        <v>31.69</v>
      </c>
      <c r="H67" s="64">
        <v>11.14</v>
      </c>
      <c r="I67" s="210" t="s">
        <v>36</v>
      </c>
      <c r="J67" s="64">
        <v>2.04</v>
      </c>
      <c r="K67" s="64">
        <v>103.27</v>
      </c>
      <c r="L67" s="64">
        <v>23.97</v>
      </c>
      <c r="M67" s="64">
        <v>57.04</v>
      </c>
      <c r="N67" s="64">
        <v>154.69999999999999</v>
      </c>
      <c r="O67" s="64">
        <v>0</v>
      </c>
      <c r="P67" s="64">
        <v>0.52</v>
      </c>
      <c r="Q67" s="64">
        <v>8.2100000000000009</v>
      </c>
      <c r="R67" s="198"/>
      <c r="S67" s="198"/>
      <c r="T67" s="198"/>
      <c r="U67" s="198"/>
    </row>
    <row r="68" spans="1:21" s="12" customFormat="1" x14ac:dyDescent="0.25">
      <c r="A68" s="215" t="s">
        <v>2803</v>
      </c>
      <c r="B68" s="64">
        <v>1.25</v>
      </c>
      <c r="C68" s="64">
        <v>31.25</v>
      </c>
      <c r="D68" s="64">
        <v>15.96</v>
      </c>
      <c r="E68" s="64">
        <v>7.31</v>
      </c>
      <c r="F68" s="64">
        <v>6.18</v>
      </c>
      <c r="G68" s="64">
        <v>28.49</v>
      </c>
      <c r="H68" s="64">
        <v>11.14</v>
      </c>
      <c r="I68" s="210" t="s">
        <v>36</v>
      </c>
      <c r="J68" s="64">
        <v>1.38</v>
      </c>
      <c r="K68" s="64">
        <v>134.97</v>
      </c>
      <c r="L68" s="64">
        <v>24.57</v>
      </c>
      <c r="M68" s="64">
        <v>54.2</v>
      </c>
      <c r="N68" s="64">
        <v>159.19999999999999</v>
      </c>
      <c r="O68" s="64">
        <v>0</v>
      </c>
      <c r="P68" s="64">
        <v>0.5</v>
      </c>
      <c r="Q68" s="64">
        <v>8.2100000000000009</v>
      </c>
      <c r="R68" s="198"/>
      <c r="S68" s="198"/>
      <c r="T68" s="198"/>
      <c r="U68" s="198"/>
    </row>
    <row r="69" spans="1:21" s="12" customFormat="1" x14ac:dyDescent="0.25">
      <c r="A69" s="215" t="s">
        <v>2804</v>
      </c>
      <c r="B69" s="64">
        <v>1.59</v>
      </c>
      <c r="C69" s="64">
        <v>27.23</v>
      </c>
      <c r="D69" s="64">
        <v>14.12</v>
      </c>
      <c r="E69" s="64">
        <v>6.62</v>
      </c>
      <c r="F69" s="64">
        <v>6.8</v>
      </c>
      <c r="G69" s="64">
        <v>28.49</v>
      </c>
      <c r="H69" s="64">
        <v>11.14</v>
      </c>
      <c r="I69" s="210" t="s">
        <v>36</v>
      </c>
      <c r="J69" s="64">
        <v>1.2</v>
      </c>
      <c r="K69" s="64">
        <v>93.74</v>
      </c>
      <c r="L69" s="64">
        <v>24.36</v>
      </c>
      <c r="M69" s="64">
        <v>55.63</v>
      </c>
      <c r="N69" s="64">
        <v>130.4</v>
      </c>
      <c r="O69" s="64">
        <v>0</v>
      </c>
      <c r="P69" s="64">
        <v>0.49</v>
      </c>
      <c r="Q69" s="64">
        <v>8.2100000000000009</v>
      </c>
      <c r="R69" s="198"/>
      <c r="S69" s="198"/>
      <c r="T69" s="198"/>
      <c r="U69" s="198"/>
    </row>
    <row r="70" spans="1:21" s="12" customFormat="1" x14ac:dyDescent="0.25">
      <c r="A70" s="215" t="s">
        <v>2805</v>
      </c>
      <c r="B70" s="64">
        <v>2.2200000000000002</v>
      </c>
      <c r="C70" s="64">
        <v>29.93</v>
      </c>
      <c r="D70" s="64">
        <v>16.04</v>
      </c>
      <c r="E70" s="64">
        <v>6.32</v>
      </c>
      <c r="F70" s="64">
        <v>3.7</v>
      </c>
      <c r="G70" s="64">
        <v>28.49</v>
      </c>
      <c r="H70" s="64">
        <v>11.14</v>
      </c>
      <c r="I70" s="210" t="s">
        <v>36</v>
      </c>
      <c r="J70" s="64">
        <v>1.34</v>
      </c>
      <c r="K70" s="64">
        <v>355.88</v>
      </c>
      <c r="L70" s="64">
        <v>24.53</v>
      </c>
      <c r="M70" s="64">
        <v>55.26</v>
      </c>
      <c r="N70" s="64">
        <v>116.5</v>
      </c>
      <c r="O70" s="64">
        <v>0</v>
      </c>
      <c r="P70" s="64">
        <v>0.49</v>
      </c>
      <c r="Q70" s="64">
        <v>8.2100000000000009</v>
      </c>
      <c r="R70" s="198"/>
      <c r="S70" s="198"/>
      <c r="T70" s="198"/>
      <c r="U70" s="198"/>
    </row>
    <row r="71" spans="1:21" s="12" customFormat="1" x14ac:dyDescent="0.25">
      <c r="A71" s="215" t="s">
        <v>2806</v>
      </c>
      <c r="B71" s="64">
        <v>3.1</v>
      </c>
      <c r="C71" s="64">
        <v>27.59</v>
      </c>
      <c r="D71" s="64">
        <v>15.53</v>
      </c>
      <c r="E71" s="64">
        <v>6.3</v>
      </c>
      <c r="F71" s="64">
        <v>4.1500000000000004</v>
      </c>
      <c r="G71" s="64">
        <v>36.520000000000003</v>
      </c>
      <c r="H71" s="64">
        <v>11.47</v>
      </c>
      <c r="I71" s="210" t="s">
        <v>36</v>
      </c>
      <c r="J71" s="64">
        <v>2.52</v>
      </c>
      <c r="K71" s="64">
        <v>343.57</v>
      </c>
      <c r="L71" s="64">
        <v>24.35</v>
      </c>
      <c r="M71" s="64">
        <v>55.8</v>
      </c>
      <c r="N71" s="64">
        <v>108.1</v>
      </c>
      <c r="O71" s="64">
        <v>0</v>
      </c>
      <c r="P71" s="64">
        <v>0.53</v>
      </c>
      <c r="Q71" s="64">
        <v>8.2100000000000009</v>
      </c>
      <c r="R71" s="198"/>
      <c r="S71" s="198"/>
      <c r="T71" s="198"/>
      <c r="U71" s="198"/>
    </row>
    <row r="72" spans="1:21" s="12" customFormat="1" x14ac:dyDescent="0.25">
      <c r="A72" s="215" t="s">
        <v>2807</v>
      </c>
      <c r="B72" s="64">
        <v>3.93</v>
      </c>
      <c r="C72" s="64">
        <v>25.3</v>
      </c>
      <c r="D72" s="64">
        <v>14.99</v>
      </c>
      <c r="E72" s="64">
        <v>6.21</v>
      </c>
      <c r="F72" s="64">
        <v>4.45</v>
      </c>
      <c r="G72" s="64">
        <v>39.97</v>
      </c>
      <c r="H72" s="64">
        <v>11.49</v>
      </c>
      <c r="I72" s="210" t="s">
        <v>36</v>
      </c>
      <c r="J72" s="64">
        <v>1.03</v>
      </c>
      <c r="K72" s="64">
        <v>119.24</v>
      </c>
      <c r="L72" s="64">
        <v>24.19</v>
      </c>
      <c r="M72" s="64">
        <v>55.41</v>
      </c>
      <c r="N72" s="64">
        <v>92.9</v>
      </c>
      <c r="O72" s="64">
        <v>0</v>
      </c>
      <c r="P72" s="64">
        <v>0.48</v>
      </c>
      <c r="Q72" s="64">
        <v>8.2100000000000009</v>
      </c>
      <c r="R72" s="198"/>
      <c r="S72" s="198"/>
      <c r="T72" s="198"/>
      <c r="U72" s="198"/>
    </row>
    <row r="73" spans="1:21" s="12" customFormat="1" x14ac:dyDescent="0.25">
      <c r="A73" s="215" t="s">
        <v>2808</v>
      </c>
      <c r="B73" s="64">
        <v>4.33</v>
      </c>
      <c r="C73" s="64">
        <v>24.34</v>
      </c>
      <c r="D73" s="64">
        <v>14.82</v>
      </c>
      <c r="E73" s="64">
        <v>5.0199999999999996</v>
      </c>
      <c r="F73" s="64">
        <v>4.09</v>
      </c>
      <c r="G73" s="64">
        <v>39.97</v>
      </c>
      <c r="H73" s="64">
        <v>11.49</v>
      </c>
      <c r="I73" s="210" t="s">
        <v>36</v>
      </c>
      <c r="J73" s="64">
        <v>1.74</v>
      </c>
      <c r="K73" s="64">
        <v>138.52000000000001</v>
      </c>
      <c r="L73" s="64">
        <v>23.7</v>
      </c>
      <c r="M73" s="64">
        <v>54.24</v>
      </c>
      <c r="N73" s="64">
        <v>89.3</v>
      </c>
      <c r="O73" s="64">
        <v>0</v>
      </c>
      <c r="P73" s="64">
        <v>0.45</v>
      </c>
      <c r="Q73" s="64">
        <v>8.2100000000000009</v>
      </c>
      <c r="R73" s="198"/>
      <c r="S73" s="198"/>
      <c r="T73" s="198"/>
      <c r="U73" s="198"/>
    </row>
    <row r="74" spans="1:21" s="12" customFormat="1" x14ac:dyDescent="0.25">
      <c r="A74" s="215" t="s">
        <v>2809</v>
      </c>
      <c r="B74" s="64">
        <v>4.59</v>
      </c>
      <c r="C74" s="64">
        <v>24.19</v>
      </c>
      <c r="D74" s="64">
        <v>14.94</v>
      </c>
      <c r="E74" s="64">
        <v>4.92</v>
      </c>
      <c r="F74" s="64">
        <v>4.3099999999999996</v>
      </c>
      <c r="G74" s="64">
        <v>39.97</v>
      </c>
      <c r="H74" s="64">
        <v>11.49</v>
      </c>
      <c r="I74" s="210" t="s">
        <v>36</v>
      </c>
      <c r="J74" s="64">
        <v>2.16</v>
      </c>
      <c r="K74" s="64">
        <v>324.29000000000002</v>
      </c>
      <c r="L74" s="64">
        <v>23.91</v>
      </c>
      <c r="M74" s="64">
        <v>54.39</v>
      </c>
      <c r="N74" s="64">
        <v>84.9</v>
      </c>
      <c r="O74" s="64">
        <v>0</v>
      </c>
      <c r="P74" s="64">
        <v>0.56000000000000005</v>
      </c>
      <c r="Q74" s="64">
        <v>8.2100000000000009</v>
      </c>
      <c r="R74" s="198"/>
      <c r="S74" s="198"/>
      <c r="T74" s="198"/>
      <c r="U74" s="198"/>
    </row>
    <row r="75" spans="1:21" s="12" customFormat="1" x14ac:dyDescent="0.25">
      <c r="A75" s="215" t="s">
        <v>2810</v>
      </c>
      <c r="B75" s="64">
        <v>5.18</v>
      </c>
      <c r="C75" s="64">
        <v>24.19</v>
      </c>
      <c r="D75" s="64">
        <v>15.42</v>
      </c>
      <c r="E75" s="64">
        <v>5.07</v>
      </c>
      <c r="F75" s="64">
        <v>5.23</v>
      </c>
      <c r="G75" s="64">
        <v>38.299999999999997</v>
      </c>
      <c r="H75" s="64">
        <v>12.28</v>
      </c>
      <c r="I75" s="210" t="s">
        <v>36</v>
      </c>
      <c r="J75" s="64">
        <v>1.81</v>
      </c>
      <c r="K75" s="64">
        <v>169.07</v>
      </c>
      <c r="L75" s="64">
        <v>23.78</v>
      </c>
      <c r="M75" s="64">
        <v>53.49</v>
      </c>
      <c r="N75" s="64">
        <v>80.3</v>
      </c>
      <c r="O75" s="64">
        <v>0</v>
      </c>
      <c r="P75" s="64">
        <v>0.38</v>
      </c>
      <c r="Q75" s="64">
        <v>8.2100000000000009</v>
      </c>
      <c r="R75" s="198"/>
      <c r="S75" s="198"/>
      <c r="T75" s="198"/>
      <c r="U75" s="198"/>
    </row>
    <row r="76" spans="1:21" s="12" customFormat="1" x14ac:dyDescent="0.25">
      <c r="A76" s="215" t="s">
        <v>2811</v>
      </c>
      <c r="B76" s="64">
        <v>5.37</v>
      </c>
      <c r="C76" s="64">
        <v>24.13</v>
      </c>
      <c r="D76" s="64">
        <v>15.53</v>
      </c>
      <c r="E76" s="64">
        <v>5.31</v>
      </c>
      <c r="F76" s="64">
        <v>3.55</v>
      </c>
      <c r="G76" s="64">
        <v>37.58</v>
      </c>
      <c r="H76" s="64">
        <v>12.37</v>
      </c>
      <c r="I76" s="210" t="s">
        <v>36</v>
      </c>
      <c r="J76" s="64">
        <v>1.99</v>
      </c>
      <c r="K76" s="64">
        <v>103.63</v>
      </c>
      <c r="L76" s="64">
        <v>23.46</v>
      </c>
      <c r="M76" s="64">
        <v>55.56</v>
      </c>
      <c r="N76" s="64">
        <v>70.900000000000006</v>
      </c>
      <c r="O76" s="64">
        <v>0</v>
      </c>
      <c r="P76" s="64">
        <v>0.38</v>
      </c>
      <c r="Q76" s="64">
        <v>8.2100000000000009</v>
      </c>
      <c r="R76" s="198"/>
      <c r="S76" s="198"/>
      <c r="T76" s="198"/>
      <c r="U76" s="198"/>
    </row>
    <row r="77" spans="1:21" s="12" customFormat="1" x14ac:dyDescent="0.25">
      <c r="A77" s="215" t="s">
        <v>2812</v>
      </c>
      <c r="B77" s="64">
        <v>5.42</v>
      </c>
      <c r="C77" s="64">
        <v>23.84</v>
      </c>
      <c r="D77" s="64">
        <v>15.43</v>
      </c>
      <c r="E77" s="64">
        <v>5.01</v>
      </c>
      <c r="F77" s="64">
        <v>4.17</v>
      </c>
      <c r="G77" s="64">
        <v>37.58</v>
      </c>
      <c r="H77" s="64">
        <v>12.37</v>
      </c>
      <c r="I77" s="210" t="s">
        <v>36</v>
      </c>
      <c r="J77" s="64">
        <v>2.12</v>
      </c>
      <c r="K77" s="64">
        <v>150.36000000000001</v>
      </c>
      <c r="L77" s="64">
        <v>23.11</v>
      </c>
      <c r="M77" s="64">
        <v>57.35</v>
      </c>
      <c r="N77" s="64">
        <v>61.2</v>
      </c>
      <c r="O77" s="64">
        <v>0</v>
      </c>
      <c r="P77" s="64">
        <v>0.43</v>
      </c>
      <c r="Q77" s="64">
        <v>8.2100000000000009</v>
      </c>
      <c r="R77" s="198"/>
      <c r="S77" s="198"/>
      <c r="T77" s="198"/>
      <c r="U77" s="198"/>
    </row>
    <row r="78" spans="1:21" s="12" customFormat="1" x14ac:dyDescent="0.25">
      <c r="A78" s="215" t="s">
        <v>2813</v>
      </c>
      <c r="B78" s="64">
        <v>5.61</v>
      </c>
      <c r="C78" s="64">
        <v>24.36</v>
      </c>
      <c r="D78" s="64">
        <v>15.85</v>
      </c>
      <c r="E78" s="64">
        <v>4.8600000000000003</v>
      </c>
      <c r="F78" s="64">
        <v>3.47</v>
      </c>
      <c r="G78" s="64">
        <v>37.58</v>
      </c>
      <c r="H78" s="64">
        <v>12.37</v>
      </c>
      <c r="I78" s="210" t="s">
        <v>36</v>
      </c>
      <c r="J78" s="64">
        <v>1.1000000000000001</v>
      </c>
      <c r="K78" s="64">
        <v>302.89999999999998</v>
      </c>
      <c r="L78" s="64">
        <v>22.71</v>
      </c>
      <c r="M78" s="64">
        <v>62.53</v>
      </c>
      <c r="N78" s="64">
        <v>53.1</v>
      </c>
      <c r="O78" s="64">
        <v>0</v>
      </c>
      <c r="P78" s="64">
        <v>0.53</v>
      </c>
      <c r="Q78" s="64">
        <v>8.2100000000000009</v>
      </c>
      <c r="R78" s="198"/>
      <c r="S78" s="198"/>
      <c r="T78" s="198"/>
      <c r="U78" s="198"/>
    </row>
    <row r="79" spans="1:21" s="12" customFormat="1" x14ac:dyDescent="0.25">
      <c r="A79" s="215" t="s">
        <v>2814</v>
      </c>
      <c r="B79" s="64">
        <v>7.76</v>
      </c>
      <c r="C79" s="64">
        <v>32.08</v>
      </c>
      <c r="D79" s="64">
        <v>21.61</v>
      </c>
      <c r="E79" s="64">
        <v>5.23</v>
      </c>
      <c r="F79" s="64">
        <v>3.94</v>
      </c>
      <c r="G79" s="64">
        <v>40.72</v>
      </c>
      <c r="H79" s="64">
        <v>12.57</v>
      </c>
      <c r="I79" s="210" t="s">
        <v>36</v>
      </c>
      <c r="J79" s="64">
        <v>0.97</v>
      </c>
      <c r="K79" s="64">
        <v>108.18</v>
      </c>
      <c r="L79" s="64">
        <v>21.87</v>
      </c>
      <c r="M79" s="64">
        <v>67.88</v>
      </c>
      <c r="N79" s="64">
        <v>49.5</v>
      </c>
      <c r="O79" s="64">
        <v>0</v>
      </c>
      <c r="P79" s="64">
        <v>0.52</v>
      </c>
      <c r="Q79" s="64">
        <v>8.2100000000000009</v>
      </c>
      <c r="R79" s="198"/>
      <c r="S79" s="198"/>
      <c r="T79" s="198"/>
      <c r="U79" s="198"/>
    </row>
    <row r="80" spans="1:21" s="12" customFormat="1" x14ac:dyDescent="0.25">
      <c r="A80" s="215" t="s">
        <v>2815</v>
      </c>
      <c r="B80" s="64">
        <v>9.99</v>
      </c>
      <c r="C80" s="64">
        <v>34.200000000000003</v>
      </c>
      <c r="D80" s="64">
        <v>24.5</v>
      </c>
      <c r="E80" s="64">
        <v>5.61</v>
      </c>
      <c r="F80" s="64">
        <v>3.99</v>
      </c>
      <c r="G80" s="64">
        <v>42.07</v>
      </c>
      <c r="H80" s="64">
        <v>12.58</v>
      </c>
      <c r="I80" s="210" t="s">
        <v>36</v>
      </c>
      <c r="J80" s="64">
        <v>1.1599999999999999</v>
      </c>
      <c r="K80" s="64">
        <v>27.85</v>
      </c>
      <c r="L80" s="64">
        <v>21.27</v>
      </c>
      <c r="M80" s="64">
        <v>68.319999999999993</v>
      </c>
      <c r="N80" s="64">
        <v>48.6</v>
      </c>
      <c r="O80" s="64">
        <v>0</v>
      </c>
      <c r="P80" s="64">
        <v>0.56999999999999995</v>
      </c>
      <c r="Q80" s="64">
        <v>8.2100000000000009</v>
      </c>
      <c r="R80" s="198"/>
      <c r="S80" s="198"/>
      <c r="T80" s="198"/>
      <c r="U80" s="198"/>
    </row>
    <row r="81" spans="1:26" s="12" customFormat="1" x14ac:dyDescent="0.25">
      <c r="A81" s="215" t="s">
        <v>2816</v>
      </c>
      <c r="B81" s="64">
        <v>10.8</v>
      </c>
      <c r="C81" s="64">
        <v>34</v>
      </c>
      <c r="D81" s="64">
        <v>25.05</v>
      </c>
      <c r="E81" s="64">
        <v>5.48</v>
      </c>
      <c r="F81" s="64">
        <v>3.74</v>
      </c>
      <c r="G81" s="64">
        <v>42.07</v>
      </c>
      <c r="H81" s="64">
        <v>12.58</v>
      </c>
      <c r="I81" s="210" t="s">
        <v>36</v>
      </c>
      <c r="J81" s="64">
        <v>0.83</v>
      </c>
      <c r="K81" s="64">
        <v>25.66</v>
      </c>
      <c r="L81" s="64">
        <v>21.18</v>
      </c>
      <c r="M81" s="64">
        <v>66.819999999999993</v>
      </c>
      <c r="N81" s="64">
        <v>48.3</v>
      </c>
      <c r="O81" s="64">
        <v>0</v>
      </c>
      <c r="P81" s="64">
        <v>0.79</v>
      </c>
      <c r="Q81" s="64">
        <v>8.2100000000000009</v>
      </c>
      <c r="R81" s="198"/>
      <c r="S81" s="198"/>
      <c r="T81" s="198"/>
      <c r="U81" s="198"/>
    </row>
    <row r="82" spans="1:26" s="12" customFormat="1" x14ac:dyDescent="0.25">
      <c r="A82" s="215" t="s">
        <v>2817</v>
      </c>
      <c r="B82" s="64">
        <v>12</v>
      </c>
      <c r="C82" s="64">
        <v>36</v>
      </c>
      <c r="D82" s="64">
        <v>27.06</v>
      </c>
      <c r="E82" s="64">
        <v>5.55</v>
      </c>
      <c r="F82" s="64">
        <v>4.17</v>
      </c>
      <c r="G82" s="64">
        <v>42.07</v>
      </c>
      <c r="H82" s="64">
        <v>12.58</v>
      </c>
      <c r="I82" s="210" t="s">
        <v>36</v>
      </c>
      <c r="J82" s="64">
        <v>1.26</v>
      </c>
      <c r="K82" s="64">
        <v>72.41</v>
      </c>
      <c r="L82" s="64">
        <v>21.11</v>
      </c>
      <c r="M82" s="64">
        <v>66.709999999999994</v>
      </c>
      <c r="N82" s="64">
        <v>48.4</v>
      </c>
      <c r="O82" s="64">
        <v>0</v>
      </c>
      <c r="P82" s="64">
        <v>0.91</v>
      </c>
      <c r="Q82" s="64">
        <v>8.2100000000000009</v>
      </c>
      <c r="R82" s="198"/>
      <c r="S82" s="198"/>
      <c r="T82" s="198"/>
      <c r="U82" s="198"/>
    </row>
    <row r="83" spans="1:26" s="12" customFormat="1" x14ac:dyDescent="0.25">
      <c r="A83" s="215" t="s">
        <v>2818</v>
      </c>
      <c r="B83" s="64">
        <v>12.88</v>
      </c>
      <c r="C83" s="64">
        <v>36.619999999999997</v>
      </c>
      <c r="D83" s="64">
        <v>28.08</v>
      </c>
      <c r="E83" s="64">
        <v>5.91</v>
      </c>
      <c r="F83" s="64">
        <v>3.56</v>
      </c>
      <c r="G83" s="64">
        <v>50.63</v>
      </c>
      <c r="H83" s="64">
        <v>13.4</v>
      </c>
      <c r="I83" s="210" t="s">
        <v>36</v>
      </c>
      <c r="J83" s="64">
        <v>1.32</v>
      </c>
      <c r="K83" s="64">
        <v>347.53</v>
      </c>
      <c r="L83" s="64">
        <v>20.84</v>
      </c>
      <c r="M83" s="64">
        <v>68.84</v>
      </c>
      <c r="N83" s="64">
        <v>48.4</v>
      </c>
      <c r="O83" s="64">
        <v>0</v>
      </c>
      <c r="P83" s="64">
        <v>0.73</v>
      </c>
      <c r="Q83" s="64">
        <v>8.2100000000000009</v>
      </c>
      <c r="R83" s="198"/>
      <c r="S83" s="198"/>
      <c r="T83" s="198"/>
      <c r="U83" s="198"/>
    </row>
    <row r="84" spans="1:26" s="12" customFormat="1" x14ac:dyDescent="0.25">
      <c r="A84" s="215" t="s">
        <v>2819</v>
      </c>
      <c r="B84" s="64">
        <v>13.07</v>
      </c>
      <c r="C84" s="64">
        <v>37.31</v>
      </c>
      <c r="D84" s="64">
        <v>28.59</v>
      </c>
      <c r="E84" s="64">
        <v>5.92</v>
      </c>
      <c r="F84" s="64">
        <v>3.68</v>
      </c>
      <c r="G84" s="64">
        <v>54.3</v>
      </c>
      <c r="H84" s="64">
        <v>13.47</v>
      </c>
      <c r="I84" s="210" t="s">
        <v>36</v>
      </c>
      <c r="J84" s="64">
        <v>1.66</v>
      </c>
      <c r="K84" s="64">
        <v>100.57</v>
      </c>
      <c r="L84" s="64">
        <v>20.59</v>
      </c>
      <c r="M84" s="64">
        <v>71.11</v>
      </c>
      <c r="N84" s="64">
        <v>48.2</v>
      </c>
      <c r="O84" s="64">
        <v>0</v>
      </c>
      <c r="P84" s="64">
        <v>0.75</v>
      </c>
      <c r="Q84" s="64">
        <v>8.2100000000000009</v>
      </c>
      <c r="R84" s="198"/>
      <c r="S84" s="198"/>
      <c r="T84" s="198"/>
      <c r="U84" s="198"/>
    </row>
    <row r="85" spans="1:26" s="12" customFormat="1" x14ac:dyDescent="0.25">
      <c r="A85" s="215" t="s">
        <v>2820</v>
      </c>
      <c r="B85" s="64">
        <v>13.27</v>
      </c>
      <c r="C85" s="64">
        <v>37.72</v>
      </c>
      <c r="D85" s="64">
        <v>28.97</v>
      </c>
      <c r="E85" s="64">
        <v>5.7</v>
      </c>
      <c r="F85" s="64">
        <v>3.81</v>
      </c>
      <c r="G85" s="64">
        <v>54.3</v>
      </c>
      <c r="H85" s="64">
        <v>13.47</v>
      </c>
      <c r="I85" s="210" t="s">
        <v>36</v>
      </c>
      <c r="J85" s="64">
        <v>1.06</v>
      </c>
      <c r="K85" s="64">
        <v>103.12</v>
      </c>
      <c r="L85" s="64">
        <v>20.52</v>
      </c>
      <c r="M85" s="64">
        <v>71.31</v>
      </c>
      <c r="N85" s="64">
        <v>48.1</v>
      </c>
      <c r="O85" s="64">
        <v>0</v>
      </c>
      <c r="P85" s="64">
        <v>0.76</v>
      </c>
      <c r="Q85" s="64">
        <v>8.2100000000000009</v>
      </c>
      <c r="R85" s="198"/>
      <c r="S85" s="198"/>
      <c r="T85" s="198"/>
      <c r="U85" s="198"/>
    </row>
    <row r="86" spans="1:26" s="12" customFormat="1" x14ac:dyDescent="0.25">
      <c r="A86" s="215" t="s">
        <v>2821</v>
      </c>
      <c r="B86" s="64">
        <v>13.24</v>
      </c>
      <c r="C86" s="64">
        <v>37.82</v>
      </c>
      <c r="D86" s="64">
        <v>29</v>
      </c>
      <c r="E86" s="64">
        <v>5.54</v>
      </c>
      <c r="F86" s="64">
        <v>3.84</v>
      </c>
      <c r="G86" s="64">
        <v>54.3</v>
      </c>
      <c r="H86" s="64">
        <v>13.47</v>
      </c>
      <c r="I86" s="210" t="s">
        <v>36</v>
      </c>
      <c r="J86" s="64">
        <v>1.48</v>
      </c>
      <c r="K86" s="64">
        <v>112.22</v>
      </c>
      <c r="L86" s="64">
        <v>20.59</v>
      </c>
      <c r="M86" s="64">
        <v>70.12</v>
      </c>
      <c r="N86" s="64">
        <v>48</v>
      </c>
      <c r="O86" s="64">
        <v>0</v>
      </c>
      <c r="P86" s="64">
        <v>0.77</v>
      </c>
      <c r="Q86" s="64">
        <v>8.2100000000000009</v>
      </c>
      <c r="R86" s="198"/>
      <c r="S86" s="198"/>
      <c r="T86" s="198"/>
      <c r="U86" s="198"/>
    </row>
    <row r="87" spans="1:26" s="12" customFormat="1" x14ac:dyDescent="0.25">
      <c r="A87" s="215" t="s">
        <v>2822</v>
      </c>
      <c r="B87" s="64">
        <v>12.96</v>
      </c>
      <c r="C87" s="64">
        <v>37.5</v>
      </c>
      <c r="D87" s="64">
        <v>28.61</v>
      </c>
      <c r="E87" s="64">
        <v>5.42</v>
      </c>
      <c r="F87" s="64">
        <v>4.92</v>
      </c>
      <c r="G87" s="64">
        <v>61.58</v>
      </c>
      <c r="H87" s="64">
        <v>17.079999999999998</v>
      </c>
      <c r="I87" s="210" t="s">
        <v>36</v>
      </c>
      <c r="J87" s="64">
        <v>1.43</v>
      </c>
      <c r="K87" s="64">
        <v>117.32</v>
      </c>
      <c r="L87" s="64">
        <v>20.49</v>
      </c>
      <c r="M87" s="64">
        <v>70.28</v>
      </c>
      <c r="N87" s="64">
        <v>48</v>
      </c>
      <c r="O87" s="64">
        <v>0</v>
      </c>
      <c r="P87" s="64">
        <v>0.78</v>
      </c>
      <c r="Q87" s="64">
        <v>8.2100000000000009</v>
      </c>
      <c r="R87" s="198"/>
      <c r="S87" s="198"/>
      <c r="T87" s="198"/>
      <c r="U87" s="198"/>
    </row>
    <row r="88" spans="1:26" s="12" customFormat="1" x14ac:dyDescent="0.25">
      <c r="A88" s="215" t="s">
        <v>2823</v>
      </c>
      <c r="B88" s="64">
        <v>12.79</v>
      </c>
      <c r="C88" s="64">
        <v>35.26</v>
      </c>
      <c r="D88" s="64">
        <v>27.3</v>
      </c>
      <c r="E88" s="64">
        <v>5.94</v>
      </c>
      <c r="F88" s="64">
        <v>4.25</v>
      </c>
      <c r="G88" s="64">
        <v>64.7</v>
      </c>
      <c r="H88" s="64">
        <v>17.309999999999999</v>
      </c>
      <c r="I88" s="210" t="s">
        <v>36</v>
      </c>
      <c r="J88" s="64">
        <v>3.05</v>
      </c>
      <c r="K88" s="64">
        <v>128.38999999999999</v>
      </c>
      <c r="L88" s="64">
        <v>20.5</v>
      </c>
      <c r="M88" s="64">
        <v>69.41</v>
      </c>
      <c r="N88" s="64">
        <v>47.8</v>
      </c>
      <c r="O88" s="64">
        <v>0</v>
      </c>
      <c r="P88" s="64">
        <v>0.81</v>
      </c>
      <c r="Q88" s="64">
        <v>8.2100000000000009</v>
      </c>
      <c r="R88" s="198"/>
      <c r="S88" s="198"/>
      <c r="T88" s="198"/>
      <c r="U88" s="198"/>
    </row>
    <row r="89" spans="1:26" s="12" customFormat="1" x14ac:dyDescent="0.25">
      <c r="A89" s="215" t="s">
        <v>2824</v>
      </c>
      <c r="B89" s="64">
        <v>12.54</v>
      </c>
      <c r="C89" s="64">
        <v>30.65</v>
      </c>
      <c r="D89" s="64">
        <v>24.69</v>
      </c>
      <c r="E89" s="64">
        <v>5.74</v>
      </c>
      <c r="F89" s="64">
        <v>3.87</v>
      </c>
      <c r="G89" s="64">
        <v>64.7</v>
      </c>
      <c r="H89" s="64">
        <v>17.309999999999999</v>
      </c>
      <c r="I89" s="210" t="s">
        <v>36</v>
      </c>
      <c r="J89" s="64">
        <v>3.18</v>
      </c>
      <c r="K89" s="64">
        <v>118.02</v>
      </c>
      <c r="L89" s="64">
        <v>20.39</v>
      </c>
      <c r="M89" s="64">
        <v>69.62</v>
      </c>
      <c r="N89" s="64">
        <v>48.1</v>
      </c>
      <c r="O89" s="64">
        <v>0</v>
      </c>
      <c r="P89" s="64">
        <v>0.79</v>
      </c>
      <c r="Q89" s="64">
        <v>8.2100000000000009</v>
      </c>
      <c r="R89" s="198"/>
      <c r="S89" s="198"/>
      <c r="T89" s="198"/>
      <c r="U89" s="198"/>
    </row>
    <row r="90" spans="1:26" s="12" customFormat="1" x14ac:dyDescent="0.25">
      <c r="A90" s="215" t="s">
        <v>2825</v>
      </c>
      <c r="B90" s="64">
        <v>12.16</v>
      </c>
      <c r="C90" s="64">
        <v>30.3</v>
      </c>
      <c r="D90" s="64">
        <v>24.21</v>
      </c>
      <c r="E90" s="64">
        <v>5.23</v>
      </c>
      <c r="F90" s="64">
        <v>3.36</v>
      </c>
      <c r="G90" s="64">
        <v>64.7</v>
      </c>
      <c r="H90" s="64">
        <v>17.309999999999999</v>
      </c>
      <c r="I90" s="210" t="s">
        <v>36</v>
      </c>
      <c r="J90" s="64">
        <v>2.88</v>
      </c>
      <c r="K90" s="64">
        <v>118.54</v>
      </c>
      <c r="L90" s="64">
        <v>20.190000000000001</v>
      </c>
      <c r="M90" s="64">
        <v>70.11</v>
      </c>
      <c r="N90" s="64">
        <v>48.1</v>
      </c>
      <c r="O90" s="64">
        <v>0</v>
      </c>
      <c r="P90" s="64">
        <v>0.81</v>
      </c>
      <c r="Q90" s="64">
        <v>8.2100000000000009</v>
      </c>
      <c r="R90" s="198"/>
      <c r="S90" s="198"/>
      <c r="T90" s="198"/>
      <c r="U90" s="198"/>
    </row>
    <row r="91" spans="1:26" s="12" customFormat="1" x14ac:dyDescent="0.25">
      <c r="A91" s="215" t="s">
        <v>2826</v>
      </c>
      <c r="B91" s="64">
        <v>11.78</v>
      </c>
      <c r="C91" s="64">
        <v>30.41</v>
      </c>
      <c r="D91" s="64">
        <v>23.95</v>
      </c>
      <c r="E91" s="64">
        <v>5.59</v>
      </c>
      <c r="F91" s="64">
        <v>4.01</v>
      </c>
      <c r="G91" s="64">
        <v>66.290000000000006</v>
      </c>
      <c r="H91" s="64">
        <v>19.329999999999998</v>
      </c>
      <c r="I91" s="210" t="s">
        <v>36</v>
      </c>
      <c r="J91" s="64">
        <v>3.58</v>
      </c>
      <c r="K91" s="64">
        <v>113.28</v>
      </c>
      <c r="L91" s="64">
        <v>20.18</v>
      </c>
      <c r="M91" s="64">
        <v>69.5</v>
      </c>
      <c r="N91" s="64">
        <v>48</v>
      </c>
      <c r="O91" s="64">
        <v>0</v>
      </c>
      <c r="P91" s="64">
        <v>0.79</v>
      </c>
      <c r="Q91" s="64">
        <v>8.2100000000000009</v>
      </c>
      <c r="R91" s="198"/>
      <c r="S91" s="198"/>
      <c r="T91" s="198"/>
      <c r="U91" s="198"/>
    </row>
    <row r="92" spans="1:26" s="12" customFormat="1" x14ac:dyDescent="0.25">
      <c r="A92" s="215" t="s">
        <v>2827</v>
      </c>
      <c r="B92" s="64">
        <v>11.35</v>
      </c>
      <c r="C92" s="64">
        <v>30.67</v>
      </c>
      <c r="D92" s="64">
        <v>23.75</v>
      </c>
      <c r="E92" s="64">
        <v>5.48</v>
      </c>
      <c r="F92" s="64">
        <v>3.69</v>
      </c>
      <c r="G92" s="64">
        <v>66.98</v>
      </c>
      <c r="H92" s="64">
        <v>19.600000000000001</v>
      </c>
      <c r="I92" s="210" t="s">
        <v>36</v>
      </c>
      <c r="J92" s="64">
        <v>3.35</v>
      </c>
      <c r="K92" s="64">
        <v>105.08</v>
      </c>
      <c r="L92" s="64">
        <v>20.04</v>
      </c>
      <c r="M92" s="64">
        <v>69.680000000000007</v>
      </c>
      <c r="N92" s="64">
        <v>48.2</v>
      </c>
      <c r="O92" s="64">
        <v>0</v>
      </c>
      <c r="P92" s="64">
        <v>0.8</v>
      </c>
      <c r="Q92" s="64">
        <v>8.2100000000000009</v>
      </c>
      <c r="R92" s="198"/>
      <c r="S92" s="198"/>
      <c r="T92" s="198"/>
      <c r="U92" s="198"/>
    </row>
    <row r="93" spans="1:26" s="12" customFormat="1" x14ac:dyDescent="0.25">
      <c r="A93" s="215" t="s">
        <v>2828</v>
      </c>
      <c r="B93" s="64">
        <v>10.94</v>
      </c>
      <c r="C93" s="64">
        <v>30.87</v>
      </c>
      <c r="D93" s="64">
        <v>23.53</v>
      </c>
      <c r="E93" s="64">
        <v>5.2</v>
      </c>
      <c r="F93" s="64">
        <v>3.84</v>
      </c>
      <c r="G93" s="64">
        <v>66.98</v>
      </c>
      <c r="H93" s="64">
        <v>19.600000000000001</v>
      </c>
      <c r="I93" s="210" t="s">
        <v>36</v>
      </c>
      <c r="J93" s="64">
        <v>3.46</v>
      </c>
      <c r="K93" s="64">
        <v>99.1</v>
      </c>
      <c r="L93" s="64">
        <v>19.87</v>
      </c>
      <c r="M93" s="64">
        <v>69.95</v>
      </c>
      <c r="N93" s="64">
        <v>48.2</v>
      </c>
      <c r="O93" s="64">
        <v>0</v>
      </c>
      <c r="P93" s="64">
        <v>0.79</v>
      </c>
      <c r="Q93" s="64">
        <v>8.2100000000000009</v>
      </c>
      <c r="R93" s="198"/>
      <c r="S93" s="198"/>
      <c r="T93" s="198"/>
      <c r="U93" s="198"/>
    </row>
    <row r="94" spans="1:26" s="12" customFormat="1" x14ac:dyDescent="0.25">
      <c r="A94" s="215" t="s">
        <v>2829</v>
      </c>
      <c r="B94" s="64">
        <v>10.45</v>
      </c>
      <c r="C94" s="64">
        <v>31.35</v>
      </c>
      <c r="D94" s="64">
        <v>23.38</v>
      </c>
      <c r="E94" s="64">
        <v>5.87</v>
      </c>
      <c r="F94" s="64">
        <v>3.27</v>
      </c>
      <c r="G94" s="64">
        <v>66.98</v>
      </c>
      <c r="H94" s="64">
        <v>19.600000000000001</v>
      </c>
      <c r="I94" s="210" t="s">
        <v>36</v>
      </c>
      <c r="J94" s="64">
        <v>3.18</v>
      </c>
      <c r="K94" s="64">
        <v>99.49</v>
      </c>
      <c r="L94" s="64">
        <v>19.68</v>
      </c>
      <c r="M94" s="64">
        <v>70.36</v>
      </c>
      <c r="N94" s="64">
        <v>48.3</v>
      </c>
      <c r="O94" s="64">
        <v>0</v>
      </c>
      <c r="P94" s="64">
        <v>0.79</v>
      </c>
      <c r="Q94" s="64">
        <v>8.2100000000000009</v>
      </c>
      <c r="R94" s="198"/>
      <c r="S94" s="198"/>
      <c r="T94" s="198"/>
      <c r="U94" s="198"/>
    </row>
    <row r="95" spans="1:26" s="12" customFormat="1" x14ac:dyDescent="0.25">
      <c r="A95" s="215" t="s">
        <v>2830</v>
      </c>
      <c r="B95" s="64">
        <v>9.9700000000000006</v>
      </c>
      <c r="C95" s="64">
        <v>32.36</v>
      </c>
      <c r="D95" s="64">
        <v>23.52</v>
      </c>
      <c r="E95" s="64">
        <v>5.55</v>
      </c>
      <c r="F95" s="64">
        <v>3.75</v>
      </c>
      <c r="G95" s="64">
        <v>65.62</v>
      </c>
      <c r="H95" s="64">
        <v>19.920000000000002</v>
      </c>
      <c r="I95" s="210" t="s">
        <v>36</v>
      </c>
      <c r="J95" s="64">
        <v>2.88</v>
      </c>
      <c r="K95" s="64">
        <v>100.68</v>
      </c>
      <c r="L95" s="64">
        <v>19.510000000000002</v>
      </c>
      <c r="M95" s="64">
        <v>70.66</v>
      </c>
      <c r="N95" s="64">
        <v>48.3</v>
      </c>
      <c r="O95" s="64">
        <v>0</v>
      </c>
      <c r="P95" s="64">
        <v>0.79</v>
      </c>
      <c r="Q95" s="64">
        <v>8.2100000000000009</v>
      </c>
      <c r="R95" s="198"/>
      <c r="S95" s="198"/>
      <c r="T95" s="198"/>
      <c r="U95" s="198"/>
    </row>
    <row r="96" spans="1:26" s="12" customFormat="1" x14ac:dyDescent="0.25">
      <c r="A96" s="215" t="s">
        <v>2831</v>
      </c>
      <c r="B96" s="64">
        <v>9.65</v>
      </c>
      <c r="C96" s="64">
        <v>34.68</v>
      </c>
      <c r="D96" s="64">
        <v>24.48</v>
      </c>
      <c r="E96" s="64">
        <v>5.47</v>
      </c>
      <c r="F96" s="64">
        <v>3.93</v>
      </c>
      <c r="G96" s="64">
        <v>65.040000000000006</v>
      </c>
      <c r="H96" s="64">
        <v>19.940000000000001</v>
      </c>
      <c r="I96" s="210" t="s">
        <v>36</v>
      </c>
      <c r="J96" s="64">
        <v>3.14</v>
      </c>
      <c r="K96" s="64">
        <v>98</v>
      </c>
      <c r="L96" s="64">
        <v>19.440000000000001</v>
      </c>
      <c r="M96" s="64">
        <v>70.319999999999993</v>
      </c>
      <c r="N96" s="64">
        <v>48.1</v>
      </c>
      <c r="O96" s="64">
        <v>0</v>
      </c>
      <c r="P96" s="64">
        <v>0.79</v>
      </c>
      <c r="Q96" s="64">
        <v>8.2100000000000009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2832</v>
      </c>
      <c r="B97" s="64">
        <v>9.27</v>
      </c>
      <c r="C97" s="64">
        <v>34.619999999999997</v>
      </c>
      <c r="D97" s="64">
        <v>24.14</v>
      </c>
      <c r="E97" s="64">
        <v>5.53</v>
      </c>
      <c r="F97" s="64">
        <v>4.76</v>
      </c>
      <c r="G97" s="64">
        <v>65.040000000000006</v>
      </c>
      <c r="H97" s="64">
        <v>19.940000000000001</v>
      </c>
      <c r="I97" s="210" t="s">
        <v>36</v>
      </c>
      <c r="J97" s="64">
        <v>2.68</v>
      </c>
      <c r="K97" s="64">
        <v>105.1</v>
      </c>
      <c r="L97" s="64">
        <v>19.350000000000001</v>
      </c>
      <c r="M97" s="64">
        <v>70.12</v>
      </c>
      <c r="N97" s="64">
        <v>48.2</v>
      </c>
      <c r="O97" s="64">
        <v>0</v>
      </c>
      <c r="P97" s="64">
        <v>0.79</v>
      </c>
      <c r="Q97" s="64">
        <v>8.2100000000000009</v>
      </c>
      <c r="R97" s="198"/>
      <c r="S97" s="198"/>
      <c r="T97" s="198"/>
      <c r="U97" s="198"/>
    </row>
    <row r="98" spans="1:33" s="12" customFormat="1" x14ac:dyDescent="0.25">
      <c r="A98" s="215" t="s">
        <v>2833</v>
      </c>
      <c r="B98" s="64">
        <v>8.8800000000000008</v>
      </c>
      <c r="C98" s="64">
        <v>34.72</v>
      </c>
      <c r="D98" s="64">
        <v>23.88</v>
      </c>
      <c r="E98" s="64">
        <v>5.59</v>
      </c>
      <c r="F98" s="64">
        <v>4.32</v>
      </c>
      <c r="G98" s="64">
        <v>65.040000000000006</v>
      </c>
      <c r="H98" s="64">
        <v>19.940000000000001</v>
      </c>
      <c r="I98" s="210" t="s">
        <v>36</v>
      </c>
      <c r="J98" s="64">
        <v>2.9</v>
      </c>
      <c r="K98" s="64">
        <v>100.27</v>
      </c>
      <c r="L98" s="64">
        <v>19.14</v>
      </c>
      <c r="M98" s="64">
        <v>71.290000000000006</v>
      </c>
      <c r="N98" s="64">
        <v>48.3</v>
      </c>
      <c r="O98" s="64">
        <v>0</v>
      </c>
      <c r="P98" s="64">
        <v>0.79</v>
      </c>
      <c r="Q98" s="64">
        <v>8.2100000000000009</v>
      </c>
      <c r="R98" s="198"/>
      <c r="S98" s="198"/>
      <c r="T98" s="198"/>
      <c r="U98" s="198"/>
    </row>
    <row r="99" spans="1:33" s="12" customFormat="1" x14ac:dyDescent="0.25">
      <c r="A99" s="215" t="s">
        <v>2834</v>
      </c>
      <c r="B99" s="64">
        <v>8.74</v>
      </c>
      <c r="C99" s="64">
        <v>34.909999999999997</v>
      </c>
      <c r="D99" s="64">
        <v>23.87</v>
      </c>
      <c r="E99" s="64">
        <v>5.61</v>
      </c>
      <c r="F99" s="64">
        <v>4.07</v>
      </c>
      <c r="G99" s="64">
        <v>63.28</v>
      </c>
      <c r="H99" s="64">
        <v>21.28</v>
      </c>
      <c r="I99" s="210" t="s">
        <v>36</v>
      </c>
      <c r="J99" s="64">
        <v>3.19</v>
      </c>
      <c r="K99" s="64">
        <v>108.83</v>
      </c>
      <c r="L99" s="64">
        <v>18.920000000000002</v>
      </c>
      <c r="M99" s="64">
        <v>72.459999999999994</v>
      </c>
      <c r="N99" s="64">
        <v>48.2</v>
      </c>
      <c r="O99" s="64">
        <v>0</v>
      </c>
      <c r="P99" s="64">
        <v>0.77</v>
      </c>
      <c r="Q99" s="64">
        <v>8.2100000000000009</v>
      </c>
      <c r="R99" s="198"/>
      <c r="S99" s="198"/>
      <c r="T99" s="198"/>
      <c r="U99" s="198"/>
    </row>
    <row r="100" spans="1:33" s="12" customFormat="1" x14ac:dyDescent="0.25">
      <c r="A100" s="215" t="s">
        <v>2835</v>
      </c>
      <c r="B100" s="64">
        <v>8.56</v>
      </c>
      <c r="C100" s="64">
        <v>34.880000000000003</v>
      </c>
      <c r="D100" s="64">
        <v>23.71</v>
      </c>
      <c r="E100" s="64">
        <v>5.26</v>
      </c>
      <c r="F100" s="64">
        <v>4.34</v>
      </c>
      <c r="G100" s="64">
        <v>62.52</v>
      </c>
      <c r="H100" s="64">
        <v>21.37</v>
      </c>
      <c r="I100" s="210" t="s">
        <v>36</v>
      </c>
      <c r="J100" s="64">
        <v>3.38</v>
      </c>
      <c r="K100" s="64">
        <v>105.28</v>
      </c>
      <c r="L100" s="64">
        <v>18.75</v>
      </c>
      <c r="M100" s="64">
        <v>73.489999999999995</v>
      </c>
      <c r="N100" s="64">
        <v>48.3</v>
      </c>
      <c r="O100" s="64">
        <v>0</v>
      </c>
      <c r="P100" s="64">
        <v>0.77</v>
      </c>
      <c r="Q100" s="64">
        <v>8.2100000000000009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2836</v>
      </c>
      <c r="B101" s="64">
        <v>8.23</v>
      </c>
      <c r="C101" s="64">
        <v>34.61</v>
      </c>
      <c r="D101" s="64">
        <v>23.3</v>
      </c>
      <c r="E101" s="64">
        <v>5.14</v>
      </c>
      <c r="F101" s="64">
        <v>3.77</v>
      </c>
      <c r="G101" s="64">
        <v>62.52</v>
      </c>
      <c r="H101" s="64">
        <v>21.37</v>
      </c>
      <c r="I101" s="210" t="s">
        <v>36</v>
      </c>
      <c r="J101" s="64">
        <v>2.66</v>
      </c>
      <c r="K101" s="64">
        <v>102.4</v>
      </c>
      <c r="L101" s="64">
        <v>18.649999999999999</v>
      </c>
      <c r="M101" s="64">
        <v>73.150000000000006</v>
      </c>
      <c r="N101" s="64">
        <v>48.3</v>
      </c>
      <c r="O101" s="64">
        <v>0</v>
      </c>
      <c r="P101" s="64">
        <v>0.75</v>
      </c>
      <c r="Q101" s="64">
        <v>8.2100000000000009</v>
      </c>
      <c r="R101" s="198"/>
      <c r="S101" s="198"/>
      <c r="T101" s="198"/>
      <c r="U101" s="198"/>
    </row>
    <row r="102" spans="1:33" s="12" customFormat="1" x14ac:dyDescent="0.25">
      <c r="A102" s="215" t="s">
        <v>2837</v>
      </c>
      <c r="B102" s="64">
        <v>7.91</v>
      </c>
      <c r="C102" s="64">
        <v>35.01</v>
      </c>
      <c r="D102" s="64">
        <v>23.26</v>
      </c>
      <c r="E102" s="64">
        <v>5.32</v>
      </c>
      <c r="F102" s="64">
        <v>3.93</v>
      </c>
      <c r="G102" s="64">
        <v>62.52</v>
      </c>
      <c r="H102" s="64">
        <v>21.37</v>
      </c>
      <c r="I102" s="210" t="s">
        <v>36</v>
      </c>
      <c r="J102" s="64">
        <v>2.34</v>
      </c>
      <c r="K102" s="64">
        <v>101.87</v>
      </c>
      <c r="L102" s="64">
        <v>18.55</v>
      </c>
      <c r="M102" s="64">
        <v>72.72</v>
      </c>
      <c r="N102" s="64">
        <v>48.3</v>
      </c>
      <c r="O102" s="64">
        <v>0</v>
      </c>
      <c r="P102" s="64">
        <v>0.75</v>
      </c>
      <c r="Q102" s="64">
        <v>8.2100000000000009</v>
      </c>
      <c r="R102" s="198"/>
      <c r="S102" s="198"/>
      <c r="T102" s="198"/>
      <c r="U102" s="198"/>
    </row>
    <row r="103" spans="1:33" s="12" customFormat="1" x14ac:dyDescent="0.25">
      <c r="A103" s="215" t="s">
        <v>2838</v>
      </c>
      <c r="B103" s="64">
        <v>7.59</v>
      </c>
      <c r="C103" s="64">
        <v>35.299999999999997</v>
      </c>
      <c r="D103" s="64">
        <v>23.15</v>
      </c>
      <c r="E103" s="64">
        <v>5.32</v>
      </c>
      <c r="F103" s="64">
        <v>3.92</v>
      </c>
      <c r="G103" s="64">
        <v>61.45</v>
      </c>
      <c r="H103" s="64">
        <v>21.63</v>
      </c>
      <c r="I103" s="210" t="s">
        <v>36</v>
      </c>
      <c r="J103" s="64">
        <v>2.62</v>
      </c>
      <c r="K103" s="64">
        <v>100.86</v>
      </c>
      <c r="L103" s="64">
        <v>18.46</v>
      </c>
      <c r="M103" s="64">
        <v>72.28</v>
      </c>
      <c r="N103" s="64">
        <v>48.2</v>
      </c>
      <c r="O103" s="64">
        <v>0</v>
      </c>
      <c r="P103" s="64">
        <v>0.73</v>
      </c>
      <c r="Q103" s="64">
        <v>8.2100000000000009</v>
      </c>
      <c r="R103" s="198"/>
      <c r="S103" s="198"/>
      <c r="T103" s="198"/>
      <c r="U103" s="198"/>
    </row>
    <row r="104" spans="1:33" s="12" customFormat="1" x14ac:dyDescent="0.25">
      <c r="A104" s="215" t="s">
        <v>2839</v>
      </c>
      <c r="B104" s="64">
        <v>7.22</v>
      </c>
      <c r="C104" s="64">
        <v>35.47</v>
      </c>
      <c r="D104" s="64">
        <v>22.94</v>
      </c>
      <c r="E104" s="64">
        <v>5.19</v>
      </c>
      <c r="F104" s="64">
        <v>3.76</v>
      </c>
      <c r="G104" s="64">
        <v>60.98</v>
      </c>
      <c r="H104" s="64">
        <v>21.65</v>
      </c>
      <c r="I104" s="210" t="s">
        <v>36</v>
      </c>
      <c r="J104" s="64">
        <v>2.75</v>
      </c>
      <c r="K104" s="64">
        <v>98.05</v>
      </c>
      <c r="L104" s="64">
        <v>18.329999999999998</v>
      </c>
      <c r="M104" s="64">
        <v>73.17</v>
      </c>
      <c r="N104" s="64">
        <v>48.3</v>
      </c>
      <c r="O104" s="64">
        <v>0</v>
      </c>
      <c r="P104" s="64">
        <v>0.71</v>
      </c>
      <c r="Q104" s="64">
        <v>8.2100000000000009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1.1200000000000001</v>
      </c>
      <c r="C106" s="67">
        <f>MIN(C9:C104)</f>
        <v>22.16</v>
      </c>
      <c r="D106" s="67">
        <f t="shared" ref="D106:Q106" si="0">MIN(D9:D104)</f>
        <v>11.48</v>
      </c>
      <c r="E106" s="67">
        <f t="shared" si="0"/>
        <v>4.8600000000000003</v>
      </c>
      <c r="F106" s="67">
        <f t="shared" si="0"/>
        <v>3.2</v>
      </c>
      <c r="G106" s="67">
        <f t="shared" si="0"/>
        <v>21.33</v>
      </c>
      <c r="H106" s="67">
        <f t="shared" si="0"/>
        <v>10.43</v>
      </c>
      <c r="I106" s="67">
        <f t="shared" si="0"/>
        <v>0</v>
      </c>
      <c r="J106" s="67">
        <f t="shared" si="0"/>
        <v>0.19</v>
      </c>
      <c r="K106" s="67">
        <f t="shared" si="0"/>
        <v>7.02</v>
      </c>
      <c r="L106" s="67">
        <f t="shared" si="0"/>
        <v>14.38</v>
      </c>
      <c r="M106" s="67">
        <f t="shared" si="0"/>
        <v>53.49</v>
      </c>
      <c r="N106" s="67">
        <f t="shared" si="0"/>
        <v>47.8</v>
      </c>
      <c r="O106" s="67">
        <f t="shared" si="0"/>
        <v>0</v>
      </c>
      <c r="P106" s="67">
        <f t="shared" si="0"/>
        <v>0</v>
      </c>
      <c r="Q106" s="67">
        <f t="shared" si="0"/>
        <v>8.2100000000000009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100.23</v>
      </c>
      <c r="C107" s="66">
        <f t="shared" ref="C107:Q107" si="1">MAX(C9:C104)</f>
        <v>41.44</v>
      </c>
      <c r="D107" s="66">
        <f t="shared" si="1"/>
        <v>98.77</v>
      </c>
      <c r="E107" s="66">
        <f t="shared" si="1"/>
        <v>9.18</v>
      </c>
      <c r="F107" s="66">
        <f t="shared" si="1"/>
        <v>31.51</v>
      </c>
      <c r="G107" s="66">
        <f t="shared" si="1"/>
        <v>82.88</v>
      </c>
      <c r="H107" s="66">
        <f t="shared" si="1"/>
        <v>23.69</v>
      </c>
      <c r="I107" s="66">
        <f t="shared" si="1"/>
        <v>0</v>
      </c>
      <c r="J107" s="66">
        <f t="shared" si="1"/>
        <v>4.05</v>
      </c>
      <c r="K107" s="66">
        <f t="shared" si="1"/>
        <v>356.23</v>
      </c>
      <c r="L107" s="66">
        <f t="shared" si="1"/>
        <v>25.22</v>
      </c>
      <c r="M107" s="66">
        <f t="shared" si="1"/>
        <v>102.03</v>
      </c>
      <c r="N107" s="66">
        <f t="shared" si="1"/>
        <v>728.1</v>
      </c>
      <c r="O107" s="66">
        <f t="shared" si="1"/>
        <v>0</v>
      </c>
      <c r="P107" s="66">
        <f t="shared" si="1"/>
        <v>0.91</v>
      </c>
      <c r="Q107" s="66">
        <f t="shared" si="1"/>
        <v>10.32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28.697812499999994</v>
      </c>
      <c r="C108" s="67">
        <f t="shared" ref="C108:Q108" si="2">AVERAGE(C9:C104)</f>
        <v>32.816250000000011</v>
      </c>
      <c r="D108" s="67">
        <f t="shared" si="2"/>
        <v>38.781354166666688</v>
      </c>
      <c r="E108" s="67">
        <f t="shared" si="2"/>
        <v>6.2051041666666711</v>
      </c>
      <c r="F108" s="67">
        <f t="shared" si="2"/>
        <v>5.4062499999999973</v>
      </c>
      <c r="G108" s="67">
        <f t="shared" si="2"/>
        <v>47.841458333333314</v>
      </c>
      <c r="H108" s="67">
        <f t="shared" si="2"/>
        <v>15.214895833333332</v>
      </c>
      <c r="I108" s="67" t="e">
        <f t="shared" si="2"/>
        <v>#DIV/0!</v>
      </c>
      <c r="J108" s="67">
        <f t="shared" si="2"/>
        <v>2.1116666666666668</v>
      </c>
      <c r="K108" s="67">
        <f t="shared" si="2"/>
        <v>147.96968750000002</v>
      </c>
      <c r="L108" s="67">
        <f t="shared" si="2"/>
        <v>19.391458333333329</v>
      </c>
      <c r="M108" s="67">
        <f t="shared" si="2"/>
        <v>80.089375000000004</v>
      </c>
      <c r="N108" s="67">
        <f t="shared" si="2"/>
        <v>185.89687499999994</v>
      </c>
      <c r="O108" s="67">
        <f t="shared" si="2"/>
        <v>0</v>
      </c>
      <c r="P108" s="67">
        <f t="shared" si="2"/>
        <v>0.31354166666666661</v>
      </c>
      <c r="Q108" s="67">
        <f t="shared" si="2"/>
        <v>8.8095833333333449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29.618321932747023</v>
      </c>
      <c r="C109" s="67">
        <f t="shared" ref="C109:Q109" si="3">STDEV(C9:C104)</f>
        <v>4.9402088705042955</v>
      </c>
      <c r="D109" s="67">
        <f t="shared" si="3"/>
        <v>25.396243635201376</v>
      </c>
      <c r="E109" s="67">
        <f t="shared" si="3"/>
        <v>0.93004922879512597</v>
      </c>
      <c r="F109" s="67">
        <f t="shared" si="3"/>
        <v>4.1550330291929374</v>
      </c>
      <c r="G109" s="67">
        <f t="shared" si="3"/>
        <v>14.888082905052654</v>
      </c>
      <c r="H109" s="67">
        <f t="shared" si="3"/>
        <v>3.7864331208287165</v>
      </c>
      <c r="I109" s="67" t="e">
        <f t="shared" si="3"/>
        <v>#DIV/0!</v>
      </c>
      <c r="J109" s="67">
        <f t="shared" si="3"/>
        <v>1.0263237066721167</v>
      </c>
      <c r="K109" s="67">
        <f t="shared" si="3"/>
        <v>94.940037003453369</v>
      </c>
      <c r="L109" s="67">
        <f t="shared" si="3"/>
        <v>3.3642485605545236</v>
      </c>
      <c r="M109" s="67">
        <f t="shared" si="3"/>
        <v>17.596565443140818</v>
      </c>
      <c r="N109" s="67">
        <f t="shared" si="3"/>
        <v>211.34588982998071</v>
      </c>
      <c r="O109" s="67">
        <f t="shared" si="3"/>
        <v>0</v>
      </c>
      <c r="P109" s="67">
        <f t="shared" si="3"/>
        <v>0.32691212135330711</v>
      </c>
      <c r="Q109" s="67">
        <f t="shared" si="3"/>
        <v>0.8201205516863026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COUNT(I9:I104)+96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2" sqref="G12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247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28/12/2024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231</v>
      </c>
      <c r="C7" s="198" t="s">
        <v>232</v>
      </c>
      <c r="D7" s="198" t="s">
        <v>233</v>
      </c>
      <c r="E7" s="198" t="s">
        <v>234</v>
      </c>
      <c r="F7" s="198" t="s">
        <v>235</v>
      </c>
      <c r="G7" s="198" t="s">
        <v>236</v>
      </c>
      <c r="H7" s="198" t="s">
        <v>237</v>
      </c>
      <c r="I7" s="198" t="s">
        <v>238</v>
      </c>
      <c r="J7" s="198" t="s">
        <v>239</v>
      </c>
      <c r="K7" s="198" t="s">
        <v>240</v>
      </c>
      <c r="L7" s="198" t="s">
        <v>241</v>
      </c>
      <c r="M7" s="198" t="s">
        <v>242</v>
      </c>
      <c r="N7" s="198" t="s">
        <v>243</v>
      </c>
      <c r="O7" s="198" t="s">
        <v>244</v>
      </c>
      <c r="P7" s="198" t="s">
        <v>245</v>
      </c>
      <c r="Q7" s="198" t="s">
        <v>246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2840</v>
      </c>
      <c r="B9" s="64">
        <v>7.02</v>
      </c>
      <c r="C9" s="64">
        <v>32.75</v>
      </c>
      <c r="D9" s="64">
        <v>21.36</v>
      </c>
      <c r="E9" s="64">
        <v>5.68</v>
      </c>
      <c r="F9" s="64">
        <v>3.89</v>
      </c>
      <c r="G9" s="64">
        <v>60.98</v>
      </c>
      <c r="H9" s="64">
        <v>21.65</v>
      </c>
      <c r="I9" s="211" t="s">
        <v>43</v>
      </c>
      <c r="J9" s="64">
        <v>2.58</v>
      </c>
      <c r="K9" s="64">
        <v>108.13</v>
      </c>
      <c r="L9" s="64">
        <v>18.05</v>
      </c>
      <c r="M9" s="64">
        <v>74.97</v>
      </c>
      <c r="N9" s="64">
        <v>48.3</v>
      </c>
      <c r="O9" s="64">
        <v>0</v>
      </c>
      <c r="P9" s="64">
        <v>0.67</v>
      </c>
      <c r="Q9" s="64">
        <v>8.2100000000000009</v>
      </c>
      <c r="R9" s="198"/>
      <c r="S9" s="198"/>
      <c r="T9" s="198"/>
      <c r="U9" s="198"/>
    </row>
    <row r="10" spans="1:21" s="12" customFormat="1" x14ac:dyDescent="0.25">
      <c r="A10" s="215" t="s">
        <v>2841</v>
      </c>
      <c r="B10" s="64">
        <v>6.95</v>
      </c>
      <c r="C10" s="64">
        <v>30.9</v>
      </c>
      <c r="D10" s="64">
        <v>20.34</v>
      </c>
      <c r="E10" s="64">
        <v>5.53</v>
      </c>
      <c r="F10" s="64">
        <v>3.9</v>
      </c>
      <c r="G10" s="64">
        <v>60.98</v>
      </c>
      <c r="H10" s="64">
        <v>21.65</v>
      </c>
      <c r="I10" s="211" t="s">
        <v>43</v>
      </c>
      <c r="J10" s="64">
        <v>3.33</v>
      </c>
      <c r="K10" s="64">
        <v>106.62</v>
      </c>
      <c r="L10" s="64">
        <v>17.91</v>
      </c>
      <c r="M10" s="64">
        <v>75.069999999999993</v>
      </c>
      <c r="N10" s="64">
        <v>48.1</v>
      </c>
      <c r="O10" s="64">
        <v>0</v>
      </c>
      <c r="P10" s="64">
        <v>0.7</v>
      </c>
      <c r="Q10" s="64">
        <v>8.2100000000000009</v>
      </c>
      <c r="R10" s="198"/>
      <c r="S10" s="198"/>
      <c r="T10" s="198"/>
      <c r="U10" s="198"/>
    </row>
    <row r="11" spans="1:21" s="12" customFormat="1" x14ac:dyDescent="0.25">
      <c r="A11" s="215" t="s">
        <v>2842</v>
      </c>
      <c r="B11" s="64">
        <v>6.88</v>
      </c>
      <c r="C11" s="64">
        <v>31.38</v>
      </c>
      <c r="D11" s="64">
        <v>20.53</v>
      </c>
      <c r="E11" s="64">
        <v>5.4</v>
      </c>
      <c r="F11" s="64">
        <v>3.72</v>
      </c>
      <c r="G11" s="64">
        <v>57.73</v>
      </c>
      <c r="H11" s="64">
        <v>22</v>
      </c>
      <c r="I11" s="211" t="s">
        <v>43</v>
      </c>
      <c r="J11" s="64">
        <v>2.58</v>
      </c>
      <c r="K11" s="64">
        <v>101.43</v>
      </c>
      <c r="L11" s="64">
        <v>17.79</v>
      </c>
      <c r="M11" s="64">
        <v>75.180000000000007</v>
      </c>
      <c r="N11" s="64">
        <v>48.2</v>
      </c>
      <c r="O11" s="64">
        <v>0</v>
      </c>
      <c r="P11" s="64">
        <v>0.68</v>
      </c>
      <c r="Q11" s="64">
        <v>8.2100000000000009</v>
      </c>
      <c r="R11" s="198"/>
      <c r="S11" s="198"/>
      <c r="T11" s="198"/>
      <c r="U11" s="198"/>
    </row>
    <row r="12" spans="1:21" s="12" customFormat="1" x14ac:dyDescent="0.25">
      <c r="A12" s="215" t="s">
        <v>2843</v>
      </c>
      <c r="B12" s="64">
        <v>6.73</v>
      </c>
      <c r="C12" s="64">
        <v>32.65</v>
      </c>
      <c r="D12" s="64">
        <v>21.08</v>
      </c>
      <c r="E12" s="64">
        <v>5.71</v>
      </c>
      <c r="F12" s="64">
        <v>4.0599999999999996</v>
      </c>
      <c r="G12" s="64">
        <v>56.33</v>
      </c>
      <c r="H12" s="64">
        <v>22.04</v>
      </c>
      <c r="I12" s="211" t="s">
        <v>43</v>
      </c>
      <c r="J12" s="64">
        <v>3.41</v>
      </c>
      <c r="K12" s="64">
        <v>104.73</v>
      </c>
      <c r="L12" s="64">
        <v>17.739999999999998</v>
      </c>
      <c r="M12" s="64">
        <v>75.78</v>
      </c>
      <c r="N12" s="64">
        <v>48.3</v>
      </c>
      <c r="O12" s="64">
        <v>0</v>
      </c>
      <c r="P12" s="64">
        <v>0.66</v>
      </c>
      <c r="Q12" s="64">
        <v>8.2100000000000009</v>
      </c>
      <c r="R12" s="198"/>
      <c r="S12" s="198"/>
      <c r="T12" s="198"/>
      <c r="U12" s="198"/>
    </row>
    <row r="13" spans="1:21" s="12" customFormat="1" x14ac:dyDescent="0.25">
      <c r="A13" s="215" t="s">
        <v>2844</v>
      </c>
      <c r="B13" s="64">
        <v>6.47</v>
      </c>
      <c r="C13" s="64">
        <v>32.159999999999997</v>
      </c>
      <c r="D13" s="64">
        <v>20.62</v>
      </c>
      <c r="E13" s="64">
        <v>6.14</v>
      </c>
      <c r="F13" s="64">
        <v>3.9</v>
      </c>
      <c r="G13" s="64">
        <v>56.33</v>
      </c>
      <c r="H13" s="64">
        <v>22.04</v>
      </c>
      <c r="I13" s="211" t="s">
        <v>43</v>
      </c>
      <c r="J13" s="64">
        <v>3.54</v>
      </c>
      <c r="K13" s="64">
        <v>102.23</v>
      </c>
      <c r="L13" s="64">
        <v>17.61</v>
      </c>
      <c r="M13" s="64">
        <v>76.39</v>
      </c>
      <c r="N13" s="64">
        <v>48.6</v>
      </c>
      <c r="O13" s="64">
        <v>0</v>
      </c>
      <c r="P13" s="64">
        <v>0.65</v>
      </c>
      <c r="Q13" s="64">
        <v>8.2100000000000009</v>
      </c>
      <c r="R13" s="198"/>
      <c r="S13" s="198"/>
      <c r="T13" s="198"/>
      <c r="U13" s="198"/>
    </row>
    <row r="14" spans="1:21" s="12" customFormat="1" x14ac:dyDescent="0.25">
      <c r="A14" s="215" t="s">
        <v>2845</v>
      </c>
      <c r="B14" s="64">
        <v>6.13</v>
      </c>
      <c r="C14" s="64">
        <v>31.9</v>
      </c>
      <c r="D14" s="64">
        <v>20.21</v>
      </c>
      <c r="E14" s="64">
        <v>5.84</v>
      </c>
      <c r="F14" s="64">
        <v>3.82</v>
      </c>
      <c r="G14" s="64">
        <v>56.33</v>
      </c>
      <c r="H14" s="64">
        <v>22.04</v>
      </c>
      <c r="I14" s="211" t="s">
        <v>43</v>
      </c>
      <c r="J14" s="64">
        <v>1.1200000000000001</v>
      </c>
      <c r="K14" s="64">
        <v>111.36</v>
      </c>
      <c r="L14" s="64">
        <v>17.84</v>
      </c>
      <c r="M14" s="64">
        <v>72.52</v>
      </c>
      <c r="N14" s="64">
        <v>48.3</v>
      </c>
      <c r="O14" s="64">
        <v>0</v>
      </c>
      <c r="P14" s="64">
        <v>0.64</v>
      </c>
      <c r="Q14" s="64">
        <v>8.2100000000000009</v>
      </c>
      <c r="R14" s="198"/>
      <c r="S14" s="198"/>
      <c r="T14" s="198"/>
      <c r="U14" s="198"/>
    </row>
    <row r="15" spans="1:21" s="12" customFormat="1" x14ac:dyDescent="0.25">
      <c r="A15" s="215" t="s">
        <v>2846</v>
      </c>
      <c r="B15" s="64">
        <v>5.89</v>
      </c>
      <c r="C15" s="64">
        <v>32.049999999999997</v>
      </c>
      <c r="D15" s="64">
        <v>20.100000000000001</v>
      </c>
      <c r="E15" s="64">
        <v>5.56</v>
      </c>
      <c r="F15" s="64">
        <v>3.88</v>
      </c>
      <c r="G15" s="64">
        <v>53.91</v>
      </c>
      <c r="H15" s="64">
        <v>21.51</v>
      </c>
      <c r="I15" s="211" t="s">
        <v>43</v>
      </c>
      <c r="J15" s="64">
        <v>2.52</v>
      </c>
      <c r="K15" s="64">
        <v>156.66</v>
      </c>
      <c r="L15" s="64">
        <v>17.82</v>
      </c>
      <c r="M15" s="64">
        <v>71.81</v>
      </c>
      <c r="N15" s="64">
        <v>48.6</v>
      </c>
      <c r="O15" s="64">
        <v>0</v>
      </c>
      <c r="P15" s="64">
        <v>0.63</v>
      </c>
      <c r="Q15" s="64">
        <v>8.2100000000000009</v>
      </c>
      <c r="R15" s="198"/>
      <c r="S15" s="198"/>
      <c r="T15" s="198"/>
      <c r="U15" s="198"/>
    </row>
    <row r="16" spans="1:21" s="12" customFormat="1" x14ac:dyDescent="0.25">
      <c r="A16" s="215" t="s">
        <v>2847</v>
      </c>
      <c r="B16" s="64">
        <v>5.73</v>
      </c>
      <c r="C16" s="64">
        <v>33.409999999999997</v>
      </c>
      <c r="D16" s="64">
        <v>20.68</v>
      </c>
      <c r="E16" s="64">
        <v>5.73</v>
      </c>
      <c r="F16" s="64">
        <v>3.99</v>
      </c>
      <c r="G16" s="64">
        <v>52.88</v>
      </c>
      <c r="H16" s="64">
        <v>21.47</v>
      </c>
      <c r="I16" s="211" t="s">
        <v>43</v>
      </c>
      <c r="J16" s="64">
        <v>2.4</v>
      </c>
      <c r="K16" s="64">
        <v>168.53</v>
      </c>
      <c r="L16" s="64">
        <v>17.47</v>
      </c>
      <c r="M16" s="64">
        <v>74.28</v>
      </c>
      <c r="N16" s="64">
        <v>48.6</v>
      </c>
      <c r="O16" s="64">
        <v>0</v>
      </c>
      <c r="P16" s="64">
        <v>0.63</v>
      </c>
      <c r="Q16" s="64">
        <v>8.2100000000000009</v>
      </c>
      <c r="R16" s="198"/>
      <c r="S16" s="198"/>
      <c r="T16" s="198"/>
      <c r="U16" s="198"/>
    </row>
    <row r="17" spans="1:21" s="12" customFormat="1" x14ac:dyDescent="0.25">
      <c r="A17" s="215" t="s">
        <v>2848</v>
      </c>
      <c r="B17" s="64">
        <v>5.48</v>
      </c>
      <c r="C17" s="64">
        <v>33.6</v>
      </c>
      <c r="D17" s="64">
        <v>20.57</v>
      </c>
      <c r="E17" s="64">
        <v>5.42</v>
      </c>
      <c r="F17" s="64">
        <v>4.26</v>
      </c>
      <c r="G17" s="64">
        <v>52.88</v>
      </c>
      <c r="H17" s="64">
        <v>21.47</v>
      </c>
      <c r="I17" s="211" t="s">
        <v>43</v>
      </c>
      <c r="J17" s="64">
        <v>2.29</v>
      </c>
      <c r="K17" s="64">
        <v>159.35</v>
      </c>
      <c r="L17" s="64">
        <v>17.149999999999999</v>
      </c>
      <c r="M17" s="64">
        <v>76.959999999999994</v>
      </c>
      <c r="N17" s="64">
        <v>48.6</v>
      </c>
      <c r="O17" s="64">
        <v>0</v>
      </c>
      <c r="P17" s="64">
        <v>0.61</v>
      </c>
      <c r="Q17" s="64">
        <v>8.2100000000000009</v>
      </c>
      <c r="R17" s="198"/>
      <c r="S17" s="198"/>
      <c r="T17" s="198"/>
      <c r="U17" s="198"/>
    </row>
    <row r="18" spans="1:21" s="12" customFormat="1" x14ac:dyDescent="0.25">
      <c r="A18" s="215" t="s">
        <v>2849</v>
      </c>
      <c r="B18" s="64">
        <v>5.18</v>
      </c>
      <c r="C18" s="64">
        <v>33.43</v>
      </c>
      <c r="D18" s="64">
        <v>20.239999999999998</v>
      </c>
      <c r="E18" s="64">
        <v>5.81</v>
      </c>
      <c r="F18" s="64">
        <v>4.45</v>
      </c>
      <c r="G18" s="64">
        <v>52.88</v>
      </c>
      <c r="H18" s="64">
        <v>21.47</v>
      </c>
      <c r="I18" s="211" t="s">
        <v>43</v>
      </c>
      <c r="J18" s="64">
        <v>2.35</v>
      </c>
      <c r="K18" s="64">
        <v>167.1</v>
      </c>
      <c r="L18" s="64">
        <v>16.88</v>
      </c>
      <c r="M18" s="64">
        <v>79.16</v>
      </c>
      <c r="N18" s="64">
        <v>48.4</v>
      </c>
      <c r="O18" s="64">
        <v>0</v>
      </c>
      <c r="P18" s="64">
        <v>0.61</v>
      </c>
      <c r="Q18" s="64">
        <v>8.2100000000000009</v>
      </c>
      <c r="R18" s="198"/>
      <c r="S18" s="198"/>
      <c r="T18" s="198"/>
      <c r="U18" s="198"/>
    </row>
    <row r="19" spans="1:21" s="12" customFormat="1" x14ac:dyDescent="0.25">
      <c r="A19" s="215" t="s">
        <v>2850</v>
      </c>
      <c r="B19" s="64">
        <v>5</v>
      </c>
      <c r="C19" s="64">
        <v>32.78</v>
      </c>
      <c r="D19" s="64">
        <v>19.760000000000002</v>
      </c>
      <c r="E19" s="64">
        <v>5.57</v>
      </c>
      <c r="F19" s="64">
        <v>4.3899999999999997</v>
      </c>
      <c r="G19" s="64">
        <v>48.72</v>
      </c>
      <c r="H19" s="64">
        <v>19.649999999999999</v>
      </c>
      <c r="I19" s="211" t="s">
        <v>43</v>
      </c>
      <c r="J19" s="64">
        <v>2.27</v>
      </c>
      <c r="K19" s="64">
        <v>170.86</v>
      </c>
      <c r="L19" s="64">
        <v>16.7</v>
      </c>
      <c r="M19" s="64">
        <v>80.86</v>
      </c>
      <c r="N19" s="64">
        <v>48.4</v>
      </c>
      <c r="O19" s="64">
        <v>0</v>
      </c>
      <c r="P19" s="64">
        <v>0.6</v>
      </c>
      <c r="Q19" s="64">
        <v>8.2100000000000009</v>
      </c>
      <c r="R19" s="198"/>
      <c r="S19" s="198"/>
      <c r="T19" s="198"/>
      <c r="U19" s="198"/>
    </row>
    <row r="20" spans="1:21" s="12" customFormat="1" x14ac:dyDescent="0.25">
      <c r="A20" s="215" t="s">
        <v>2851</v>
      </c>
      <c r="B20" s="64">
        <v>4.95</v>
      </c>
      <c r="C20" s="64">
        <v>32.72</v>
      </c>
      <c r="D20" s="64">
        <v>19.68</v>
      </c>
      <c r="E20" s="64">
        <v>5.65</v>
      </c>
      <c r="F20" s="64">
        <v>4.16</v>
      </c>
      <c r="G20" s="64">
        <v>46.93</v>
      </c>
      <c r="H20" s="64">
        <v>19.5</v>
      </c>
      <c r="I20" s="211" t="s">
        <v>43</v>
      </c>
      <c r="J20" s="64">
        <v>2.23</v>
      </c>
      <c r="K20" s="64">
        <v>161.97999999999999</v>
      </c>
      <c r="L20" s="64">
        <v>16.510000000000002</v>
      </c>
      <c r="M20" s="64">
        <v>82.19</v>
      </c>
      <c r="N20" s="64">
        <v>48.4</v>
      </c>
      <c r="O20" s="64">
        <v>0</v>
      </c>
      <c r="P20" s="64">
        <v>0.57999999999999996</v>
      </c>
      <c r="Q20" s="64">
        <v>8.2100000000000009</v>
      </c>
      <c r="R20" s="198"/>
      <c r="S20" s="198"/>
      <c r="T20" s="198"/>
      <c r="U20" s="198"/>
    </row>
    <row r="21" spans="1:21" s="12" customFormat="1" x14ac:dyDescent="0.25">
      <c r="A21" s="215" t="s">
        <v>2852</v>
      </c>
      <c r="B21" s="64">
        <v>4.9000000000000004</v>
      </c>
      <c r="C21" s="64">
        <v>33.520000000000003</v>
      </c>
      <c r="D21" s="64">
        <v>20.07</v>
      </c>
      <c r="E21" s="64">
        <v>5.36</v>
      </c>
      <c r="F21" s="64">
        <v>3.79</v>
      </c>
      <c r="G21" s="64">
        <v>46.93</v>
      </c>
      <c r="H21" s="64">
        <v>19.5</v>
      </c>
      <c r="I21" s="211" t="s">
        <v>43</v>
      </c>
      <c r="J21" s="64">
        <v>1.0900000000000001</v>
      </c>
      <c r="K21" s="64">
        <v>250.59</v>
      </c>
      <c r="L21" s="64">
        <v>16.27</v>
      </c>
      <c r="M21" s="64">
        <v>84.39</v>
      </c>
      <c r="N21" s="64">
        <v>48.5</v>
      </c>
      <c r="O21" s="64">
        <v>0</v>
      </c>
      <c r="P21" s="64">
        <v>0.57999999999999996</v>
      </c>
      <c r="Q21" s="64">
        <v>8.2100000000000009</v>
      </c>
      <c r="R21" s="198"/>
      <c r="S21" s="198"/>
      <c r="T21" s="198"/>
      <c r="U21" s="198"/>
    </row>
    <row r="22" spans="1:21" s="12" customFormat="1" x14ac:dyDescent="0.25">
      <c r="A22" s="215" t="s">
        <v>2853</v>
      </c>
      <c r="B22" s="64">
        <v>4.9800000000000004</v>
      </c>
      <c r="C22" s="64">
        <v>33.450000000000003</v>
      </c>
      <c r="D22" s="64">
        <v>20.09</v>
      </c>
      <c r="E22" s="64">
        <v>5.22</v>
      </c>
      <c r="F22" s="64">
        <v>4.3499999999999996</v>
      </c>
      <c r="G22" s="64">
        <v>46.93</v>
      </c>
      <c r="H22" s="64">
        <v>19.5</v>
      </c>
      <c r="I22" s="211" t="s">
        <v>43</v>
      </c>
      <c r="J22" s="64">
        <v>2.81</v>
      </c>
      <c r="K22" s="64">
        <v>146.58000000000001</v>
      </c>
      <c r="L22" s="64">
        <v>16.09</v>
      </c>
      <c r="M22" s="64">
        <v>86.51</v>
      </c>
      <c r="N22" s="64">
        <v>48.2</v>
      </c>
      <c r="O22" s="64">
        <v>0</v>
      </c>
      <c r="P22" s="64">
        <v>0.56999999999999995</v>
      </c>
      <c r="Q22" s="64">
        <v>8.2100000000000009</v>
      </c>
      <c r="R22" s="198"/>
      <c r="S22" s="198"/>
      <c r="T22" s="198"/>
      <c r="U22" s="198"/>
    </row>
    <row r="23" spans="1:21" s="12" customFormat="1" x14ac:dyDescent="0.25">
      <c r="A23" s="215" t="s">
        <v>2854</v>
      </c>
      <c r="B23" s="64">
        <v>5.08</v>
      </c>
      <c r="C23" s="64">
        <v>32.380000000000003</v>
      </c>
      <c r="D23" s="64">
        <v>19.61</v>
      </c>
      <c r="E23" s="64">
        <v>5.51</v>
      </c>
      <c r="F23" s="64">
        <v>3.66</v>
      </c>
      <c r="G23" s="64">
        <v>47.63</v>
      </c>
      <c r="H23" s="64">
        <v>20.91</v>
      </c>
      <c r="I23" s="211" t="s">
        <v>43</v>
      </c>
      <c r="J23" s="64">
        <v>2.83</v>
      </c>
      <c r="K23" s="64">
        <v>165.83</v>
      </c>
      <c r="L23" s="64">
        <v>16.07</v>
      </c>
      <c r="M23" s="64">
        <v>86.5</v>
      </c>
      <c r="N23" s="64">
        <v>48</v>
      </c>
      <c r="O23" s="64">
        <v>0</v>
      </c>
      <c r="P23" s="64">
        <v>0.56000000000000005</v>
      </c>
      <c r="Q23" s="64">
        <v>8.2100000000000009</v>
      </c>
      <c r="R23" s="198"/>
      <c r="S23" s="198"/>
      <c r="T23" s="198"/>
      <c r="U23" s="198"/>
    </row>
    <row r="24" spans="1:21" s="12" customFormat="1" x14ac:dyDescent="0.25">
      <c r="A24" s="215" t="s">
        <v>2855</v>
      </c>
      <c r="B24" s="64">
        <v>5.15</v>
      </c>
      <c r="C24" s="64">
        <v>33.35</v>
      </c>
      <c r="D24" s="64">
        <v>20.18</v>
      </c>
      <c r="E24" s="64">
        <v>5.27</v>
      </c>
      <c r="F24" s="64">
        <v>4.07</v>
      </c>
      <c r="G24" s="64">
        <v>47.92</v>
      </c>
      <c r="H24" s="64">
        <v>21.03</v>
      </c>
      <c r="I24" s="211" t="s">
        <v>43</v>
      </c>
      <c r="J24" s="64">
        <v>0.28000000000000003</v>
      </c>
      <c r="K24" s="64">
        <v>116.67</v>
      </c>
      <c r="L24" s="64">
        <v>15.95</v>
      </c>
      <c r="M24" s="64">
        <v>87.95</v>
      </c>
      <c r="N24" s="64">
        <v>48.4</v>
      </c>
      <c r="O24" s="64">
        <v>0</v>
      </c>
      <c r="P24" s="64">
        <v>0.56000000000000005</v>
      </c>
      <c r="Q24" s="64">
        <v>8.2100000000000009</v>
      </c>
      <c r="R24" s="198"/>
      <c r="S24" s="198"/>
      <c r="T24" s="198"/>
      <c r="U24" s="198"/>
    </row>
    <row r="25" spans="1:21" s="12" customFormat="1" x14ac:dyDescent="0.25">
      <c r="A25" s="215" t="s">
        <v>2856</v>
      </c>
      <c r="B25" s="64">
        <v>5.34</v>
      </c>
      <c r="C25" s="64">
        <v>34.82</v>
      </c>
      <c r="D25" s="64">
        <v>21.1</v>
      </c>
      <c r="E25" s="64">
        <v>5.26</v>
      </c>
      <c r="F25" s="64">
        <v>3.98</v>
      </c>
      <c r="G25" s="64">
        <v>47.92</v>
      </c>
      <c r="H25" s="64">
        <v>21.03</v>
      </c>
      <c r="I25" s="211" t="s">
        <v>43</v>
      </c>
      <c r="J25" s="64">
        <v>2.37</v>
      </c>
      <c r="K25" s="64">
        <v>154.97</v>
      </c>
      <c r="L25" s="64">
        <v>15.93</v>
      </c>
      <c r="M25" s="64">
        <v>88.41</v>
      </c>
      <c r="N25" s="64">
        <v>48.1</v>
      </c>
      <c r="O25" s="64">
        <v>0</v>
      </c>
      <c r="P25" s="64">
        <v>0.55000000000000004</v>
      </c>
      <c r="Q25" s="64">
        <v>8.2100000000000009</v>
      </c>
      <c r="R25" s="198"/>
      <c r="S25" s="198"/>
      <c r="T25" s="198"/>
      <c r="U25" s="198"/>
    </row>
    <row r="26" spans="1:21" s="12" customFormat="1" x14ac:dyDescent="0.25">
      <c r="A26" s="215" t="s">
        <v>2857</v>
      </c>
      <c r="B26" s="64">
        <v>5.63</v>
      </c>
      <c r="C26" s="64">
        <v>30.12</v>
      </c>
      <c r="D26" s="64">
        <v>18.88</v>
      </c>
      <c r="E26" s="64">
        <v>5.42</v>
      </c>
      <c r="F26" s="64">
        <v>3.67</v>
      </c>
      <c r="G26" s="64">
        <v>47.92</v>
      </c>
      <c r="H26" s="64">
        <v>21.03</v>
      </c>
      <c r="I26" s="211" t="s">
        <v>43</v>
      </c>
      <c r="J26" s="64">
        <v>2.81</v>
      </c>
      <c r="K26" s="64">
        <v>163.63999999999999</v>
      </c>
      <c r="L26" s="64">
        <v>15.99</v>
      </c>
      <c r="M26" s="64">
        <v>88.78</v>
      </c>
      <c r="N26" s="64">
        <v>48</v>
      </c>
      <c r="O26" s="64">
        <v>0</v>
      </c>
      <c r="P26" s="64">
        <v>0.54</v>
      </c>
      <c r="Q26" s="64">
        <v>8.2100000000000009</v>
      </c>
      <c r="R26" s="198"/>
      <c r="S26" s="198"/>
      <c r="T26" s="198"/>
      <c r="U26" s="198"/>
    </row>
    <row r="27" spans="1:21" s="12" customFormat="1" x14ac:dyDescent="0.25">
      <c r="A27" s="215" t="s">
        <v>2858</v>
      </c>
      <c r="B27" s="64">
        <v>5.91</v>
      </c>
      <c r="C27" s="64">
        <v>30.98</v>
      </c>
      <c r="D27" s="64">
        <v>19.55</v>
      </c>
      <c r="E27" s="64">
        <v>5.2</v>
      </c>
      <c r="F27" s="64">
        <v>3.61</v>
      </c>
      <c r="G27" s="64">
        <v>47.91</v>
      </c>
      <c r="H27" s="64">
        <v>20.11</v>
      </c>
      <c r="I27" s="211" t="s">
        <v>43</v>
      </c>
      <c r="J27" s="64">
        <v>2.25</v>
      </c>
      <c r="K27" s="64">
        <v>182.75</v>
      </c>
      <c r="L27" s="64">
        <v>16</v>
      </c>
      <c r="M27" s="64">
        <v>90.75</v>
      </c>
      <c r="N27" s="64">
        <v>48.2</v>
      </c>
      <c r="O27" s="64">
        <v>0</v>
      </c>
      <c r="P27" s="64">
        <v>0.53</v>
      </c>
      <c r="Q27" s="64">
        <v>8.2100000000000009</v>
      </c>
      <c r="R27" s="198"/>
      <c r="S27" s="198"/>
      <c r="T27" s="198"/>
      <c r="U27" s="198"/>
    </row>
    <row r="28" spans="1:21" s="12" customFormat="1" x14ac:dyDescent="0.25">
      <c r="A28" s="215" t="s">
        <v>2859</v>
      </c>
      <c r="B28" s="64">
        <v>6.31</v>
      </c>
      <c r="C28" s="64">
        <v>33.049999999999997</v>
      </c>
      <c r="D28" s="64">
        <v>20.95</v>
      </c>
      <c r="E28" s="64">
        <v>5.26</v>
      </c>
      <c r="F28" s="64">
        <v>3.63</v>
      </c>
      <c r="G28" s="64">
        <v>47.91</v>
      </c>
      <c r="H28" s="64">
        <v>19.989999999999998</v>
      </c>
      <c r="I28" s="211" t="s">
        <v>43</v>
      </c>
      <c r="J28" s="64">
        <v>1.32</v>
      </c>
      <c r="K28" s="64">
        <v>182.11</v>
      </c>
      <c r="L28" s="64">
        <v>16.04</v>
      </c>
      <c r="M28" s="64">
        <v>92.16</v>
      </c>
      <c r="N28" s="64">
        <v>48.2</v>
      </c>
      <c r="O28" s="64">
        <v>0</v>
      </c>
      <c r="P28" s="64">
        <v>0.51</v>
      </c>
      <c r="Q28" s="64">
        <v>8.2100000000000009</v>
      </c>
      <c r="R28" s="198"/>
      <c r="S28" s="198"/>
      <c r="T28" s="198"/>
      <c r="U28" s="198"/>
    </row>
    <row r="29" spans="1:21" s="12" customFormat="1" x14ac:dyDescent="0.25">
      <c r="A29" s="215" t="s">
        <v>2860</v>
      </c>
      <c r="B29" s="64">
        <v>6.77</v>
      </c>
      <c r="C29" s="64">
        <v>33.5</v>
      </c>
      <c r="D29" s="64">
        <v>21.55</v>
      </c>
      <c r="E29" s="64">
        <v>5.67</v>
      </c>
      <c r="F29" s="64">
        <v>3.59</v>
      </c>
      <c r="G29" s="64">
        <v>47.91</v>
      </c>
      <c r="H29" s="64">
        <v>19.989999999999998</v>
      </c>
      <c r="I29" s="211" t="s">
        <v>43</v>
      </c>
      <c r="J29" s="64">
        <v>1.47</v>
      </c>
      <c r="K29" s="64">
        <v>145.11000000000001</v>
      </c>
      <c r="L29" s="64">
        <v>16.2</v>
      </c>
      <c r="M29" s="64">
        <v>93.25</v>
      </c>
      <c r="N29" s="64">
        <v>48.3</v>
      </c>
      <c r="O29" s="64">
        <v>0</v>
      </c>
      <c r="P29" s="64">
        <v>0.52</v>
      </c>
      <c r="Q29" s="64">
        <v>8.2100000000000009</v>
      </c>
      <c r="R29" s="198"/>
      <c r="S29" s="198"/>
      <c r="T29" s="198"/>
      <c r="U29" s="198"/>
    </row>
    <row r="30" spans="1:21" s="12" customFormat="1" x14ac:dyDescent="0.25">
      <c r="A30" s="215" t="s">
        <v>2861</v>
      </c>
      <c r="B30" s="64">
        <v>7.32</v>
      </c>
      <c r="C30" s="64">
        <v>33.869999999999997</v>
      </c>
      <c r="D30" s="64">
        <v>22.19</v>
      </c>
      <c r="E30" s="64">
        <v>5.65</v>
      </c>
      <c r="F30" s="64">
        <v>4.2699999999999996</v>
      </c>
      <c r="G30" s="64">
        <v>47.91</v>
      </c>
      <c r="H30" s="64">
        <v>19.989999999999998</v>
      </c>
      <c r="I30" s="211" t="s">
        <v>43</v>
      </c>
      <c r="J30" s="64">
        <v>1.76</v>
      </c>
      <c r="K30" s="64">
        <v>330.34</v>
      </c>
      <c r="L30" s="64">
        <v>16.47</v>
      </c>
      <c r="M30" s="64">
        <v>93.59</v>
      </c>
      <c r="N30" s="64">
        <v>48.5</v>
      </c>
      <c r="O30" s="64">
        <v>0</v>
      </c>
      <c r="P30" s="64">
        <v>0.51</v>
      </c>
      <c r="Q30" s="64">
        <v>8.2100000000000009</v>
      </c>
      <c r="R30" s="198"/>
      <c r="S30" s="198"/>
      <c r="T30" s="198"/>
      <c r="U30" s="198"/>
    </row>
    <row r="31" spans="1:21" s="12" customFormat="1" x14ac:dyDescent="0.25">
      <c r="A31" s="215" t="s">
        <v>2862</v>
      </c>
      <c r="B31" s="64">
        <v>8.14</v>
      </c>
      <c r="C31" s="64">
        <v>34.35</v>
      </c>
      <c r="D31" s="64">
        <v>23.09</v>
      </c>
      <c r="E31" s="64">
        <v>5.46</v>
      </c>
      <c r="F31" s="64">
        <v>3.45</v>
      </c>
      <c r="G31" s="64">
        <v>46.63</v>
      </c>
      <c r="H31" s="64">
        <v>19.25</v>
      </c>
      <c r="I31" s="211" t="s">
        <v>43</v>
      </c>
      <c r="J31" s="64">
        <v>1.8</v>
      </c>
      <c r="K31" s="64">
        <v>325.54000000000002</v>
      </c>
      <c r="L31" s="64">
        <v>16.55</v>
      </c>
      <c r="M31" s="64">
        <v>94.75</v>
      </c>
      <c r="N31" s="64">
        <v>48.6</v>
      </c>
      <c r="O31" s="64">
        <v>0</v>
      </c>
      <c r="P31" s="64">
        <v>0.53</v>
      </c>
      <c r="Q31" s="64">
        <v>8.2100000000000009</v>
      </c>
      <c r="R31" s="198"/>
      <c r="S31" s="198"/>
      <c r="T31" s="198"/>
      <c r="U31" s="198"/>
    </row>
    <row r="32" spans="1:21" s="12" customFormat="1" x14ac:dyDescent="0.25">
      <c r="A32" s="215" t="s">
        <v>2863</v>
      </c>
      <c r="B32" s="64">
        <v>9.17</v>
      </c>
      <c r="C32" s="64">
        <v>34.85</v>
      </c>
      <c r="D32" s="64">
        <v>24.18</v>
      </c>
      <c r="E32" s="64">
        <v>5.43</v>
      </c>
      <c r="F32" s="64">
        <v>3.86</v>
      </c>
      <c r="G32" s="64">
        <v>46.05</v>
      </c>
      <c r="H32" s="64">
        <v>19.190000000000001</v>
      </c>
      <c r="I32" s="211" t="s">
        <v>43</v>
      </c>
      <c r="J32" s="64">
        <v>2.25</v>
      </c>
      <c r="K32" s="64">
        <v>214.29</v>
      </c>
      <c r="L32" s="64">
        <v>16.32</v>
      </c>
      <c r="M32" s="64">
        <v>96.39</v>
      </c>
      <c r="N32" s="64">
        <v>48.6</v>
      </c>
      <c r="O32" s="64">
        <v>0</v>
      </c>
      <c r="P32" s="64">
        <v>0.52</v>
      </c>
      <c r="Q32" s="64">
        <v>8.2100000000000009</v>
      </c>
      <c r="R32" s="198"/>
      <c r="S32" s="198"/>
      <c r="T32" s="198"/>
      <c r="U32" s="198"/>
    </row>
    <row r="33" spans="1:21" s="12" customFormat="1" x14ac:dyDescent="0.25">
      <c r="A33" s="215" t="s">
        <v>2864</v>
      </c>
      <c r="B33" s="64">
        <v>10.28</v>
      </c>
      <c r="C33" s="64">
        <v>35.71</v>
      </c>
      <c r="D33" s="64">
        <v>25.53</v>
      </c>
      <c r="E33" s="64">
        <v>5.75</v>
      </c>
      <c r="F33" s="64">
        <v>4.12</v>
      </c>
      <c r="G33" s="64">
        <v>46.05</v>
      </c>
      <c r="H33" s="64">
        <v>19.190000000000001</v>
      </c>
      <c r="I33" s="211" t="s">
        <v>43</v>
      </c>
      <c r="J33" s="64">
        <v>2.23</v>
      </c>
      <c r="K33" s="64">
        <v>329.1</v>
      </c>
      <c r="L33" s="64">
        <v>16.21</v>
      </c>
      <c r="M33" s="64">
        <v>97.84</v>
      </c>
      <c r="N33" s="64">
        <v>48.6</v>
      </c>
      <c r="O33" s="64">
        <v>0</v>
      </c>
      <c r="P33" s="64">
        <v>0.53</v>
      </c>
      <c r="Q33" s="64">
        <v>8.2100000000000009</v>
      </c>
      <c r="R33" s="198"/>
      <c r="S33" s="198"/>
      <c r="T33" s="198"/>
      <c r="U33" s="198"/>
    </row>
    <row r="34" spans="1:21" s="12" customFormat="1" x14ac:dyDescent="0.25">
      <c r="A34" s="215" t="s">
        <v>2865</v>
      </c>
      <c r="B34" s="64">
        <v>11.95</v>
      </c>
      <c r="C34" s="64">
        <v>35.200000000000003</v>
      </c>
      <c r="D34" s="64">
        <v>26.6</v>
      </c>
      <c r="E34" s="64">
        <v>5.67</v>
      </c>
      <c r="F34" s="64">
        <v>3.65</v>
      </c>
      <c r="G34" s="64">
        <v>46.05</v>
      </c>
      <c r="H34" s="64">
        <v>19.190000000000001</v>
      </c>
      <c r="I34" s="211" t="s">
        <v>43</v>
      </c>
      <c r="J34" s="64">
        <v>2.73</v>
      </c>
      <c r="K34" s="64">
        <v>324.04000000000002</v>
      </c>
      <c r="L34" s="64">
        <v>16.02</v>
      </c>
      <c r="M34" s="64">
        <v>99.73</v>
      </c>
      <c r="N34" s="64">
        <v>49.1</v>
      </c>
      <c r="O34" s="64">
        <v>0</v>
      </c>
      <c r="P34" s="64">
        <v>0.53</v>
      </c>
      <c r="Q34" s="64">
        <v>8.2100000000000009</v>
      </c>
      <c r="R34" s="198"/>
      <c r="S34" s="198"/>
      <c r="T34" s="198"/>
      <c r="U34" s="198"/>
    </row>
    <row r="35" spans="1:21" s="12" customFormat="1" x14ac:dyDescent="0.25">
      <c r="A35" s="215" t="s">
        <v>2866</v>
      </c>
      <c r="B35" s="64">
        <v>13.77</v>
      </c>
      <c r="C35" s="64">
        <v>35.340000000000003</v>
      </c>
      <c r="D35" s="64">
        <v>28.13</v>
      </c>
      <c r="E35" s="64">
        <v>5.96</v>
      </c>
      <c r="F35" s="64">
        <v>3.94</v>
      </c>
      <c r="G35" s="64">
        <v>44.61</v>
      </c>
      <c r="H35" s="64">
        <v>17.04</v>
      </c>
      <c r="I35" s="211" t="s">
        <v>43</v>
      </c>
      <c r="J35" s="64">
        <v>2.06</v>
      </c>
      <c r="K35" s="64">
        <v>6.75</v>
      </c>
      <c r="L35" s="64">
        <v>15.83</v>
      </c>
      <c r="M35" s="64">
        <v>101.43</v>
      </c>
      <c r="N35" s="64">
        <v>51.1</v>
      </c>
      <c r="O35" s="64">
        <v>0</v>
      </c>
      <c r="P35" s="64">
        <v>0.54</v>
      </c>
      <c r="Q35" s="64">
        <v>8.2100000000000009</v>
      </c>
      <c r="R35" s="198"/>
      <c r="S35" s="198"/>
      <c r="T35" s="198"/>
      <c r="U35" s="198"/>
    </row>
    <row r="36" spans="1:21" s="12" customFormat="1" x14ac:dyDescent="0.25">
      <c r="A36" s="215" t="s">
        <v>2867</v>
      </c>
      <c r="B36" s="64">
        <v>15.92</v>
      </c>
      <c r="C36" s="64">
        <v>35.14</v>
      </c>
      <c r="D36" s="64">
        <v>29.75</v>
      </c>
      <c r="E36" s="64">
        <v>5.56</v>
      </c>
      <c r="F36" s="64">
        <v>3.75</v>
      </c>
      <c r="G36" s="64">
        <v>43.99</v>
      </c>
      <c r="H36" s="64">
        <v>16.86</v>
      </c>
      <c r="I36" s="211" t="s">
        <v>43</v>
      </c>
      <c r="J36" s="64">
        <v>3.35</v>
      </c>
      <c r="K36" s="64">
        <v>119.02</v>
      </c>
      <c r="L36" s="64">
        <v>15.88</v>
      </c>
      <c r="M36" s="64">
        <v>98.15</v>
      </c>
      <c r="N36" s="64">
        <v>60.2</v>
      </c>
      <c r="O36" s="64">
        <v>0</v>
      </c>
      <c r="P36" s="64">
        <v>0.54</v>
      </c>
      <c r="Q36" s="64">
        <v>8.2100000000000009</v>
      </c>
      <c r="R36" s="198"/>
      <c r="S36" s="198"/>
      <c r="T36" s="198"/>
      <c r="U36" s="198"/>
    </row>
    <row r="37" spans="1:21" s="12" customFormat="1" x14ac:dyDescent="0.25">
      <c r="A37" s="215" t="s">
        <v>2868</v>
      </c>
      <c r="B37" s="64">
        <v>17.079999999999998</v>
      </c>
      <c r="C37" s="64">
        <v>34.86</v>
      </c>
      <c r="D37" s="64">
        <v>30.53</v>
      </c>
      <c r="E37" s="64">
        <v>5.79</v>
      </c>
      <c r="F37" s="64">
        <v>3.88</v>
      </c>
      <c r="G37" s="64">
        <v>43.99</v>
      </c>
      <c r="H37" s="64">
        <v>16.86</v>
      </c>
      <c r="I37" s="211" t="s">
        <v>43</v>
      </c>
      <c r="J37" s="64">
        <v>2.09</v>
      </c>
      <c r="K37" s="64">
        <v>92.2</v>
      </c>
      <c r="L37" s="64">
        <v>16.29</v>
      </c>
      <c r="M37" s="64">
        <v>92.8</v>
      </c>
      <c r="N37" s="64">
        <v>76.099999999999994</v>
      </c>
      <c r="O37" s="64">
        <v>0</v>
      </c>
      <c r="P37" s="64">
        <v>0.54</v>
      </c>
      <c r="Q37" s="64">
        <v>8.2100000000000009</v>
      </c>
      <c r="R37" s="198"/>
      <c r="S37" s="198"/>
      <c r="T37" s="198"/>
      <c r="U37" s="198"/>
    </row>
    <row r="38" spans="1:21" s="12" customFormat="1" x14ac:dyDescent="0.25">
      <c r="A38" s="215" t="s">
        <v>2869</v>
      </c>
      <c r="B38" s="64">
        <v>17.32</v>
      </c>
      <c r="C38" s="64">
        <v>34.82</v>
      </c>
      <c r="D38" s="64">
        <v>30.71</v>
      </c>
      <c r="E38" s="64">
        <v>5.61</v>
      </c>
      <c r="F38" s="64">
        <v>2.99</v>
      </c>
      <c r="G38" s="64">
        <v>43.99</v>
      </c>
      <c r="H38" s="64">
        <v>16.86</v>
      </c>
      <c r="I38" s="211" t="s">
        <v>43</v>
      </c>
      <c r="J38" s="64">
        <v>2.61</v>
      </c>
      <c r="K38" s="64">
        <v>133.18</v>
      </c>
      <c r="L38" s="64">
        <v>16.66</v>
      </c>
      <c r="M38" s="64">
        <v>91.66</v>
      </c>
      <c r="N38" s="64">
        <v>92.8</v>
      </c>
      <c r="O38" s="64">
        <v>0</v>
      </c>
      <c r="P38" s="64">
        <v>0.56000000000000005</v>
      </c>
      <c r="Q38" s="64">
        <v>8.2100000000000009</v>
      </c>
      <c r="R38" s="198"/>
      <c r="S38" s="198"/>
      <c r="T38" s="198"/>
      <c r="U38" s="198"/>
    </row>
    <row r="39" spans="1:21" s="12" customFormat="1" x14ac:dyDescent="0.25">
      <c r="A39" s="215" t="s">
        <v>2870</v>
      </c>
      <c r="B39" s="64">
        <v>17.55</v>
      </c>
      <c r="C39" s="64">
        <v>35.46</v>
      </c>
      <c r="D39" s="64">
        <v>31.22</v>
      </c>
      <c r="E39" s="64">
        <v>5.78</v>
      </c>
      <c r="F39" s="64">
        <v>4</v>
      </c>
      <c r="G39" s="64">
        <v>46.83</v>
      </c>
      <c r="H39" s="64">
        <v>19.14</v>
      </c>
      <c r="I39" s="211" t="s">
        <v>43</v>
      </c>
      <c r="J39" s="64">
        <v>2.0699999999999998</v>
      </c>
      <c r="K39" s="64">
        <v>139.9</v>
      </c>
      <c r="L39" s="64">
        <v>17.23</v>
      </c>
      <c r="M39" s="64">
        <v>89.4</v>
      </c>
      <c r="N39" s="64">
        <v>107.4</v>
      </c>
      <c r="O39" s="64">
        <v>0</v>
      </c>
      <c r="P39" s="64">
        <v>0.56000000000000005</v>
      </c>
      <c r="Q39" s="64">
        <v>8.2100000000000009</v>
      </c>
      <c r="R39" s="198"/>
      <c r="S39" s="198"/>
      <c r="T39" s="198"/>
      <c r="U39" s="198"/>
    </row>
    <row r="40" spans="1:21" s="12" customFormat="1" x14ac:dyDescent="0.25">
      <c r="A40" s="215" t="s">
        <v>2871</v>
      </c>
      <c r="B40" s="64">
        <v>17.72</v>
      </c>
      <c r="C40" s="64">
        <v>35.06</v>
      </c>
      <c r="D40" s="64">
        <v>31.15</v>
      </c>
      <c r="E40" s="64">
        <v>4.46</v>
      </c>
      <c r="F40" s="64">
        <v>3.96</v>
      </c>
      <c r="G40" s="64">
        <v>48.11</v>
      </c>
      <c r="H40" s="64">
        <v>19.329999999999998</v>
      </c>
      <c r="I40" s="211" t="s">
        <v>43</v>
      </c>
      <c r="J40" s="64">
        <v>3.26</v>
      </c>
      <c r="K40" s="64">
        <v>110.83</v>
      </c>
      <c r="L40" s="64">
        <v>17.38</v>
      </c>
      <c r="M40" s="64">
        <v>89.49</v>
      </c>
      <c r="N40" s="64">
        <v>127.6</v>
      </c>
      <c r="O40" s="64">
        <v>0</v>
      </c>
      <c r="P40" s="64">
        <v>0.55000000000000004</v>
      </c>
      <c r="Q40" s="64">
        <v>8.2100000000000009</v>
      </c>
      <c r="R40" s="198"/>
      <c r="S40" s="198"/>
      <c r="T40" s="198"/>
      <c r="U40" s="198"/>
    </row>
    <row r="41" spans="1:21" s="12" customFormat="1" x14ac:dyDescent="0.25">
      <c r="A41" s="215" t="s">
        <v>2872</v>
      </c>
      <c r="B41" s="64">
        <v>17.350000000000001</v>
      </c>
      <c r="C41" s="64">
        <v>35.44</v>
      </c>
      <c r="D41" s="64">
        <v>31.05</v>
      </c>
      <c r="E41" s="64">
        <v>5.5</v>
      </c>
      <c r="F41" s="64">
        <v>4.59</v>
      </c>
      <c r="G41" s="64">
        <v>48.11</v>
      </c>
      <c r="H41" s="64">
        <v>19.329999999999998</v>
      </c>
      <c r="I41" s="211" t="s">
        <v>43</v>
      </c>
      <c r="J41" s="64">
        <v>3.82</v>
      </c>
      <c r="K41" s="64">
        <v>107.67</v>
      </c>
      <c r="L41" s="64">
        <v>17.57</v>
      </c>
      <c r="M41" s="64">
        <v>88.6</v>
      </c>
      <c r="N41" s="64">
        <v>173.6</v>
      </c>
      <c r="O41" s="64">
        <v>0</v>
      </c>
      <c r="P41" s="64">
        <v>0.55000000000000004</v>
      </c>
      <c r="Q41" s="64">
        <v>8.2100000000000009</v>
      </c>
      <c r="R41" s="198"/>
      <c r="S41" s="198"/>
      <c r="T41" s="198"/>
      <c r="U41" s="198"/>
    </row>
    <row r="42" spans="1:21" s="12" customFormat="1" x14ac:dyDescent="0.25">
      <c r="A42" s="215" t="s">
        <v>2873</v>
      </c>
      <c r="B42" s="64">
        <v>17.149999999999999</v>
      </c>
      <c r="C42" s="64">
        <v>35.78</v>
      </c>
      <c r="D42" s="64">
        <v>31.07</v>
      </c>
      <c r="E42" s="64">
        <v>5.77</v>
      </c>
      <c r="F42" s="64">
        <v>3.06</v>
      </c>
      <c r="G42" s="64">
        <v>48.11</v>
      </c>
      <c r="H42" s="64">
        <v>19.329999999999998</v>
      </c>
      <c r="I42" s="211" t="s">
        <v>43</v>
      </c>
      <c r="J42" s="64">
        <v>3.57</v>
      </c>
      <c r="K42" s="64">
        <v>121.47</v>
      </c>
      <c r="L42" s="64">
        <v>18.79</v>
      </c>
      <c r="M42" s="64">
        <v>82.8</v>
      </c>
      <c r="N42" s="64">
        <v>252.3</v>
      </c>
      <c r="O42" s="64">
        <v>0</v>
      </c>
      <c r="P42" s="64">
        <v>0.55000000000000004</v>
      </c>
      <c r="Q42" s="64">
        <v>8.2100000000000009</v>
      </c>
      <c r="R42" s="198"/>
      <c r="S42" s="198"/>
      <c r="T42" s="198"/>
      <c r="U42" s="198"/>
    </row>
    <row r="43" spans="1:21" s="12" customFormat="1" x14ac:dyDescent="0.25">
      <c r="A43" s="215" t="s">
        <v>2874</v>
      </c>
      <c r="B43" s="64">
        <v>16.97</v>
      </c>
      <c r="C43" s="64">
        <v>32.729999999999997</v>
      </c>
      <c r="D43" s="64">
        <v>29.33</v>
      </c>
      <c r="E43" s="64">
        <v>5.34</v>
      </c>
      <c r="F43" s="64">
        <v>3.47</v>
      </c>
      <c r="G43" s="64">
        <v>47.7</v>
      </c>
      <c r="H43" s="64">
        <v>19.559999999999999</v>
      </c>
      <c r="I43" s="211" t="s">
        <v>43</v>
      </c>
      <c r="J43" s="64">
        <v>3.75</v>
      </c>
      <c r="K43" s="64">
        <v>107.49</v>
      </c>
      <c r="L43" s="64">
        <v>19.12</v>
      </c>
      <c r="M43" s="64">
        <v>81.459999999999994</v>
      </c>
      <c r="N43" s="64">
        <v>325.39999999999998</v>
      </c>
      <c r="O43" s="64">
        <v>0</v>
      </c>
      <c r="P43" s="64">
        <v>0.55000000000000004</v>
      </c>
      <c r="Q43" s="64">
        <v>8.2100000000000009</v>
      </c>
      <c r="R43" s="198"/>
      <c r="S43" s="198"/>
      <c r="T43" s="198"/>
      <c r="U43" s="198"/>
    </row>
    <row r="44" spans="1:21" s="12" customFormat="1" x14ac:dyDescent="0.25">
      <c r="A44" s="215" t="s">
        <v>2875</v>
      </c>
      <c r="B44" s="64">
        <v>16.5</v>
      </c>
      <c r="C44" s="64">
        <v>34.28</v>
      </c>
      <c r="D44" s="64">
        <v>29.76</v>
      </c>
      <c r="E44" s="64">
        <v>5.29</v>
      </c>
      <c r="F44" s="64">
        <v>3.47</v>
      </c>
      <c r="G44" s="64">
        <v>47.53</v>
      </c>
      <c r="H44" s="64">
        <v>19.59</v>
      </c>
      <c r="I44" s="211" t="s">
        <v>43</v>
      </c>
      <c r="J44" s="64">
        <v>2.94</v>
      </c>
      <c r="K44" s="64">
        <v>110.27</v>
      </c>
      <c r="L44" s="64">
        <v>19.57</v>
      </c>
      <c r="M44" s="64">
        <v>80.34</v>
      </c>
      <c r="N44" s="64">
        <v>274.2</v>
      </c>
      <c r="O44" s="64">
        <v>0</v>
      </c>
      <c r="P44" s="64">
        <v>0.56000000000000005</v>
      </c>
      <c r="Q44" s="64">
        <v>8.2100000000000009</v>
      </c>
      <c r="R44" s="198"/>
      <c r="S44" s="198"/>
      <c r="T44" s="198"/>
      <c r="U44" s="198"/>
    </row>
    <row r="45" spans="1:21" s="12" customFormat="1" x14ac:dyDescent="0.25">
      <c r="A45" s="215" t="s">
        <v>2876</v>
      </c>
      <c r="B45" s="64">
        <v>15.82</v>
      </c>
      <c r="C45" s="64">
        <v>34.78</v>
      </c>
      <c r="D45" s="64">
        <v>29.48</v>
      </c>
      <c r="E45" s="64">
        <v>5.47</v>
      </c>
      <c r="F45" s="64">
        <v>3.19</v>
      </c>
      <c r="G45" s="64">
        <v>47.53</v>
      </c>
      <c r="H45" s="64">
        <v>19.59</v>
      </c>
      <c r="I45" s="211" t="s">
        <v>43</v>
      </c>
      <c r="J45" s="64">
        <v>2.88</v>
      </c>
      <c r="K45" s="64">
        <v>104.8</v>
      </c>
      <c r="L45" s="64">
        <v>19.29</v>
      </c>
      <c r="M45" s="64">
        <v>81.69</v>
      </c>
      <c r="N45" s="64">
        <v>237.1</v>
      </c>
      <c r="O45" s="64">
        <v>0</v>
      </c>
      <c r="P45" s="64">
        <v>0.54</v>
      </c>
      <c r="Q45" s="64">
        <v>8.2100000000000009</v>
      </c>
      <c r="R45" s="198"/>
      <c r="S45" s="198"/>
      <c r="T45" s="198"/>
      <c r="U45" s="198"/>
    </row>
    <row r="46" spans="1:21" s="12" customFormat="1" x14ac:dyDescent="0.25">
      <c r="A46" s="215" t="s">
        <v>2877</v>
      </c>
      <c r="B46" s="64">
        <v>15.02</v>
      </c>
      <c r="C46" s="64">
        <v>35.11</v>
      </c>
      <c r="D46" s="64">
        <v>29.01</v>
      </c>
      <c r="E46" s="64">
        <v>5.43</v>
      </c>
      <c r="F46" s="64">
        <v>3.42</v>
      </c>
      <c r="G46" s="64">
        <v>47.53</v>
      </c>
      <c r="H46" s="64">
        <v>19.59</v>
      </c>
      <c r="I46" s="211" t="s">
        <v>43</v>
      </c>
      <c r="J46" s="64">
        <v>3.36</v>
      </c>
      <c r="K46" s="64">
        <v>119.04</v>
      </c>
      <c r="L46" s="64">
        <v>20.07</v>
      </c>
      <c r="M46" s="64">
        <v>79.45</v>
      </c>
      <c r="N46" s="64">
        <v>311.39999999999998</v>
      </c>
      <c r="O46" s="64">
        <v>0</v>
      </c>
      <c r="P46" s="64">
        <v>0.55000000000000004</v>
      </c>
      <c r="Q46" s="64">
        <v>8.2100000000000009</v>
      </c>
      <c r="R46" s="198"/>
      <c r="S46" s="198"/>
      <c r="T46" s="198"/>
      <c r="U46" s="198"/>
    </row>
    <row r="47" spans="1:21" s="12" customFormat="1" x14ac:dyDescent="0.25">
      <c r="A47" s="215" t="s">
        <v>2878</v>
      </c>
      <c r="B47" s="64">
        <v>14.31</v>
      </c>
      <c r="C47" s="64">
        <v>35.72</v>
      </c>
      <c r="D47" s="64">
        <v>28.76</v>
      </c>
      <c r="E47" s="64">
        <v>5.35</v>
      </c>
      <c r="F47" s="64">
        <v>3.4</v>
      </c>
      <c r="G47" s="64">
        <v>47.76</v>
      </c>
      <c r="H47" s="64">
        <v>18.98</v>
      </c>
      <c r="I47" s="211" t="s">
        <v>43</v>
      </c>
      <c r="J47" s="64">
        <v>2.2599999999999998</v>
      </c>
      <c r="K47" s="64">
        <v>131.76</v>
      </c>
      <c r="L47" s="64">
        <v>20.67</v>
      </c>
      <c r="M47" s="64">
        <v>78.11</v>
      </c>
      <c r="N47" s="64">
        <v>343.5</v>
      </c>
      <c r="O47" s="64">
        <v>0</v>
      </c>
      <c r="P47" s="64">
        <v>0.53</v>
      </c>
      <c r="Q47" s="64">
        <v>8.2100000000000009</v>
      </c>
      <c r="R47" s="198"/>
      <c r="S47" s="198"/>
      <c r="T47" s="198"/>
      <c r="U47" s="198"/>
    </row>
    <row r="48" spans="1:21" s="12" customFormat="1" x14ac:dyDescent="0.25">
      <c r="A48" s="215" t="s">
        <v>2879</v>
      </c>
      <c r="B48" s="64">
        <v>13.56</v>
      </c>
      <c r="C48" s="64">
        <v>35.71</v>
      </c>
      <c r="D48" s="64">
        <v>28.16</v>
      </c>
      <c r="E48" s="64">
        <v>5.18</v>
      </c>
      <c r="F48" s="64">
        <v>3.36</v>
      </c>
      <c r="G48" s="64">
        <v>47.85</v>
      </c>
      <c r="H48" s="64">
        <v>18.93</v>
      </c>
      <c r="I48" s="211" t="s">
        <v>43</v>
      </c>
      <c r="J48" s="64">
        <v>2.54</v>
      </c>
      <c r="K48" s="64">
        <v>139.94999999999999</v>
      </c>
      <c r="L48" s="64">
        <v>21.81</v>
      </c>
      <c r="M48" s="64">
        <v>74.31</v>
      </c>
      <c r="N48" s="64">
        <v>449.1</v>
      </c>
      <c r="O48" s="64">
        <v>0</v>
      </c>
      <c r="P48" s="64">
        <v>0.53</v>
      </c>
      <c r="Q48" s="64">
        <v>8.2100000000000009</v>
      </c>
      <c r="R48" s="198"/>
      <c r="S48" s="198"/>
      <c r="T48" s="198"/>
      <c r="U48" s="198"/>
    </row>
    <row r="49" spans="1:21" s="12" customFormat="1" x14ac:dyDescent="0.25">
      <c r="A49" s="215" t="s">
        <v>2880</v>
      </c>
      <c r="B49" s="64">
        <v>12.84</v>
      </c>
      <c r="C49" s="64">
        <v>35.46</v>
      </c>
      <c r="D49" s="64">
        <v>27.45</v>
      </c>
      <c r="E49" s="64">
        <v>5.28</v>
      </c>
      <c r="F49" s="64">
        <v>3.65</v>
      </c>
      <c r="G49" s="64">
        <v>47.85</v>
      </c>
      <c r="H49" s="64">
        <v>18.93</v>
      </c>
      <c r="I49" s="211" t="s">
        <v>43</v>
      </c>
      <c r="J49" s="64">
        <v>1.56</v>
      </c>
      <c r="K49" s="64">
        <v>129.37</v>
      </c>
      <c r="L49" s="64">
        <v>22.61</v>
      </c>
      <c r="M49" s="64">
        <v>71.59</v>
      </c>
      <c r="N49" s="64">
        <v>370.7</v>
      </c>
      <c r="O49" s="64">
        <v>0</v>
      </c>
      <c r="P49" s="64">
        <v>0.53</v>
      </c>
      <c r="Q49" s="64">
        <v>8.2100000000000009</v>
      </c>
      <c r="R49" s="198"/>
      <c r="S49" s="198"/>
      <c r="T49" s="198"/>
      <c r="U49" s="198"/>
    </row>
    <row r="50" spans="1:21" s="12" customFormat="1" x14ac:dyDescent="0.25">
      <c r="A50" s="215" t="s">
        <v>2881</v>
      </c>
      <c r="B50" s="64">
        <v>12.76</v>
      </c>
      <c r="C50" s="64">
        <v>36.44</v>
      </c>
      <c r="D50" s="64">
        <v>27.89</v>
      </c>
      <c r="E50" s="64">
        <v>5.23</v>
      </c>
      <c r="F50" s="64">
        <v>3.59</v>
      </c>
      <c r="G50" s="64">
        <v>47.85</v>
      </c>
      <c r="H50" s="64">
        <v>18.93</v>
      </c>
      <c r="I50" s="211" t="s">
        <v>43</v>
      </c>
      <c r="J50" s="64">
        <v>0.88</v>
      </c>
      <c r="K50" s="64">
        <v>310.77999999999997</v>
      </c>
      <c r="L50" s="64">
        <v>23.47</v>
      </c>
      <c r="M50" s="64">
        <v>68.91</v>
      </c>
      <c r="N50" s="64">
        <v>276.3</v>
      </c>
      <c r="O50" s="64">
        <v>0</v>
      </c>
      <c r="P50" s="64">
        <v>0.54</v>
      </c>
      <c r="Q50" s="64">
        <v>8.2100000000000009</v>
      </c>
      <c r="R50" s="198"/>
      <c r="S50" s="198"/>
      <c r="T50" s="198"/>
      <c r="U50" s="198"/>
    </row>
    <row r="51" spans="1:21" s="12" customFormat="1" x14ac:dyDescent="0.25">
      <c r="A51" s="215" t="s">
        <v>2882</v>
      </c>
      <c r="B51" s="64">
        <v>12.69</v>
      </c>
      <c r="C51" s="64">
        <v>36.380000000000003</v>
      </c>
      <c r="D51" s="64">
        <v>27.8</v>
      </c>
      <c r="E51" s="64">
        <v>5.82</v>
      </c>
      <c r="F51" s="64">
        <v>3.72</v>
      </c>
      <c r="G51" s="64">
        <v>48.41</v>
      </c>
      <c r="H51" s="64">
        <v>17.28</v>
      </c>
      <c r="I51" s="211" t="s">
        <v>43</v>
      </c>
      <c r="J51" s="64">
        <v>1.72</v>
      </c>
      <c r="K51" s="64">
        <v>282.51</v>
      </c>
      <c r="L51" s="64">
        <v>23.17</v>
      </c>
      <c r="M51" s="64">
        <v>69.61</v>
      </c>
      <c r="N51" s="64">
        <v>320.7</v>
      </c>
      <c r="O51" s="64">
        <v>0</v>
      </c>
      <c r="P51" s="64">
        <v>0.55000000000000004</v>
      </c>
      <c r="Q51" s="64">
        <v>8.2100000000000009</v>
      </c>
      <c r="R51" s="198"/>
      <c r="S51" s="198"/>
      <c r="T51" s="198"/>
      <c r="U51" s="198"/>
    </row>
    <row r="52" spans="1:21" s="12" customFormat="1" x14ac:dyDescent="0.25">
      <c r="A52" s="215" t="s">
        <v>2883</v>
      </c>
      <c r="B52" s="64">
        <v>12.13</v>
      </c>
      <c r="C52" s="64">
        <v>36.229999999999997</v>
      </c>
      <c r="D52" s="64">
        <v>27.28</v>
      </c>
      <c r="E52" s="64">
        <v>5.69</v>
      </c>
      <c r="F52" s="64">
        <v>4.79</v>
      </c>
      <c r="G52" s="64">
        <v>48.64</v>
      </c>
      <c r="H52" s="64">
        <v>17.149999999999999</v>
      </c>
      <c r="I52" s="211" t="s">
        <v>43</v>
      </c>
      <c r="J52" s="64">
        <v>2.66</v>
      </c>
      <c r="K52" s="64">
        <v>332.12</v>
      </c>
      <c r="L52" s="64">
        <v>24.97</v>
      </c>
      <c r="M52" s="64">
        <v>63.55</v>
      </c>
      <c r="N52" s="64">
        <v>474.6</v>
      </c>
      <c r="O52" s="64">
        <v>0</v>
      </c>
      <c r="P52" s="64">
        <v>0.56000000000000005</v>
      </c>
      <c r="Q52" s="64">
        <v>8.2100000000000009</v>
      </c>
      <c r="R52" s="198"/>
      <c r="S52" s="198"/>
      <c r="T52" s="198"/>
      <c r="U52" s="198"/>
    </row>
    <row r="53" spans="1:21" s="12" customFormat="1" x14ac:dyDescent="0.25">
      <c r="A53" s="215" t="s">
        <v>2884</v>
      </c>
      <c r="B53" s="64">
        <v>11.63</v>
      </c>
      <c r="C53" s="64">
        <v>36.82</v>
      </c>
      <c r="D53" s="64">
        <v>27.19</v>
      </c>
      <c r="E53" s="64">
        <v>5.57</v>
      </c>
      <c r="F53" s="64">
        <v>4.24</v>
      </c>
      <c r="G53" s="64">
        <v>48.64</v>
      </c>
      <c r="H53" s="64">
        <v>17.149999999999999</v>
      </c>
      <c r="I53" s="211" t="s">
        <v>43</v>
      </c>
      <c r="J53" s="64">
        <v>1.04</v>
      </c>
      <c r="K53" s="64">
        <v>287.48</v>
      </c>
      <c r="L53" s="64">
        <v>25.3</v>
      </c>
      <c r="M53" s="64">
        <v>62.31</v>
      </c>
      <c r="N53" s="64">
        <v>615.4</v>
      </c>
      <c r="O53" s="64">
        <v>0</v>
      </c>
      <c r="P53" s="64">
        <v>0.56999999999999995</v>
      </c>
      <c r="Q53" s="64">
        <v>8.2100000000000009</v>
      </c>
      <c r="R53" s="198"/>
      <c r="S53" s="198"/>
      <c r="T53" s="198"/>
      <c r="U53" s="198"/>
    </row>
    <row r="54" spans="1:21" s="12" customFormat="1" x14ac:dyDescent="0.25">
      <c r="A54" s="215" t="s">
        <v>2885</v>
      </c>
      <c r="B54" s="64">
        <v>10.88</v>
      </c>
      <c r="C54" s="64">
        <v>37.380000000000003</v>
      </c>
      <c r="D54" s="64">
        <v>26.88</v>
      </c>
      <c r="E54" s="64">
        <v>5.2</v>
      </c>
      <c r="F54" s="64">
        <v>3.94</v>
      </c>
      <c r="G54" s="64">
        <v>48.64</v>
      </c>
      <c r="H54" s="64">
        <v>17.149999999999999</v>
      </c>
      <c r="I54" s="211" t="s">
        <v>43</v>
      </c>
      <c r="J54" s="64">
        <v>2.94</v>
      </c>
      <c r="K54" s="64">
        <v>327.67</v>
      </c>
      <c r="L54" s="64">
        <v>27.83</v>
      </c>
      <c r="M54" s="64">
        <v>54.37</v>
      </c>
      <c r="N54" s="64">
        <v>624.6</v>
      </c>
      <c r="O54" s="64">
        <v>0</v>
      </c>
      <c r="P54" s="64">
        <v>0.57999999999999996</v>
      </c>
      <c r="Q54" s="64">
        <v>8.2100000000000009</v>
      </c>
      <c r="R54" s="198"/>
      <c r="S54" s="198"/>
      <c r="T54" s="198"/>
      <c r="U54" s="198"/>
    </row>
    <row r="55" spans="1:21" s="12" customFormat="1" x14ac:dyDescent="0.25">
      <c r="A55" s="215" t="s">
        <v>2886</v>
      </c>
      <c r="B55" s="64">
        <v>10.17</v>
      </c>
      <c r="C55" s="64">
        <v>37.630000000000003</v>
      </c>
      <c r="D55" s="64">
        <v>26.44</v>
      </c>
      <c r="E55" s="64">
        <v>5.46</v>
      </c>
      <c r="F55" s="64">
        <v>3.94</v>
      </c>
      <c r="G55" s="64">
        <v>50.54</v>
      </c>
      <c r="H55" s="64">
        <v>16.670000000000002</v>
      </c>
      <c r="I55" s="211" t="s">
        <v>43</v>
      </c>
      <c r="J55" s="64">
        <v>0.39</v>
      </c>
      <c r="K55" s="64">
        <v>216.84</v>
      </c>
      <c r="L55" s="64">
        <v>26.57</v>
      </c>
      <c r="M55" s="64">
        <v>58.74</v>
      </c>
      <c r="N55" s="64">
        <v>620.70000000000005</v>
      </c>
      <c r="O55" s="64">
        <v>0</v>
      </c>
      <c r="P55" s="64">
        <v>0.57999999999999996</v>
      </c>
      <c r="Q55" s="64">
        <v>8.2100000000000009</v>
      </c>
      <c r="R55" s="198"/>
      <c r="S55" s="198"/>
      <c r="T55" s="198"/>
      <c r="U55" s="198"/>
    </row>
    <row r="56" spans="1:21" s="12" customFormat="1" x14ac:dyDescent="0.25">
      <c r="A56" s="215" t="s">
        <v>2887</v>
      </c>
      <c r="B56" s="64">
        <v>9.44</v>
      </c>
      <c r="C56" s="64">
        <v>39.17</v>
      </c>
      <c r="D56" s="64">
        <v>26.66</v>
      </c>
      <c r="E56" s="64">
        <v>5.16</v>
      </c>
      <c r="F56" s="64">
        <v>4.28</v>
      </c>
      <c r="G56" s="64">
        <v>51.35</v>
      </c>
      <c r="H56" s="64">
        <v>16.63</v>
      </c>
      <c r="I56" s="211" t="s">
        <v>43</v>
      </c>
      <c r="J56" s="64">
        <v>3.39</v>
      </c>
      <c r="K56" s="64">
        <v>341.63</v>
      </c>
      <c r="L56" s="64">
        <v>28.87</v>
      </c>
      <c r="M56" s="64">
        <v>51.34</v>
      </c>
      <c r="N56" s="64">
        <v>612.5</v>
      </c>
      <c r="O56" s="64">
        <v>0</v>
      </c>
      <c r="P56" s="64">
        <v>0.56000000000000005</v>
      </c>
      <c r="Q56" s="64">
        <v>8.2100000000000009</v>
      </c>
      <c r="R56" s="198"/>
      <c r="S56" s="198"/>
      <c r="T56" s="198"/>
      <c r="U56" s="198"/>
    </row>
    <row r="57" spans="1:21" s="12" customFormat="1" x14ac:dyDescent="0.25">
      <c r="A57" s="215" t="s">
        <v>2888</v>
      </c>
      <c r="B57" s="64">
        <v>9.07</v>
      </c>
      <c r="C57" s="64">
        <v>39.590000000000003</v>
      </c>
      <c r="D57" s="64">
        <v>26.58</v>
      </c>
      <c r="E57" s="64">
        <v>5.63</v>
      </c>
      <c r="F57" s="64">
        <v>4.49</v>
      </c>
      <c r="G57" s="64">
        <v>51.35</v>
      </c>
      <c r="H57" s="64">
        <v>16.63</v>
      </c>
      <c r="I57" s="211" t="s">
        <v>43</v>
      </c>
      <c r="J57" s="64">
        <v>1.78</v>
      </c>
      <c r="K57" s="64">
        <v>342.89</v>
      </c>
      <c r="L57" s="64">
        <v>29.53</v>
      </c>
      <c r="M57" s="64">
        <v>49.41</v>
      </c>
      <c r="N57" s="64">
        <v>566.9</v>
      </c>
      <c r="O57" s="64">
        <v>0</v>
      </c>
      <c r="P57" s="64">
        <v>0.59</v>
      </c>
      <c r="Q57" s="64">
        <v>8.2100000000000009</v>
      </c>
      <c r="R57" s="198"/>
      <c r="S57" s="198"/>
      <c r="T57" s="198"/>
      <c r="U57" s="198"/>
    </row>
    <row r="58" spans="1:21" s="12" customFormat="1" x14ac:dyDescent="0.25">
      <c r="A58" s="215" t="s">
        <v>2889</v>
      </c>
      <c r="B58" s="64">
        <v>8.5299999999999994</v>
      </c>
      <c r="C58" s="64">
        <v>41.79</v>
      </c>
      <c r="D58" s="64">
        <v>27.3</v>
      </c>
      <c r="E58" s="64">
        <v>5.42</v>
      </c>
      <c r="F58" s="64">
        <v>4.1399999999999997</v>
      </c>
      <c r="G58" s="64">
        <v>51.35</v>
      </c>
      <c r="H58" s="64">
        <v>16.63</v>
      </c>
      <c r="I58" s="211" t="s">
        <v>43</v>
      </c>
      <c r="J58" s="64">
        <v>0.66</v>
      </c>
      <c r="K58" s="64">
        <v>197.09</v>
      </c>
      <c r="L58" s="64">
        <v>25.9</v>
      </c>
      <c r="M58" s="64">
        <v>60.1</v>
      </c>
      <c r="N58" s="64">
        <v>333.7</v>
      </c>
      <c r="O58" s="64">
        <v>0</v>
      </c>
      <c r="P58" s="64">
        <v>0.62</v>
      </c>
      <c r="Q58" s="64">
        <v>8.2100000000000009</v>
      </c>
      <c r="R58" s="198"/>
      <c r="S58" s="198"/>
      <c r="T58" s="198"/>
      <c r="U58" s="198"/>
    </row>
    <row r="59" spans="1:21" s="12" customFormat="1" x14ac:dyDescent="0.25">
      <c r="A59" s="215" t="s">
        <v>2890</v>
      </c>
      <c r="B59" s="64">
        <v>8</v>
      </c>
      <c r="C59" s="64">
        <v>38.58</v>
      </c>
      <c r="D59" s="64">
        <v>25.2</v>
      </c>
      <c r="E59" s="64">
        <v>5.0999999999999996</v>
      </c>
      <c r="F59" s="64">
        <v>3.99</v>
      </c>
      <c r="G59" s="64">
        <v>54.84</v>
      </c>
      <c r="H59" s="64">
        <v>17.8</v>
      </c>
      <c r="I59" s="211" t="s">
        <v>43</v>
      </c>
      <c r="J59" s="64">
        <v>0.85</v>
      </c>
      <c r="K59" s="64">
        <v>327.39</v>
      </c>
      <c r="L59" s="64">
        <v>26.68</v>
      </c>
      <c r="M59" s="64">
        <v>56.25</v>
      </c>
      <c r="N59" s="64">
        <v>525.79999999999995</v>
      </c>
      <c r="O59" s="64">
        <v>0</v>
      </c>
      <c r="P59" s="64">
        <v>0.61</v>
      </c>
      <c r="Q59" s="64">
        <v>8.2100000000000009</v>
      </c>
      <c r="R59" s="198"/>
      <c r="S59" s="198"/>
      <c r="T59" s="198"/>
      <c r="U59" s="198"/>
    </row>
    <row r="60" spans="1:21" s="12" customFormat="1" x14ac:dyDescent="0.25">
      <c r="A60" s="215" t="s">
        <v>2891</v>
      </c>
      <c r="B60" s="64">
        <v>7.81</v>
      </c>
      <c r="C60" s="64">
        <v>35.17</v>
      </c>
      <c r="D60" s="64">
        <v>23.27</v>
      </c>
      <c r="E60" s="64">
        <v>5.56</v>
      </c>
      <c r="F60" s="64">
        <v>4.05</v>
      </c>
      <c r="G60" s="64">
        <v>56.34</v>
      </c>
      <c r="H60" s="64">
        <v>18.3</v>
      </c>
      <c r="I60" s="211" t="s">
        <v>43</v>
      </c>
      <c r="J60" s="64">
        <v>3.56</v>
      </c>
      <c r="K60" s="64">
        <v>323.8</v>
      </c>
      <c r="L60" s="64">
        <v>27.02</v>
      </c>
      <c r="M60" s="64">
        <v>55.58</v>
      </c>
      <c r="N60" s="64">
        <v>290.39999999999998</v>
      </c>
      <c r="O60" s="64">
        <v>0</v>
      </c>
      <c r="P60" s="64">
        <v>0.64</v>
      </c>
      <c r="Q60" s="64">
        <v>8.2100000000000009</v>
      </c>
      <c r="R60" s="198"/>
      <c r="S60" s="198"/>
      <c r="T60" s="198"/>
      <c r="U60" s="198"/>
    </row>
    <row r="61" spans="1:21" s="12" customFormat="1" x14ac:dyDescent="0.25">
      <c r="A61" s="215" t="s">
        <v>2892</v>
      </c>
      <c r="B61" s="64">
        <v>7.64</v>
      </c>
      <c r="C61" s="64">
        <v>35.25</v>
      </c>
      <c r="D61" s="64">
        <v>23.17</v>
      </c>
      <c r="E61" s="64">
        <v>5.15</v>
      </c>
      <c r="F61" s="64">
        <v>3.84</v>
      </c>
      <c r="G61" s="64">
        <v>56.34</v>
      </c>
      <c r="H61" s="64">
        <v>18.3</v>
      </c>
      <c r="I61" s="211" t="s">
        <v>43</v>
      </c>
      <c r="J61" s="64">
        <v>2.5</v>
      </c>
      <c r="K61" s="64">
        <v>315.62</v>
      </c>
      <c r="L61" s="64">
        <v>27.09</v>
      </c>
      <c r="M61" s="64">
        <v>54.65</v>
      </c>
      <c r="N61" s="64">
        <v>253.7</v>
      </c>
      <c r="O61" s="64">
        <v>0</v>
      </c>
      <c r="P61" s="64">
        <v>0.68</v>
      </c>
      <c r="Q61" s="64">
        <v>8.2100000000000009</v>
      </c>
      <c r="R61" s="198"/>
      <c r="S61" s="198"/>
      <c r="T61" s="198"/>
      <c r="U61" s="198"/>
    </row>
    <row r="62" spans="1:21" s="12" customFormat="1" x14ac:dyDescent="0.25">
      <c r="A62" s="215" t="s">
        <v>2893</v>
      </c>
      <c r="B62" s="64">
        <v>7.64</v>
      </c>
      <c r="C62" s="64">
        <v>35.44</v>
      </c>
      <c r="D62" s="64">
        <v>23.26</v>
      </c>
      <c r="E62" s="64">
        <v>5.41</v>
      </c>
      <c r="F62" s="64">
        <v>3.9</v>
      </c>
      <c r="G62" s="64">
        <v>56.34</v>
      </c>
      <c r="H62" s="64">
        <v>18.3</v>
      </c>
      <c r="I62" s="211" t="s">
        <v>43</v>
      </c>
      <c r="J62" s="64">
        <v>2.36</v>
      </c>
      <c r="K62" s="64">
        <v>340.78</v>
      </c>
      <c r="L62" s="64">
        <v>26.19</v>
      </c>
      <c r="M62" s="64">
        <v>57.21</v>
      </c>
      <c r="N62" s="64">
        <v>184.5</v>
      </c>
      <c r="O62" s="64">
        <v>0</v>
      </c>
      <c r="P62" s="64">
        <v>0.73</v>
      </c>
      <c r="Q62" s="64">
        <v>8.2100000000000009</v>
      </c>
      <c r="R62" s="198"/>
      <c r="S62" s="198"/>
      <c r="T62" s="198"/>
      <c r="U62" s="198"/>
    </row>
    <row r="63" spans="1:21" s="12" customFormat="1" x14ac:dyDescent="0.25">
      <c r="A63" s="215" t="s">
        <v>2894</v>
      </c>
      <c r="B63" s="64">
        <v>7.81</v>
      </c>
      <c r="C63" s="64">
        <v>36.020000000000003</v>
      </c>
      <c r="D63" s="64">
        <v>23.7</v>
      </c>
      <c r="E63" s="64">
        <v>5.78</v>
      </c>
      <c r="F63" s="64">
        <v>3.87</v>
      </c>
      <c r="G63" s="64">
        <v>57</v>
      </c>
      <c r="H63" s="64">
        <v>15.9</v>
      </c>
      <c r="I63" s="211" t="s">
        <v>43</v>
      </c>
      <c r="J63" s="64">
        <v>1.31</v>
      </c>
      <c r="K63" s="64">
        <v>16.05</v>
      </c>
      <c r="L63" s="64">
        <v>25.14</v>
      </c>
      <c r="M63" s="64">
        <v>61.21</v>
      </c>
      <c r="N63" s="64">
        <v>221.4</v>
      </c>
      <c r="O63" s="64">
        <v>0</v>
      </c>
      <c r="P63" s="64">
        <v>0.77</v>
      </c>
      <c r="Q63" s="64">
        <v>8.2100000000000009</v>
      </c>
      <c r="R63" s="198"/>
      <c r="S63" s="198"/>
      <c r="T63" s="198"/>
      <c r="U63" s="198"/>
    </row>
    <row r="64" spans="1:21" s="12" customFormat="1" x14ac:dyDescent="0.25">
      <c r="A64" s="215" t="s">
        <v>2895</v>
      </c>
      <c r="B64" s="64">
        <v>8.0500000000000007</v>
      </c>
      <c r="C64" s="64">
        <v>36.880000000000003</v>
      </c>
      <c r="D64" s="64">
        <v>24.35</v>
      </c>
      <c r="E64" s="64">
        <v>5.63</v>
      </c>
      <c r="F64" s="64">
        <v>4.1500000000000004</v>
      </c>
      <c r="G64" s="64">
        <v>57.28</v>
      </c>
      <c r="H64" s="64">
        <v>15.18</v>
      </c>
      <c r="I64" s="211" t="s">
        <v>43</v>
      </c>
      <c r="J64" s="64">
        <v>1.19</v>
      </c>
      <c r="K64" s="64">
        <v>1.34</v>
      </c>
      <c r="L64" s="64">
        <v>25.82</v>
      </c>
      <c r="M64" s="64">
        <v>57.94</v>
      </c>
      <c r="N64" s="64">
        <v>263.5</v>
      </c>
      <c r="O64" s="64">
        <v>0</v>
      </c>
      <c r="P64" s="64">
        <v>0.79</v>
      </c>
      <c r="Q64" s="64">
        <v>8.2100000000000009</v>
      </c>
      <c r="R64" s="198"/>
      <c r="S64" s="198"/>
      <c r="T64" s="198"/>
      <c r="U64" s="198"/>
    </row>
    <row r="65" spans="1:21" s="12" customFormat="1" x14ac:dyDescent="0.25">
      <c r="A65" s="215" t="s">
        <v>2896</v>
      </c>
      <c r="B65" s="64">
        <v>7.94</v>
      </c>
      <c r="C65" s="64">
        <v>36.85</v>
      </c>
      <c r="D65" s="64">
        <v>24.25</v>
      </c>
      <c r="E65" s="64">
        <v>5.3</v>
      </c>
      <c r="F65" s="64">
        <v>4.13</v>
      </c>
      <c r="G65" s="64">
        <v>57.28</v>
      </c>
      <c r="H65" s="64">
        <v>15.18</v>
      </c>
      <c r="I65" s="211" t="s">
        <v>43</v>
      </c>
      <c r="J65" s="64">
        <v>0.71</v>
      </c>
      <c r="K65" s="64">
        <v>347.42</v>
      </c>
      <c r="L65" s="64">
        <v>24.85</v>
      </c>
      <c r="M65" s="64">
        <v>61.4</v>
      </c>
      <c r="N65" s="64">
        <v>218.5</v>
      </c>
      <c r="O65" s="64">
        <v>0</v>
      </c>
      <c r="P65" s="64">
        <v>0.82</v>
      </c>
      <c r="Q65" s="64">
        <v>8.2100000000000009</v>
      </c>
      <c r="R65" s="198"/>
      <c r="S65" s="198"/>
      <c r="T65" s="198"/>
      <c r="U65" s="198"/>
    </row>
    <row r="66" spans="1:21" s="12" customFormat="1" x14ac:dyDescent="0.25">
      <c r="A66" s="215" t="s">
        <v>2897</v>
      </c>
      <c r="B66" s="64">
        <v>7.7</v>
      </c>
      <c r="C66" s="64">
        <v>37.86</v>
      </c>
      <c r="D66" s="64">
        <v>24.57</v>
      </c>
      <c r="E66" s="64">
        <v>5.14</v>
      </c>
      <c r="F66" s="64">
        <v>4.24</v>
      </c>
      <c r="G66" s="64">
        <v>57.28</v>
      </c>
      <c r="H66" s="64">
        <v>15.18</v>
      </c>
      <c r="I66" s="211" t="s">
        <v>43</v>
      </c>
      <c r="J66" s="64">
        <v>3.8</v>
      </c>
      <c r="K66" s="64">
        <v>321.33</v>
      </c>
      <c r="L66" s="64">
        <v>25.8</v>
      </c>
      <c r="M66" s="64">
        <v>58.4</v>
      </c>
      <c r="N66" s="64">
        <v>163</v>
      </c>
      <c r="O66" s="64">
        <v>0</v>
      </c>
      <c r="P66" s="64">
        <v>0.76</v>
      </c>
      <c r="Q66" s="64">
        <v>8.2100000000000009</v>
      </c>
      <c r="R66" s="198"/>
      <c r="S66" s="198"/>
      <c r="T66" s="198"/>
      <c r="U66" s="198"/>
    </row>
    <row r="67" spans="1:21" s="12" customFormat="1" x14ac:dyDescent="0.25">
      <c r="A67" s="215" t="s">
        <v>2898</v>
      </c>
      <c r="B67" s="64">
        <v>7.31</v>
      </c>
      <c r="C67" s="64">
        <v>38.78</v>
      </c>
      <c r="D67" s="64">
        <v>24.75</v>
      </c>
      <c r="E67" s="64">
        <v>5.59</v>
      </c>
      <c r="F67" s="64">
        <v>4.87</v>
      </c>
      <c r="G67" s="64">
        <v>58.44</v>
      </c>
      <c r="H67" s="64">
        <v>16.18</v>
      </c>
      <c r="I67" s="211" t="s">
        <v>43</v>
      </c>
      <c r="J67" s="64">
        <v>3.94</v>
      </c>
      <c r="K67" s="64">
        <v>319.97000000000003</v>
      </c>
      <c r="L67" s="64">
        <v>25.47</v>
      </c>
      <c r="M67" s="64">
        <v>60.1</v>
      </c>
      <c r="N67" s="64">
        <v>145.9</v>
      </c>
      <c r="O67" s="64">
        <v>0</v>
      </c>
      <c r="P67" s="64">
        <v>0.77</v>
      </c>
      <c r="Q67" s="64">
        <v>8.2100000000000009</v>
      </c>
      <c r="R67" s="198"/>
      <c r="S67" s="198"/>
      <c r="T67" s="198"/>
      <c r="U67" s="198"/>
    </row>
    <row r="68" spans="1:21" s="12" customFormat="1" x14ac:dyDescent="0.25">
      <c r="A68" s="215" t="s">
        <v>2899</v>
      </c>
      <c r="B68" s="64">
        <v>6.76</v>
      </c>
      <c r="C68" s="64">
        <v>39.450000000000003</v>
      </c>
      <c r="D68" s="64">
        <v>24.65</v>
      </c>
      <c r="E68" s="64">
        <v>5.57</v>
      </c>
      <c r="F68" s="64">
        <v>4.96</v>
      </c>
      <c r="G68" s="64">
        <v>58.94</v>
      </c>
      <c r="H68" s="64">
        <v>16.27</v>
      </c>
      <c r="I68" s="211" t="s">
        <v>43</v>
      </c>
      <c r="J68" s="64">
        <v>3.49</v>
      </c>
      <c r="K68" s="64">
        <v>309.77999999999997</v>
      </c>
      <c r="L68" s="64">
        <v>25.87</v>
      </c>
      <c r="M68" s="64">
        <v>58.62</v>
      </c>
      <c r="N68" s="64">
        <v>169.3</v>
      </c>
      <c r="O68" s="64">
        <v>0</v>
      </c>
      <c r="P68" s="64">
        <v>0.78</v>
      </c>
      <c r="Q68" s="64">
        <v>8.2100000000000009</v>
      </c>
      <c r="R68" s="198"/>
      <c r="S68" s="198"/>
      <c r="T68" s="198"/>
      <c r="U68" s="198"/>
    </row>
    <row r="69" spans="1:21" s="12" customFormat="1" x14ac:dyDescent="0.25">
      <c r="A69" s="215" t="s">
        <v>2900</v>
      </c>
      <c r="B69" s="64">
        <v>5.99</v>
      </c>
      <c r="C69" s="64">
        <v>39.68</v>
      </c>
      <c r="D69" s="64">
        <v>24.16</v>
      </c>
      <c r="E69" s="64">
        <v>5.63</v>
      </c>
      <c r="F69" s="64">
        <v>4.76</v>
      </c>
      <c r="G69" s="64">
        <v>58.94</v>
      </c>
      <c r="H69" s="64">
        <v>16.27</v>
      </c>
      <c r="I69" s="211" t="s">
        <v>43</v>
      </c>
      <c r="J69" s="64">
        <v>3.76</v>
      </c>
      <c r="K69" s="64">
        <v>324.35000000000002</v>
      </c>
      <c r="L69" s="64">
        <v>25.82</v>
      </c>
      <c r="M69" s="64">
        <v>58.8</v>
      </c>
      <c r="N69" s="64">
        <v>139.1</v>
      </c>
      <c r="O69" s="64">
        <v>0</v>
      </c>
      <c r="P69" s="64">
        <v>0.78</v>
      </c>
      <c r="Q69" s="64">
        <v>8.2100000000000009</v>
      </c>
      <c r="R69" s="198"/>
      <c r="S69" s="198"/>
      <c r="T69" s="198"/>
      <c r="U69" s="198"/>
    </row>
    <row r="70" spans="1:21" s="12" customFormat="1" x14ac:dyDescent="0.25">
      <c r="A70" s="215" t="s">
        <v>2901</v>
      </c>
      <c r="B70" s="64">
        <v>5.61</v>
      </c>
      <c r="C70" s="64">
        <v>40.94</v>
      </c>
      <c r="D70" s="64">
        <v>24.51</v>
      </c>
      <c r="E70" s="64">
        <v>5.41</v>
      </c>
      <c r="F70" s="64">
        <v>4.45</v>
      </c>
      <c r="G70" s="64">
        <v>58.94</v>
      </c>
      <c r="H70" s="64">
        <v>16.27</v>
      </c>
      <c r="I70" s="211" t="s">
        <v>43</v>
      </c>
      <c r="J70" s="64">
        <v>3.84</v>
      </c>
      <c r="K70" s="64">
        <v>326.75</v>
      </c>
      <c r="L70" s="64">
        <v>25.52</v>
      </c>
      <c r="M70" s="64">
        <v>59.29</v>
      </c>
      <c r="N70" s="64">
        <v>122.1</v>
      </c>
      <c r="O70" s="64">
        <v>0</v>
      </c>
      <c r="P70" s="64">
        <v>0.78</v>
      </c>
      <c r="Q70" s="64">
        <v>8.2100000000000009</v>
      </c>
      <c r="R70" s="198"/>
      <c r="S70" s="198"/>
      <c r="T70" s="198"/>
      <c r="U70" s="198"/>
    </row>
    <row r="71" spans="1:21" s="12" customFormat="1" x14ac:dyDescent="0.25">
      <c r="A71" s="215" t="s">
        <v>2902</v>
      </c>
      <c r="B71" s="64">
        <v>5.47</v>
      </c>
      <c r="C71" s="64">
        <v>41.93</v>
      </c>
      <c r="D71" s="64">
        <v>24.91</v>
      </c>
      <c r="E71" s="64">
        <v>5.44</v>
      </c>
      <c r="F71" s="64">
        <v>4.74</v>
      </c>
      <c r="G71" s="64">
        <v>60.32</v>
      </c>
      <c r="H71" s="64">
        <v>17.21</v>
      </c>
      <c r="I71" s="211" t="s">
        <v>43</v>
      </c>
      <c r="J71" s="64">
        <v>3.41</v>
      </c>
      <c r="K71" s="64">
        <v>337.45</v>
      </c>
      <c r="L71" s="64">
        <v>25</v>
      </c>
      <c r="M71" s="64">
        <v>60.52</v>
      </c>
      <c r="N71" s="64">
        <v>110.5</v>
      </c>
      <c r="O71" s="64">
        <v>0</v>
      </c>
      <c r="P71" s="64">
        <v>0.8</v>
      </c>
      <c r="Q71" s="64">
        <v>8.2100000000000009</v>
      </c>
      <c r="R71" s="198"/>
      <c r="S71" s="198"/>
      <c r="T71" s="198"/>
      <c r="U71" s="198"/>
    </row>
    <row r="72" spans="1:21" s="12" customFormat="1" x14ac:dyDescent="0.25">
      <c r="A72" s="215" t="s">
        <v>2903</v>
      </c>
      <c r="B72" s="64">
        <v>5.43</v>
      </c>
      <c r="C72" s="64">
        <v>40.5</v>
      </c>
      <c r="D72" s="64">
        <v>24.14</v>
      </c>
      <c r="E72" s="64">
        <v>6.12</v>
      </c>
      <c r="F72" s="64">
        <v>4.5599999999999996</v>
      </c>
      <c r="G72" s="64">
        <v>60.91</v>
      </c>
      <c r="H72" s="64">
        <v>17.54</v>
      </c>
      <c r="I72" s="211" t="s">
        <v>43</v>
      </c>
      <c r="J72" s="64">
        <v>3.66</v>
      </c>
      <c r="K72" s="64">
        <v>325.14999999999998</v>
      </c>
      <c r="L72" s="64">
        <v>24.7</v>
      </c>
      <c r="M72" s="64">
        <v>61.13</v>
      </c>
      <c r="N72" s="64">
        <v>99.5</v>
      </c>
      <c r="O72" s="64">
        <v>0</v>
      </c>
      <c r="P72" s="64">
        <v>0.79</v>
      </c>
      <c r="Q72" s="64">
        <v>8.2100000000000009</v>
      </c>
      <c r="R72" s="198"/>
      <c r="S72" s="198"/>
      <c r="T72" s="198"/>
      <c r="U72" s="198"/>
    </row>
    <row r="73" spans="1:21" s="12" customFormat="1" x14ac:dyDescent="0.25">
      <c r="A73" s="215" t="s">
        <v>2904</v>
      </c>
      <c r="B73" s="64">
        <v>5.49</v>
      </c>
      <c r="C73" s="64">
        <v>41.94</v>
      </c>
      <c r="D73" s="64">
        <v>24.94</v>
      </c>
      <c r="E73" s="64">
        <v>6.32</v>
      </c>
      <c r="F73" s="64">
        <v>4.75</v>
      </c>
      <c r="G73" s="64">
        <v>60.91</v>
      </c>
      <c r="H73" s="64">
        <v>17.54</v>
      </c>
      <c r="I73" s="211" t="s">
        <v>43</v>
      </c>
      <c r="J73" s="64">
        <v>3.54</v>
      </c>
      <c r="K73" s="64">
        <v>332.54</v>
      </c>
      <c r="L73" s="64">
        <v>24.59</v>
      </c>
      <c r="M73" s="64">
        <v>60.48</v>
      </c>
      <c r="N73" s="64">
        <v>93.1</v>
      </c>
      <c r="O73" s="64">
        <v>0</v>
      </c>
      <c r="P73" s="64">
        <v>0.79</v>
      </c>
      <c r="Q73" s="64">
        <v>8.2100000000000009</v>
      </c>
      <c r="R73" s="198"/>
      <c r="S73" s="198"/>
      <c r="T73" s="198"/>
      <c r="U73" s="198"/>
    </row>
    <row r="74" spans="1:21" s="12" customFormat="1" x14ac:dyDescent="0.25">
      <c r="A74" s="215" t="s">
        <v>2905</v>
      </c>
      <c r="B74" s="64">
        <v>5.87</v>
      </c>
      <c r="C74" s="64">
        <v>41.72</v>
      </c>
      <c r="D74" s="64">
        <v>25.12</v>
      </c>
      <c r="E74" s="64">
        <v>6.39</v>
      </c>
      <c r="F74" s="64">
        <v>4.4000000000000004</v>
      </c>
      <c r="G74" s="64">
        <v>60.91</v>
      </c>
      <c r="H74" s="64">
        <v>17.54</v>
      </c>
      <c r="I74" s="211" t="s">
        <v>43</v>
      </c>
      <c r="J74" s="64">
        <v>3.39</v>
      </c>
      <c r="K74" s="64">
        <v>346.8</v>
      </c>
      <c r="L74" s="64">
        <v>24.43</v>
      </c>
      <c r="M74" s="64">
        <v>60.75</v>
      </c>
      <c r="N74" s="64">
        <v>85.3</v>
      </c>
      <c r="O74" s="64">
        <v>0</v>
      </c>
      <c r="P74" s="64">
        <v>0.85</v>
      </c>
      <c r="Q74" s="64">
        <v>8.2100000000000009</v>
      </c>
      <c r="R74" s="198"/>
      <c r="S74" s="198"/>
      <c r="T74" s="198"/>
      <c r="U74" s="198"/>
    </row>
    <row r="75" spans="1:21" s="12" customFormat="1" x14ac:dyDescent="0.25">
      <c r="A75" s="215" t="s">
        <v>2906</v>
      </c>
      <c r="B75" s="64">
        <v>6.89</v>
      </c>
      <c r="C75" s="64">
        <v>45.01</v>
      </c>
      <c r="D75" s="64">
        <v>27.66</v>
      </c>
      <c r="E75" s="64">
        <v>6.27</v>
      </c>
      <c r="F75" s="64">
        <v>4.37</v>
      </c>
      <c r="G75" s="64">
        <v>66.47</v>
      </c>
      <c r="H75" s="64">
        <v>18.579999999999998</v>
      </c>
      <c r="I75" s="211" t="s">
        <v>43</v>
      </c>
      <c r="J75" s="64">
        <v>3.65</v>
      </c>
      <c r="K75" s="64">
        <v>348.06</v>
      </c>
      <c r="L75" s="64">
        <v>24.07</v>
      </c>
      <c r="M75" s="64">
        <v>61.8</v>
      </c>
      <c r="N75" s="64">
        <v>75.900000000000006</v>
      </c>
      <c r="O75" s="64">
        <v>0</v>
      </c>
      <c r="P75" s="64">
        <v>0.87</v>
      </c>
      <c r="Q75" s="64">
        <v>8.2100000000000009</v>
      </c>
      <c r="R75" s="198"/>
      <c r="S75" s="198"/>
      <c r="T75" s="198"/>
      <c r="U75" s="198"/>
    </row>
    <row r="76" spans="1:21" s="12" customFormat="1" x14ac:dyDescent="0.25">
      <c r="A76" s="215" t="s">
        <v>2907</v>
      </c>
      <c r="B76" s="64">
        <v>7.92</v>
      </c>
      <c r="C76" s="64">
        <v>40.619999999999997</v>
      </c>
      <c r="D76" s="64">
        <v>26.2</v>
      </c>
      <c r="E76" s="64">
        <v>6.18</v>
      </c>
      <c r="F76" s="64">
        <v>4.4400000000000004</v>
      </c>
      <c r="G76" s="64">
        <v>68.86</v>
      </c>
      <c r="H76" s="64">
        <v>19.03</v>
      </c>
      <c r="I76" s="211" t="s">
        <v>43</v>
      </c>
      <c r="J76" s="64">
        <v>1.21</v>
      </c>
      <c r="K76" s="64">
        <v>44.29</v>
      </c>
      <c r="L76" s="64">
        <v>23.51</v>
      </c>
      <c r="M76" s="64">
        <v>64.819999999999993</v>
      </c>
      <c r="N76" s="64">
        <v>66.2</v>
      </c>
      <c r="O76" s="64">
        <v>0</v>
      </c>
      <c r="P76" s="64">
        <v>1.08</v>
      </c>
      <c r="Q76" s="64">
        <v>8.2100000000000009</v>
      </c>
      <c r="R76" s="198"/>
      <c r="S76" s="198"/>
      <c r="T76" s="198"/>
      <c r="U76" s="198"/>
    </row>
    <row r="77" spans="1:21" s="12" customFormat="1" x14ac:dyDescent="0.25">
      <c r="A77" s="215" t="s">
        <v>2908</v>
      </c>
      <c r="B77" s="64">
        <v>8.51</v>
      </c>
      <c r="C77" s="64">
        <v>39.340000000000003</v>
      </c>
      <c r="D77" s="64">
        <v>26</v>
      </c>
      <c r="E77" s="64">
        <v>6.36</v>
      </c>
      <c r="F77" s="64">
        <v>4.25</v>
      </c>
      <c r="G77" s="64">
        <v>68.86</v>
      </c>
      <c r="H77" s="64">
        <v>19.03</v>
      </c>
      <c r="I77" s="211" t="s">
        <v>43</v>
      </c>
      <c r="J77" s="64">
        <v>3.04</v>
      </c>
      <c r="K77" s="64">
        <v>345.97</v>
      </c>
      <c r="L77" s="64">
        <v>22.91</v>
      </c>
      <c r="M77" s="64">
        <v>68.48</v>
      </c>
      <c r="N77" s="64">
        <v>56.8</v>
      </c>
      <c r="O77" s="64">
        <v>0</v>
      </c>
      <c r="P77" s="64">
        <v>1.31</v>
      </c>
      <c r="Q77" s="64">
        <v>8.2100000000000009</v>
      </c>
      <c r="R77" s="198"/>
      <c r="S77" s="198"/>
      <c r="T77" s="198"/>
      <c r="U77" s="198"/>
    </row>
    <row r="78" spans="1:21" s="12" customFormat="1" x14ac:dyDescent="0.25">
      <c r="A78" s="215" t="s">
        <v>2909</v>
      </c>
      <c r="B78" s="64">
        <v>9.9</v>
      </c>
      <c r="C78" s="64">
        <v>39.82</v>
      </c>
      <c r="D78" s="64">
        <v>27.36</v>
      </c>
      <c r="E78" s="64">
        <v>6.47</v>
      </c>
      <c r="F78" s="64">
        <v>4.2300000000000004</v>
      </c>
      <c r="G78" s="64">
        <v>68.86</v>
      </c>
      <c r="H78" s="64">
        <v>19.03</v>
      </c>
      <c r="I78" s="211" t="s">
        <v>43</v>
      </c>
      <c r="J78" s="64">
        <v>1.3</v>
      </c>
      <c r="K78" s="64">
        <v>1.01</v>
      </c>
      <c r="L78" s="64">
        <v>22.41</v>
      </c>
      <c r="M78" s="64">
        <v>70.36</v>
      </c>
      <c r="N78" s="64">
        <v>50.1</v>
      </c>
      <c r="O78" s="64">
        <v>0</v>
      </c>
      <c r="P78" s="64">
        <v>1.29</v>
      </c>
      <c r="Q78" s="64">
        <v>8.2100000000000009</v>
      </c>
      <c r="R78" s="198"/>
      <c r="S78" s="198"/>
      <c r="T78" s="198"/>
      <c r="U78" s="198"/>
    </row>
    <row r="79" spans="1:21" s="12" customFormat="1" x14ac:dyDescent="0.25">
      <c r="A79" s="215" t="s">
        <v>2910</v>
      </c>
      <c r="B79" s="64">
        <v>11.11</v>
      </c>
      <c r="C79" s="64">
        <v>40.32</v>
      </c>
      <c r="D79" s="64">
        <v>28.6</v>
      </c>
      <c r="E79" s="64">
        <v>6.88</v>
      </c>
      <c r="F79" s="64">
        <v>3.85</v>
      </c>
      <c r="G79" s="64">
        <v>83.99</v>
      </c>
      <c r="H79" s="64">
        <v>21.39</v>
      </c>
      <c r="I79" s="211" t="s">
        <v>43</v>
      </c>
      <c r="J79" s="64">
        <v>1.22</v>
      </c>
      <c r="K79" s="64">
        <v>27.11</v>
      </c>
      <c r="L79" s="64">
        <v>21.97</v>
      </c>
      <c r="M79" s="64">
        <v>73.239999999999995</v>
      </c>
      <c r="N79" s="64">
        <v>46.8</v>
      </c>
      <c r="O79" s="64">
        <v>0</v>
      </c>
      <c r="P79" s="64">
        <v>1.57</v>
      </c>
      <c r="Q79" s="64">
        <v>8.2100000000000009</v>
      </c>
      <c r="R79" s="198"/>
      <c r="S79" s="198"/>
      <c r="T79" s="198"/>
      <c r="U79" s="198"/>
    </row>
    <row r="80" spans="1:21" s="12" customFormat="1" x14ac:dyDescent="0.25">
      <c r="A80" s="215" t="s">
        <v>2911</v>
      </c>
      <c r="B80" s="64">
        <v>12.55</v>
      </c>
      <c r="C80" s="64">
        <v>40.869999999999997</v>
      </c>
      <c r="D80" s="64">
        <v>30.04</v>
      </c>
      <c r="E80" s="64">
        <v>6.54</v>
      </c>
      <c r="F80" s="64">
        <v>3.59</v>
      </c>
      <c r="G80" s="64">
        <v>90.48</v>
      </c>
      <c r="H80" s="64">
        <v>22.45</v>
      </c>
      <c r="I80" s="211" t="s">
        <v>43</v>
      </c>
      <c r="J80" s="64">
        <v>1.51</v>
      </c>
      <c r="K80" s="64">
        <v>283.89999999999998</v>
      </c>
      <c r="L80" s="64">
        <v>21.41</v>
      </c>
      <c r="M80" s="64">
        <v>79.69</v>
      </c>
      <c r="N80" s="64">
        <v>46.3</v>
      </c>
      <c r="O80" s="64">
        <v>0</v>
      </c>
      <c r="P80" s="64">
        <v>1.34</v>
      </c>
      <c r="Q80" s="64">
        <v>8.2100000000000009</v>
      </c>
      <c r="R80" s="198"/>
      <c r="S80" s="198"/>
      <c r="T80" s="198"/>
      <c r="U80" s="198"/>
    </row>
    <row r="81" spans="1:26" s="12" customFormat="1" x14ac:dyDescent="0.25">
      <c r="A81" s="215" t="s">
        <v>2912</v>
      </c>
      <c r="B81" s="64">
        <v>14.24</v>
      </c>
      <c r="C81" s="64">
        <v>41.11</v>
      </c>
      <c r="D81" s="64">
        <v>31.52</v>
      </c>
      <c r="E81" s="64">
        <v>6.77</v>
      </c>
      <c r="F81" s="64">
        <v>3.8</v>
      </c>
      <c r="G81" s="64">
        <v>90.48</v>
      </c>
      <c r="H81" s="64">
        <v>22.45</v>
      </c>
      <c r="I81" s="211" t="s">
        <v>43</v>
      </c>
      <c r="J81" s="64">
        <v>2.11</v>
      </c>
      <c r="K81" s="64">
        <v>352.35</v>
      </c>
      <c r="L81" s="64">
        <v>20.9</v>
      </c>
      <c r="M81" s="64">
        <v>82.34</v>
      </c>
      <c r="N81" s="64">
        <v>45.9</v>
      </c>
      <c r="O81" s="64">
        <v>0</v>
      </c>
      <c r="P81" s="64">
        <v>1.88</v>
      </c>
      <c r="Q81" s="64">
        <v>8.2100000000000009</v>
      </c>
      <c r="R81" s="198"/>
      <c r="S81" s="198"/>
      <c r="T81" s="198"/>
      <c r="U81" s="198"/>
    </row>
    <row r="82" spans="1:26" s="12" customFormat="1" x14ac:dyDescent="0.25">
      <c r="A82" s="215" t="s">
        <v>2913</v>
      </c>
      <c r="B82" s="64">
        <v>17.03</v>
      </c>
      <c r="C82" s="64">
        <v>40.61</v>
      </c>
      <c r="D82" s="64">
        <v>33.5</v>
      </c>
      <c r="E82" s="64">
        <v>7.76</v>
      </c>
      <c r="F82" s="64">
        <v>5.22</v>
      </c>
      <c r="G82" s="64">
        <v>90.48</v>
      </c>
      <c r="H82" s="64">
        <v>22.45</v>
      </c>
      <c r="I82" s="211" t="s">
        <v>43</v>
      </c>
      <c r="J82" s="64">
        <v>5.39</v>
      </c>
      <c r="K82" s="64">
        <v>350.45</v>
      </c>
      <c r="L82" s="64">
        <v>20.440000000000001</v>
      </c>
      <c r="M82" s="64">
        <v>76.7</v>
      </c>
      <c r="N82" s="64">
        <v>47.6</v>
      </c>
      <c r="O82" s="64">
        <v>0</v>
      </c>
      <c r="P82" s="64">
        <v>1.39</v>
      </c>
      <c r="Q82" s="64">
        <v>8.2100000000000009</v>
      </c>
      <c r="R82" s="198"/>
      <c r="S82" s="198"/>
      <c r="T82" s="198"/>
      <c r="U82" s="198"/>
    </row>
    <row r="83" spans="1:26" s="12" customFormat="1" x14ac:dyDescent="0.25">
      <c r="A83" s="215" t="s">
        <v>2914</v>
      </c>
      <c r="B83" s="64">
        <v>18.16</v>
      </c>
      <c r="C83" s="64">
        <v>41.91</v>
      </c>
      <c r="D83" s="64">
        <v>35.08</v>
      </c>
      <c r="E83" s="64">
        <v>8.8800000000000008</v>
      </c>
      <c r="F83" s="64">
        <v>5.74</v>
      </c>
      <c r="G83" s="64">
        <v>177.58</v>
      </c>
      <c r="H83" s="64">
        <v>24</v>
      </c>
      <c r="I83" s="211" t="s">
        <v>43</v>
      </c>
      <c r="J83" s="64">
        <v>5.68</v>
      </c>
      <c r="K83" s="64">
        <v>349.84</v>
      </c>
      <c r="L83" s="64">
        <v>19.16</v>
      </c>
      <c r="M83" s="64">
        <v>77.650000000000006</v>
      </c>
      <c r="N83" s="64">
        <v>47.7</v>
      </c>
      <c r="O83" s="64">
        <v>0</v>
      </c>
      <c r="P83" s="64">
        <v>1.07</v>
      </c>
      <c r="Q83" s="64">
        <v>8.2100000000000009</v>
      </c>
      <c r="R83" s="198"/>
      <c r="S83" s="198"/>
      <c r="T83" s="198"/>
      <c r="U83" s="198"/>
    </row>
    <row r="84" spans="1:26" s="12" customFormat="1" x14ac:dyDescent="0.25">
      <c r="A84" s="215" t="s">
        <v>2915</v>
      </c>
      <c r="B84" s="64">
        <v>16.45</v>
      </c>
      <c r="C84" s="64">
        <v>42.63</v>
      </c>
      <c r="D84" s="64">
        <v>34.090000000000003</v>
      </c>
      <c r="E84" s="64">
        <v>8.7100000000000009</v>
      </c>
      <c r="F84" s="64">
        <v>5.43</v>
      </c>
      <c r="G84" s="64">
        <v>214.91</v>
      </c>
      <c r="H84" s="64">
        <v>24.66</v>
      </c>
      <c r="I84" s="211" t="s">
        <v>43</v>
      </c>
      <c r="J84" s="64">
        <v>6.27</v>
      </c>
      <c r="K84" s="64">
        <v>349.4</v>
      </c>
      <c r="L84" s="64">
        <v>18.57</v>
      </c>
      <c r="M84" s="64">
        <v>80.349999999999994</v>
      </c>
      <c r="N84" s="64">
        <v>47.4</v>
      </c>
      <c r="O84" s="64">
        <v>0</v>
      </c>
      <c r="P84" s="64">
        <v>1.02</v>
      </c>
      <c r="Q84" s="64">
        <v>8.2100000000000009</v>
      </c>
      <c r="R84" s="198"/>
      <c r="S84" s="198"/>
      <c r="T84" s="198"/>
      <c r="U84" s="198"/>
    </row>
    <row r="85" spans="1:26" s="12" customFormat="1" x14ac:dyDescent="0.25">
      <c r="A85" s="215" t="s">
        <v>2916</v>
      </c>
      <c r="B85" s="64">
        <v>14.51</v>
      </c>
      <c r="C85" s="64">
        <v>42.42</v>
      </c>
      <c r="D85" s="64">
        <v>32.42</v>
      </c>
      <c r="E85" s="64">
        <v>7.95</v>
      </c>
      <c r="F85" s="64">
        <v>5.19</v>
      </c>
      <c r="G85" s="64">
        <v>214.91</v>
      </c>
      <c r="H85" s="64">
        <v>24.66</v>
      </c>
      <c r="I85" s="211" t="s">
        <v>43</v>
      </c>
      <c r="J85" s="64">
        <v>5</v>
      </c>
      <c r="K85" s="64">
        <v>348.44</v>
      </c>
      <c r="L85" s="64">
        <v>17.68</v>
      </c>
      <c r="M85" s="64">
        <v>87.57</v>
      </c>
      <c r="N85" s="64">
        <v>47.9</v>
      </c>
      <c r="O85" s="64">
        <v>0</v>
      </c>
      <c r="P85" s="64">
        <v>0.87</v>
      </c>
      <c r="Q85" s="64">
        <v>8.2100000000000009</v>
      </c>
      <c r="R85" s="198"/>
      <c r="S85" s="198"/>
      <c r="T85" s="198"/>
      <c r="U85" s="198"/>
    </row>
    <row r="86" spans="1:26" s="12" customFormat="1" x14ac:dyDescent="0.25">
      <c r="A86" s="215" t="s">
        <v>2917</v>
      </c>
      <c r="B86" s="64">
        <v>13.23</v>
      </c>
      <c r="C86" s="64">
        <v>43.2</v>
      </c>
      <c r="D86" s="64">
        <v>31.8</v>
      </c>
      <c r="E86" s="64">
        <v>7.13</v>
      </c>
      <c r="F86" s="64">
        <v>4.5199999999999996</v>
      </c>
      <c r="G86" s="64">
        <v>214.91</v>
      </c>
      <c r="H86" s="64">
        <v>24.66</v>
      </c>
      <c r="I86" s="211" t="s">
        <v>43</v>
      </c>
      <c r="J86" s="64">
        <v>3.66</v>
      </c>
      <c r="K86" s="64">
        <v>341.76</v>
      </c>
      <c r="L86" s="64">
        <v>16.5</v>
      </c>
      <c r="M86" s="64">
        <v>100.07</v>
      </c>
      <c r="N86" s="64">
        <v>46.7</v>
      </c>
      <c r="O86" s="64">
        <v>0.2</v>
      </c>
      <c r="P86" s="64">
        <v>0.89</v>
      </c>
      <c r="Q86" s="64">
        <v>8.2100000000000009</v>
      </c>
      <c r="R86" s="198"/>
      <c r="S86" s="198"/>
      <c r="T86" s="198"/>
      <c r="U86" s="198"/>
    </row>
    <row r="87" spans="1:26" s="12" customFormat="1" x14ac:dyDescent="0.25">
      <c r="A87" s="215" t="s">
        <v>2918</v>
      </c>
      <c r="B87" s="64">
        <v>13.17</v>
      </c>
      <c r="C87" s="64">
        <v>42.68</v>
      </c>
      <c r="D87" s="64">
        <v>31.49</v>
      </c>
      <c r="E87" s="64">
        <v>7</v>
      </c>
      <c r="F87" s="64">
        <v>4.1900000000000004</v>
      </c>
      <c r="G87" s="64">
        <v>141.33000000000001</v>
      </c>
      <c r="H87" s="64">
        <v>23.51</v>
      </c>
      <c r="I87" s="211" t="s">
        <v>43</v>
      </c>
      <c r="J87" s="64">
        <v>4.2699999999999996</v>
      </c>
      <c r="K87" s="64">
        <v>344.97</v>
      </c>
      <c r="L87" s="64">
        <v>16.12</v>
      </c>
      <c r="M87" s="64">
        <v>98.99</v>
      </c>
      <c r="N87" s="64">
        <v>45.6</v>
      </c>
      <c r="O87" s="64">
        <v>0</v>
      </c>
      <c r="P87" s="64">
        <v>0.87</v>
      </c>
      <c r="Q87" s="64">
        <v>8.2100000000000009</v>
      </c>
      <c r="R87" s="198"/>
      <c r="S87" s="198"/>
      <c r="T87" s="198"/>
      <c r="U87" s="198"/>
    </row>
    <row r="88" spans="1:26" s="12" customFormat="1" x14ac:dyDescent="0.25">
      <c r="A88" s="215" t="s">
        <v>2919</v>
      </c>
      <c r="B88" s="64">
        <v>12.99</v>
      </c>
      <c r="C88" s="64">
        <v>41.9</v>
      </c>
      <c r="D88" s="64">
        <v>30.94</v>
      </c>
      <c r="E88" s="64">
        <v>7.1</v>
      </c>
      <c r="F88" s="64">
        <v>4.26</v>
      </c>
      <c r="G88" s="64">
        <v>109.79</v>
      </c>
      <c r="H88" s="64">
        <v>23.02</v>
      </c>
      <c r="I88" s="211" t="s">
        <v>43</v>
      </c>
      <c r="J88" s="64">
        <v>5.0999999999999996</v>
      </c>
      <c r="K88" s="64">
        <v>347.04</v>
      </c>
      <c r="L88" s="64">
        <v>16.25</v>
      </c>
      <c r="M88" s="64">
        <v>94.5</v>
      </c>
      <c r="N88" s="64">
        <v>46.3</v>
      </c>
      <c r="O88" s="64">
        <v>0</v>
      </c>
      <c r="P88" s="64">
        <v>0.83</v>
      </c>
      <c r="Q88" s="64">
        <v>8.2100000000000009</v>
      </c>
      <c r="R88" s="198"/>
      <c r="S88" s="198"/>
      <c r="T88" s="198"/>
      <c r="U88" s="198"/>
    </row>
    <row r="89" spans="1:26" s="12" customFormat="1" x14ac:dyDescent="0.25">
      <c r="A89" s="215" t="s">
        <v>2920</v>
      </c>
      <c r="B89" s="64">
        <v>12.37</v>
      </c>
      <c r="C89" s="64">
        <v>41.42</v>
      </c>
      <c r="D89" s="64">
        <v>30.18</v>
      </c>
      <c r="E89" s="64">
        <v>6.23</v>
      </c>
      <c r="F89" s="64">
        <v>4.5</v>
      </c>
      <c r="G89" s="64">
        <v>109.79</v>
      </c>
      <c r="H89" s="64">
        <v>23.02</v>
      </c>
      <c r="I89" s="211" t="s">
        <v>43</v>
      </c>
      <c r="J89" s="64">
        <v>3.75</v>
      </c>
      <c r="K89" s="64">
        <v>340.48</v>
      </c>
      <c r="L89" s="64">
        <v>16.3</v>
      </c>
      <c r="M89" s="64">
        <v>92.43</v>
      </c>
      <c r="N89" s="64">
        <v>46.6</v>
      </c>
      <c r="O89" s="64">
        <v>0</v>
      </c>
      <c r="P89" s="64">
        <v>0.79</v>
      </c>
      <c r="Q89" s="64">
        <v>8.2100000000000009</v>
      </c>
      <c r="R89" s="198"/>
      <c r="S89" s="198"/>
      <c r="T89" s="198"/>
      <c r="U89" s="198"/>
    </row>
    <row r="90" spans="1:26" s="12" customFormat="1" x14ac:dyDescent="0.25">
      <c r="A90" s="215" t="s">
        <v>2921</v>
      </c>
      <c r="B90" s="64">
        <v>11.97</v>
      </c>
      <c r="C90" s="64">
        <v>40.76</v>
      </c>
      <c r="D90" s="64">
        <v>29.52</v>
      </c>
      <c r="E90" s="64">
        <v>6.39</v>
      </c>
      <c r="F90" s="64">
        <v>3.86</v>
      </c>
      <c r="G90" s="64">
        <v>109.79</v>
      </c>
      <c r="H90" s="64">
        <v>23.02</v>
      </c>
      <c r="I90" s="211" t="s">
        <v>43</v>
      </c>
      <c r="J90" s="64">
        <v>3.97</v>
      </c>
      <c r="K90" s="64">
        <v>343.76</v>
      </c>
      <c r="L90" s="64">
        <v>16.28</v>
      </c>
      <c r="M90" s="64">
        <v>92.14</v>
      </c>
      <c r="N90" s="64">
        <v>46.4</v>
      </c>
      <c r="O90" s="64">
        <v>0</v>
      </c>
      <c r="P90" s="64">
        <v>0.78</v>
      </c>
      <c r="Q90" s="64">
        <v>8.2100000000000009</v>
      </c>
      <c r="R90" s="198"/>
      <c r="S90" s="198"/>
      <c r="T90" s="198"/>
      <c r="U90" s="198"/>
    </row>
    <row r="91" spans="1:26" s="12" customFormat="1" x14ac:dyDescent="0.25">
      <c r="A91" s="215" t="s">
        <v>2922</v>
      </c>
      <c r="B91" s="64">
        <v>12.07</v>
      </c>
      <c r="C91" s="64">
        <v>40.4</v>
      </c>
      <c r="D91" s="64">
        <v>29.41</v>
      </c>
      <c r="E91" s="64">
        <v>5.83</v>
      </c>
      <c r="F91" s="64">
        <v>3.88</v>
      </c>
      <c r="G91" s="64">
        <v>40.22</v>
      </c>
      <c r="H91" s="64">
        <v>18.190000000000001</v>
      </c>
      <c r="I91" s="211" t="s">
        <v>43</v>
      </c>
      <c r="J91" s="64">
        <v>3.85</v>
      </c>
      <c r="K91" s="64">
        <v>346.6</v>
      </c>
      <c r="L91" s="64">
        <v>16.239999999999998</v>
      </c>
      <c r="M91" s="64">
        <v>93.22</v>
      </c>
      <c r="N91" s="64">
        <v>46.6</v>
      </c>
      <c r="O91" s="64">
        <v>0</v>
      </c>
      <c r="P91" s="64">
        <v>0.77</v>
      </c>
      <c r="Q91" s="64">
        <v>8.2100000000000009</v>
      </c>
      <c r="R91" s="198"/>
      <c r="S91" s="198"/>
      <c r="T91" s="198"/>
      <c r="U91" s="198"/>
    </row>
    <row r="92" spans="1:26" s="12" customFormat="1" x14ac:dyDescent="0.25">
      <c r="A92" s="215" t="s">
        <v>2923</v>
      </c>
      <c r="B92" s="64">
        <v>12.67</v>
      </c>
      <c r="C92" s="64">
        <v>39.869999999999997</v>
      </c>
      <c r="D92" s="64">
        <v>29.62</v>
      </c>
      <c r="E92" s="64">
        <v>6.35</v>
      </c>
      <c r="F92" s="64">
        <v>4.0599999999999996</v>
      </c>
      <c r="G92" s="64">
        <v>10.41</v>
      </c>
      <c r="H92" s="64">
        <v>16.12</v>
      </c>
      <c r="I92" s="211" t="s">
        <v>43</v>
      </c>
      <c r="J92" s="64">
        <v>4.9800000000000004</v>
      </c>
      <c r="K92" s="64">
        <v>348.06</v>
      </c>
      <c r="L92" s="64">
        <v>16.059999999999999</v>
      </c>
      <c r="M92" s="64">
        <v>95.45</v>
      </c>
      <c r="N92" s="64">
        <v>46.3</v>
      </c>
      <c r="O92" s="64">
        <v>0</v>
      </c>
      <c r="P92" s="64">
        <v>0.75</v>
      </c>
      <c r="Q92" s="64">
        <v>8.2100000000000009</v>
      </c>
      <c r="R92" s="198"/>
      <c r="S92" s="198"/>
      <c r="T92" s="198"/>
      <c r="U92" s="198"/>
    </row>
    <row r="93" spans="1:26" s="12" customFormat="1" x14ac:dyDescent="0.25">
      <c r="A93" s="215" t="s">
        <v>2924</v>
      </c>
      <c r="B93" s="64">
        <v>13.13</v>
      </c>
      <c r="C93" s="64">
        <v>36.26</v>
      </c>
      <c r="D93" s="64">
        <v>28.1</v>
      </c>
      <c r="E93" s="64">
        <v>6.04</v>
      </c>
      <c r="F93" s="64">
        <v>4.26</v>
      </c>
      <c r="G93" s="64">
        <v>10.41</v>
      </c>
      <c r="H93" s="64">
        <v>16.12</v>
      </c>
      <c r="I93" s="211" t="s">
        <v>43</v>
      </c>
      <c r="J93" s="64">
        <v>2.58</v>
      </c>
      <c r="K93" s="64">
        <v>346.29</v>
      </c>
      <c r="L93" s="64">
        <v>15.74</v>
      </c>
      <c r="M93" s="64">
        <v>97.77</v>
      </c>
      <c r="N93" s="64">
        <v>46.4</v>
      </c>
      <c r="O93" s="64">
        <v>0</v>
      </c>
      <c r="P93" s="64">
        <v>0.74</v>
      </c>
      <c r="Q93" s="64">
        <v>8.2100000000000009</v>
      </c>
      <c r="R93" s="198"/>
      <c r="S93" s="198"/>
      <c r="T93" s="198"/>
      <c r="U93" s="198"/>
    </row>
    <row r="94" spans="1:26" s="12" customFormat="1" x14ac:dyDescent="0.25">
      <c r="A94" s="215" t="s">
        <v>2925</v>
      </c>
      <c r="B94" s="64">
        <v>13.66</v>
      </c>
      <c r="C94" s="64">
        <v>37.380000000000003</v>
      </c>
      <c r="D94" s="64">
        <v>29.11</v>
      </c>
      <c r="E94" s="64">
        <v>5.93</v>
      </c>
      <c r="F94" s="64">
        <v>3.59</v>
      </c>
      <c r="G94" s="64">
        <v>10.41</v>
      </c>
      <c r="H94" s="64">
        <v>16.12</v>
      </c>
      <c r="I94" s="211" t="s">
        <v>43</v>
      </c>
      <c r="J94" s="64">
        <v>4.21</v>
      </c>
      <c r="K94" s="64">
        <v>342.91</v>
      </c>
      <c r="L94" s="64">
        <v>15.56</v>
      </c>
      <c r="M94" s="64">
        <v>98.77</v>
      </c>
      <c r="N94" s="64">
        <v>46.3</v>
      </c>
      <c r="O94" s="64">
        <v>0</v>
      </c>
      <c r="P94" s="64">
        <v>0.74</v>
      </c>
      <c r="Q94" s="64">
        <v>8.2100000000000009</v>
      </c>
      <c r="R94" s="198"/>
      <c r="S94" s="198"/>
      <c r="T94" s="198"/>
      <c r="U94" s="198"/>
    </row>
    <row r="95" spans="1:26" s="12" customFormat="1" x14ac:dyDescent="0.25">
      <c r="A95" s="215" t="s">
        <v>2926</v>
      </c>
      <c r="B95" s="64">
        <v>14.19</v>
      </c>
      <c r="C95" s="64">
        <v>38.89</v>
      </c>
      <c r="D95" s="64">
        <v>30.32</v>
      </c>
      <c r="E95" s="64">
        <v>6.29</v>
      </c>
      <c r="F95" s="64">
        <v>3.75</v>
      </c>
      <c r="G95" s="64">
        <v>8.24</v>
      </c>
      <c r="H95" s="64">
        <v>13.52</v>
      </c>
      <c r="I95" s="211" t="s">
        <v>43</v>
      </c>
      <c r="J95" s="64">
        <v>2.69</v>
      </c>
      <c r="K95" s="64">
        <v>356.93</v>
      </c>
      <c r="L95" s="64">
        <v>15.2</v>
      </c>
      <c r="M95" s="64">
        <v>101.17</v>
      </c>
      <c r="N95" s="64">
        <v>46.2</v>
      </c>
      <c r="O95" s="64">
        <v>0</v>
      </c>
      <c r="P95" s="64">
        <v>0.73</v>
      </c>
      <c r="Q95" s="64">
        <v>8.2100000000000009</v>
      </c>
      <c r="R95" s="198"/>
      <c r="S95" s="198"/>
      <c r="T95" s="198"/>
      <c r="U95" s="198"/>
    </row>
    <row r="96" spans="1:26" s="12" customFormat="1" x14ac:dyDescent="0.25">
      <c r="A96" s="215" t="s">
        <v>2927</v>
      </c>
      <c r="B96" s="64">
        <v>14.35</v>
      </c>
      <c r="C96" s="64">
        <v>39.26</v>
      </c>
      <c r="D96" s="64">
        <v>30.64</v>
      </c>
      <c r="E96" s="64">
        <v>5.99</v>
      </c>
      <c r="F96" s="64">
        <v>3.75</v>
      </c>
      <c r="G96" s="64">
        <v>7.32</v>
      </c>
      <c r="H96" s="64">
        <v>12.41</v>
      </c>
      <c r="I96" s="211" t="s">
        <v>43</v>
      </c>
      <c r="J96" s="64">
        <v>3.68</v>
      </c>
      <c r="K96" s="64">
        <v>349.49</v>
      </c>
      <c r="L96" s="64">
        <v>15.06</v>
      </c>
      <c r="M96" s="64">
        <v>102.07</v>
      </c>
      <c r="N96" s="64">
        <v>46</v>
      </c>
      <c r="O96" s="64">
        <v>0</v>
      </c>
      <c r="P96" s="64">
        <v>0.71</v>
      </c>
      <c r="Q96" s="64">
        <v>8.2100000000000009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2928</v>
      </c>
      <c r="B97" s="64">
        <v>14.47</v>
      </c>
      <c r="C97" s="64">
        <v>39.1</v>
      </c>
      <c r="D97" s="64">
        <v>30.66</v>
      </c>
      <c r="E97" s="64">
        <v>6.29</v>
      </c>
      <c r="F97" s="64">
        <v>3.52</v>
      </c>
      <c r="G97" s="64">
        <v>7.32</v>
      </c>
      <c r="H97" s="64">
        <v>12.41</v>
      </c>
      <c r="I97" s="211" t="s">
        <v>43</v>
      </c>
      <c r="J97" s="64">
        <v>4.3600000000000003</v>
      </c>
      <c r="K97" s="64">
        <v>344.58</v>
      </c>
      <c r="L97" s="64">
        <v>15.02</v>
      </c>
      <c r="M97" s="64">
        <v>102.27</v>
      </c>
      <c r="N97" s="64">
        <v>45.7</v>
      </c>
      <c r="O97" s="64">
        <v>0</v>
      </c>
      <c r="P97" s="64">
        <v>0.69</v>
      </c>
      <c r="Q97" s="64">
        <v>8.2100000000000009</v>
      </c>
      <c r="R97" s="198"/>
      <c r="S97" s="198"/>
      <c r="T97" s="198"/>
      <c r="U97" s="198"/>
    </row>
    <row r="98" spans="1:33" s="12" customFormat="1" x14ac:dyDescent="0.25">
      <c r="A98" s="215" t="s">
        <v>2929</v>
      </c>
      <c r="B98" s="64">
        <v>14.54</v>
      </c>
      <c r="C98" s="64">
        <v>38.909999999999997</v>
      </c>
      <c r="D98" s="64">
        <v>30.61</v>
      </c>
      <c r="E98" s="64">
        <v>6.01</v>
      </c>
      <c r="F98" s="64">
        <v>3.93</v>
      </c>
      <c r="G98" s="64">
        <v>7.32</v>
      </c>
      <c r="H98" s="64">
        <v>12.41</v>
      </c>
      <c r="I98" s="211" t="s">
        <v>43</v>
      </c>
      <c r="J98" s="64">
        <v>3.43</v>
      </c>
      <c r="K98" s="64">
        <v>339.51</v>
      </c>
      <c r="L98" s="64">
        <v>15.17</v>
      </c>
      <c r="M98" s="64">
        <v>101.58</v>
      </c>
      <c r="N98" s="64">
        <v>46</v>
      </c>
      <c r="O98" s="64">
        <v>0</v>
      </c>
      <c r="P98" s="64">
        <v>0.68</v>
      </c>
      <c r="Q98" s="64">
        <v>8.2100000000000009</v>
      </c>
      <c r="R98" s="198"/>
      <c r="S98" s="198"/>
      <c r="T98" s="198"/>
      <c r="U98" s="198"/>
    </row>
    <row r="99" spans="1:33" s="12" customFormat="1" x14ac:dyDescent="0.25">
      <c r="A99" s="215" t="s">
        <v>2930</v>
      </c>
      <c r="B99" s="64">
        <v>14.88</v>
      </c>
      <c r="C99" s="64">
        <v>40.31</v>
      </c>
      <c r="D99" s="64">
        <v>31.62</v>
      </c>
      <c r="E99" s="64">
        <v>6.08</v>
      </c>
      <c r="F99" s="64">
        <v>2.81</v>
      </c>
      <c r="G99" s="64">
        <v>17.23</v>
      </c>
      <c r="H99" s="64">
        <v>9.82</v>
      </c>
      <c r="I99" s="211" t="s">
        <v>43</v>
      </c>
      <c r="J99" s="64">
        <v>4.1399999999999997</v>
      </c>
      <c r="K99" s="64">
        <v>346.66</v>
      </c>
      <c r="L99" s="64">
        <v>15.2</v>
      </c>
      <c r="M99" s="64">
        <v>101.39</v>
      </c>
      <c r="N99" s="64">
        <v>46.4</v>
      </c>
      <c r="O99" s="64">
        <v>0</v>
      </c>
      <c r="P99" s="64">
        <v>0.66</v>
      </c>
      <c r="Q99" s="64">
        <v>8.2100000000000009</v>
      </c>
      <c r="R99" s="198"/>
      <c r="S99" s="198"/>
      <c r="T99" s="198"/>
      <c r="U99" s="198"/>
    </row>
    <row r="100" spans="1:33" s="12" customFormat="1" x14ac:dyDescent="0.25">
      <c r="A100" s="215" t="s">
        <v>2931</v>
      </c>
      <c r="B100" s="64">
        <v>15.15</v>
      </c>
      <c r="C100" s="64">
        <v>40.119999999999997</v>
      </c>
      <c r="D100" s="64">
        <v>31.74</v>
      </c>
      <c r="E100" s="64">
        <v>5.76</v>
      </c>
      <c r="F100" s="64">
        <v>3.12</v>
      </c>
      <c r="G100" s="64">
        <v>21.48</v>
      </c>
      <c r="H100" s="64">
        <v>8.7100000000000009</v>
      </c>
      <c r="I100" s="211" t="s">
        <v>43</v>
      </c>
      <c r="J100" s="64">
        <v>2.08</v>
      </c>
      <c r="K100" s="64">
        <v>20.309999999999999</v>
      </c>
      <c r="L100" s="64">
        <v>15.09</v>
      </c>
      <c r="M100" s="64">
        <v>101.57</v>
      </c>
      <c r="N100" s="64">
        <v>46.4</v>
      </c>
      <c r="O100" s="64">
        <v>0</v>
      </c>
      <c r="P100" s="64">
        <v>0.64</v>
      </c>
      <c r="Q100" s="64">
        <v>8.2100000000000009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2932</v>
      </c>
      <c r="B101" s="64">
        <v>14.92</v>
      </c>
      <c r="C101" s="64">
        <v>38.93</v>
      </c>
      <c r="D101" s="64">
        <v>30.93</v>
      </c>
      <c r="E101" s="64">
        <v>5.5</v>
      </c>
      <c r="F101" s="64">
        <v>3.72</v>
      </c>
      <c r="G101" s="64">
        <v>21.48</v>
      </c>
      <c r="H101" s="64">
        <v>8.7100000000000009</v>
      </c>
      <c r="I101" s="211" t="s">
        <v>43</v>
      </c>
      <c r="J101" s="64">
        <v>4.04</v>
      </c>
      <c r="K101" s="64">
        <v>108.55</v>
      </c>
      <c r="L101" s="64">
        <v>14.8</v>
      </c>
      <c r="M101" s="64">
        <v>101.77</v>
      </c>
      <c r="N101" s="64">
        <v>46.2</v>
      </c>
      <c r="O101" s="64">
        <v>0</v>
      </c>
      <c r="P101" s="64">
        <v>0.63</v>
      </c>
      <c r="Q101" s="64">
        <v>8.2100000000000009</v>
      </c>
      <c r="R101" s="198"/>
      <c r="S101" s="198"/>
      <c r="T101" s="198"/>
      <c r="U101" s="198"/>
    </row>
    <row r="102" spans="1:33" s="12" customFormat="1" x14ac:dyDescent="0.25">
      <c r="A102" s="215" t="s">
        <v>2933</v>
      </c>
      <c r="B102" s="64">
        <v>14.5</v>
      </c>
      <c r="C102" s="64">
        <v>37.49</v>
      </c>
      <c r="D102" s="64">
        <v>29.84</v>
      </c>
      <c r="E102" s="64">
        <v>5.5</v>
      </c>
      <c r="F102" s="64">
        <v>3.64</v>
      </c>
      <c r="G102" s="64">
        <v>21.48</v>
      </c>
      <c r="H102" s="64">
        <v>8.7100000000000009</v>
      </c>
      <c r="I102" s="211" t="s">
        <v>43</v>
      </c>
      <c r="J102" s="64">
        <v>1.7</v>
      </c>
      <c r="K102" s="64">
        <v>73.489999999999995</v>
      </c>
      <c r="L102" s="64">
        <v>14.8</v>
      </c>
      <c r="M102" s="64">
        <v>100.88</v>
      </c>
      <c r="N102" s="64">
        <v>45.9</v>
      </c>
      <c r="O102" s="64">
        <v>0</v>
      </c>
      <c r="P102" s="64">
        <v>0.61</v>
      </c>
      <c r="Q102" s="64">
        <v>8.2100000000000009</v>
      </c>
      <c r="R102" s="198"/>
      <c r="S102" s="198"/>
      <c r="T102" s="198"/>
      <c r="U102" s="198"/>
    </row>
    <row r="103" spans="1:33" s="12" customFormat="1" x14ac:dyDescent="0.25">
      <c r="A103" s="215" t="s">
        <v>2934</v>
      </c>
      <c r="B103" s="64">
        <v>14.06</v>
      </c>
      <c r="C103" s="64">
        <v>36.68</v>
      </c>
      <c r="D103" s="64">
        <v>29.06</v>
      </c>
      <c r="E103" s="64">
        <v>5.36</v>
      </c>
      <c r="F103" s="64">
        <v>3.42</v>
      </c>
      <c r="G103" s="64">
        <v>21.57</v>
      </c>
      <c r="H103" s="64">
        <v>7.37</v>
      </c>
      <c r="I103" s="211" t="s">
        <v>43</v>
      </c>
      <c r="J103" s="64">
        <v>2.65</v>
      </c>
      <c r="K103" s="64">
        <v>105.2</v>
      </c>
      <c r="L103" s="64">
        <v>14.74</v>
      </c>
      <c r="M103" s="64">
        <v>101.08</v>
      </c>
      <c r="N103" s="64">
        <v>45.8</v>
      </c>
      <c r="O103" s="64">
        <v>0</v>
      </c>
      <c r="P103" s="64">
        <v>0.59</v>
      </c>
      <c r="Q103" s="64">
        <v>8.2100000000000009</v>
      </c>
      <c r="R103" s="198"/>
      <c r="S103" s="198"/>
      <c r="T103" s="198"/>
      <c r="U103" s="198"/>
    </row>
    <row r="104" spans="1:33" s="12" customFormat="1" x14ac:dyDescent="0.25">
      <c r="A104" s="215" t="s">
        <v>2935</v>
      </c>
      <c r="B104" s="64">
        <v>13.68</v>
      </c>
      <c r="C104" s="64">
        <v>36.46</v>
      </c>
      <c r="D104" s="64">
        <v>28.64</v>
      </c>
      <c r="E104" s="64">
        <v>6.07</v>
      </c>
      <c r="F104" s="64">
        <v>3.81</v>
      </c>
      <c r="G104" s="64">
        <v>21.61</v>
      </c>
      <c r="H104" s="64">
        <v>6.8</v>
      </c>
      <c r="I104" s="211" t="s">
        <v>43</v>
      </c>
      <c r="J104" s="64">
        <v>3.8</v>
      </c>
      <c r="K104" s="64">
        <v>108.32</v>
      </c>
      <c r="L104" s="64">
        <v>14.7</v>
      </c>
      <c r="M104" s="64">
        <v>100.36</v>
      </c>
      <c r="N104" s="64">
        <v>45.7</v>
      </c>
      <c r="O104" s="64">
        <v>0</v>
      </c>
      <c r="P104" s="64">
        <v>0.57999999999999996</v>
      </c>
      <c r="Q104" s="64">
        <v>8.2100000000000009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4.9000000000000004</v>
      </c>
      <c r="C106" s="67">
        <f>MIN(C9:C104)</f>
        <v>30.12</v>
      </c>
      <c r="D106" s="67">
        <f t="shared" ref="D106:Q106" si="0">MIN(D9:D104)</f>
        <v>18.88</v>
      </c>
      <c r="E106" s="67">
        <f t="shared" si="0"/>
        <v>4.46</v>
      </c>
      <c r="F106" s="67">
        <f t="shared" si="0"/>
        <v>2.81</v>
      </c>
      <c r="G106" s="67">
        <f t="shared" si="0"/>
        <v>7.32</v>
      </c>
      <c r="H106" s="67">
        <f t="shared" si="0"/>
        <v>6.8</v>
      </c>
      <c r="I106" s="67">
        <f t="shared" si="0"/>
        <v>0</v>
      </c>
      <c r="J106" s="67">
        <f t="shared" si="0"/>
        <v>0.28000000000000003</v>
      </c>
      <c r="K106" s="67">
        <f t="shared" si="0"/>
        <v>1.01</v>
      </c>
      <c r="L106" s="67">
        <f t="shared" si="0"/>
        <v>14.7</v>
      </c>
      <c r="M106" s="67">
        <f t="shared" si="0"/>
        <v>49.41</v>
      </c>
      <c r="N106" s="67">
        <f t="shared" si="0"/>
        <v>45.6</v>
      </c>
      <c r="O106" s="67">
        <f t="shared" si="0"/>
        <v>0</v>
      </c>
      <c r="P106" s="67">
        <f t="shared" si="0"/>
        <v>0.51</v>
      </c>
      <c r="Q106" s="67">
        <f t="shared" si="0"/>
        <v>8.2100000000000009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18.16</v>
      </c>
      <c r="C107" s="66">
        <f t="shared" ref="C107:Q107" si="1">MAX(C9:C104)</f>
        <v>45.01</v>
      </c>
      <c r="D107" s="66">
        <f t="shared" si="1"/>
        <v>35.08</v>
      </c>
      <c r="E107" s="66">
        <f t="shared" si="1"/>
        <v>8.8800000000000008</v>
      </c>
      <c r="F107" s="66">
        <f t="shared" si="1"/>
        <v>5.74</v>
      </c>
      <c r="G107" s="66">
        <f t="shared" si="1"/>
        <v>214.91</v>
      </c>
      <c r="H107" s="66">
        <f t="shared" si="1"/>
        <v>24.66</v>
      </c>
      <c r="I107" s="66">
        <f t="shared" si="1"/>
        <v>0</v>
      </c>
      <c r="J107" s="66">
        <f t="shared" si="1"/>
        <v>6.27</v>
      </c>
      <c r="K107" s="66">
        <f t="shared" si="1"/>
        <v>356.93</v>
      </c>
      <c r="L107" s="66">
        <f t="shared" si="1"/>
        <v>29.53</v>
      </c>
      <c r="M107" s="66">
        <f t="shared" si="1"/>
        <v>102.27</v>
      </c>
      <c r="N107" s="66">
        <f t="shared" si="1"/>
        <v>624.6</v>
      </c>
      <c r="O107" s="66">
        <f t="shared" si="1"/>
        <v>0.2</v>
      </c>
      <c r="P107" s="66">
        <f t="shared" si="1"/>
        <v>1.88</v>
      </c>
      <c r="Q107" s="66">
        <f t="shared" si="1"/>
        <v>8.2100000000000009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10.555312499999994</v>
      </c>
      <c r="C108" s="67">
        <f t="shared" ref="C108:Q108" si="2">AVERAGE(C9:C104)</f>
        <v>36.954895833333332</v>
      </c>
      <c r="D108" s="67">
        <f t="shared" si="2"/>
        <v>26.395520833333325</v>
      </c>
      <c r="E108" s="67">
        <f t="shared" si="2"/>
        <v>5.8362500000000006</v>
      </c>
      <c r="F108" s="67">
        <f t="shared" si="2"/>
        <v>4.0181250000000004</v>
      </c>
      <c r="G108" s="67">
        <f t="shared" si="2"/>
        <v>57.768854166666614</v>
      </c>
      <c r="H108" s="67">
        <f t="shared" si="2"/>
        <v>18.352812500000002</v>
      </c>
      <c r="I108" s="67" t="e">
        <f t="shared" si="2"/>
        <v>#DIV/0!</v>
      </c>
      <c r="J108" s="67">
        <f t="shared" si="2"/>
        <v>2.7794791666666665</v>
      </c>
      <c r="K108" s="67">
        <f t="shared" si="2"/>
        <v>225.36979166666674</v>
      </c>
      <c r="L108" s="67">
        <f t="shared" si="2"/>
        <v>19.664687499999999</v>
      </c>
      <c r="M108" s="67">
        <f t="shared" si="2"/>
        <v>79.777083333333323</v>
      </c>
      <c r="N108" s="67">
        <f t="shared" si="2"/>
        <v>140.60104166666665</v>
      </c>
      <c r="O108" s="67">
        <f t="shared" si="2"/>
        <v>2.0833333333333333E-3</v>
      </c>
      <c r="P108" s="67">
        <f t="shared" si="2"/>
        <v>0.70874999999999988</v>
      </c>
      <c r="Q108" s="67">
        <f t="shared" si="2"/>
        <v>8.210000000000008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4.1254805023172922</v>
      </c>
      <c r="C109" s="67">
        <f t="shared" ref="C109:Q109" si="3">STDEV(C9:C104)</f>
        <v>3.4136499974110639</v>
      </c>
      <c r="D109" s="67">
        <f t="shared" si="3"/>
        <v>4.1665423933222296</v>
      </c>
      <c r="E109" s="67">
        <f t="shared" si="3"/>
        <v>0.71019826735029168</v>
      </c>
      <c r="F109" s="67">
        <f t="shared" si="3"/>
        <v>0.51189084465547785</v>
      </c>
      <c r="G109" s="67">
        <f t="shared" si="3"/>
        <v>38.058811853838577</v>
      </c>
      <c r="H109" s="67">
        <f t="shared" si="3"/>
        <v>3.7149826671338642</v>
      </c>
      <c r="I109" s="67" t="e">
        <f t="shared" si="3"/>
        <v>#DIV/0!</v>
      </c>
      <c r="J109" s="67">
        <f t="shared" si="3"/>
        <v>1.2107330270209449</v>
      </c>
      <c r="K109" s="67">
        <f t="shared" si="3"/>
        <v>114.80128654128865</v>
      </c>
      <c r="L109" s="67">
        <f t="shared" si="3"/>
        <v>4.2527972102890264</v>
      </c>
      <c r="M109" s="67">
        <f t="shared" si="3"/>
        <v>15.556695760425978</v>
      </c>
      <c r="N109" s="67">
        <f t="shared" si="3"/>
        <v>155.91099991225877</v>
      </c>
      <c r="O109" s="67">
        <f t="shared" si="3"/>
        <v>2.0412414523193152E-2</v>
      </c>
      <c r="P109" s="67">
        <f t="shared" si="3"/>
        <v>0.23845666052213488</v>
      </c>
      <c r="Q109" s="67">
        <f t="shared" si="3"/>
        <v>7.1427264451533946E-15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>COUNT(I9:I104)</f>
        <v>0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&lt;90%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LESS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topLeftCell="A94" zoomScale="85" zoomScaleNormal="85" workbookViewId="0">
      <selection activeCell="G120" sqref="G12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247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29/12/2024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231</v>
      </c>
      <c r="C7" s="198" t="s">
        <v>232</v>
      </c>
      <c r="D7" s="198" t="s">
        <v>233</v>
      </c>
      <c r="E7" s="198" t="s">
        <v>234</v>
      </c>
      <c r="F7" s="198" t="s">
        <v>235</v>
      </c>
      <c r="G7" s="198" t="s">
        <v>236</v>
      </c>
      <c r="H7" s="198" t="s">
        <v>237</v>
      </c>
      <c r="I7" s="198" t="s">
        <v>238</v>
      </c>
      <c r="J7" s="198" t="s">
        <v>239</v>
      </c>
      <c r="K7" s="198" t="s">
        <v>240</v>
      </c>
      <c r="L7" s="198" t="s">
        <v>241</v>
      </c>
      <c r="M7" s="198" t="s">
        <v>242</v>
      </c>
      <c r="N7" s="198" t="s">
        <v>243</v>
      </c>
      <c r="O7" s="198" t="s">
        <v>244</v>
      </c>
      <c r="P7" s="198" t="s">
        <v>245</v>
      </c>
      <c r="Q7" s="198" t="s">
        <v>246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226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x14ac:dyDescent="0.25">
      <c r="A9" s="215" t="s">
        <v>2936</v>
      </c>
      <c r="B9" s="64">
        <v>13.46</v>
      </c>
      <c r="C9" s="64">
        <v>36.28</v>
      </c>
      <c r="D9" s="64">
        <v>28.37</v>
      </c>
      <c r="E9" s="64">
        <v>6.32</v>
      </c>
      <c r="F9" s="64">
        <v>3.54</v>
      </c>
      <c r="G9" s="64">
        <v>21.61</v>
      </c>
      <c r="H9" s="64">
        <v>6.8</v>
      </c>
      <c r="I9" s="211" t="s">
        <v>43</v>
      </c>
      <c r="J9" s="64">
        <v>3.87</v>
      </c>
      <c r="K9" s="64">
        <v>106.99</v>
      </c>
      <c r="L9" s="64">
        <v>14.76</v>
      </c>
      <c r="M9" s="64">
        <v>99.83</v>
      </c>
      <c r="N9" s="64">
        <v>45.7</v>
      </c>
      <c r="O9" s="64">
        <v>0</v>
      </c>
      <c r="P9" s="64">
        <v>0.55000000000000004</v>
      </c>
      <c r="Q9" s="64">
        <v>8.2100000000000009</v>
      </c>
      <c r="R9" s="198"/>
      <c r="S9" s="198"/>
      <c r="T9" s="198"/>
      <c r="U9" s="198"/>
    </row>
    <row r="10" spans="1:21" s="12" customFormat="1" x14ac:dyDescent="0.25">
      <c r="A10" s="215" t="s">
        <v>2937</v>
      </c>
      <c r="B10" s="64">
        <v>13.54</v>
      </c>
      <c r="C10" s="64">
        <v>37.090000000000003</v>
      </c>
      <c r="D10" s="64">
        <v>28.86</v>
      </c>
      <c r="E10" s="64">
        <v>5.96</v>
      </c>
      <c r="F10" s="64">
        <v>3.26</v>
      </c>
      <c r="G10" s="64">
        <v>21.61</v>
      </c>
      <c r="H10" s="64">
        <v>6.8</v>
      </c>
      <c r="I10" s="211" t="s">
        <v>43</v>
      </c>
      <c r="J10" s="64">
        <v>4.1399999999999997</v>
      </c>
      <c r="K10" s="64">
        <v>109.93</v>
      </c>
      <c r="L10" s="64">
        <v>14.75</v>
      </c>
      <c r="M10" s="64">
        <v>100.19</v>
      </c>
      <c r="N10" s="64">
        <v>45.7</v>
      </c>
      <c r="O10" s="64">
        <v>0</v>
      </c>
      <c r="P10" s="64">
        <v>0.54</v>
      </c>
      <c r="Q10" s="64">
        <v>8.2100000000000009</v>
      </c>
      <c r="R10" s="198"/>
      <c r="S10" s="198"/>
      <c r="T10" s="198"/>
      <c r="U10" s="198"/>
    </row>
    <row r="11" spans="1:21" s="12" customFormat="1" x14ac:dyDescent="0.25">
      <c r="A11" s="215" t="s">
        <v>2938</v>
      </c>
      <c r="B11" s="64">
        <v>13.77</v>
      </c>
      <c r="C11" s="64">
        <v>37.76</v>
      </c>
      <c r="D11" s="64">
        <v>29.39</v>
      </c>
      <c r="E11" s="64">
        <v>6.09</v>
      </c>
      <c r="F11" s="64">
        <v>3.34</v>
      </c>
      <c r="G11" s="64">
        <v>16.170000000000002</v>
      </c>
      <c r="H11" s="64">
        <v>6.14</v>
      </c>
      <c r="I11" s="211" t="s">
        <v>43</v>
      </c>
      <c r="J11" s="64">
        <v>4.13</v>
      </c>
      <c r="K11" s="64">
        <v>111.44</v>
      </c>
      <c r="L11" s="64">
        <v>14.66</v>
      </c>
      <c r="M11" s="64">
        <v>100.03</v>
      </c>
      <c r="N11" s="64">
        <v>45.9</v>
      </c>
      <c r="O11" s="64">
        <v>0</v>
      </c>
      <c r="P11" s="64">
        <v>0.52</v>
      </c>
      <c r="Q11" s="64">
        <v>8.2100000000000009</v>
      </c>
      <c r="R11" s="198"/>
      <c r="S11" s="198"/>
      <c r="T11" s="198"/>
      <c r="U11" s="198"/>
    </row>
    <row r="12" spans="1:21" s="12" customFormat="1" x14ac:dyDescent="0.25">
      <c r="A12" s="215" t="s">
        <v>2939</v>
      </c>
      <c r="B12" s="64">
        <v>13.79</v>
      </c>
      <c r="C12" s="64">
        <v>37.96</v>
      </c>
      <c r="D12" s="64">
        <v>29.51</v>
      </c>
      <c r="E12" s="64">
        <v>5.84</v>
      </c>
      <c r="F12" s="64">
        <v>3.65</v>
      </c>
      <c r="G12" s="64">
        <v>13.84</v>
      </c>
      <c r="H12" s="64">
        <v>5.86</v>
      </c>
      <c r="I12" s="211" t="s">
        <v>43</v>
      </c>
      <c r="J12" s="64">
        <v>4.55</v>
      </c>
      <c r="K12" s="64">
        <v>104.11</v>
      </c>
      <c r="L12" s="64">
        <v>14.76</v>
      </c>
      <c r="M12" s="64">
        <v>99.31</v>
      </c>
      <c r="N12" s="64">
        <v>45.9</v>
      </c>
      <c r="O12" s="64">
        <v>0</v>
      </c>
      <c r="P12" s="64">
        <v>0.51</v>
      </c>
      <c r="Q12" s="64">
        <v>8.2100000000000009</v>
      </c>
      <c r="R12" s="198"/>
      <c r="S12" s="198"/>
      <c r="T12" s="198"/>
      <c r="U12" s="198"/>
    </row>
    <row r="13" spans="1:21" s="12" customFormat="1" x14ac:dyDescent="0.25">
      <c r="A13" s="215" t="s">
        <v>2940</v>
      </c>
      <c r="B13" s="64">
        <v>13.63</v>
      </c>
      <c r="C13" s="64">
        <v>34.869999999999997</v>
      </c>
      <c r="D13" s="64">
        <v>27.77</v>
      </c>
      <c r="E13" s="64">
        <v>5.74</v>
      </c>
      <c r="F13" s="64">
        <v>3.42</v>
      </c>
      <c r="G13" s="64">
        <v>13.84</v>
      </c>
      <c r="H13" s="64">
        <v>5.86</v>
      </c>
      <c r="I13" s="211" t="s">
        <v>43</v>
      </c>
      <c r="J13" s="64">
        <v>3.41</v>
      </c>
      <c r="K13" s="64">
        <v>100.27</v>
      </c>
      <c r="L13" s="64">
        <v>14.7</v>
      </c>
      <c r="M13" s="64">
        <v>99.67</v>
      </c>
      <c r="N13" s="64">
        <v>46.2</v>
      </c>
      <c r="O13" s="64">
        <v>0</v>
      </c>
      <c r="P13" s="64">
        <v>0.48</v>
      </c>
      <c r="Q13" s="64">
        <v>8.2100000000000009</v>
      </c>
      <c r="R13" s="198"/>
      <c r="S13" s="198"/>
      <c r="T13" s="198"/>
      <c r="U13" s="198"/>
    </row>
    <row r="14" spans="1:21" s="12" customFormat="1" x14ac:dyDescent="0.25">
      <c r="A14" s="215" t="s">
        <v>2941</v>
      </c>
      <c r="B14" s="64">
        <v>13.34</v>
      </c>
      <c r="C14" s="64">
        <v>33.82</v>
      </c>
      <c r="D14" s="64">
        <v>26.99</v>
      </c>
      <c r="E14" s="64">
        <v>6.23</v>
      </c>
      <c r="F14" s="64">
        <v>3.32</v>
      </c>
      <c r="G14" s="64">
        <v>13.84</v>
      </c>
      <c r="H14" s="64">
        <v>5.86</v>
      </c>
      <c r="I14" s="211" t="s">
        <v>43</v>
      </c>
      <c r="J14" s="64">
        <v>2.5</v>
      </c>
      <c r="K14" s="64">
        <v>128.79</v>
      </c>
      <c r="L14" s="64">
        <v>14.63</v>
      </c>
      <c r="M14" s="64">
        <v>100.17</v>
      </c>
      <c r="N14" s="64">
        <v>45.9</v>
      </c>
      <c r="O14" s="64">
        <v>0</v>
      </c>
      <c r="P14" s="64">
        <v>0.48</v>
      </c>
      <c r="Q14" s="64">
        <v>8.2100000000000009</v>
      </c>
      <c r="R14" s="198"/>
      <c r="S14" s="198"/>
      <c r="T14" s="198"/>
      <c r="U14" s="198"/>
    </row>
    <row r="15" spans="1:21" s="12" customFormat="1" x14ac:dyDescent="0.25">
      <c r="A15" s="215" t="s">
        <v>2942</v>
      </c>
      <c r="B15" s="64">
        <v>13.24</v>
      </c>
      <c r="C15" s="64">
        <v>35.619999999999997</v>
      </c>
      <c r="D15" s="64">
        <v>27.85</v>
      </c>
      <c r="E15" s="64">
        <v>6.01</v>
      </c>
      <c r="F15" s="64">
        <v>3.58</v>
      </c>
      <c r="G15" s="64">
        <v>15.14</v>
      </c>
      <c r="H15" s="64">
        <v>5.75</v>
      </c>
      <c r="I15" s="211" t="s">
        <v>43</v>
      </c>
      <c r="J15" s="64">
        <v>4.12</v>
      </c>
      <c r="K15" s="64">
        <v>114</v>
      </c>
      <c r="L15" s="64">
        <v>14.61</v>
      </c>
      <c r="M15" s="64">
        <v>100.91</v>
      </c>
      <c r="N15" s="64">
        <v>46</v>
      </c>
      <c r="O15" s="64">
        <v>0</v>
      </c>
      <c r="P15" s="64">
        <v>0.46</v>
      </c>
      <c r="Q15" s="64">
        <v>8.2100000000000009</v>
      </c>
      <c r="R15" s="198"/>
      <c r="S15" s="198"/>
      <c r="T15" s="198"/>
      <c r="U15" s="198"/>
    </row>
    <row r="16" spans="1:21" s="12" customFormat="1" x14ac:dyDescent="0.25">
      <c r="A16" s="215" t="s">
        <v>2943</v>
      </c>
      <c r="B16" s="64">
        <v>13.08</v>
      </c>
      <c r="C16" s="64">
        <v>36.67</v>
      </c>
      <c r="D16" s="64">
        <v>28.27</v>
      </c>
      <c r="E16" s="64">
        <v>6.06</v>
      </c>
      <c r="F16" s="64">
        <v>3.51</v>
      </c>
      <c r="G16" s="64">
        <v>15.72</v>
      </c>
      <c r="H16" s="64">
        <v>5.7</v>
      </c>
      <c r="I16" s="211" t="s">
        <v>43</v>
      </c>
      <c r="J16" s="64">
        <v>3.02</v>
      </c>
      <c r="K16" s="64">
        <v>113.42</v>
      </c>
      <c r="L16" s="64">
        <v>14.61</v>
      </c>
      <c r="M16" s="64">
        <v>101.19</v>
      </c>
      <c r="N16" s="64">
        <v>46.1</v>
      </c>
      <c r="O16" s="64">
        <v>0</v>
      </c>
      <c r="P16" s="64">
        <v>0.46</v>
      </c>
      <c r="Q16" s="64">
        <v>8.2100000000000009</v>
      </c>
      <c r="R16" s="198"/>
      <c r="S16" s="198"/>
      <c r="T16" s="198"/>
      <c r="U16" s="198"/>
    </row>
    <row r="17" spans="1:21" s="12" customFormat="1" x14ac:dyDescent="0.25">
      <c r="A17" s="215" t="s">
        <v>2944</v>
      </c>
      <c r="B17" s="64">
        <v>12.98</v>
      </c>
      <c r="C17" s="64">
        <v>36.909999999999997</v>
      </c>
      <c r="D17" s="64">
        <v>28.32</v>
      </c>
      <c r="E17" s="64">
        <v>5.9</v>
      </c>
      <c r="F17" s="64">
        <v>2.87</v>
      </c>
      <c r="G17" s="64">
        <v>15.72</v>
      </c>
      <c r="H17" s="64">
        <v>5.7</v>
      </c>
      <c r="I17" s="211" t="s">
        <v>43</v>
      </c>
      <c r="J17" s="64">
        <v>3.02</v>
      </c>
      <c r="K17" s="64">
        <v>125.87</v>
      </c>
      <c r="L17" s="64">
        <v>14.64</v>
      </c>
      <c r="M17" s="64">
        <v>101.37</v>
      </c>
      <c r="N17" s="64">
        <v>46.1</v>
      </c>
      <c r="O17" s="64">
        <v>0</v>
      </c>
      <c r="P17" s="64">
        <v>0.45</v>
      </c>
      <c r="Q17" s="64">
        <v>8.2100000000000009</v>
      </c>
      <c r="R17" s="198"/>
      <c r="S17" s="198"/>
      <c r="T17" s="198"/>
      <c r="U17" s="198"/>
    </row>
    <row r="18" spans="1:21" s="12" customFormat="1" x14ac:dyDescent="0.25">
      <c r="A18" s="215" t="s">
        <v>2945</v>
      </c>
      <c r="B18" s="64">
        <v>12.81</v>
      </c>
      <c r="C18" s="64">
        <v>36.36</v>
      </c>
      <c r="D18" s="64">
        <v>27.89</v>
      </c>
      <c r="E18" s="64">
        <v>5.89</v>
      </c>
      <c r="F18" s="64">
        <v>2.86</v>
      </c>
      <c r="G18" s="64">
        <v>15.72</v>
      </c>
      <c r="H18" s="64">
        <v>5.7</v>
      </c>
      <c r="I18" s="211" t="s">
        <v>43</v>
      </c>
      <c r="J18" s="64">
        <v>4.1900000000000004</v>
      </c>
      <c r="K18" s="64">
        <v>107.05</v>
      </c>
      <c r="L18" s="64">
        <v>14.55</v>
      </c>
      <c r="M18" s="64">
        <v>102.39</v>
      </c>
      <c r="N18" s="64">
        <v>46</v>
      </c>
      <c r="O18" s="64">
        <v>0</v>
      </c>
      <c r="P18" s="64">
        <v>0.43</v>
      </c>
      <c r="Q18" s="64">
        <v>8.2100000000000009</v>
      </c>
      <c r="R18" s="198"/>
      <c r="S18" s="198"/>
      <c r="T18" s="198"/>
      <c r="U18" s="198"/>
    </row>
    <row r="19" spans="1:21" s="12" customFormat="1" x14ac:dyDescent="0.25">
      <c r="A19" s="215" t="s">
        <v>2946</v>
      </c>
      <c r="B19" s="64">
        <v>12.57</v>
      </c>
      <c r="C19" s="64">
        <v>36.26</v>
      </c>
      <c r="D19" s="64">
        <v>27.65</v>
      </c>
      <c r="E19" s="64">
        <v>5.85</v>
      </c>
      <c r="F19" s="64">
        <v>3.58</v>
      </c>
      <c r="G19" s="64">
        <v>10.38</v>
      </c>
      <c r="H19" s="64">
        <v>5.79</v>
      </c>
      <c r="I19" s="211" t="s">
        <v>43</v>
      </c>
      <c r="J19" s="64">
        <v>2.96</v>
      </c>
      <c r="K19" s="64">
        <v>157.27000000000001</v>
      </c>
      <c r="L19" s="64">
        <v>14.4</v>
      </c>
      <c r="M19" s="64">
        <v>104.08</v>
      </c>
      <c r="N19" s="64">
        <v>45.9</v>
      </c>
      <c r="O19" s="64">
        <v>0</v>
      </c>
      <c r="P19" s="64">
        <v>0.42</v>
      </c>
      <c r="Q19" s="64">
        <v>8.2100000000000009</v>
      </c>
      <c r="R19" s="198"/>
      <c r="S19" s="198"/>
      <c r="T19" s="198"/>
      <c r="U19" s="198"/>
    </row>
    <row r="20" spans="1:21" s="12" customFormat="1" x14ac:dyDescent="0.25">
      <c r="A20" s="215" t="s">
        <v>2947</v>
      </c>
      <c r="B20" s="64">
        <v>12.41</v>
      </c>
      <c r="C20" s="64">
        <v>37.93</v>
      </c>
      <c r="D20" s="64">
        <v>28.39</v>
      </c>
      <c r="E20" s="64">
        <v>6.1</v>
      </c>
      <c r="F20" s="64">
        <v>3.45</v>
      </c>
      <c r="G20" s="64">
        <v>8.1</v>
      </c>
      <c r="H20" s="64">
        <v>5.84</v>
      </c>
      <c r="I20" s="211" t="s">
        <v>43</v>
      </c>
      <c r="J20" s="64">
        <v>2.29</v>
      </c>
      <c r="K20" s="64">
        <v>104.94</v>
      </c>
      <c r="L20" s="64">
        <v>14.31</v>
      </c>
      <c r="M20" s="64">
        <v>105.45</v>
      </c>
      <c r="N20" s="64">
        <v>45.8</v>
      </c>
      <c r="O20" s="64">
        <v>0</v>
      </c>
      <c r="P20" s="64">
        <v>0.41</v>
      </c>
      <c r="Q20" s="64">
        <v>8.2100000000000009</v>
      </c>
      <c r="R20" s="198"/>
      <c r="S20" s="198"/>
      <c r="T20" s="198"/>
      <c r="U20" s="198"/>
    </row>
    <row r="21" spans="1:21" s="12" customFormat="1" x14ac:dyDescent="0.25">
      <c r="A21" s="215" t="s">
        <v>2948</v>
      </c>
      <c r="B21" s="64">
        <v>12.22</v>
      </c>
      <c r="C21" s="64">
        <v>38.380000000000003</v>
      </c>
      <c r="D21" s="64">
        <v>28.48</v>
      </c>
      <c r="E21" s="64">
        <v>6.17</v>
      </c>
      <c r="F21" s="64">
        <v>3.48</v>
      </c>
      <c r="G21" s="64">
        <v>8.1</v>
      </c>
      <c r="H21" s="64">
        <v>5.84</v>
      </c>
      <c r="I21" s="211" t="s">
        <v>43</v>
      </c>
      <c r="J21" s="64">
        <v>2.02</v>
      </c>
      <c r="K21" s="64">
        <v>154.84</v>
      </c>
      <c r="L21" s="64">
        <v>14.25</v>
      </c>
      <c r="M21" s="64">
        <v>102.26</v>
      </c>
      <c r="N21" s="64">
        <v>45.8</v>
      </c>
      <c r="O21" s="64">
        <v>0</v>
      </c>
      <c r="P21" s="64">
        <v>0.41</v>
      </c>
      <c r="Q21" s="64">
        <v>8.2100000000000009</v>
      </c>
      <c r="R21" s="198"/>
      <c r="S21" s="198"/>
      <c r="T21" s="198"/>
      <c r="U21" s="198"/>
    </row>
    <row r="22" spans="1:21" s="12" customFormat="1" x14ac:dyDescent="0.25">
      <c r="A22" s="215" t="s">
        <v>2949</v>
      </c>
      <c r="B22" s="64">
        <v>11.92</v>
      </c>
      <c r="C22" s="64">
        <v>36.49</v>
      </c>
      <c r="D22" s="64">
        <v>27.24</v>
      </c>
      <c r="E22" s="64">
        <v>6.01</v>
      </c>
      <c r="F22" s="64">
        <v>4.49</v>
      </c>
      <c r="G22" s="64">
        <v>8.1</v>
      </c>
      <c r="H22" s="64">
        <v>5.84</v>
      </c>
      <c r="I22" s="211" t="s">
        <v>43</v>
      </c>
      <c r="J22" s="64">
        <v>3.44</v>
      </c>
      <c r="K22" s="64">
        <v>162.01</v>
      </c>
      <c r="L22" s="64">
        <v>14.18</v>
      </c>
      <c r="M22" s="64">
        <v>102.44</v>
      </c>
      <c r="N22" s="64">
        <v>45.7</v>
      </c>
      <c r="O22" s="64">
        <v>0</v>
      </c>
      <c r="P22" s="64">
        <v>0.4</v>
      </c>
      <c r="Q22" s="64">
        <v>8.2100000000000009</v>
      </c>
      <c r="R22" s="198"/>
      <c r="S22" s="198"/>
      <c r="T22" s="198"/>
      <c r="U22" s="198"/>
    </row>
    <row r="23" spans="1:21" s="12" customFormat="1" x14ac:dyDescent="0.25">
      <c r="A23" s="215" t="s">
        <v>2950</v>
      </c>
      <c r="B23" s="64">
        <v>11.65</v>
      </c>
      <c r="C23" s="64">
        <v>35.32</v>
      </c>
      <c r="D23" s="64">
        <v>26.42</v>
      </c>
      <c r="E23" s="64">
        <v>6.02</v>
      </c>
      <c r="F23" s="64">
        <v>3.87</v>
      </c>
      <c r="G23" s="64">
        <v>9.77</v>
      </c>
      <c r="H23" s="64">
        <v>5.94</v>
      </c>
      <c r="I23" s="211" t="s">
        <v>43</v>
      </c>
      <c r="J23" s="64">
        <v>2.66</v>
      </c>
      <c r="K23" s="64">
        <v>172.42</v>
      </c>
      <c r="L23" s="64">
        <v>14.1</v>
      </c>
      <c r="M23" s="64">
        <v>102.85</v>
      </c>
      <c r="N23" s="64">
        <v>45.8</v>
      </c>
      <c r="O23" s="64">
        <v>0</v>
      </c>
      <c r="P23" s="64">
        <v>0.39</v>
      </c>
      <c r="Q23" s="64">
        <v>8.2100000000000009</v>
      </c>
      <c r="R23" s="198"/>
      <c r="S23" s="198"/>
      <c r="T23" s="198"/>
      <c r="U23" s="198"/>
    </row>
    <row r="24" spans="1:21" s="12" customFormat="1" x14ac:dyDescent="0.25">
      <c r="A24" s="215" t="s">
        <v>2951</v>
      </c>
      <c r="B24" s="64">
        <v>11.45</v>
      </c>
      <c r="C24" s="64">
        <v>35.380000000000003</v>
      </c>
      <c r="D24" s="64">
        <v>26.29</v>
      </c>
      <c r="E24" s="64">
        <v>6.21</v>
      </c>
      <c r="F24" s="64">
        <v>3.07</v>
      </c>
      <c r="G24" s="64">
        <v>10.49</v>
      </c>
      <c r="H24" s="64">
        <v>5.99</v>
      </c>
      <c r="I24" s="211" t="s">
        <v>43</v>
      </c>
      <c r="J24" s="64">
        <v>4</v>
      </c>
      <c r="K24" s="64">
        <v>147.49</v>
      </c>
      <c r="L24" s="64">
        <v>14.13</v>
      </c>
      <c r="M24" s="64">
        <v>103.43</v>
      </c>
      <c r="N24" s="64">
        <v>45.6</v>
      </c>
      <c r="O24" s="64">
        <v>0</v>
      </c>
      <c r="P24" s="64">
        <v>0.38</v>
      </c>
      <c r="Q24" s="64">
        <v>8.2100000000000009</v>
      </c>
      <c r="R24" s="198"/>
      <c r="S24" s="198"/>
      <c r="T24" s="198"/>
      <c r="U24" s="198"/>
    </row>
    <row r="25" spans="1:21" s="12" customFormat="1" x14ac:dyDescent="0.25">
      <c r="A25" s="215" t="s">
        <v>2952</v>
      </c>
      <c r="B25" s="64">
        <v>11.25</v>
      </c>
      <c r="C25" s="64">
        <v>35.74</v>
      </c>
      <c r="D25" s="64">
        <v>26.32</v>
      </c>
      <c r="E25" s="64">
        <v>6.15</v>
      </c>
      <c r="F25" s="64">
        <v>3.76</v>
      </c>
      <c r="G25" s="64">
        <v>10.49</v>
      </c>
      <c r="H25" s="64">
        <v>5.99</v>
      </c>
      <c r="I25" s="211" t="s">
        <v>43</v>
      </c>
      <c r="J25" s="64">
        <v>3.33</v>
      </c>
      <c r="K25" s="64">
        <v>156.32</v>
      </c>
      <c r="L25" s="64">
        <v>14.24</v>
      </c>
      <c r="M25" s="64">
        <v>102.94</v>
      </c>
      <c r="N25" s="64">
        <v>45.9</v>
      </c>
      <c r="O25" s="64">
        <v>0</v>
      </c>
      <c r="P25" s="64">
        <v>0.38</v>
      </c>
      <c r="Q25" s="64">
        <v>8.2100000000000009</v>
      </c>
      <c r="R25" s="198"/>
      <c r="S25" s="198"/>
      <c r="T25" s="198"/>
      <c r="U25" s="198"/>
    </row>
    <row r="26" spans="1:21" s="12" customFormat="1" x14ac:dyDescent="0.25">
      <c r="A26" s="215" t="s">
        <v>2953</v>
      </c>
      <c r="B26" s="64">
        <v>11.15</v>
      </c>
      <c r="C26" s="64">
        <v>36.11</v>
      </c>
      <c r="D26" s="64">
        <v>26.43</v>
      </c>
      <c r="E26" s="64">
        <v>5.71</v>
      </c>
      <c r="F26" s="64">
        <v>3.55</v>
      </c>
      <c r="G26" s="64">
        <v>10.49</v>
      </c>
      <c r="H26" s="64">
        <v>5.99</v>
      </c>
      <c r="I26" s="211" t="s">
        <v>43</v>
      </c>
      <c r="J26" s="64">
        <v>3.39</v>
      </c>
      <c r="K26" s="64">
        <v>157.61000000000001</v>
      </c>
      <c r="L26" s="64">
        <v>14.43</v>
      </c>
      <c r="M26" s="64">
        <v>102.43</v>
      </c>
      <c r="N26" s="64">
        <v>46</v>
      </c>
      <c r="O26" s="64">
        <v>0</v>
      </c>
      <c r="P26" s="64">
        <v>0.38</v>
      </c>
      <c r="Q26" s="64">
        <v>8.2100000000000009</v>
      </c>
      <c r="R26" s="198"/>
      <c r="S26" s="198"/>
      <c r="T26" s="198"/>
      <c r="U26" s="198"/>
    </row>
    <row r="27" spans="1:21" s="12" customFormat="1" x14ac:dyDescent="0.25">
      <c r="A27" s="215" t="s">
        <v>2954</v>
      </c>
      <c r="B27" s="64">
        <v>11.13</v>
      </c>
      <c r="C27" s="64">
        <v>36.340000000000003</v>
      </c>
      <c r="D27" s="64">
        <v>26.53</v>
      </c>
      <c r="E27" s="64">
        <v>5.84</v>
      </c>
      <c r="F27" s="64">
        <v>3.31</v>
      </c>
      <c r="G27" s="64">
        <v>11.15</v>
      </c>
      <c r="H27" s="64">
        <v>6.11</v>
      </c>
      <c r="I27" s="211" t="s">
        <v>43</v>
      </c>
      <c r="J27" s="64">
        <v>1.91</v>
      </c>
      <c r="K27" s="64">
        <v>154.53</v>
      </c>
      <c r="L27" s="64">
        <v>14.47</v>
      </c>
      <c r="M27" s="64">
        <v>101.89</v>
      </c>
      <c r="N27" s="64">
        <v>46.2</v>
      </c>
      <c r="O27" s="64">
        <v>0</v>
      </c>
      <c r="P27" s="64">
        <v>0.38</v>
      </c>
      <c r="Q27" s="64">
        <v>8.2100000000000009</v>
      </c>
      <c r="R27" s="198"/>
      <c r="S27" s="198"/>
      <c r="T27" s="198"/>
      <c r="U27" s="198"/>
    </row>
    <row r="28" spans="1:21" s="12" customFormat="1" x14ac:dyDescent="0.25">
      <c r="A28" s="215" t="s">
        <v>2955</v>
      </c>
      <c r="B28" s="64">
        <v>11.21</v>
      </c>
      <c r="C28" s="64">
        <v>36.01</v>
      </c>
      <c r="D28" s="64">
        <v>26.43</v>
      </c>
      <c r="E28" s="64">
        <v>6.09</v>
      </c>
      <c r="F28" s="64">
        <v>3.54</v>
      </c>
      <c r="G28" s="64">
        <v>11.43</v>
      </c>
      <c r="H28" s="64">
        <v>6.17</v>
      </c>
      <c r="I28" s="211" t="s">
        <v>43</v>
      </c>
      <c r="J28" s="64">
        <v>0.39</v>
      </c>
      <c r="K28" s="64">
        <v>116.5</v>
      </c>
      <c r="L28" s="64">
        <v>14.48</v>
      </c>
      <c r="M28" s="64">
        <v>101.73</v>
      </c>
      <c r="N28" s="64">
        <v>46.4</v>
      </c>
      <c r="O28" s="64">
        <v>0</v>
      </c>
      <c r="P28" s="64">
        <v>0.37</v>
      </c>
      <c r="Q28" s="64">
        <v>8.2100000000000009</v>
      </c>
      <c r="R28" s="198"/>
      <c r="S28" s="198"/>
      <c r="T28" s="198"/>
      <c r="U28" s="198"/>
    </row>
    <row r="29" spans="1:21" s="12" customFormat="1" x14ac:dyDescent="0.25">
      <c r="A29" s="215" t="s">
        <v>2956</v>
      </c>
      <c r="B29" s="64">
        <v>11.49</v>
      </c>
      <c r="C29" s="64">
        <v>34.64</v>
      </c>
      <c r="D29" s="64">
        <v>25.94</v>
      </c>
      <c r="E29" s="64">
        <v>6.29</v>
      </c>
      <c r="F29" s="64">
        <v>3.47</v>
      </c>
      <c r="G29" s="64">
        <v>11.43</v>
      </c>
      <c r="H29" s="64">
        <v>6.17</v>
      </c>
      <c r="I29" s="211" t="s">
        <v>43</v>
      </c>
      <c r="J29" s="64">
        <v>1.66</v>
      </c>
      <c r="K29" s="64">
        <v>311.82</v>
      </c>
      <c r="L29" s="64">
        <v>14.37</v>
      </c>
      <c r="M29" s="64">
        <v>101.84</v>
      </c>
      <c r="N29" s="64">
        <v>46</v>
      </c>
      <c r="O29" s="64">
        <v>0</v>
      </c>
      <c r="P29" s="64">
        <v>0.37</v>
      </c>
      <c r="Q29" s="64">
        <v>8.2100000000000009</v>
      </c>
      <c r="R29" s="198"/>
      <c r="S29" s="198"/>
      <c r="T29" s="198"/>
      <c r="U29" s="198"/>
    </row>
    <row r="30" spans="1:21" s="12" customFormat="1" x14ac:dyDescent="0.25">
      <c r="A30" s="215" t="s">
        <v>2957</v>
      </c>
      <c r="B30" s="64">
        <v>11.96</v>
      </c>
      <c r="C30" s="64">
        <v>32.520000000000003</v>
      </c>
      <c r="D30" s="64">
        <v>25.21</v>
      </c>
      <c r="E30" s="64">
        <v>6.06</v>
      </c>
      <c r="F30" s="64">
        <v>3.77</v>
      </c>
      <c r="G30" s="64">
        <v>11.43</v>
      </c>
      <c r="H30" s="64">
        <v>6.17</v>
      </c>
      <c r="I30" s="211" t="s">
        <v>43</v>
      </c>
      <c r="J30" s="64">
        <v>2.4900000000000002</v>
      </c>
      <c r="K30" s="64">
        <v>329.76</v>
      </c>
      <c r="L30" s="64">
        <v>14.19</v>
      </c>
      <c r="M30" s="64">
        <v>102.27</v>
      </c>
      <c r="N30" s="64">
        <v>45.7</v>
      </c>
      <c r="O30" s="64">
        <v>0</v>
      </c>
      <c r="P30" s="64">
        <v>0.37</v>
      </c>
      <c r="Q30" s="64">
        <v>8.2100000000000009</v>
      </c>
      <c r="R30" s="198"/>
      <c r="S30" s="198"/>
      <c r="T30" s="198"/>
      <c r="U30" s="198"/>
    </row>
    <row r="31" spans="1:21" s="12" customFormat="1" x14ac:dyDescent="0.25">
      <c r="A31" s="215" t="s">
        <v>2958</v>
      </c>
      <c r="B31" s="64">
        <v>12.32</v>
      </c>
      <c r="C31" s="64">
        <v>34.47</v>
      </c>
      <c r="D31" s="64">
        <v>26.51</v>
      </c>
      <c r="E31" s="64">
        <v>6.6</v>
      </c>
      <c r="F31" s="64">
        <v>3.32</v>
      </c>
      <c r="G31" s="64">
        <v>15.61</v>
      </c>
      <c r="H31" s="64">
        <v>4.8899999999999997</v>
      </c>
      <c r="I31" s="211" t="s">
        <v>43</v>
      </c>
      <c r="J31" s="64">
        <v>3.04</v>
      </c>
      <c r="K31" s="64">
        <v>334.11</v>
      </c>
      <c r="L31" s="64">
        <v>14.12</v>
      </c>
      <c r="M31" s="64">
        <v>102.28</v>
      </c>
      <c r="N31" s="64">
        <v>46.1</v>
      </c>
      <c r="O31" s="64">
        <v>0</v>
      </c>
      <c r="P31" s="64">
        <v>0.37</v>
      </c>
      <c r="Q31" s="64">
        <v>8.2100000000000009</v>
      </c>
      <c r="R31" s="198"/>
      <c r="S31" s="198"/>
      <c r="T31" s="198"/>
      <c r="U31" s="198"/>
    </row>
    <row r="32" spans="1:21" s="12" customFormat="1" x14ac:dyDescent="0.25">
      <c r="A32" s="215" t="s">
        <v>2959</v>
      </c>
      <c r="B32" s="64">
        <v>12.77</v>
      </c>
      <c r="C32" s="64">
        <v>35.369999999999997</v>
      </c>
      <c r="D32" s="64">
        <v>27.35</v>
      </c>
      <c r="E32" s="64">
        <v>6.16</v>
      </c>
      <c r="F32" s="64">
        <v>3.18</v>
      </c>
      <c r="G32" s="64">
        <v>17.5</v>
      </c>
      <c r="H32" s="64">
        <v>4.3499999999999996</v>
      </c>
      <c r="I32" s="211" t="s">
        <v>43</v>
      </c>
      <c r="J32" s="64">
        <v>2.5</v>
      </c>
      <c r="K32" s="64">
        <v>339.14</v>
      </c>
      <c r="L32" s="64">
        <v>13.88</v>
      </c>
      <c r="M32" s="64">
        <v>102.31</v>
      </c>
      <c r="N32" s="64">
        <v>46</v>
      </c>
      <c r="O32" s="64">
        <v>0</v>
      </c>
      <c r="P32" s="64">
        <v>0.38</v>
      </c>
      <c r="Q32" s="64">
        <v>8.2100000000000009</v>
      </c>
      <c r="R32" s="198"/>
      <c r="S32" s="198"/>
      <c r="T32" s="198"/>
      <c r="U32" s="198"/>
    </row>
    <row r="33" spans="1:21" s="12" customFormat="1" x14ac:dyDescent="0.25">
      <c r="A33" s="215" t="s">
        <v>2960</v>
      </c>
      <c r="B33" s="64">
        <v>13.55</v>
      </c>
      <c r="C33" s="64">
        <v>36.58</v>
      </c>
      <c r="D33" s="64">
        <v>28.6</v>
      </c>
      <c r="E33" s="64">
        <v>6.68</v>
      </c>
      <c r="F33" s="64">
        <v>3.5</v>
      </c>
      <c r="G33" s="64">
        <v>17.5</v>
      </c>
      <c r="H33" s="64">
        <v>4.3499999999999996</v>
      </c>
      <c r="I33" s="211" t="s">
        <v>43</v>
      </c>
      <c r="J33" s="64">
        <v>2.42</v>
      </c>
      <c r="K33" s="64">
        <v>325.55</v>
      </c>
      <c r="L33" s="64">
        <v>13.69</v>
      </c>
      <c r="M33" s="64">
        <v>102.32</v>
      </c>
      <c r="N33" s="64">
        <v>45.6</v>
      </c>
      <c r="O33" s="64">
        <v>0</v>
      </c>
      <c r="P33" s="64">
        <v>0.38</v>
      </c>
      <c r="Q33" s="64">
        <v>8.2100000000000009</v>
      </c>
      <c r="R33" s="198"/>
      <c r="S33" s="198"/>
      <c r="T33" s="198"/>
      <c r="U33" s="198"/>
    </row>
    <row r="34" spans="1:21" s="12" customFormat="1" x14ac:dyDescent="0.25">
      <c r="A34" s="215" t="s">
        <v>2961</v>
      </c>
      <c r="B34" s="64">
        <v>14.71</v>
      </c>
      <c r="C34" s="64">
        <v>36.81</v>
      </c>
      <c r="D34" s="64">
        <v>29.65</v>
      </c>
      <c r="E34" s="64">
        <v>6.26</v>
      </c>
      <c r="F34" s="64">
        <v>4.03</v>
      </c>
      <c r="G34" s="64">
        <v>17.5</v>
      </c>
      <c r="H34" s="64">
        <v>4.3499999999999996</v>
      </c>
      <c r="I34" s="211" t="s">
        <v>43</v>
      </c>
      <c r="J34" s="64">
        <v>2.94</v>
      </c>
      <c r="K34" s="64">
        <v>337</v>
      </c>
      <c r="L34" s="64">
        <v>13.78</v>
      </c>
      <c r="M34" s="64">
        <v>102.35</v>
      </c>
      <c r="N34" s="64">
        <v>46</v>
      </c>
      <c r="O34" s="64">
        <v>0</v>
      </c>
      <c r="P34" s="64">
        <v>0.4</v>
      </c>
      <c r="Q34" s="64">
        <v>8.2100000000000009</v>
      </c>
      <c r="R34" s="198"/>
      <c r="S34" s="198"/>
      <c r="T34" s="198"/>
      <c r="U34" s="198"/>
    </row>
    <row r="35" spans="1:21" s="12" customFormat="1" x14ac:dyDescent="0.25">
      <c r="A35" s="215" t="s">
        <v>2962</v>
      </c>
      <c r="B35" s="64">
        <v>15.98</v>
      </c>
      <c r="C35" s="64">
        <v>37.18</v>
      </c>
      <c r="D35" s="64">
        <v>30.86</v>
      </c>
      <c r="E35" s="64">
        <v>6.95</v>
      </c>
      <c r="F35" s="64">
        <v>3.77</v>
      </c>
      <c r="G35" s="64">
        <v>39.24</v>
      </c>
      <c r="H35" s="64">
        <v>10.31</v>
      </c>
      <c r="I35" s="211" t="s">
        <v>43</v>
      </c>
      <c r="J35" s="64">
        <v>2.0499999999999998</v>
      </c>
      <c r="K35" s="64">
        <v>342.87</v>
      </c>
      <c r="L35" s="64">
        <v>13.77</v>
      </c>
      <c r="M35" s="64">
        <v>102.37</v>
      </c>
      <c r="N35" s="64">
        <v>48.6</v>
      </c>
      <c r="O35" s="64">
        <v>0</v>
      </c>
      <c r="P35" s="64">
        <v>0.44</v>
      </c>
      <c r="Q35" s="64">
        <v>8.2100000000000009</v>
      </c>
      <c r="R35" s="198"/>
      <c r="S35" s="198"/>
      <c r="T35" s="198"/>
      <c r="U35" s="198"/>
    </row>
    <row r="36" spans="1:21" s="12" customFormat="1" x14ac:dyDescent="0.25">
      <c r="A36" s="215" t="s">
        <v>2963</v>
      </c>
      <c r="B36" s="64">
        <v>17.93</v>
      </c>
      <c r="C36" s="64">
        <v>36.93</v>
      </c>
      <c r="D36" s="64">
        <v>32.299999999999997</v>
      </c>
      <c r="E36" s="64">
        <v>7.49</v>
      </c>
      <c r="F36" s="64">
        <v>3.63</v>
      </c>
      <c r="G36" s="64">
        <v>48.56</v>
      </c>
      <c r="H36" s="64">
        <v>12.86</v>
      </c>
      <c r="I36" s="211" t="s">
        <v>43</v>
      </c>
      <c r="J36" s="64">
        <v>2.31</v>
      </c>
      <c r="K36" s="64">
        <v>331.84</v>
      </c>
      <c r="L36" s="64">
        <v>13.74</v>
      </c>
      <c r="M36" s="64">
        <v>102.38</v>
      </c>
      <c r="N36" s="64">
        <v>56.7</v>
      </c>
      <c r="O36" s="64">
        <v>0</v>
      </c>
      <c r="P36" s="64">
        <v>0.46</v>
      </c>
      <c r="Q36" s="64">
        <v>8.2100000000000009</v>
      </c>
      <c r="R36" s="198"/>
      <c r="S36" s="198"/>
      <c r="T36" s="198"/>
      <c r="U36" s="198"/>
    </row>
    <row r="37" spans="1:21" s="12" customFormat="1" x14ac:dyDescent="0.25">
      <c r="A37" s="215" t="s">
        <v>2964</v>
      </c>
      <c r="B37" s="64">
        <v>19.559999999999999</v>
      </c>
      <c r="C37" s="64">
        <v>36.450000000000003</v>
      </c>
      <c r="D37" s="64">
        <v>33.35</v>
      </c>
      <c r="E37" s="64">
        <v>7.36</v>
      </c>
      <c r="F37" s="64">
        <v>3.73</v>
      </c>
      <c r="G37" s="64">
        <v>48.56</v>
      </c>
      <c r="H37" s="64">
        <v>12.86</v>
      </c>
      <c r="I37" s="211" t="s">
        <v>43</v>
      </c>
      <c r="J37" s="64">
        <v>2.5</v>
      </c>
      <c r="K37" s="64">
        <v>330.23</v>
      </c>
      <c r="L37" s="64">
        <v>13.91</v>
      </c>
      <c r="M37" s="64">
        <v>102.41</v>
      </c>
      <c r="N37" s="64">
        <v>69.8</v>
      </c>
      <c r="O37" s="64">
        <v>0</v>
      </c>
      <c r="P37" s="64">
        <v>0.53</v>
      </c>
      <c r="Q37" s="64">
        <v>8.2100000000000009</v>
      </c>
      <c r="R37" s="198"/>
      <c r="S37" s="198"/>
      <c r="T37" s="198"/>
      <c r="U37" s="198"/>
    </row>
    <row r="38" spans="1:21" s="12" customFormat="1" x14ac:dyDescent="0.25">
      <c r="A38" s="215" t="s">
        <v>2965</v>
      </c>
      <c r="B38" s="64">
        <v>21.19</v>
      </c>
      <c r="C38" s="64">
        <v>37.79</v>
      </c>
      <c r="D38" s="64">
        <v>35.36</v>
      </c>
      <c r="E38" s="64">
        <v>7.3</v>
      </c>
      <c r="F38" s="64">
        <v>3.62</v>
      </c>
      <c r="G38" s="64">
        <v>48.56</v>
      </c>
      <c r="H38" s="64">
        <v>12.86</v>
      </c>
      <c r="I38" s="211" t="s">
        <v>43</v>
      </c>
      <c r="J38" s="64">
        <v>2.3199999999999998</v>
      </c>
      <c r="K38" s="64">
        <v>331.7</v>
      </c>
      <c r="L38" s="64">
        <v>14.25</v>
      </c>
      <c r="M38" s="64">
        <v>102.44</v>
      </c>
      <c r="N38" s="64">
        <v>87.1</v>
      </c>
      <c r="O38" s="64">
        <v>0</v>
      </c>
      <c r="P38" s="64">
        <v>0.56999999999999995</v>
      </c>
      <c r="Q38" s="64">
        <v>8.2100000000000009</v>
      </c>
      <c r="R38" s="198"/>
      <c r="S38" s="198"/>
      <c r="T38" s="198"/>
      <c r="U38" s="198"/>
    </row>
    <row r="39" spans="1:21" s="12" customFormat="1" x14ac:dyDescent="0.25">
      <c r="A39" s="215" t="s">
        <v>2966</v>
      </c>
      <c r="B39" s="64">
        <v>23.21</v>
      </c>
      <c r="C39" s="64">
        <v>37.49</v>
      </c>
      <c r="D39" s="64">
        <v>36.83</v>
      </c>
      <c r="E39" s="64">
        <v>8.2200000000000006</v>
      </c>
      <c r="F39" s="64">
        <v>3.92</v>
      </c>
      <c r="G39" s="64">
        <v>73.36</v>
      </c>
      <c r="H39" s="64">
        <v>15.16</v>
      </c>
      <c r="I39" s="211" t="s">
        <v>43</v>
      </c>
      <c r="J39" s="64">
        <v>2.2200000000000002</v>
      </c>
      <c r="K39" s="64">
        <v>335.69</v>
      </c>
      <c r="L39" s="64">
        <v>14.89</v>
      </c>
      <c r="M39" s="64">
        <v>102.42</v>
      </c>
      <c r="N39" s="64">
        <v>111.3</v>
      </c>
      <c r="O39" s="64">
        <v>0</v>
      </c>
      <c r="P39" s="64">
        <v>0.6</v>
      </c>
      <c r="Q39" s="64">
        <v>8.2100000000000009</v>
      </c>
      <c r="R39" s="198"/>
      <c r="S39" s="198"/>
      <c r="T39" s="198"/>
      <c r="U39" s="198"/>
    </row>
    <row r="40" spans="1:21" s="12" customFormat="1" x14ac:dyDescent="0.25">
      <c r="A40" s="215" t="s">
        <v>2967</v>
      </c>
      <c r="B40" s="64">
        <v>25.06</v>
      </c>
      <c r="C40" s="64">
        <v>37.119999999999997</v>
      </c>
      <c r="D40" s="64">
        <v>38.119999999999997</v>
      </c>
      <c r="E40" s="64">
        <v>7.11</v>
      </c>
      <c r="F40" s="64">
        <v>3.94</v>
      </c>
      <c r="G40" s="64">
        <v>83.98</v>
      </c>
      <c r="H40" s="64">
        <v>16.14</v>
      </c>
      <c r="I40" s="211" t="s">
        <v>43</v>
      </c>
      <c r="J40" s="64">
        <v>2.33</v>
      </c>
      <c r="K40" s="64">
        <v>323.27999999999997</v>
      </c>
      <c r="L40" s="64">
        <v>16.02</v>
      </c>
      <c r="M40" s="64">
        <v>99.42</v>
      </c>
      <c r="N40" s="64">
        <v>168.1</v>
      </c>
      <c r="O40" s="64">
        <v>0</v>
      </c>
      <c r="P40" s="64">
        <v>0.62</v>
      </c>
      <c r="Q40" s="64">
        <v>8.2100000000000009</v>
      </c>
      <c r="R40" s="198"/>
      <c r="S40" s="198"/>
      <c r="T40" s="198"/>
      <c r="U40" s="198"/>
    </row>
    <row r="41" spans="1:21" s="12" customFormat="1" x14ac:dyDescent="0.25">
      <c r="A41" s="215" t="s">
        <v>2968</v>
      </c>
      <c r="B41" s="64">
        <v>26.67</v>
      </c>
      <c r="C41" s="64">
        <v>37.15</v>
      </c>
      <c r="D41" s="64">
        <v>39.42</v>
      </c>
      <c r="E41" s="64">
        <v>7.89</v>
      </c>
      <c r="F41" s="64">
        <v>4.04</v>
      </c>
      <c r="G41" s="64">
        <v>83.98</v>
      </c>
      <c r="H41" s="64">
        <v>16.14</v>
      </c>
      <c r="I41" s="211" t="s">
        <v>43</v>
      </c>
      <c r="J41" s="64">
        <v>2.66</v>
      </c>
      <c r="K41" s="64">
        <v>332.12</v>
      </c>
      <c r="L41" s="64">
        <v>17.760000000000002</v>
      </c>
      <c r="M41" s="64">
        <v>89.81</v>
      </c>
      <c r="N41" s="64">
        <v>207.2</v>
      </c>
      <c r="O41" s="64">
        <v>0</v>
      </c>
      <c r="P41" s="64">
        <v>0.65</v>
      </c>
      <c r="Q41" s="64">
        <v>8.2100000000000009</v>
      </c>
      <c r="R41" s="198"/>
      <c r="S41" s="198"/>
      <c r="T41" s="198"/>
      <c r="U41" s="198"/>
    </row>
    <row r="42" spans="1:21" s="12" customFormat="1" x14ac:dyDescent="0.25">
      <c r="A42" s="215" t="s">
        <v>2969</v>
      </c>
      <c r="B42" s="64">
        <v>28.37</v>
      </c>
      <c r="C42" s="64">
        <v>37.369999999999997</v>
      </c>
      <c r="D42" s="64">
        <v>40.9</v>
      </c>
      <c r="E42" s="64">
        <v>7.92</v>
      </c>
      <c r="F42" s="64">
        <v>4.13</v>
      </c>
      <c r="G42" s="64">
        <v>83.98</v>
      </c>
      <c r="H42" s="64">
        <v>16.14</v>
      </c>
      <c r="I42" s="211" t="s">
        <v>43</v>
      </c>
      <c r="J42" s="64">
        <v>2.89</v>
      </c>
      <c r="K42" s="64">
        <v>330.52</v>
      </c>
      <c r="L42" s="64">
        <v>19.170000000000002</v>
      </c>
      <c r="M42" s="64">
        <v>82.49</v>
      </c>
      <c r="N42" s="64">
        <v>249.6</v>
      </c>
      <c r="O42" s="64">
        <v>0</v>
      </c>
      <c r="P42" s="64">
        <v>0.67</v>
      </c>
      <c r="Q42" s="64">
        <v>8.2100000000000009</v>
      </c>
      <c r="R42" s="198"/>
      <c r="S42" s="198"/>
      <c r="T42" s="198"/>
      <c r="U42" s="198"/>
    </row>
    <row r="43" spans="1:21" s="12" customFormat="1" x14ac:dyDescent="0.25">
      <c r="A43" s="215" t="s">
        <v>2970</v>
      </c>
      <c r="B43" s="64">
        <v>30.33</v>
      </c>
      <c r="C43" s="64">
        <v>38.409999999999997</v>
      </c>
      <c r="D43" s="64">
        <v>43.01</v>
      </c>
      <c r="E43" s="64">
        <v>8.16</v>
      </c>
      <c r="F43" s="64">
        <v>3.88</v>
      </c>
      <c r="G43" s="64">
        <v>94.92</v>
      </c>
      <c r="H43" s="64">
        <v>18.989999999999998</v>
      </c>
      <c r="I43" s="211" t="s">
        <v>43</v>
      </c>
      <c r="J43" s="64">
        <v>2.68</v>
      </c>
      <c r="K43" s="64">
        <v>340.27</v>
      </c>
      <c r="L43" s="64">
        <v>20.22</v>
      </c>
      <c r="M43" s="64">
        <v>78.02</v>
      </c>
      <c r="N43" s="64">
        <v>282.2</v>
      </c>
      <c r="O43" s="64">
        <v>0</v>
      </c>
      <c r="P43" s="64">
        <v>0.69</v>
      </c>
      <c r="Q43" s="64">
        <v>8.2100000000000009</v>
      </c>
      <c r="R43" s="198"/>
      <c r="S43" s="198"/>
      <c r="T43" s="198"/>
      <c r="U43" s="198"/>
    </row>
    <row r="44" spans="1:21" s="12" customFormat="1" x14ac:dyDescent="0.25">
      <c r="A44" s="215" t="s">
        <v>2971</v>
      </c>
      <c r="B44" s="64">
        <v>32.229999999999997</v>
      </c>
      <c r="C44" s="64">
        <v>38.590000000000003</v>
      </c>
      <c r="D44" s="64">
        <v>44.63</v>
      </c>
      <c r="E44" s="64">
        <v>8.06</v>
      </c>
      <c r="F44" s="64">
        <v>3.79</v>
      </c>
      <c r="G44" s="64">
        <v>99.6</v>
      </c>
      <c r="H44" s="64">
        <v>20.21</v>
      </c>
      <c r="I44" s="211" t="s">
        <v>43</v>
      </c>
      <c r="J44" s="64">
        <v>2.5299999999999998</v>
      </c>
      <c r="K44" s="64">
        <v>332.98</v>
      </c>
      <c r="L44" s="64">
        <v>21.29</v>
      </c>
      <c r="M44" s="64">
        <v>73.819999999999993</v>
      </c>
      <c r="N44" s="64">
        <v>368.7</v>
      </c>
      <c r="O44" s="64">
        <v>0</v>
      </c>
      <c r="P44" s="64">
        <v>0.72</v>
      </c>
      <c r="Q44" s="64">
        <v>8.2100000000000009</v>
      </c>
      <c r="R44" s="198"/>
      <c r="S44" s="198"/>
      <c r="T44" s="198"/>
      <c r="U44" s="198"/>
    </row>
    <row r="45" spans="1:21" s="12" customFormat="1" x14ac:dyDescent="0.25">
      <c r="A45" s="215" t="s">
        <v>2972</v>
      </c>
      <c r="B45" s="64">
        <v>34.369999999999997</v>
      </c>
      <c r="C45" s="64">
        <v>38.619999999999997</v>
      </c>
      <c r="D45" s="64">
        <v>46.36</v>
      </c>
      <c r="E45" s="64">
        <v>7.94</v>
      </c>
      <c r="F45" s="64">
        <v>4.24</v>
      </c>
      <c r="G45" s="64">
        <v>99.6</v>
      </c>
      <c r="H45" s="64">
        <v>20.21</v>
      </c>
      <c r="I45" s="211" t="s">
        <v>43</v>
      </c>
      <c r="J45" s="64">
        <v>2.46</v>
      </c>
      <c r="K45" s="64">
        <v>336.8</v>
      </c>
      <c r="L45" s="64">
        <v>22.47</v>
      </c>
      <c r="M45" s="64">
        <v>68.23</v>
      </c>
      <c r="N45" s="64">
        <v>312.3</v>
      </c>
      <c r="O45" s="64">
        <v>0</v>
      </c>
      <c r="P45" s="64">
        <v>0.76</v>
      </c>
      <c r="Q45" s="64">
        <v>8.27</v>
      </c>
      <c r="R45" s="198"/>
      <c r="S45" s="198"/>
      <c r="T45" s="198"/>
      <c r="U45" s="198"/>
    </row>
    <row r="46" spans="1:21" s="12" customFormat="1" x14ac:dyDescent="0.25">
      <c r="A46" s="215" t="s">
        <v>2973</v>
      </c>
      <c r="B46" s="64">
        <v>36.549999999999997</v>
      </c>
      <c r="C46" s="64">
        <v>38.56</v>
      </c>
      <c r="D46" s="64">
        <v>48.08</v>
      </c>
      <c r="E46" s="64">
        <v>7.96</v>
      </c>
      <c r="F46" s="64">
        <v>3.96</v>
      </c>
      <c r="G46" s="64">
        <v>99.6</v>
      </c>
      <c r="H46" s="64">
        <v>20.21</v>
      </c>
      <c r="I46" s="211" t="s">
        <v>43</v>
      </c>
      <c r="J46" s="64">
        <v>1.31</v>
      </c>
      <c r="K46" s="64">
        <v>0.01</v>
      </c>
      <c r="L46" s="64">
        <v>21.37</v>
      </c>
      <c r="M46" s="64">
        <v>72.510000000000005</v>
      </c>
      <c r="N46" s="64">
        <v>254.3</v>
      </c>
      <c r="O46" s="64">
        <v>0</v>
      </c>
      <c r="P46" s="64">
        <v>0.78</v>
      </c>
      <c r="Q46" s="64">
        <v>8.4600000000000009</v>
      </c>
      <c r="R46" s="198"/>
      <c r="S46" s="198"/>
      <c r="T46" s="198"/>
      <c r="U46" s="198"/>
    </row>
    <row r="47" spans="1:21" s="12" customFormat="1" x14ac:dyDescent="0.25">
      <c r="A47" s="215" t="s">
        <v>2974</v>
      </c>
      <c r="B47" s="64">
        <v>37.57</v>
      </c>
      <c r="C47" s="64">
        <v>35.71</v>
      </c>
      <c r="D47" s="64">
        <v>47.41</v>
      </c>
      <c r="E47" s="64">
        <v>7.77</v>
      </c>
      <c r="F47" s="64">
        <v>4.4000000000000004</v>
      </c>
      <c r="G47" s="64">
        <v>112.37</v>
      </c>
      <c r="H47" s="64">
        <v>22.53</v>
      </c>
      <c r="I47" s="211" t="s">
        <v>43</v>
      </c>
      <c r="J47" s="64">
        <v>0.56000000000000005</v>
      </c>
      <c r="K47" s="64">
        <v>45.13</v>
      </c>
      <c r="L47" s="64">
        <v>20.09</v>
      </c>
      <c r="M47" s="64">
        <v>78.430000000000007</v>
      </c>
      <c r="N47" s="64">
        <v>399.6</v>
      </c>
      <c r="O47" s="64">
        <v>0</v>
      </c>
      <c r="P47" s="64">
        <v>0.8</v>
      </c>
      <c r="Q47" s="64">
        <v>8.5299999999999994</v>
      </c>
      <c r="R47" s="198"/>
      <c r="S47" s="198"/>
      <c r="T47" s="198"/>
      <c r="U47" s="198"/>
    </row>
    <row r="48" spans="1:21" s="12" customFormat="1" x14ac:dyDescent="0.25">
      <c r="A48" s="215" t="s">
        <v>2975</v>
      </c>
      <c r="B48" s="64">
        <v>38.369999999999997</v>
      </c>
      <c r="C48" s="64">
        <v>37.56</v>
      </c>
      <c r="D48" s="64">
        <v>49.01</v>
      </c>
      <c r="E48" s="64">
        <v>7.58</v>
      </c>
      <c r="F48" s="64">
        <v>3.85</v>
      </c>
      <c r="G48" s="64">
        <v>117.84</v>
      </c>
      <c r="H48" s="64">
        <v>23.52</v>
      </c>
      <c r="I48" s="211" t="s">
        <v>43</v>
      </c>
      <c r="J48" s="64">
        <v>0.32</v>
      </c>
      <c r="K48" s="64">
        <v>83.03</v>
      </c>
      <c r="L48" s="64">
        <v>21.14</v>
      </c>
      <c r="M48" s="64">
        <v>73.41</v>
      </c>
      <c r="N48" s="64">
        <v>437</v>
      </c>
      <c r="O48" s="64">
        <v>0</v>
      </c>
      <c r="P48" s="64">
        <v>0.81</v>
      </c>
      <c r="Q48" s="64">
        <v>8.64</v>
      </c>
      <c r="R48" s="198"/>
      <c r="S48" s="198"/>
      <c r="T48" s="198"/>
      <c r="U48" s="198"/>
    </row>
    <row r="49" spans="1:21" s="12" customFormat="1" x14ac:dyDescent="0.25">
      <c r="A49" s="215" t="s">
        <v>2976</v>
      </c>
      <c r="B49" s="64">
        <v>38.64</v>
      </c>
      <c r="C49" s="64">
        <v>38.94</v>
      </c>
      <c r="D49" s="64">
        <v>49.96</v>
      </c>
      <c r="E49" s="64">
        <v>7.78</v>
      </c>
      <c r="F49" s="64">
        <v>4.16</v>
      </c>
      <c r="G49" s="64">
        <v>117.84</v>
      </c>
      <c r="H49" s="64">
        <v>23.52</v>
      </c>
      <c r="I49" s="211" t="s">
        <v>43</v>
      </c>
      <c r="J49" s="64">
        <v>2.34</v>
      </c>
      <c r="K49" s="64">
        <v>340.43</v>
      </c>
      <c r="L49" s="64">
        <v>23.41</v>
      </c>
      <c r="M49" s="64">
        <v>62.44</v>
      </c>
      <c r="N49" s="64">
        <v>464.4</v>
      </c>
      <c r="O49" s="64">
        <v>0</v>
      </c>
      <c r="P49" s="64">
        <v>0.83</v>
      </c>
      <c r="Q49" s="64">
        <v>8.75</v>
      </c>
      <c r="R49" s="198"/>
      <c r="S49" s="198"/>
      <c r="T49" s="198"/>
      <c r="U49" s="198"/>
    </row>
    <row r="50" spans="1:21" s="12" customFormat="1" x14ac:dyDescent="0.25">
      <c r="A50" s="215" t="s">
        <v>2977</v>
      </c>
      <c r="B50" s="64">
        <v>38.840000000000003</v>
      </c>
      <c r="C50" s="64">
        <v>39.6</v>
      </c>
      <c r="D50" s="64">
        <v>50.46</v>
      </c>
      <c r="E50" s="64">
        <v>8.24</v>
      </c>
      <c r="F50" s="64">
        <v>4.24</v>
      </c>
      <c r="G50" s="64">
        <v>117.84</v>
      </c>
      <c r="H50" s="64">
        <v>23.52</v>
      </c>
      <c r="I50" s="211" t="s">
        <v>43</v>
      </c>
      <c r="J50" s="64">
        <v>1.9</v>
      </c>
      <c r="K50" s="64">
        <v>344.78</v>
      </c>
      <c r="L50" s="64">
        <v>24.93</v>
      </c>
      <c r="M50" s="64">
        <v>54.97</v>
      </c>
      <c r="N50" s="64">
        <v>485.8</v>
      </c>
      <c r="O50" s="64">
        <v>0</v>
      </c>
      <c r="P50" s="64">
        <v>0.85</v>
      </c>
      <c r="Q50" s="64">
        <v>8.83</v>
      </c>
      <c r="R50" s="198"/>
      <c r="S50" s="198"/>
      <c r="T50" s="198"/>
      <c r="U50" s="198"/>
    </row>
    <row r="51" spans="1:21" s="12" customFormat="1" x14ac:dyDescent="0.25">
      <c r="A51" s="215" t="s">
        <v>2978</v>
      </c>
      <c r="B51" s="64">
        <v>38.68</v>
      </c>
      <c r="C51" s="64">
        <v>40.78</v>
      </c>
      <c r="D51" s="64">
        <v>50.94</v>
      </c>
      <c r="E51" s="64">
        <v>7.98</v>
      </c>
      <c r="F51" s="64">
        <v>3.68</v>
      </c>
      <c r="G51" s="64">
        <v>114.61</v>
      </c>
      <c r="H51" s="64">
        <v>27.49</v>
      </c>
      <c r="I51" s="211" t="s">
        <v>43</v>
      </c>
      <c r="J51" s="64">
        <v>3.01</v>
      </c>
      <c r="K51" s="64">
        <v>329.89</v>
      </c>
      <c r="L51" s="64">
        <v>25.27</v>
      </c>
      <c r="M51" s="64">
        <v>54.92</v>
      </c>
      <c r="N51" s="64">
        <v>522.1</v>
      </c>
      <c r="O51" s="64">
        <v>0</v>
      </c>
      <c r="P51" s="64">
        <v>0.86</v>
      </c>
      <c r="Q51" s="64">
        <v>8.8699999999999992</v>
      </c>
      <c r="R51" s="198"/>
      <c r="S51" s="198"/>
      <c r="T51" s="198"/>
      <c r="U51" s="198"/>
    </row>
    <row r="52" spans="1:21" s="12" customFormat="1" x14ac:dyDescent="0.25">
      <c r="A52" s="215" t="s">
        <v>2979</v>
      </c>
      <c r="B52" s="64">
        <v>37.799999999999997</v>
      </c>
      <c r="C52" s="64">
        <v>41.31</v>
      </c>
      <c r="D52" s="64">
        <v>50.52</v>
      </c>
      <c r="E52" s="64">
        <v>8.0500000000000007</v>
      </c>
      <c r="F52" s="64">
        <v>4.17</v>
      </c>
      <c r="G52" s="64">
        <v>113.23</v>
      </c>
      <c r="H52" s="64">
        <v>29.19</v>
      </c>
      <c r="I52" s="211" t="s">
        <v>43</v>
      </c>
      <c r="J52" s="64">
        <v>2.57</v>
      </c>
      <c r="K52" s="64">
        <v>337.25</v>
      </c>
      <c r="L52" s="64">
        <v>26.23</v>
      </c>
      <c r="M52" s="64">
        <v>52.16</v>
      </c>
      <c r="N52" s="64">
        <v>556.5</v>
      </c>
      <c r="O52" s="64">
        <v>0</v>
      </c>
      <c r="P52" s="64">
        <v>0.87</v>
      </c>
      <c r="Q52" s="64">
        <v>8.8699999999999992</v>
      </c>
      <c r="R52" s="198"/>
      <c r="S52" s="198"/>
      <c r="T52" s="198"/>
      <c r="U52" s="198"/>
    </row>
    <row r="53" spans="1:21" s="12" customFormat="1" x14ac:dyDescent="0.25">
      <c r="A53" s="215" t="s">
        <v>2980</v>
      </c>
      <c r="B53" s="64">
        <v>37.1</v>
      </c>
      <c r="C53" s="64">
        <v>42.1</v>
      </c>
      <c r="D53" s="64">
        <v>50.37</v>
      </c>
      <c r="E53" s="64">
        <v>8.07</v>
      </c>
      <c r="F53" s="64">
        <v>4.1100000000000003</v>
      </c>
      <c r="G53" s="64">
        <v>113.23</v>
      </c>
      <c r="H53" s="64">
        <v>29.19</v>
      </c>
      <c r="I53" s="211" t="s">
        <v>43</v>
      </c>
      <c r="J53" s="64">
        <v>1.27</v>
      </c>
      <c r="K53" s="64">
        <v>333.1</v>
      </c>
      <c r="L53" s="64">
        <v>25.29</v>
      </c>
      <c r="M53" s="64">
        <v>55.07</v>
      </c>
      <c r="N53" s="64">
        <v>627.6</v>
      </c>
      <c r="O53" s="64">
        <v>0</v>
      </c>
      <c r="P53" s="64">
        <v>0.89</v>
      </c>
      <c r="Q53" s="64">
        <v>8.85</v>
      </c>
      <c r="R53" s="198"/>
      <c r="S53" s="198"/>
      <c r="T53" s="198"/>
      <c r="U53" s="198"/>
    </row>
    <row r="54" spans="1:21" s="12" customFormat="1" x14ac:dyDescent="0.25">
      <c r="A54" s="215" t="s">
        <v>2981</v>
      </c>
      <c r="B54" s="64">
        <v>36.49</v>
      </c>
      <c r="C54" s="64">
        <v>44.08</v>
      </c>
      <c r="D54" s="64">
        <v>50.92</v>
      </c>
      <c r="E54" s="64">
        <v>7.93</v>
      </c>
      <c r="F54" s="64">
        <v>4.16</v>
      </c>
      <c r="G54" s="64">
        <v>113.23</v>
      </c>
      <c r="H54" s="64">
        <v>29.19</v>
      </c>
      <c r="I54" s="211" t="s">
        <v>43</v>
      </c>
      <c r="J54" s="64">
        <v>1.56</v>
      </c>
      <c r="K54" s="64">
        <v>103.11</v>
      </c>
      <c r="L54" s="64">
        <v>23.33</v>
      </c>
      <c r="M54" s="64">
        <v>58.63</v>
      </c>
      <c r="N54" s="64">
        <v>698</v>
      </c>
      <c r="O54" s="64">
        <v>0</v>
      </c>
      <c r="P54" s="64">
        <v>0.89</v>
      </c>
      <c r="Q54" s="64">
        <v>8.83</v>
      </c>
      <c r="R54" s="198"/>
      <c r="S54" s="198"/>
      <c r="T54" s="198"/>
      <c r="U54" s="198"/>
    </row>
    <row r="55" spans="1:21" s="12" customFormat="1" x14ac:dyDescent="0.25">
      <c r="A55" s="215" t="s">
        <v>2982</v>
      </c>
      <c r="B55" s="64">
        <v>35.14</v>
      </c>
      <c r="C55" s="64">
        <v>42.78</v>
      </c>
      <c r="D55" s="64">
        <v>49.16</v>
      </c>
      <c r="E55" s="64">
        <v>7.09</v>
      </c>
      <c r="F55" s="64">
        <v>3.48</v>
      </c>
      <c r="G55" s="64">
        <v>93.88</v>
      </c>
      <c r="H55" s="64">
        <v>26.04</v>
      </c>
      <c r="I55" s="211" t="s">
        <v>43</v>
      </c>
      <c r="J55" s="64">
        <v>0.7</v>
      </c>
      <c r="K55" s="64">
        <v>27.03</v>
      </c>
      <c r="L55" s="64">
        <v>23.58</v>
      </c>
      <c r="M55" s="64">
        <v>59.62</v>
      </c>
      <c r="N55" s="64">
        <v>719.9</v>
      </c>
      <c r="O55" s="64">
        <v>0</v>
      </c>
      <c r="P55" s="64">
        <v>0.88</v>
      </c>
      <c r="Q55" s="64">
        <v>8.7200000000000006</v>
      </c>
      <c r="R55" s="198"/>
      <c r="S55" s="198"/>
      <c r="T55" s="198"/>
      <c r="U55" s="198"/>
    </row>
    <row r="56" spans="1:21" s="12" customFormat="1" x14ac:dyDescent="0.25">
      <c r="A56" s="215" t="s">
        <v>2983</v>
      </c>
      <c r="B56" s="64">
        <v>33.630000000000003</v>
      </c>
      <c r="C56" s="64">
        <v>41.99</v>
      </c>
      <c r="D56" s="64">
        <v>47.53</v>
      </c>
      <c r="E56" s="64">
        <v>7.26</v>
      </c>
      <c r="F56" s="64">
        <v>3.91</v>
      </c>
      <c r="G56" s="64">
        <v>85.58</v>
      </c>
      <c r="H56" s="64">
        <v>24.69</v>
      </c>
      <c r="I56" s="211" t="s">
        <v>43</v>
      </c>
      <c r="J56" s="64">
        <v>0.78</v>
      </c>
      <c r="K56" s="64">
        <v>44.52</v>
      </c>
      <c r="L56" s="64">
        <v>22.75</v>
      </c>
      <c r="M56" s="64">
        <v>61.14</v>
      </c>
      <c r="N56" s="64">
        <v>659.5</v>
      </c>
      <c r="O56" s="64">
        <v>0</v>
      </c>
      <c r="P56" s="64">
        <v>0.87</v>
      </c>
      <c r="Q56" s="64">
        <v>8.56</v>
      </c>
      <c r="R56" s="198"/>
      <c r="S56" s="198"/>
      <c r="T56" s="198"/>
      <c r="U56" s="198"/>
    </row>
    <row r="57" spans="1:21" s="12" customFormat="1" x14ac:dyDescent="0.25">
      <c r="A57" s="215" t="s">
        <v>2984</v>
      </c>
      <c r="B57" s="64">
        <v>32.659999999999997</v>
      </c>
      <c r="C57" s="64">
        <v>42.11</v>
      </c>
      <c r="D57" s="64">
        <v>46.81</v>
      </c>
      <c r="E57" s="64">
        <v>7.13</v>
      </c>
      <c r="F57" s="64">
        <v>3.76</v>
      </c>
      <c r="G57" s="64">
        <v>85.58</v>
      </c>
      <c r="H57" s="64">
        <v>24.69</v>
      </c>
      <c r="I57" s="211" t="s">
        <v>43</v>
      </c>
      <c r="J57" s="64">
        <v>2.15</v>
      </c>
      <c r="K57" s="64">
        <v>329.52</v>
      </c>
      <c r="L57" s="64">
        <v>25.41</v>
      </c>
      <c r="M57" s="64">
        <v>51.09</v>
      </c>
      <c r="N57" s="64">
        <v>698.4</v>
      </c>
      <c r="O57" s="64">
        <v>0</v>
      </c>
      <c r="P57" s="64">
        <v>0.86</v>
      </c>
      <c r="Q57" s="64">
        <v>8.43</v>
      </c>
      <c r="R57" s="198"/>
      <c r="S57" s="198"/>
      <c r="T57" s="198"/>
      <c r="U57" s="198"/>
    </row>
    <row r="58" spans="1:21" s="12" customFormat="1" x14ac:dyDescent="0.25">
      <c r="A58" s="215" t="s">
        <v>2985</v>
      </c>
      <c r="B58" s="64">
        <v>31.63</v>
      </c>
      <c r="C58" s="64">
        <v>42.74</v>
      </c>
      <c r="D58" s="64">
        <v>46.32</v>
      </c>
      <c r="E58" s="64">
        <v>7.03</v>
      </c>
      <c r="F58" s="64">
        <v>3.75</v>
      </c>
      <c r="G58" s="64">
        <v>85.58</v>
      </c>
      <c r="H58" s="64">
        <v>24.69</v>
      </c>
      <c r="I58" s="211" t="s">
        <v>43</v>
      </c>
      <c r="J58" s="64">
        <v>2.35</v>
      </c>
      <c r="K58" s="64">
        <v>334.19</v>
      </c>
      <c r="L58" s="64">
        <v>26.78</v>
      </c>
      <c r="M58" s="64">
        <v>48.19</v>
      </c>
      <c r="N58" s="64">
        <v>716.8</v>
      </c>
      <c r="O58" s="64">
        <v>0</v>
      </c>
      <c r="P58" s="64">
        <v>0.86</v>
      </c>
      <c r="Q58" s="64">
        <v>8.32</v>
      </c>
      <c r="R58" s="198"/>
      <c r="S58" s="198"/>
      <c r="T58" s="198"/>
      <c r="U58" s="198"/>
    </row>
    <row r="59" spans="1:21" s="12" customFormat="1" x14ac:dyDescent="0.25">
      <c r="A59" s="215" t="s">
        <v>2986</v>
      </c>
      <c r="B59" s="64">
        <v>30.76</v>
      </c>
      <c r="C59" s="64">
        <v>43.14</v>
      </c>
      <c r="D59" s="64">
        <v>45.83</v>
      </c>
      <c r="E59" s="64">
        <v>7.01</v>
      </c>
      <c r="F59" s="64">
        <v>4.0199999999999996</v>
      </c>
      <c r="G59" s="64">
        <v>66.510000000000005</v>
      </c>
      <c r="H59" s="64">
        <v>20.98</v>
      </c>
      <c r="I59" s="211" t="s">
        <v>43</v>
      </c>
      <c r="J59" s="64">
        <v>2.71</v>
      </c>
      <c r="K59" s="64">
        <v>333.66</v>
      </c>
      <c r="L59" s="64">
        <v>26.43</v>
      </c>
      <c r="M59" s="64">
        <v>51.51</v>
      </c>
      <c r="N59" s="64">
        <v>627.6</v>
      </c>
      <c r="O59" s="64">
        <v>0</v>
      </c>
      <c r="P59" s="64">
        <v>0.87</v>
      </c>
      <c r="Q59" s="64">
        <v>8.23</v>
      </c>
      <c r="R59" s="198"/>
      <c r="S59" s="198"/>
      <c r="T59" s="198"/>
      <c r="U59" s="198"/>
    </row>
    <row r="60" spans="1:21" s="12" customFormat="1" x14ac:dyDescent="0.25">
      <c r="A60" s="215" t="s">
        <v>2987</v>
      </c>
      <c r="B60" s="64">
        <v>30.79</v>
      </c>
      <c r="C60" s="64">
        <v>44.55</v>
      </c>
      <c r="D60" s="64">
        <v>46.6</v>
      </c>
      <c r="E60" s="64">
        <v>7.19</v>
      </c>
      <c r="F60" s="64">
        <v>4.34</v>
      </c>
      <c r="G60" s="64">
        <v>58.33</v>
      </c>
      <c r="H60" s="64">
        <v>19.39</v>
      </c>
      <c r="I60" s="211" t="s">
        <v>43</v>
      </c>
      <c r="J60" s="64">
        <v>3.24</v>
      </c>
      <c r="K60" s="64">
        <v>338.95</v>
      </c>
      <c r="L60" s="64">
        <v>26.89</v>
      </c>
      <c r="M60" s="64">
        <v>49.75</v>
      </c>
      <c r="N60" s="64">
        <v>594.79999999999995</v>
      </c>
      <c r="O60" s="64">
        <v>0</v>
      </c>
      <c r="P60" s="64">
        <v>0.87</v>
      </c>
      <c r="Q60" s="64">
        <v>8.2100000000000009</v>
      </c>
      <c r="R60" s="198"/>
      <c r="S60" s="198"/>
      <c r="T60" s="198"/>
      <c r="U60" s="198"/>
    </row>
    <row r="61" spans="1:21" s="12" customFormat="1" x14ac:dyDescent="0.25">
      <c r="A61" s="215" t="s">
        <v>2988</v>
      </c>
      <c r="B61" s="64">
        <v>31.1</v>
      </c>
      <c r="C61" s="64">
        <v>45.25</v>
      </c>
      <c r="D61" s="64">
        <v>47.21</v>
      </c>
      <c r="E61" s="64">
        <v>6.99</v>
      </c>
      <c r="F61" s="64">
        <v>3.93</v>
      </c>
      <c r="G61" s="64">
        <v>58.33</v>
      </c>
      <c r="H61" s="64">
        <v>19.39</v>
      </c>
      <c r="I61" s="211" t="s">
        <v>43</v>
      </c>
      <c r="J61" s="64">
        <v>3.22</v>
      </c>
      <c r="K61" s="64">
        <v>335.96</v>
      </c>
      <c r="L61" s="64">
        <v>26.88</v>
      </c>
      <c r="M61" s="64">
        <v>48.89</v>
      </c>
      <c r="N61" s="64">
        <v>568.29999999999995</v>
      </c>
      <c r="O61" s="64">
        <v>0</v>
      </c>
      <c r="P61" s="64">
        <v>0.82</v>
      </c>
      <c r="Q61" s="64">
        <v>8.2200000000000006</v>
      </c>
      <c r="R61" s="198"/>
      <c r="S61" s="198"/>
      <c r="T61" s="198"/>
      <c r="U61" s="198"/>
    </row>
    <row r="62" spans="1:21" s="12" customFormat="1" x14ac:dyDescent="0.25">
      <c r="A62" s="215" t="s">
        <v>2989</v>
      </c>
      <c r="B62" s="64">
        <v>30.99</v>
      </c>
      <c r="C62" s="64">
        <v>46</v>
      </c>
      <c r="D62" s="64">
        <v>47.51</v>
      </c>
      <c r="E62" s="64">
        <v>7</v>
      </c>
      <c r="F62" s="64">
        <v>3.41</v>
      </c>
      <c r="G62" s="64">
        <v>58.33</v>
      </c>
      <c r="H62" s="64">
        <v>19.39</v>
      </c>
      <c r="I62" s="211" t="s">
        <v>43</v>
      </c>
      <c r="J62" s="64">
        <v>3.85</v>
      </c>
      <c r="K62" s="64">
        <v>335.3</v>
      </c>
      <c r="L62" s="64">
        <v>26.35</v>
      </c>
      <c r="M62" s="64">
        <v>52.35</v>
      </c>
      <c r="N62" s="64">
        <v>587.79999999999995</v>
      </c>
      <c r="O62" s="64">
        <v>0</v>
      </c>
      <c r="P62" s="64">
        <v>0.86</v>
      </c>
      <c r="Q62" s="64">
        <v>8.2200000000000006</v>
      </c>
      <c r="R62" s="198"/>
      <c r="S62" s="198"/>
      <c r="T62" s="198"/>
      <c r="U62" s="198"/>
    </row>
    <row r="63" spans="1:21" s="12" customFormat="1" x14ac:dyDescent="0.25">
      <c r="A63" s="215" t="s">
        <v>2990</v>
      </c>
      <c r="B63" s="64">
        <v>30.48</v>
      </c>
      <c r="C63" s="64">
        <v>42.89</v>
      </c>
      <c r="D63" s="64">
        <v>45.48</v>
      </c>
      <c r="E63" s="64">
        <v>8.08</v>
      </c>
      <c r="F63" s="64">
        <v>3.8</v>
      </c>
      <c r="G63" s="64">
        <v>77.45</v>
      </c>
      <c r="H63" s="64">
        <v>20.62</v>
      </c>
      <c r="I63" s="211" t="s">
        <v>43</v>
      </c>
      <c r="J63" s="64">
        <v>3.49</v>
      </c>
      <c r="K63" s="64">
        <v>336.47</v>
      </c>
      <c r="L63" s="64">
        <v>25.43</v>
      </c>
      <c r="M63" s="64">
        <v>55.26</v>
      </c>
      <c r="N63" s="64">
        <v>585.79999999999995</v>
      </c>
      <c r="O63" s="64">
        <v>0</v>
      </c>
      <c r="P63" s="64">
        <v>0.85</v>
      </c>
      <c r="Q63" s="64">
        <v>8.2100000000000009</v>
      </c>
      <c r="R63" s="198"/>
      <c r="S63" s="198"/>
      <c r="T63" s="198"/>
      <c r="U63" s="198"/>
    </row>
    <row r="64" spans="1:21" s="12" customFormat="1" x14ac:dyDescent="0.25">
      <c r="A64" s="215" t="s">
        <v>2991</v>
      </c>
      <c r="B64" s="64">
        <v>29.85</v>
      </c>
      <c r="C64" s="64">
        <v>43.73</v>
      </c>
      <c r="D64" s="64">
        <v>45.41</v>
      </c>
      <c r="E64" s="64">
        <v>7.11</v>
      </c>
      <c r="F64" s="64">
        <v>4.4800000000000004</v>
      </c>
      <c r="G64" s="64">
        <v>85.64</v>
      </c>
      <c r="H64" s="64">
        <v>21.14</v>
      </c>
      <c r="I64" s="211" t="s">
        <v>43</v>
      </c>
      <c r="J64" s="64">
        <v>2.91</v>
      </c>
      <c r="K64" s="64">
        <v>344.63</v>
      </c>
      <c r="L64" s="64">
        <v>25.42</v>
      </c>
      <c r="M64" s="64">
        <v>53.93</v>
      </c>
      <c r="N64" s="64">
        <v>561.70000000000005</v>
      </c>
      <c r="O64" s="64">
        <v>0</v>
      </c>
      <c r="P64" s="64">
        <v>0.84</v>
      </c>
      <c r="Q64" s="64">
        <v>8.2100000000000009</v>
      </c>
      <c r="R64" s="198"/>
      <c r="S64" s="198"/>
      <c r="T64" s="198"/>
      <c r="U64" s="198"/>
    </row>
    <row r="65" spans="1:21" s="12" customFormat="1" x14ac:dyDescent="0.25">
      <c r="A65" s="215" t="s">
        <v>2992</v>
      </c>
      <c r="B65" s="64">
        <v>29.27</v>
      </c>
      <c r="C65" s="64">
        <v>44.76</v>
      </c>
      <c r="D65" s="64">
        <v>45.48</v>
      </c>
      <c r="E65" s="64">
        <v>7.36</v>
      </c>
      <c r="F65" s="64">
        <v>4.3</v>
      </c>
      <c r="G65" s="64">
        <v>85.64</v>
      </c>
      <c r="H65" s="64">
        <v>21.14</v>
      </c>
      <c r="I65" s="211" t="s">
        <v>43</v>
      </c>
      <c r="J65" s="64">
        <v>0.75</v>
      </c>
      <c r="K65" s="64">
        <v>359.62</v>
      </c>
      <c r="L65" s="64">
        <v>24.67</v>
      </c>
      <c r="M65" s="64">
        <v>56.05</v>
      </c>
      <c r="N65" s="64">
        <v>423.6</v>
      </c>
      <c r="O65" s="64">
        <v>0</v>
      </c>
      <c r="P65" s="64">
        <v>0.83</v>
      </c>
      <c r="Q65" s="64">
        <v>8.2100000000000009</v>
      </c>
      <c r="R65" s="198"/>
      <c r="S65" s="198"/>
      <c r="T65" s="198"/>
      <c r="U65" s="198"/>
    </row>
    <row r="66" spans="1:21" s="12" customFormat="1" x14ac:dyDescent="0.25">
      <c r="A66" s="215" t="s">
        <v>2993</v>
      </c>
      <c r="B66" s="64">
        <v>28.6</v>
      </c>
      <c r="C66" s="64">
        <v>44.73</v>
      </c>
      <c r="D66" s="64">
        <v>44.93</v>
      </c>
      <c r="E66" s="64">
        <v>7.43</v>
      </c>
      <c r="F66" s="64">
        <v>3.33</v>
      </c>
      <c r="G66" s="64">
        <v>85.64</v>
      </c>
      <c r="H66" s="64">
        <v>21.14</v>
      </c>
      <c r="I66" s="211" t="s">
        <v>43</v>
      </c>
      <c r="J66" s="64">
        <v>2.2999999999999998</v>
      </c>
      <c r="K66" s="64">
        <v>343.25</v>
      </c>
      <c r="L66" s="64">
        <v>24.18</v>
      </c>
      <c r="M66" s="64">
        <v>57.81</v>
      </c>
      <c r="N66" s="64">
        <v>329.8</v>
      </c>
      <c r="O66" s="64">
        <v>0</v>
      </c>
      <c r="P66" s="64">
        <v>0.85</v>
      </c>
      <c r="Q66" s="64">
        <v>8.2100000000000009</v>
      </c>
      <c r="R66" s="198"/>
      <c r="S66" s="198"/>
      <c r="T66" s="198"/>
      <c r="U66" s="198"/>
    </row>
    <row r="67" spans="1:21" s="12" customFormat="1" x14ac:dyDescent="0.25">
      <c r="A67" s="215" t="s">
        <v>2994</v>
      </c>
      <c r="B67" s="64">
        <v>28.22</v>
      </c>
      <c r="C67" s="64">
        <v>44.83</v>
      </c>
      <c r="D67" s="64">
        <v>44.68</v>
      </c>
      <c r="E67" s="64">
        <v>6.99</v>
      </c>
      <c r="F67" s="64">
        <v>4.04</v>
      </c>
      <c r="G67" s="64">
        <v>81.64</v>
      </c>
      <c r="H67" s="64">
        <v>22.52</v>
      </c>
      <c r="I67" s="211" t="s">
        <v>43</v>
      </c>
      <c r="J67" s="64">
        <v>2.9</v>
      </c>
      <c r="K67" s="64">
        <v>338.78</v>
      </c>
      <c r="L67" s="64">
        <v>24.44</v>
      </c>
      <c r="M67" s="64">
        <v>56.53</v>
      </c>
      <c r="N67" s="64">
        <v>317.7</v>
      </c>
      <c r="O67" s="64">
        <v>0</v>
      </c>
      <c r="P67" s="64">
        <v>0.85</v>
      </c>
      <c r="Q67" s="64">
        <v>8.2100000000000009</v>
      </c>
      <c r="R67" s="198"/>
      <c r="S67" s="198"/>
      <c r="T67" s="198"/>
      <c r="U67" s="198"/>
    </row>
    <row r="68" spans="1:21" s="12" customFormat="1" x14ac:dyDescent="0.25">
      <c r="A68" s="215" t="s">
        <v>2995</v>
      </c>
      <c r="B68" s="64">
        <v>27.75</v>
      </c>
      <c r="C68" s="64">
        <v>44.61</v>
      </c>
      <c r="D68" s="64">
        <v>44.19</v>
      </c>
      <c r="E68" s="64">
        <v>7.5</v>
      </c>
      <c r="F68" s="64">
        <v>4.1100000000000003</v>
      </c>
      <c r="G68" s="64">
        <v>79.930000000000007</v>
      </c>
      <c r="H68" s="64">
        <v>23.11</v>
      </c>
      <c r="I68" s="211" t="s">
        <v>43</v>
      </c>
      <c r="J68" s="64">
        <v>1.89</v>
      </c>
      <c r="K68" s="64">
        <v>350.53</v>
      </c>
      <c r="L68" s="64">
        <v>24.51</v>
      </c>
      <c r="M68" s="64">
        <v>55.71</v>
      </c>
      <c r="N68" s="64">
        <v>298</v>
      </c>
      <c r="O68" s="64">
        <v>0</v>
      </c>
      <c r="P68" s="64">
        <v>0.86</v>
      </c>
      <c r="Q68" s="64">
        <v>8.2100000000000009</v>
      </c>
      <c r="R68" s="198"/>
      <c r="S68" s="198"/>
      <c r="T68" s="198"/>
      <c r="U68" s="198"/>
    </row>
    <row r="69" spans="1:21" s="12" customFormat="1" x14ac:dyDescent="0.25">
      <c r="A69" s="215" t="s">
        <v>2996</v>
      </c>
      <c r="B69" s="64">
        <v>27.06</v>
      </c>
      <c r="C69" s="64">
        <v>44.69</v>
      </c>
      <c r="D69" s="64">
        <v>43.67</v>
      </c>
      <c r="E69" s="64">
        <v>7.27</v>
      </c>
      <c r="F69" s="64">
        <v>3.93</v>
      </c>
      <c r="G69" s="64">
        <v>79.930000000000007</v>
      </c>
      <c r="H69" s="64">
        <v>23.11</v>
      </c>
      <c r="I69" s="211" t="s">
        <v>43</v>
      </c>
      <c r="J69" s="64">
        <v>1.41</v>
      </c>
      <c r="K69" s="64">
        <v>339.01</v>
      </c>
      <c r="L69" s="64">
        <v>23.82</v>
      </c>
      <c r="M69" s="64">
        <v>56.92</v>
      </c>
      <c r="N69" s="64">
        <v>274.8</v>
      </c>
      <c r="O69" s="64">
        <v>0</v>
      </c>
      <c r="P69" s="64">
        <v>0.82</v>
      </c>
      <c r="Q69" s="64">
        <v>8.2100000000000009</v>
      </c>
      <c r="R69" s="198"/>
      <c r="S69" s="198"/>
      <c r="T69" s="198"/>
      <c r="U69" s="198"/>
    </row>
    <row r="70" spans="1:21" s="12" customFormat="1" x14ac:dyDescent="0.25">
      <c r="A70" s="215" t="s">
        <v>2997</v>
      </c>
      <c r="B70" s="64">
        <v>26.31</v>
      </c>
      <c r="C70" s="64">
        <v>45.24</v>
      </c>
      <c r="D70" s="64">
        <v>43.36</v>
      </c>
      <c r="E70" s="64">
        <v>7.13</v>
      </c>
      <c r="F70" s="64">
        <v>4.6500000000000004</v>
      </c>
      <c r="G70" s="64">
        <v>79.930000000000007</v>
      </c>
      <c r="H70" s="64">
        <v>23.11</v>
      </c>
      <c r="I70" s="211" t="s">
        <v>43</v>
      </c>
      <c r="J70" s="64">
        <v>2.95</v>
      </c>
      <c r="K70" s="64">
        <v>343.24</v>
      </c>
      <c r="L70" s="64">
        <v>23.54</v>
      </c>
      <c r="M70" s="64">
        <v>59.18</v>
      </c>
      <c r="N70" s="64">
        <v>255.3</v>
      </c>
      <c r="O70" s="64">
        <v>0</v>
      </c>
      <c r="P70" s="64">
        <v>0.85</v>
      </c>
      <c r="Q70" s="64">
        <v>8.2100000000000009</v>
      </c>
      <c r="R70" s="198"/>
      <c r="S70" s="198"/>
      <c r="T70" s="198"/>
      <c r="U70" s="198"/>
    </row>
    <row r="71" spans="1:21" s="12" customFormat="1" x14ac:dyDescent="0.25">
      <c r="A71" s="215" t="s">
        <v>2998</v>
      </c>
      <c r="B71" s="64">
        <v>25.71</v>
      </c>
      <c r="C71" s="64">
        <v>47.26</v>
      </c>
      <c r="D71" s="64">
        <v>43.93</v>
      </c>
      <c r="E71" s="64">
        <v>7.46</v>
      </c>
      <c r="F71" s="64">
        <v>3.88</v>
      </c>
      <c r="G71" s="64">
        <v>83.5</v>
      </c>
      <c r="H71" s="64">
        <v>23.62</v>
      </c>
      <c r="I71" s="211" t="s">
        <v>43</v>
      </c>
      <c r="J71" s="64">
        <v>3.52</v>
      </c>
      <c r="K71" s="64">
        <v>337.19</v>
      </c>
      <c r="L71" s="64">
        <v>23.24</v>
      </c>
      <c r="M71" s="64">
        <v>61.45</v>
      </c>
      <c r="N71" s="64">
        <v>240.7</v>
      </c>
      <c r="O71" s="64">
        <v>0</v>
      </c>
      <c r="P71" s="64">
        <v>0.86</v>
      </c>
      <c r="Q71" s="64">
        <v>8.2100000000000009</v>
      </c>
      <c r="R71" s="198"/>
      <c r="S71" s="198"/>
      <c r="T71" s="198"/>
      <c r="U71" s="198"/>
    </row>
    <row r="72" spans="1:21" s="12" customFormat="1" x14ac:dyDescent="0.25">
      <c r="A72" s="215" t="s">
        <v>2999</v>
      </c>
      <c r="B72" s="64">
        <v>24.91</v>
      </c>
      <c r="C72" s="64">
        <v>46.65</v>
      </c>
      <c r="D72" s="64">
        <v>42.97</v>
      </c>
      <c r="E72" s="64">
        <v>4.05</v>
      </c>
      <c r="F72" s="64">
        <v>4.29</v>
      </c>
      <c r="G72" s="64">
        <v>85.03</v>
      </c>
      <c r="H72" s="64">
        <v>23.84</v>
      </c>
      <c r="I72" s="211" t="s">
        <v>43</v>
      </c>
      <c r="J72" s="64">
        <v>2.88</v>
      </c>
      <c r="K72" s="64">
        <v>339.72</v>
      </c>
      <c r="L72" s="64">
        <v>23.08</v>
      </c>
      <c r="M72" s="64">
        <v>61.47</v>
      </c>
      <c r="N72" s="64">
        <v>227.5</v>
      </c>
      <c r="O72" s="64">
        <v>0</v>
      </c>
      <c r="P72" s="64">
        <v>0.85</v>
      </c>
      <c r="Q72" s="64">
        <v>8.2100000000000009</v>
      </c>
      <c r="R72" s="198"/>
      <c r="S72" s="198"/>
      <c r="T72" s="198"/>
      <c r="U72" s="198"/>
    </row>
    <row r="73" spans="1:21" s="12" customFormat="1" x14ac:dyDescent="0.25">
      <c r="A73" s="215" t="s">
        <v>3000</v>
      </c>
      <c r="B73" s="64">
        <v>24.33</v>
      </c>
      <c r="C73" s="64">
        <v>46.86</v>
      </c>
      <c r="D73" s="64">
        <v>42.61</v>
      </c>
      <c r="E73" s="64">
        <v>4.9800000000000004</v>
      </c>
      <c r="F73" s="64">
        <v>4.2699999999999996</v>
      </c>
      <c r="G73" s="64">
        <v>85.03</v>
      </c>
      <c r="H73" s="64">
        <v>23.84</v>
      </c>
      <c r="I73" s="211" t="s">
        <v>43</v>
      </c>
      <c r="J73" s="64">
        <v>2.75</v>
      </c>
      <c r="K73" s="64">
        <v>347.74</v>
      </c>
      <c r="L73" s="64">
        <v>22.77</v>
      </c>
      <c r="M73" s="64">
        <v>62.83</v>
      </c>
      <c r="N73" s="64">
        <v>215.6</v>
      </c>
      <c r="O73" s="64">
        <v>0</v>
      </c>
      <c r="P73" s="64">
        <v>0.85</v>
      </c>
      <c r="Q73" s="64">
        <v>8.2100000000000009</v>
      </c>
      <c r="R73" s="198"/>
      <c r="S73" s="198"/>
      <c r="T73" s="198"/>
      <c r="U73" s="198"/>
    </row>
    <row r="74" spans="1:21" s="12" customFormat="1" x14ac:dyDescent="0.25">
      <c r="A74" s="215" t="s">
        <v>3001</v>
      </c>
      <c r="B74" s="64">
        <v>24.09</v>
      </c>
      <c r="C74" s="64">
        <v>46.94</v>
      </c>
      <c r="D74" s="64">
        <v>42.47</v>
      </c>
      <c r="E74" s="64">
        <v>4.6900000000000004</v>
      </c>
      <c r="F74" s="64">
        <v>4.82</v>
      </c>
      <c r="G74" s="64">
        <v>85.03</v>
      </c>
      <c r="H74" s="64">
        <v>23.84</v>
      </c>
      <c r="I74" s="211" t="s">
        <v>43</v>
      </c>
      <c r="J74" s="64">
        <v>1.23</v>
      </c>
      <c r="K74" s="64">
        <v>72.91</v>
      </c>
      <c r="L74" s="64">
        <v>21.98</v>
      </c>
      <c r="M74" s="64">
        <v>65.319999999999993</v>
      </c>
      <c r="N74" s="64">
        <v>204.9</v>
      </c>
      <c r="O74" s="64">
        <v>0</v>
      </c>
      <c r="P74" s="64">
        <v>0.85</v>
      </c>
      <c r="Q74" s="64">
        <v>8.2100000000000009</v>
      </c>
      <c r="R74" s="198"/>
      <c r="S74" s="198"/>
      <c r="T74" s="198"/>
      <c r="U74" s="198"/>
    </row>
    <row r="75" spans="1:21" s="12" customFormat="1" x14ac:dyDescent="0.25">
      <c r="A75" s="215" t="s">
        <v>3002</v>
      </c>
      <c r="B75" s="64">
        <v>23.83</v>
      </c>
      <c r="C75" s="64">
        <v>46.94</v>
      </c>
      <c r="D75" s="64">
        <v>42.26</v>
      </c>
      <c r="E75" s="64">
        <v>4.91</v>
      </c>
      <c r="F75" s="64">
        <v>4.4800000000000004</v>
      </c>
      <c r="G75" s="64">
        <v>83.18</v>
      </c>
      <c r="H75" s="64">
        <v>21.73</v>
      </c>
      <c r="I75" s="211" t="s">
        <v>43</v>
      </c>
      <c r="J75" s="64">
        <v>1.82</v>
      </c>
      <c r="K75" s="64">
        <v>6.72</v>
      </c>
      <c r="L75" s="64">
        <v>21.38</v>
      </c>
      <c r="M75" s="64">
        <v>67.66</v>
      </c>
      <c r="N75" s="64">
        <v>192.6</v>
      </c>
      <c r="O75" s="64">
        <v>0</v>
      </c>
      <c r="P75" s="64">
        <v>0.86</v>
      </c>
      <c r="Q75" s="64">
        <v>8.2100000000000009</v>
      </c>
      <c r="R75" s="198"/>
      <c r="S75" s="198"/>
      <c r="T75" s="198"/>
      <c r="U75" s="198"/>
    </row>
    <row r="76" spans="1:21" s="12" customFormat="1" x14ac:dyDescent="0.25">
      <c r="A76" s="215" t="s">
        <v>3003</v>
      </c>
      <c r="B76" s="64">
        <v>23.85</v>
      </c>
      <c r="C76" s="64">
        <v>46.79</v>
      </c>
      <c r="D76" s="64">
        <v>42.19</v>
      </c>
      <c r="E76" s="64">
        <v>5.08</v>
      </c>
      <c r="F76" s="64">
        <v>4.12</v>
      </c>
      <c r="G76" s="64">
        <v>82.38</v>
      </c>
      <c r="H76" s="64">
        <v>20.82</v>
      </c>
      <c r="I76" s="211" t="s">
        <v>43</v>
      </c>
      <c r="J76" s="64">
        <v>2.42</v>
      </c>
      <c r="K76" s="64">
        <v>354.21</v>
      </c>
      <c r="L76" s="64">
        <v>21.42</v>
      </c>
      <c r="M76" s="64">
        <v>65.86</v>
      </c>
      <c r="N76" s="64">
        <v>181.5</v>
      </c>
      <c r="O76" s="64">
        <v>0</v>
      </c>
      <c r="P76" s="64">
        <v>0.88</v>
      </c>
      <c r="Q76" s="64">
        <v>8.2100000000000009</v>
      </c>
      <c r="R76" s="198"/>
      <c r="S76" s="198"/>
      <c r="T76" s="198"/>
      <c r="U76" s="198"/>
    </row>
    <row r="77" spans="1:21" s="12" customFormat="1" x14ac:dyDescent="0.25">
      <c r="A77" s="215" t="s">
        <v>3004</v>
      </c>
      <c r="B77" s="64">
        <v>24.03</v>
      </c>
      <c r="C77" s="64">
        <v>47.32</v>
      </c>
      <c r="D77" s="64">
        <v>42.62</v>
      </c>
      <c r="E77" s="64">
        <v>4.8099999999999996</v>
      </c>
      <c r="F77" s="64">
        <v>4.0999999999999996</v>
      </c>
      <c r="G77" s="64">
        <v>82.38</v>
      </c>
      <c r="H77" s="64">
        <v>20.82</v>
      </c>
      <c r="I77" s="211" t="s">
        <v>43</v>
      </c>
      <c r="J77" s="64">
        <v>2.02</v>
      </c>
      <c r="K77" s="64">
        <v>349.37</v>
      </c>
      <c r="L77" s="64">
        <v>21.05</v>
      </c>
      <c r="M77" s="64">
        <v>65.78</v>
      </c>
      <c r="N77" s="64">
        <v>171.7</v>
      </c>
      <c r="O77" s="64">
        <v>0</v>
      </c>
      <c r="P77" s="64">
        <v>0.91</v>
      </c>
      <c r="Q77" s="64">
        <v>8.2100000000000009</v>
      </c>
      <c r="R77" s="198"/>
      <c r="S77" s="198"/>
      <c r="T77" s="198"/>
      <c r="U77" s="198"/>
    </row>
    <row r="78" spans="1:21" s="12" customFormat="1" x14ac:dyDescent="0.25">
      <c r="A78" s="215" t="s">
        <v>3005</v>
      </c>
      <c r="B78" s="64">
        <v>24.71</v>
      </c>
      <c r="C78" s="64">
        <v>47.54</v>
      </c>
      <c r="D78" s="64">
        <v>43.27</v>
      </c>
      <c r="E78" s="64">
        <v>4.3499999999999996</v>
      </c>
      <c r="F78" s="64">
        <v>3.98</v>
      </c>
      <c r="G78" s="64">
        <v>82.38</v>
      </c>
      <c r="H78" s="64">
        <v>20.82</v>
      </c>
      <c r="I78" s="211" t="s">
        <v>43</v>
      </c>
      <c r="J78" s="64">
        <v>1.88</v>
      </c>
      <c r="K78" s="64">
        <v>356.57</v>
      </c>
      <c r="L78" s="64">
        <v>20.55</v>
      </c>
      <c r="M78" s="64">
        <v>67.319999999999993</v>
      </c>
      <c r="N78" s="64">
        <v>163.6</v>
      </c>
      <c r="O78" s="64">
        <v>0</v>
      </c>
      <c r="P78" s="64">
        <v>0.94</v>
      </c>
      <c r="Q78" s="64">
        <v>8.2100000000000009</v>
      </c>
      <c r="R78" s="198"/>
      <c r="S78" s="198"/>
      <c r="T78" s="198"/>
      <c r="U78" s="198"/>
    </row>
    <row r="79" spans="1:21" s="12" customFormat="1" x14ac:dyDescent="0.25">
      <c r="A79" s="215" t="s">
        <v>3006</v>
      </c>
      <c r="B79" s="64">
        <v>26.52</v>
      </c>
      <c r="C79" s="64">
        <v>46.42</v>
      </c>
      <c r="D79" s="64">
        <v>44.15</v>
      </c>
      <c r="E79" s="64">
        <v>5.01</v>
      </c>
      <c r="F79" s="64">
        <v>3.47</v>
      </c>
      <c r="G79" s="64">
        <v>82.57</v>
      </c>
      <c r="H79" s="64">
        <v>20.52</v>
      </c>
      <c r="I79" s="211" t="s">
        <v>43</v>
      </c>
      <c r="J79" s="64">
        <v>2.2799999999999998</v>
      </c>
      <c r="K79" s="64">
        <v>0.33</v>
      </c>
      <c r="L79" s="64">
        <v>20.23</v>
      </c>
      <c r="M79" s="64">
        <v>69.03</v>
      </c>
      <c r="N79" s="64">
        <v>159.80000000000001</v>
      </c>
      <c r="O79" s="64">
        <v>0</v>
      </c>
      <c r="P79" s="64">
        <v>1.1100000000000001</v>
      </c>
      <c r="Q79" s="64">
        <v>8.2100000000000009</v>
      </c>
      <c r="R79" s="198"/>
      <c r="S79" s="198"/>
      <c r="T79" s="198"/>
      <c r="U79" s="198"/>
    </row>
    <row r="80" spans="1:21" s="12" customFormat="1" x14ac:dyDescent="0.25">
      <c r="A80" s="215" t="s">
        <v>3007</v>
      </c>
      <c r="B80" s="64">
        <v>28</v>
      </c>
      <c r="C80" s="64">
        <v>42.49</v>
      </c>
      <c r="D80" s="64">
        <v>43.28</v>
      </c>
      <c r="E80" s="64">
        <v>4.6500000000000004</v>
      </c>
      <c r="F80" s="64">
        <v>3.64</v>
      </c>
      <c r="G80" s="64">
        <v>82.65</v>
      </c>
      <c r="H80" s="64">
        <v>20.39</v>
      </c>
      <c r="I80" s="211" t="s">
        <v>43</v>
      </c>
      <c r="J80" s="64">
        <v>2.42</v>
      </c>
      <c r="K80" s="64">
        <v>354.89</v>
      </c>
      <c r="L80" s="64">
        <v>19.84</v>
      </c>
      <c r="M80" s="64">
        <v>70.72</v>
      </c>
      <c r="N80" s="64">
        <v>159.19999999999999</v>
      </c>
      <c r="O80" s="64">
        <v>0</v>
      </c>
      <c r="P80" s="64">
        <v>1.18</v>
      </c>
      <c r="Q80" s="64">
        <v>8.2100000000000009</v>
      </c>
      <c r="R80" s="198"/>
      <c r="S80" s="198"/>
      <c r="T80" s="198"/>
      <c r="U80" s="198"/>
    </row>
    <row r="81" spans="1:26" s="12" customFormat="1" x14ac:dyDescent="0.25">
      <c r="A81" s="215" t="s">
        <v>3008</v>
      </c>
      <c r="B81" s="64">
        <v>29.02</v>
      </c>
      <c r="C81" s="64">
        <v>42.98</v>
      </c>
      <c r="D81" s="64">
        <v>44.35</v>
      </c>
      <c r="E81" s="64">
        <v>4.88</v>
      </c>
      <c r="F81" s="64">
        <v>4.07</v>
      </c>
      <c r="G81" s="64">
        <v>82.65</v>
      </c>
      <c r="H81" s="64">
        <v>20.39</v>
      </c>
      <c r="I81" s="211" t="s">
        <v>43</v>
      </c>
      <c r="J81" s="64">
        <v>2.44</v>
      </c>
      <c r="K81" s="64">
        <v>354.08</v>
      </c>
      <c r="L81" s="64">
        <v>19.5</v>
      </c>
      <c r="M81" s="64">
        <v>72.040000000000006</v>
      </c>
      <c r="N81" s="64">
        <v>160</v>
      </c>
      <c r="O81" s="64">
        <v>0</v>
      </c>
      <c r="P81" s="64">
        <v>1.29</v>
      </c>
      <c r="Q81" s="64">
        <v>8.2100000000000009</v>
      </c>
      <c r="R81" s="198"/>
      <c r="S81" s="198"/>
      <c r="T81" s="198"/>
      <c r="U81" s="198"/>
    </row>
    <row r="82" spans="1:26" s="12" customFormat="1" x14ac:dyDescent="0.25">
      <c r="A82" s="215" t="s">
        <v>3009</v>
      </c>
      <c r="B82" s="64">
        <v>30.63</v>
      </c>
      <c r="C82" s="64">
        <v>43.56</v>
      </c>
      <c r="D82" s="64">
        <v>45.95</v>
      </c>
      <c r="E82" s="64">
        <v>5.24</v>
      </c>
      <c r="F82" s="64">
        <v>4.0199999999999996</v>
      </c>
      <c r="G82" s="64">
        <v>82.65</v>
      </c>
      <c r="H82" s="64">
        <v>20.39</v>
      </c>
      <c r="I82" s="211" t="s">
        <v>43</v>
      </c>
      <c r="J82" s="64">
        <v>2.21</v>
      </c>
      <c r="K82" s="64">
        <v>352.08</v>
      </c>
      <c r="L82" s="64">
        <v>19.16</v>
      </c>
      <c r="M82" s="64">
        <v>73.77</v>
      </c>
      <c r="N82" s="64">
        <v>160.4</v>
      </c>
      <c r="O82" s="64">
        <v>0</v>
      </c>
      <c r="P82" s="64">
        <v>1.31</v>
      </c>
      <c r="Q82" s="64">
        <v>8.23</v>
      </c>
      <c r="R82" s="198"/>
      <c r="S82" s="198"/>
      <c r="T82" s="198"/>
      <c r="U82" s="198"/>
    </row>
    <row r="83" spans="1:26" s="12" customFormat="1" x14ac:dyDescent="0.25">
      <c r="A83" s="215" t="s">
        <v>3010</v>
      </c>
      <c r="B83" s="64">
        <v>32.54</v>
      </c>
      <c r="C83" s="64">
        <v>44.31</v>
      </c>
      <c r="D83" s="64">
        <v>47.87</v>
      </c>
      <c r="E83" s="64">
        <v>5.71</v>
      </c>
      <c r="F83" s="64">
        <v>3.86</v>
      </c>
      <c r="G83" s="64">
        <v>96.61</v>
      </c>
      <c r="H83" s="64">
        <v>24.58</v>
      </c>
      <c r="I83" s="211" t="s">
        <v>43</v>
      </c>
      <c r="J83" s="64">
        <v>1.28</v>
      </c>
      <c r="K83" s="64">
        <v>13.56</v>
      </c>
      <c r="L83" s="64">
        <v>18.91</v>
      </c>
      <c r="M83" s="64">
        <v>75.930000000000007</v>
      </c>
      <c r="N83" s="64">
        <v>160.80000000000001</v>
      </c>
      <c r="O83" s="64">
        <v>0</v>
      </c>
      <c r="P83" s="64">
        <v>1.37</v>
      </c>
      <c r="Q83" s="64">
        <v>8.3800000000000008</v>
      </c>
      <c r="R83" s="198"/>
      <c r="S83" s="198"/>
      <c r="T83" s="198"/>
      <c r="U83" s="198"/>
    </row>
    <row r="84" spans="1:26" s="12" customFormat="1" x14ac:dyDescent="0.25">
      <c r="A84" s="215" t="s">
        <v>3011</v>
      </c>
      <c r="B84" s="64">
        <v>33.51</v>
      </c>
      <c r="C84" s="64">
        <v>43.79</v>
      </c>
      <c r="D84" s="64">
        <v>48.38</v>
      </c>
      <c r="E84" s="64">
        <v>5.75</v>
      </c>
      <c r="F84" s="64">
        <v>3.59</v>
      </c>
      <c r="G84" s="64">
        <v>102.6</v>
      </c>
      <c r="H84" s="64">
        <v>26.38</v>
      </c>
      <c r="I84" s="211" t="s">
        <v>43</v>
      </c>
      <c r="J84" s="64">
        <v>2</v>
      </c>
      <c r="K84" s="64">
        <v>91.37</v>
      </c>
      <c r="L84" s="64">
        <v>18.809999999999999</v>
      </c>
      <c r="M84" s="64">
        <v>76.61</v>
      </c>
      <c r="N84" s="64">
        <v>160.4</v>
      </c>
      <c r="O84" s="64">
        <v>0</v>
      </c>
      <c r="P84" s="64">
        <v>1.25</v>
      </c>
      <c r="Q84" s="64">
        <v>8.5399999999999991</v>
      </c>
      <c r="R84" s="198"/>
      <c r="S84" s="198"/>
      <c r="T84" s="198"/>
      <c r="U84" s="198"/>
    </row>
    <row r="85" spans="1:26" s="12" customFormat="1" x14ac:dyDescent="0.25">
      <c r="A85" s="215" t="s">
        <v>3012</v>
      </c>
      <c r="B85" s="64">
        <v>33.659999999999997</v>
      </c>
      <c r="C85" s="64">
        <v>43.22</v>
      </c>
      <c r="D85" s="64">
        <v>48.19</v>
      </c>
      <c r="E85" s="64">
        <v>5.1100000000000003</v>
      </c>
      <c r="F85" s="64">
        <v>4.21</v>
      </c>
      <c r="G85" s="64">
        <v>102.6</v>
      </c>
      <c r="H85" s="64">
        <v>26.38</v>
      </c>
      <c r="I85" s="211" t="s">
        <v>43</v>
      </c>
      <c r="J85" s="64">
        <v>1.58</v>
      </c>
      <c r="K85" s="64">
        <v>101.58</v>
      </c>
      <c r="L85" s="64">
        <v>18.600000000000001</v>
      </c>
      <c r="M85" s="64">
        <v>78.33</v>
      </c>
      <c r="N85" s="64">
        <v>160.19999999999999</v>
      </c>
      <c r="O85" s="64">
        <v>0</v>
      </c>
      <c r="P85" s="64">
        <v>1.05</v>
      </c>
      <c r="Q85" s="64">
        <v>8.58</v>
      </c>
      <c r="R85" s="198"/>
      <c r="S85" s="198"/>
      <c r="T85" s="198"/>
      <c r="U85" s="198"/>
    </row>
    <row r="86" spans="1:26" s="12" customFormat="1" x14ac:dyDescent="0.25">
      <c r="A86" s="215" t="s">
        <v>3013</v>
      </c>
      <c r="B86" s="64">
        <v>33.450000000000003</v>
      </c>
      <c r="C86" s="64">
        <v>42.68</v>
      </c>
      <c r="D86" s="64">
        <v>47.75</v>
      </c>
      <c r="E86" s="64">
        <v>5.52</v>
      </c>
      <c r="F86" s="64">
        <v>4.6399999999999997</v>
      </c>
      <c r="G86" s="64">
        <v>102.6</v>
      </c>
      <c r="H86" s="64">
        <v>26.38</v>
      </c>
      <c r="I86" s="211" t="s">
        <v>43</v>
      </c>
      <c r="J86" s="64">
        <v>1.92</v>
      </c>
      <c r="K86" s="64">
        <v>92.41</v>
      </c>
      <c r="L86" s="64">
        <v>18.36</v>
      </c>
      <c r="M86" s="64">
        <v>80.81</v>
      </c>
      <c r="N86" s="64">
        <v>160.1</v>
      </c>
      <c r="O86" s="64">
        <v>0</v>
      </c>
      <c r="P86" s="64">
        <v>1.33</v>
      </c>
      <c r="Q86" s="64">
        <v>8.59</v>
      </c>
      <c r="R86" s="198"/>
      <c r="S86" s="198"/>
      <c r="T86" s="198"/>
      <c r="U86" s="198"/>
    </row>
    <row r="87" spans="1:26" s="12" customFormat="1" x14ac:dyDescent="0.25">
      <c r="A87" s="215" t="s">
        <v>3014</v>
      </c>
      <c r="B87" s="64">
        <v>33.549999999999997</v>
      </c>
      <c r="C87" s="64">
        <v>45.08</v>
      </c>
      <c r="D87" s="64">
        <v>49.08</v>
      </c>
      <c r="E87" s="64">
        <v>5.36</v>
      </c>
      <c r="F87" s="64">
        <v>4.0199999999999996</v>
      </c>
      <c r="G87" s="64">
        <v>94.98</v>
      </c>
      <c r="H87" s="64">
        <v>26.56</v>
      </c>
      <c r="I87" s="211" t="s">
        <v>43</v>
      </c>
      <c r="J87" s="64">
        <v>0.76</v>
      </c>
      <c r="K87" s="64">
        <v>112.06</v>
      </c>
      <c r="L87" s="64">
        <v>18.149999999999999</v>
      </c>
      <c r="M87" s="64">
        <v>82.55</v>
      </c>
      <c r="N87" s="64">
        <v>159.9</v>
      </c>
      <c r="O87" s="64">
        <v>0</v>
      </c>
      <c r="P87" s="64">
        <v>1.1299999999999999</v>
      </c>
      <c r="Q87" s="64">
        <v>8.59</v>
      </c>
      <c r="R87" s="198"/>
      <c r="S87" s="198"/>
      <c r="T87" s="198"/>
      <c r="U87" s="198"/>
    </row>
    <row r="88" spans="1:26" s="12" customFormat="1" x14ac:dyDescent="0.25">
      <c r="A88" s="215" t="s">
        <v>3015</v>
      </c>
      <c r="B88" s="64">
        <v>33.78</v>
      </c>
      <c r="C88" s="64">
        <v>45.38</v>
      </c>
      <c r="D88" s="64">
        <v>49.42</v>
      </c>
      <c r="E88" s="64">
        <v>5.24</v>
      </c>
      <c r="F88" s="64">
        <v>3.89</v>
      </c>
      <c r="G88" s="64">
        <v>91.72</v>
      </c>
      <c r="H88" s="64">
        <v>26.64</v>
      </c>
      <c r="I88" s="211" t="s">
        <v>43</v>
      </c>
      <c r="J88" s="64">
        <v>1.74</v>
      </c>
      <c r="K88" s="64">
        <v>20.13</v>
      </c>
      <c r="L88" s="64">
        <v>18.149999999999999</v>
      </c>
      <c r="M88" s="64">
        <v>82.89</v>
      </c>
      <c r="N88" s="64">
        <v>160.1</v>
      </c>
      <c r="O88" s="64">
        <v>0</v>
      </c>
      <c r="P88" s="64">
        <v>1.1599999999999999</v>
      </c>
      <c r="Q88" s="64">
        <v>8.59</v>
      </c>
      <c r="R88" s="198"/>
      <c r="S88" s="198"/>
      <c r="T88" s="198"/>
      <c r="U88" s="198"/>
    </row>
    <row r="89" spans="1:26" s="12" customFormat="1" x14ac:dyDescent="0.25">
      <c r="A89" s="215" t="s">
        <v>3016</v>
      </c>
      <c r="B89" s="64">
        <v>34.25</v>
      </c>
      <c r="C89" s="64">
        <v>44.24</v>
      </c>
      <c r="D89" s="64">
        <v>49.2</v>
      </c>
      <c r="E89" s="64">
        <v>5.34</v>
      </c>
      <c r="F89" s="64">
        <v>3.95</v>
      </c>
      <c r="G89" s="64">
        <v>91.72</v>
      </c>
      <c r="H89" s="64">
        <v>26.64</v>
      </c>
      <c r="I89" s="211" t="s">
        <v>43</v>
      </c>
      <c r="J89" s="64">
        <v>0.97</v>
      </c>
      <c r="K89" s="64">
        <v>85.56</v>
      </c>
      <c r="L89" s="64">
        <v>18.03</v>
      </c>
      <c r="M89" s="64">
        <v>83.85</v>
      </c>
      <c r="N89" s="64">
        <v>160.4</v>
      </c>
      <c r="O89" s="64">
        <v>0</v>
      </c>
      <c r="P89" s="64">
        <v>1.21</v>
      </c>
      <c r="Q89" s="64">
        <v>8.58</v>
      </c>
      <c r="R89" s="198"/>
      <c r="S89" s="198"/>
      <c r="T89" s="198"/>
      <c r="U89" s="198"/>
    </row>
    <row r="90" spans="1:26" s="12" customFormat="1" x14ac:dyDescent="0.25">
      <c r="A90" s="215" t="s">
        <v>3017</v>
      </c>
      <c r="B90" s="64">
        <v>33.92</v>
      </c>
      <c r="C90" s="64">
        <v>43.82</v>
      </c>
      <c r="D90" s="64">
        <v>48.72</v>
      </c>
      <c r="E90" s="64">
        <v>5.35</v>
      </c>
      <c r="F90" s="64">
        <v>4.13</v>
      </c>
      <c r="G90" s="64">
        <v>91.72</v>
      </c>
      <c r="H90" s="64">
        <v>26.64</v>
      </c>
      <c r="I90" s="211" t="s">
        <v>43</v>
      </c>
      <c r="J90" s="64">
        <v>1.17</v>
      </c>
      <c r="K90" s="64">
        <v>27.47</v>
      </c>
      <c r="L90" s="64">
        <v>17.96</v>
      </c>
      <c r="M90" s="64">
        <v>83.78</v>
      </c>
      <c r="N90" s="64">
        <v>159.5</v>
      </c>
      <c r="O90" s="64">
        <v>0</v>
      </c>
      <c r="P90" s="64">
        <v>1.19</v>
      </c>
      <c r="Q90" s="64">
        <v>8.51</v>
      </c>
      <c r="R90" s="198"/>
      <c r="S90" s="198"/>
      <c r="T90" s="198"/>
      <c r="U90" s="198"/>
    </row>
    <row r="91" spans="1:26" s="12" customFormat="1" x14ac:dyDescent="0.25">
      <c r="A91" s="215" t="s">
        <v>3018</v>
      </c>
      <c r="B91" s="64">
        <v>33.159999999999997</v>
      </c>
      <c r="C91" s="64">
        <v>43.92</v>
      </c>
      <c r="D91" s="64">
        <v>48.16</v>
      </c>
      <c r="E91" s="64">
        <v>5.55</v>
      </c>
      <c r="F91" s="64">
        <v>3.72</v>
      </c>
      <c r="G91" s="64">
        <v>82.72</v>
      </c>
      <c r="H91" s="64">
        <v>23.89</v>
      </c>
      <c r="I91" s="211" t="s">
        <v>43</v>
      </c>
      <c r="J91" s="64">
        <v>1.71</v>
      </c>
      <c r="K91" s="64">
        <v>114.23</v>
      </c>
      <c r="L91" s="64">
        <v>17.87</v>
      </c>
      <c r="M91" s="64">
        <v>84.68</v>
      </c>
      <c r="N91" s="64">
        <v>159.6</v>
      </c>
      <c r="O91" s="64">
        <v>0</v>
      </c>
      <c r="P91" s="64">
        <v>1.22</v>
      </c>
      <c r="Q91" s="64">
        <v>8.25</v>
      </c>
      <c r="R91" s="198"/>
      <c r="S91" s="198"/>
      <c r="T91" s="198"/>
      <c r="U91" s="198"/>
    </row>
    <row r="92" spans="1:26" s="12" customFormat="1" x14ac:dyDescent="0.25">
      <c r="A92" s="215" t="s">
        <v>3019</v>
      </c>
      <c r="B92" s="64">
        <v>32.83</v>
      </c>
      <c r="C92" s="64">
        <v>44.14</v>
      </c>
      <c r="D92" s="64">
        <v>48.01</v>
      </c>
      <c r="E92" s="64">
        <v>5.37</v>
      </c>
      <c r="F92" s="64">
        <v>3.31</v>
      </c>
      <c r="G92" s="64">
        <v>78.86</v>
      </c>
      <c r="H92" s="64">
        <v>22.71</v>
      </c>
      <c r="I92" s="211" t="s">
        <v>43</v>
      </c>
      <c r="J92" s="64">
        <v>0.5</v>
      </c>
      <c r="K92" s="64">
        <v>347.37</v>
      </c>
      <c r="L92" s="64">
        <v>17.8</v>
      </c>
      <c r="M92" s="64">
        <v>85.67</v>
      </c>
      <c r="N92" s="64">
        <v>160.69999999999999</v>
      </c>
      <c r="O92" s="64">
        <v>0</v>
      </c>
      <c r="P92" s="64">
        <v>1.24</v>
      </c>
      <c r="Q92" s="64">
        <v>8.2100000000000009</v>
      </c>
      <c r="R92" s="198"/>
      <c r="S92" s="198"/>
      <c r="T92" s="198"/>
      <c r="U92" s="198"/>
    </row>
    <row r="93" spans="1:26" s="12" customFormat="1" x14ac:dyDescent="0.25">
      <c r="A93" s="215" t="s">
        <v>3020</v>
      </c>
      <c r="B93" s="64">
        <v>33.159999999999997</v>
      </c>
      <c r="C93" s="64">
        <v>44.2</v>
      </c>
      <c r="D93" s="64">
        <v>48.31</v>
      </c>
      <c r="E93" s="64">
        <v>5.29</v>
      </c>
      <c r="F93" s="64">
        <v>4.07</v>
      </c>
      <c r="G93" s="64">
        <v>78.86</v>
      </c>
      <c r="H93" s="64">
        <v>22.71</v>
      </c>
      <c r="I93" s="211" t="s">
        <v>43</v>
      </c>
      <c r="J93" s="64">
        <v>0.69</v>
      </c>
      <c r="K93" s="64">
        <v>217.39</v>
      </c>
      <c r="L93" s="64">
        <v>17.79</v>
      </c>
      <c r="M93" s="64">
        <v>85.4</v>
      </c>
      <c r="N93" s="64">
        <v>161.1</v>
      </c>
      <c r="O93" s="64">
        <v>0</v>
      </c>
      <c r="P93" s="64">
        <v>1.23</v>
      </c>
      <c r="Q93" s="64">
        <v>8.3000000000000007</v>
      </c>
      <c r="R93" s="198"/>
      <c r="S93" s="198"/>
      <c r="T93" s="198"/>
      <c r="U93" s="198"/>
    </row>
    <row r="94" spans="1:26" s="12" customFormat="1" x14ac:dyDescent="0.25">
      <c r="A94" s="215" t="s">
        <v>3021</v>
      </c>
      <c r="B94" s="64">
        <v>33.229999999999997</v>
      </c>
      <c r="C94" s="64">
        <v>44.58</v>
      </c>
      <c r="D94" s="64">
        <v>48.56</v>
      </c>
      <c r="E94" s="64">
        <v>5.37</v>
      </c>
      <c r="F94" s="64">
        <v>4.13</v>
      </c>
      <c r="G94" s="64">
        <v>78.86</v>
      </c>
      <c r="H94" s="64">
        <v>22.71</v>
      </c>
      <c r="I94" s="211" t="s">
        <v>43</v>
      </c>
      <c r="J94" s="64">
        <v>1.27</v>
      </c>
      <c r="K94" s="64">
        <v>151.82</v>
      </c>
      <c r="L94" s="64">
        <v>17.77</v>
      </c>
      <c r="M94" s="64">
        <v>85.53</v>
      </c>
      <c r="N94" s="64">
        <v>161.19999999999999</v>
      </c>
      <c r="O94" s="64">
        <v>0</v>
      </c>
      <c r="P94" s="64">
        <v>1.24</v>
      </c>
      <c r="Q94" s="64">
        <v>8.4499999999999993</v>
      </c>
      <c r="R94" s="198"/>
      <c r="S94" s="198"/>
      <c r="T94" s="198"/>
      <c r="U94" s="198"/>
    </row>
    <row r="95" spans="1:26" s="12" customFormat="1" x14ac:dyDescent="0.25">
      <c r="A95" s="215" t="s">
        <v>3022</v>
      </c>
      <c r="B95" s="64">
        <v>33.19</v>
      </c>
      <c r="C95" s="64">
        <v>44.67</v>
      </c>
      <c r="D95" s="64">
        <v>48.58</v>
      </c>
      <c r="E95" s="64">
        <v>5.56</v>
      </c>
      <c r="F95" s="64">
        <v>4.3099999999999996</v>
      </c>
      <c r="G95" s="64">
        <v>73.06</v>
      </c>
      <c r="H95" s="64">
        <v>22.59</v>
      </c>
      <c r="I95" s="211" t="s">
        <v>43</v>
      </c>
      <c r="J95" s="64">
        <v>1.35</v>
      </c>
      <c r="K95" s="64">
        <v>77.42</v>
      </c>
      <c r="L95" s="64">
        <v>17.82</v>
      </c>
      <c r="M95" s="64">
        <v>85.08</v>
      </c>
      <c r="N95" s="64">
        <v>161.19999999999999</v>
      </c>
      <c r="O95" s="64">
        <v>0</v>
      </c>
      <c r="P95" s="64">
        <v>1.22</v>
      </c>
      <c r="Q95" s="64">
        <v>8.4499999999999993</v>
      </c>
      <c r="R95" s="198"/>
      <c r="S95" s="198"/>
      <c r="T95" s="198"/>
      <c r="U95" s="198"/>
    </row>
    <row r="96" spans="1:26" s="12" customFormat="1" x14ac:dyDescent="0.25">
      <c r="A96" s="215" t="s">
        <v>3023</v>
      </c>
      <c r="B96" s="64">
        <v>33.369999999999997</v>
      </c>
      <c r="C96" s="64">
        <v>42.72</v>
      </c>
      <c r="D96" s="64">
        <v>47.71</v>
      </c>
      <c r="E96" s="64">
        <v>5.13</v>
      </c>
      <c r="F96" s="64">
        <v>3.73</v>
      </c>
      <c r="G96" s="64">
        <v>70.58</v>
      </c>
      <c r="H96" s="64">
        <v>22.53</v>
      </c>
      <c r="I96" s="211" t="s">
        <v>43</v>
      </c>
      <c r="J96" s="64">
        <v>0.91</v>
      </c>
      <c r="K96" s="64">
        <v>74.03</v>
      </c>
      <c r="L96" s="64">
        <v>17.82</v>
      </c>
      <c r="M96" s="64">
        <v>84.63</v>
      </c>
      <c r="N96" s="64">
        <v>160.5</v>
      </c>
      <c r="O96" s="64">
        <v>0</v>
      </c>
      <c r="P96" s="64">
        <v>1.1599999999999999</v>
      </c>
      <c r="Q96" s="64">
        <v>8.4499999999999993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3024</v>
      </c>
      <c r="B97" s="64">
        <v>33.68</v>
      </c>
      <c r="C97" s="64">
        <v>38.93</v>
      </c>
      <c r="D97" s="64">
        <v>45.97</v>
      </c>
      <c r="E97" s="64">
        <v>5.0599999999999996</v>
      </c>
      <c r="F97" s="64">
        <v>4</v>
      </c>
      <c r="G97" s="64">
        <v>70.58</v>
      </c>
      <c r="H97" s="64">
        <v>22.53</v>
      </c>
      <c r="I97" s="211" t="s">
        <v>43</v>
      </c>
      <c r="J97" s="64">
        <v>1.33</v>
      </c>
      <c r="K97" s="64">
        <v>91.83</v>
      </c>
      <c r="L97" s="64">
        <v>17.739999999999998</v>
      </c>
      <c r="M97" s="64">
        <v>84.72</v>
      </c>
      <c r="N97" s="64">
        <v>160.4</v>
      </c>
      <c r="O97" s="64">
        <v>0</v>
      </c>
      <c r="P97" s="64">
        <v>1.1499999999999999</v>
      </c>
      <c r="Q97" s="64">
        <v>8.41</v>
      </c>
      <c r="R97" s="198"/>
      <c r="S97" s="198"/>
      <c r="T97" s="198"/>
      <c r="U97" s="198"/>
    </row>
    <row r="98" spans="1:33" s="12" customFormat="1" x14ac:dyDescent="0.25">
      <c r="A98" s="215" t="s">
        <v>3025</v>
      </c>
      <c r="B98" s="64">
        <v>33.700000000000003</v>
      </c>
      <c r="C98" s="64">
        <v>39.880000000000003</v>
      </c>
      <c r="D98" s="64">
        <v>46.48</v>
      </c>
      <c r="E98" s="64">
        <v>4.43</v>
      </c>
      <c r="F98" s="64">
        <v>3.53</v>
      </c>
      <c r="G98" s="64">
        <v>70.58</v>
      </c>
      <c r="H98" s="64">
        <v>22.53</v>
      </c>
      <c r="I98" s="211" t="s">
        <v>43</v>
      </c>
      <c r="J98" s="64">
        <v>1.34</v>
      </c>
      <c r="K98" s="64">
        <v>92.99</v>
      </c>
      <c r="L98" s="64">
        <v>17.82</v>
      </c>
      <c r="M98" s="64">
        <v>84.08</v>
      </c>
      <c r="N98" s="64">
        <v>160.80000000000001</v>
      </c>
      <c r="O98" s="64">
        <v>0</v>
      </c>
      <c r="P98" s="64">
        <v>1.1599999999999999</v>
      </c>
      <c r="Q98" s="64">
        <v>8.41</v>
      </c>
      <c r="R98" s="198"/>
      <c r="S98" s="198"/>
      <c r="T98" s="198"/>
      <c r="U98" s="198"/>
    </row>
    <row r="99" spans="1:33" s="12" customFormat="1" x14ac:dyDescent="0.25">
      <c r="A99" s="215" t="s">
        <v>3026</v>
      </c>
      <c r="B99" s="64">
        <v>33.72</v>
      </c>
      <c r="C99" s="64">
        <v>41.2</v>
      </c>
      <c r="D99" s="64">
        <v>47.19</v>
      </c>
      <c r="E99" s="64">
        <v>5.0599999999999996</v>
      </c>
      <c r="F99" s="64">
        <v>3.75</v>
      </c>
      <c r="G99" s="64">
        <v>67.06</v>
      </c>
      <c r="H99" s="64">
        <v>21.22</v>
      </c>
      <c r="I99" s="211" t="s">
        <v>43</v>
      </c>
      <c r="J99" s="64">
        <v>2.02</v>
      </c>
      <c r="K99" s="64">
        <v>108.79</v>
      </c>
      <c r="L99" s="64">
        <v>17.670000000000002</v>
      </c>
      <c r="M99" s="64">
        <v>83.98</v>
      </c>
      <c r="N99" s="64">
        <v>161.9</v>
      </c>
      <c r="O99" s="64">
        <v>0</v>
      </c>
      <c r="P99" s="64">
        <v>1.1100000000000001</v>
      </c>
      <c r="Q99" s="64">
        <v>8.41</v>
      </c>
      <c r="R99" s="198"/>
      <c r="S99" s="198"/>
      <c r="T99" s="198"/>
      <c r="U99" s="198"/>
    </row>
    <row r="100" spans="1:33" s="12" customFormat="1" x14ac:dyDescent="0.25">
      <c r="A100" s="215" t="s">
        <v>3027</v>
      </c>
      <c r="B100" s="64">
        <v>33.86</v>
      </c>
      <c r="C100" s="64">
        <v>41.34</v>
      </c>
      <c r="D100" s="64">
        <v>47.37</v>
      </c>
      <c r="E100" s="64">
        <v>4.8600000000000003</v>
      </c>
      <c r="F100" s="64">
        <v>3.29</v>
      </c>
      <c r="G100" s="64">
        <v>65.55</v>
      </c>
      <c r="H100" s="64">
        <v>20.66</v>
      </c>
      <c r="I100" s="211" t="s">
        <v>43</v>
      </c>
      <c r="J100" s="64">
        <v>2.23</v>
      </c>
      <c r="K100" s="64">
        <v>333.14</v>
      </c>
      <c r="L100" s="64">
        <v>17.399999999999999</v>
      </c>
      <c r="M100" s="64">
        <v>88.36</v>
      </c>
      <c r="N100" s="64">
        <v>162.6</v>
      </c>
      <c r="O100" s="64">
        <v>0</v>
      </c>
      <c r="P100" s="64">
        <v>1.25</v>
      </c>
      <c r="Q100" s="64">
        <v>8.4499999999999993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3028</v>
      </c>
      <c r="B101" s="64">
        <v>34.950000000000003</v>
      </c>
      <c r="C101" s="64">
        <v>41.29</v>
      </c>
      <c r="D101" s="64">
        <v>48.22</v>
      </c>
      <c r="E101" s="64">
        <v>5.24</v>
      </c>
      <c r="F101" s="64">
        <v>3.3</v>
      </c>
      <c r="G101" s="64">
        <v>65.55</v>
      </c>
      <c r="H101" s="64">
        <v>20.66</v>
      </c>
      <c r="I101" s="211" t="s">
        <v>43</v>
      </c>
      <c r="J101" s="64">
        <v>2.15</v>
      </c>
      <c r="K101" s="64">
        <v>343.43</v>
      </c>
      <c r="L101" s="64">
        <v>16.72</v>
      </c>
      <c r="M101" s="64">
        <v>93.04</v>
      </c>
      <c r="N101" s="64">
        <v>163.4</v>
      </c>
      <c r="O101" s="64">
        <v>0</v>
      </c>
      <c r="P101" s="64">
        <v>1.24</v>
      </c>
      <c r="Q101" s="64">
        <v>8.5399999999999991</v>
      </c>
      <c r="R101" s="198"/>
      <c r="S101" s="198"/>
      <c r="T101" s="198"/>
      <c r="U101" s="198"/>
    </row>
    <row r="102" spans="1:33" s="12" customFormat="1" x14ac:dyDescent="0.25">
      <c r="A102" s="215" t="s">
        <v>3029</v>
      </c>
      <c r="B102" s="64">
        <v>35.729999999999997</v>
      </c>
      <c r="C102" s="64">
        <v>40.369999999999997</v>
      </c>
      <c r="D102" s="64">
        <v>48.37</v>
      </c>
      <c r="E102" s="64">
        <v>5.1100000000000003</v>
      </c>
      <c r="F102" s="64">
        <v>3.88</v>
      </c>
      <c r="G102" s="64">
        <v>65.55</v>
      </c>
      <c r="H102" s="64">
        <v>20.66</v>
      </c>
      <c r="I102" s="211" t="s">
        <v>43</v>
      </c>
      <c r="J102" s="64">
        <v>2.2400000000000002</v>
      </c>
      <c r="K102" s="64">
        <v>294.82</v>
      </c>
      <c r="L102" s="64">
        <v>16.559999999999999</v>
      </c>
      <c r="M102" s="64">
        <v>92.78</v>
      </c>
      <c r="N102" s="64">
        <v>163.6</v>
      </c>
      <c r="O102" s="64">
        <v>0</v>
      </c>
      <c r="P102" s="64">
        <v>1.1599999999999999</v>
      </c>
      <c r="Q102" s="64">
        <v>8.6</v>
      </c>
      <c r="R102" s="198"/>
      <c r="S102" s="198"/>
      <c r="T102" s="198"/>
      <c r="U102" s="198"/>
    </row>
    <row r="103" spans="1:33" s="12" customFormat="1" x14ac:dyDescent="0.25">
      <c r="A103" s="215" t="s">
        <v>3030</v>
      </c>
      <c r="B103" s="64">
        <v>36.840000000000003</v>
      </c>
      <c r="C103" s="64">
        <v>39.56</v>
      </c>
      <c r="D103" s="64">
        <v>48.83</v>
      </c>
      <c r="E103" s="64">
        <v>4.96</v>
      </c>
      <c r="F103" s="64">
        <v>3.39</v>
      </c>
      <c r="G103" s="64">
        <v>74.05</v>
      </c>
      <c r="H103" s="64">
        <v>21.31</v>
      </c>
      <c r="I103" s="211" t="s">
        <v>43</v>
      </c>
      <c r="J103" s="64">
        <v>2.29</v>
      </c>
      <c r="K103" s="64">
        <v>279.89999999999998</v>
      </c>
      <c r="L103" s="64">
        <v>16.29</v>
      </c>
      <c r="M103" s="64">
        <v>94.08</v>
      </c>
      <c r="N103" s="64">
        <v>165.5</v>
      </c>
      <c r="O103" s="64">
        <v>0</v>
      </c>
      <c r="P103" s="64">
        <v>1.2</v>
      </c>
      <c r="Q103" s="64">
        <v>8.66</v>
      </c>
      <c r="R103" s="198"/>
      <c r="S103" s="198"/>
      <c r="T103" s="198"/>
      <c r="U103" s="198"/>
    </row>
    <row r="104" spans="1:33" s="12" customFormat="1" x14ac:dyDescent="0.25">
      <c r="A104" s="215" t="s">
        <v>3031</v>
      </c>
      <c r="B104" s="64">
        <v>37.9</v>
      </c>
      <c r="C104" s="64">
        <v>39.770000000000003</v>
      </c>
      <c r="D104" s="64">
        <v>49.8</v>
      </c>
      <c r="E104" s="64">
        <v>5.22</v>
      </c>
      <c r="F104" s="64">
        <v>3.6</v>
      </c>
      <c r="G104" s="64">
        <v>77.69</v>
      </c>
      <c r="H104" s="64">
        <v>21.59</v>
      </c>
      <c r="I104" s="211" t="s">
        <v>43</v>
      </c>
      <c r="J104" s="64">
        <v>1.61</v>
      </c>
      <c r="K104" s="64">
        <v>254.63</v>
      </c>
      <c r="L104" s="64">
        <v>15.99</v>
      </c>
      <c r="M104" s="64">
        <v>97.39</v>
      </c>
      <c r="N104" s="64">
        <v>165.4</v>
      </c>
      <c r="O104" s="64">
        <v>0</v>
      </c>
      <c r="P104" s="64">
        <v>1.19</v>
      </c>
      <c r="Q104" s="64">
        <v>8.77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11.13</v>
      </c>
      <c r="C106" s="67">
        <f>MIN(C9:C104)</f>
        <v>32.520000000000003</v>
      </c>
      <c r="D106" s="67">
        <f t="shared" ref="D106:Q106" si="0">MIN(D9:D104)</f>
        <v>25.21</v>
      </c>
      <c r="E106" s="67">
        <f t="shared" si="0"/>
        <v>4.05</v>
      </c>
      <c r="F106" s="67">
        <f t="shared" si="0"/>
        <v>2.86</v>
      </c>
      <c r="G106" s="67">
        <f t="shared" si="0"/>
        <v>8.1</v>
      </c>
      <c r="H106" s="67">
        <f t="shared" si="0"/>
        <v>4.3499999999999996</v>
      </c>
      <c r="I106" s="67">
        <f t="shared" si="0"/>
        <v>0</v>
      </c>
      <c r="J106" s="67">
        <f t="shared" si="0"/>
        <v>0.32</v>
      </c>
      <c r="K106" s="67">
        <f t="shared" si="0"/>
        <v>0.01</v>
      </c>
      <c r="L106" s="67">
        <f t="shared" si="0"/>
        <v>13.69</v>
      </c>
      <c r="M106" s="67">
        <f t="shared" si="0"/>
        <v>48.19</v>
      </c>
      <c r="N106" s="67">
        <f t="shared" si="0"/>
        <v>45.6</v>
      </c>
      <c r="O106" s="67">
        <f t="shared" si="0"/>
        <v>0</v>
      </c>
      <c r="P106" s="67">
        <f t="shared" si="0"/>
        <v>0.37</v>
      </c>
      <c r="Q106" s="67">
        <f t="shared" si="0"/>
        <v>8.2100000000000009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38.840000000000003</v>
      </c>
      <c r="C107" s="66">
        <f t="shared" ref="C107:Q107" si="1">MAX(C9:C104)</f>
        <v>47.54</v>
      </c>
      <c r="D107" s="66">
        <f t="shared" si="1"/>
        <v>50.94</v>
      </c>
      <c r="E107" s="66">
        <f t="shared" si="1"/>
        <v>8.24</v>
      </c>
      <c r="F107" s="66">
        <f t="shared" si="1"/>
        <v>4.82</v>
      </c>
      <c r="G107" s="66">
        <f t="shared" si="1"/>
        <v>117.84</v>
      </c>
      <c r="H107" s="66">
        <f t="shared" si="1"/>
        <v>29.19</v>
      </c>
      <c r="I107" s="66">
        <f t="shared" si="1"/>
        <v>0</v>
      </c>
      <c r="J107" s="66">
        <f t="shared" si="1"/>
        <v>4.55</v>
      </c>
      <c r="K107" s="66">
        <f t="shared" si="1"/>
        <v>359.62</v>
      </c>
      <c r="L107" s="66">
        <f t="shared" si="1"/>
        <v>26.89</v>
      </c>
      <c r="M107" s="66">
        <f t="shared" si="1"/>
        <v>105.45</v>
      </c>
      <c r="N107" s="66">
        <f t="shared" si="1"/>
        <v>719.9</v>
      </c>
      <c r="O107" s="66">
        <f t="shared" si="1"/>
        <v>0</v>
      </c>
      <c r="P107" s="66">
        <f t="shared" si="1"/>
        <v>1.37</v>
      </c>
      <c r="Q107" s="66">
        <f t="shared" si="1"/>
        <v>8.8699999999999992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25.876979166666658</v>
      </c>
      <c r="C108" s="67">
        <f t="shared" ref="C108:Q108" si="2">AVERAGE(C9:C104)</f>
        <v>40.669895833333321</v>
      </c>
      <c r="D108" s="67">
        <f t="shared" si="2"/>
        <v>40.623541666666654</v>
      </c>
      <c r="E108" s="67">
        <f t="shared" si="2"/>
        <v>6.3048958333333305</v>
      </c>
      <c r="F108" s="67">
        <f t="shared" si="2"/>
        <v>3.8210416666666664</v>
      </c>
      <c r="G108" s="67">
        <f t="shared" si="2"/>
        <v>64.773541666666659</v>
      </c>
      <c r="H108" s="67">
        <f t="shared" si="2"/>
        <v>17.550625000000011</v>
      </c>
      <c r="I108" s="67" t="e">
        <f t="shared" si="2"/>
        <v>#DIV/0!</v>
      </c>
      <c r="J108" s="67">
        <f t="shared" si="2"/>
        <v>2.2782291666666667</v>
      </c>
      <c r="K108" s="67">
        <f t="shared" si="2"/>
        <v>224.52718750000011</v>
      </c>
      <c r="L108" s="67">
        <f t="shared" si="2"/>
        <v>18.932812499999997</v>
      </c>
      <c r="M108" s="67">
        <f t="shared" si="2"/>
        <v>80.891979166666673</v>
      </c>
      <c r="N108" s="67">
        <f t="shared" si="2"/>
        <v>225.078125</v>
      </c>
      <c r="O108" s="67">
        <f t="shared" si="2"/>
        <v>0</v>
      </c>
      <c r="P108" s="67">
        <f t="shared" si="2"/>
        <v>0.80572916666666661</v>
      </c>
      <c r="Q108" s="67">
        <f t="shared" si="2"/>
        <v>8.3365625000000048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9.2916767644112035</v>
      </c>
      <c r="C109" s="67">
        <f t="shared" ref="C109:Q109" si="3">STDEV(C9:C104)</f>
        <v>3.9936015917021086</v>
      </c>
      <c r="D109" s="67">
        <f t="shared" si="3"/>
        <v>8.8323499858153074</v>
      </c>
      <c r="E109" s="67">
        <f t="shared" si="3"/>
        <v>1.1136029669422058</v>
      </c>
      <c r="F109" s="67">
        <f t="shared" si="3"/>
        <v>0.38982446567024226</v>
      </c>
      <c r="G109" s="67">
        <f t="shared" si="3"/>
        <v>34.723011116675529</v>
      </c>
      <c r="H109" s="67">
        <f t="shared" si="3"/>
        <v>7.9244467597030468</v>
      </c>
      <c r="I109" s="67" t="e">
        <f t="shared" si="3"/>
        <v>#DIV/0!</v>
      </c>
      <c r="J109" s="67">
        <f t="shared" si="3"/>
        <v>0.94994403690197093</v>
      </c>
      <c r="K109" s="67">
        <f t="shared" si="3"/>
        <v>123.79931649928739</v>
      </c>
      <c r="L109" s="67">
        <f t="shared" si="3"/>
        <v>4.1869634023830402</v>
      </c>
      <c r="M109" s="67">
        <f t="shared" si="3"/>
        <v>18.645745083688062</v>
      </c>
      <c r="N109" s="67">
        <f t="shared" si="3"/>
        <v>195.91533466922041</v>
      </c>
      <c r="O109" s="67">
        <f t="shared" si="3"/>
        <v>0</v>
      </c>
      <c r="P109" s="67">
        <f t="shared" si="3"/>
        <v>0.3037199014038624</v>
      </c>
      <c r="Q109" s="67">
        <f t="shared" si="3"/>
        <v>0.19662857384579538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0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&lt;90%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LESS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ySplit="8" topLeftCell="A9" activePane="bottomLeft" state="frozen"/>
      <selection activeCell="N106" sqref="N106:P109"/>
      <selection pane="bottomLeft" activeCell="I111" sqref="I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247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30/12/2024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231</v>
      </c>
      <c r="C7" s="198" t="s">
        <v>232</v>
      </c>
      <c r="D7" s="198" t="s">
        <v>233</v>
      </c>
      <c r="E7" s="198" t="s">
        <v>234</v>
      </c>
      <c r="F7" s="198" t="s">
        <v>235</v>
      </c>
      <c r="G7" s="198" t="s">
        <v>236</v>
      </c>
      <c r="H7" s="198" t="s">
        <v>237</v>
      </c>
      <c r="I7" s="198" t="s">
        <v>238</v>
      </c>
      <c r="J7" s="198" t="s">
        <v>239</v>
      </c>
      <c r="K7" s="198" t="s">
        <v>240</v>
      </c>
      <c r="L7" s="198" t="s">
        <v>241</v>
      </c>
      <c r="M7" s="198" t="s">
        <v>242</v>
      </c>
      <c r="N7" s="198" t="s">
        <v>243</v>
      </c>
      <c r="O7" s="198" t="s">
        <v>244</v>
      </c>
      <c r="P7" s="198" t="s">
        <v>245</v>
      </c>
      <c r="Q7" s="198" t="s">
        <v>246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226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x14ac:dyDescent="0.25">
      <c r="A9" s="215" t="s">
        <v>3032</v>
      </c>
      <c r="B9" s="64">
        <v>39.31</v>
      </c>
      <c r="C9" s="64">
        <v>40.61</v>
      </c>
      <c r="D9" s="64">
        <v>51.36</v>
      </c>
      <c r="E9" s="64">
        <v>5.31</v>
      </c>
      <c r="F9" s="64">
        <v>3.73</v>
      </c>
      <c r="G9" s="64">
        <v>77.69</v>
      </c>
      <c r="H9" s="64">
        <v>21.59</v>
      </c>
      <c r="I9" s="211" t="s">
        <v>43</v>
      </c>
      <c r="J9" s="64">
        <v>1.44</v>
      </c>
      <c r="K9" s="64">
        <v>308.17</v>
      </c>
      <c r="L9" s="64">
        <v>15.91</v>
      </c>
      <c r="M9" s="64">
        <v>98.54</v>
      </c>
      <c r="N9" s="64">
        <v>164.9</v>
      </c>
      <c r="O9" s="64">
        <v>0</v>
      </c>
      <c r="P9" s="64">
        <v>1.19</v>
      </c>
      <c r="Q9" s="64">
        <v>8.86</v>
      </c>
      <c r="R9" s="198"/>
      <c r="S9" s="198"/>
      <c r="T9" s="198"/>
      <c r="U9" s="198"/>
    </row>
    <row r="10" spans="1:21" s="12" customFormat="1" x14ac:dyDescent="0.25">
      <c r="A10" s="215" t="s">
        <v>3033</v>
      </c>
      <c r="B10" s="64">
        <v>41.74</v>
      </c>
      <c r="C10" s="64">
        <v>40.42</v>
      </c>
      <c r="D10" s="64">
        <v>53.22</v>
      </c>
      <c r="E10" s="64">
        <v>5.59</v>
      </c>
      <c r="F10" s="64">
        <v>4.17</v>
      </c>
      <c r="G10" s="64">
        <v>77.69</v>
      </c>
      <c r="H10" s="64">
        <v>21.59</v>
      </c>
      <c r="I10" s="211" t="s">
        <v>43</v>
      </c>
      <c r="J10" s="64">
        <v>1.64</v>
      </c>
      <c r="K10" s="64">
        <v>271.45999999999998</v>
      </c>
      <c r="L10" s="64">
        <v>15.8</v>
      </c>
      <c r="M10" s="64">
        <v>99.48</v>
      </c>
      <c r="N10" s="64">
        <v>165.8</v>
      </c>
      <c r="O10" s="64">
        <v>0</v>
      </c>
      <c r="P10" s="64">
        <v>1.19</v>
      </c>
      <c r="Q10" s="64">
        <v>9.0299999999999994</v>
      </c>
      <c r="R10" s="198"/>
      <c r="S10" s="198"/>
      <c r="T10" s="198"/>
      <c r="U10" s="198"/>
    </row>
    <row r="11" spans="1:21" s="12" customFormat="1" x14ac:dyDescent="0.25">
      <c r="A11" s="215" t="s">
        <v>3034</v>
      </c>
      <c r="B11" s="64">
        <v>43.02</v>
      </c>
      <c r="C11" s="64">
        <v>40.26</v>
      </c>
      <c r="D11" s="64">
        <v>54.16</v>
      </c>
      <c r="E11" s="64">
        <v>5.07</v>
      </c>
      <c r="F11" s="64">
        <v>3.94</v>
      </c>
      <c r="G11" s="64">
        <v>86.11</v>
      </c>
      <c r="H11" s="64">
        <v>23.23</v>
      </c>
      <c r="I11" s="211" t="s">
        <v>43</v>
      </c>
      <c r="J11" s="64">
        <v>2.2200000000000002</v>
      </c>
      <c r="K11" s="64">
        <v>328.33</v>
      </c>
      <c r="L11" s="64">
        <v>15.5</v>
      </c>
      <c r="M11" s="64">
        <v>101.6</v>
      </c>
      <c r="N11" s="64">
        <v>165</v>
      </c>
      <c r="O11" s="64">
        <v>0</v>
      </c>
      <c r="P11" s="64">
        <v>1.18</v>
      </c>
      <c r="Q11" s="64">
        <v>9.16</v>
      </c>
      <c r="R11" s="198"/>
      <c r="S11" s="198"/>
      <c r="T11" s="198"/>
      <c r="U11" s="198"/>
    </row>
    <row r="12" spans="1:21" s="12" customFormat="1" x14ac:dyDescent="0.25">
      <c r="A12" s="215" t="s">
        <v>3035</v>
      </c>
      <c r="B12" s="64">
        <v>44.02</v>
      </c>
      <c r="C12" s="64">
        <v>40.11</v>
      </c>
      <c r="D12" s="64">
        <v>54.88</v>
      </c>
      <c r="E12" s="64">
        <v>5.54</v>
      </c>
      <c r="F12" s="64">
        <v>3.84</v>
      </c>
      <c r="G12" s="64">
        <v>89.72</v>
      </c>
      <c r="H12" s="64">
        <v>23.93</v>
      </c>
      <c r="I12" s="211" t="s">
        <v>43</v>
      </c>
      <c r="J12" s="64">
        <v>1.43</v>
      </c>
      <c r="K12" s="64">
        <v>40.68</v>
      </c>
      <c r="L12" s="64">
        <v>15.29</v>
      </c>
      <c r="M12" s="64">
        <v>102.48</v>
      </c>
      <c r="N12" s="64">
        <v>164.9</v>
      </c>
      <c r="O12" s="64">
        <v>0</v>
      </c>
      <c r="P12" s="64">
        <v>1.18</v>
      </c>
      <c r="Q12" s="64">
        <v>9.26</v>
      </c>
      <c r="R12" s="198"/>
      <c r="S12" s="198"/>
      <c r="T12" s="198"/>
      <c r="U12" s="198"/>
    </row>
    <row r="13" spans="1:21" s="12" customFormat="1" x14ac:dyDescent="0.25">
      <c r="A13" s="215" t="s">
        <v>3036</v>
      </c>
      <c r="B13" s="64">
        <v>44.94</v>
      </c>
      <c r="C13" s="64">
        <v>39.76</v>
      </c>
      <c r="D13" s="64">
        <v>55.43</v>
      </c>
      <c r="E13" s="64">
        <v>5.48</v>
      </c>
      <c r="F13" s="64">
        <v>4.1900000000000004</v>
      </c>
      <c r="G13" s="64">
        <v>89.72</v>
      </c>
      <c r="H13" s="64">
        <v>23.93</v>
      </c>
      <c r="I13" s="211" t="s">
        <v>43</v>
      </c>
      <c r="J13" s="64">
        <v>2.15</v>
      </c>
      <c r="K13" s="64">
        <v>74.34</v>
      </c>
      <c r="L13" s="64">
        <v>15.37</v>
      </c>
      <c r="M13" s="64">
        <v>101.95</v>
      </c>
      <c r="N13" s="64">
        <v>162</v>
      </c>
      <c r="O13" s="64">
        <v>0</v>
      </c>
      <c r="P13" s="64">
        <v>1.1499999999999999</v>
      </c>
      <c r="Q13" s="64">
        <v>9.33</v>
      </c>
      <c r="R13" s="198"/>
      <c r="S13" s="198"/>
      <c r="T13" s="198"/>
      <c r="U13" s="198"/>
    </row>
    <row r="14" spans="1:21" s="12" customFormat="1" x14ac:dyDescent="0.25">
      <c r="A14" s="215" t="s">
        <v>3037</v>
      </c>
      <c r="B14" s="64">
        <v>45.62</v>
      </c>
      <c r="C14" s="64">
        <v>39.51</v>
      </c>
      <c r="D14" s="64">
        <v>55.85</v>
      </c>
      <c r="E14" s="64">
        <v>5.45</v>
      </c>
      <c r="F14" s="64">
        <v>4.03</v>
      </c>
      <c r="G14" s="64">
        <v>89.72</v>
      </c>
      <c r="H14" s="64">
        <v>23.93</v>
      </c>
      <c r="I14" s="211" t="s">
        <v>43</v>
      </c>
      <c r="J14" s="64">
        <v>0.88</v>
      </c>
      <c r="K14" s="64">
        <v>49.87</v>
      </c>
      <c r="L14" s="64">
        <v>15.64</v>
      </c>
      <c r="M14" s="64">
        <v>101.28</v>
      </c>
      <c r="N14" s="64">
        <v>161.6</v>
      </c>
      <c r="O14" s="64">
        <v>0</v>
      </c>
      <c r="P14" s="64">
        <v>1.18</v>
      </c>
      <c r="Q14" s="64">
        <v>9.3800000000000008</v>
      </c>
      <c r="R14" s="198"/>
      <c r="S14" s="198"/>
      <c r="T14" s="198"/>
      <c r="U14" s="198"/>
    </row>
    <row r="15" spans="1:21" s="12" customFormat="1" x14ac:dyDescent="0.25">
      <c r="A15" s="215" t="s">
        <v>3038</v>
      </c>
      <c r="B15" s="64">
        <v>45.2</v>
      </c>
      <c r="C15" s="64">
        <v>39.32</v>
      </c>
      <c r="D15" s="64">
        <v>55.41</v>
      </c>
      <c r="E15" s="64">
        <v>5.03</v>
      </c>
      <c r="F15" s="64">
        <v>3.82</v>
      </c>
      <c r="G15" s="64">
        <v>85.37</v>
      </c>
      <c r="H15" s="64">
        <v>27.84</v>
      </c>
      <c r="I15" s="211" t="s">
        <v>43</v>
      </c>
      <c r="J15" s="64">
        <v>2.16</v>
      </c>
      <c r="K15" s="64">
        <v>297.14999999999998</v>
      </c>
      <c r="L15" s="64">
        <v>15.76</v>
      </c>
      <c r="M15" s="64">
        <v>99.07</v>
      </c>
      <c r="N15" s="64">
        <v>161.4</v>
      </c>
      <c r="O15" s="64">
        <v>0</v>
      </c>
      <c r="P15" s="64">
        <v>1.1599999999999999</v>
      </c>
      <c r="Q15" s="64">
        <v>9.3699999999999992</v>
      </c>
      <c r="R15" s="198"/>
      <c r="S15" s="198"/>
      <c r="T15" s="198"/>
      <c r="U15" s="198"/>
    </row>
    <row r="16" spans="1:21" s="12" customFormat="1" x14ac:dyDescent="0.25">
      <c r="A16" s="215" t="s">
        <v>3039</v>
      </c>
      <c r="B16" s="64">
        <v>44.74</v>
      </c>
      <c r="C16" s="64">
        <v>39.340000000000003</v>
      </c>
      <c r="D16" s="64">
        <v>55.06</v>
      </c>
      <c r="E16" s="64">
        <v>5.29</v>
      </c>
      <c r="F16" s="64">
        <v>3.72</v>
      </c>
      <c r="G16" s="64">
        <v>83.5</v>
      </c>
      <c r="H16" s="64">
        <v>29.6</v>
      </c>
      <c r="I16" s="211" t="s">
        <v>43</v>
      </c>
      <c r="J16" s="64">
        <v>2.11</v>
      </c>
      <c r="K16" s="64">
        <v>319.05</v>
      </c>
      <c r="L16" s="64">
        <v>15.44</v>
      </c>
      <c r="M16" s="64">
        <v>101.72</v>
      </c>
      <c r="N16" s="64">
        <v>161.30000000000001</v>
      </c>
      <c r="O16" s="64">
        <v>0</v>
      </c>
      <c r="P16" s="64">
        <v>1.1299999999999999</v>
      </c>
      <c r="Q16" s="64">
        <v>9.31</v>
      </c>
      <c r="R16" s="198"/>
      <c r="S16" s="198"/>
      <c r="T16" s="198"/>
      <c r="U16" s="198"/>
    </row>
    <row r="17" spans="1:21" s="12" customFormat="1" x14ac:dyDescent="0.25">
      <c r="A17" s="215" t="s">
        <v>3040</v>
      </c>
      <c r="B17" s="64">
        <v>44.69</v>
      </c>
      <c r="C17" s="64">
        <v>35.46</v>
      </c>
      <c r="D17" s="64">
        <v>52.99</v>
      </c>
      <c r="E17" s="64">
        <v>5.25</v>
      </c>
      <c r="F17" s="64">
        <v>4.08</v>
      </c>
      <c r="G17" s="64">
        <v>83.5</v>
      </c>
      <c r="H17" s="64">
        <v>29.6</v>
      </c>
      <c r="I17" s="211" t="s">
        <v>43</v>
      </c>
      <c r="J17" s="64">
        <v>0.92</v>
      </c>
      <c r="K17" s="64">
        <v>342.45</v>
      </c>
      <c r="L17" s="64">
        <v>15.19</v>
      </c>
      <c r="M17" s="64">
        <v>101.87</v>
      </c>
      <c r="N17" s="64">
        <v>160.69999999999999</v>
      </c>
      <c r="O17" s="64">
        <v>0</v>
      </c>
      <c r="P17" s="64">
        <v>1.1000000000000001</v>
      </c>
      <c r="Q17" s="64">
        <v>9.27</v>
      </c>
      <c r="R17" s="198"/>
      <c r="S17" s="198"/>
      <c r="T17" s="198"/>
      <c r="U17" s="198"/>
    </row>
    <row r="18" spans="1:21" s="12" customFormat="1" x14ac:dyDescent="0.25">
      <c r="A18" s="215" t="s">
        <v>3041</v>
      </c>
      <c r="B18" s="64">
        <v>44.03</v>
      </c>
      <c r="C18" s="64">
        <v>36.1</v>
      </c>
      <c r="D18" s="64">
        <v>52.79</v>
      </c>
      <c r="E18" s="64">
        <v>5.0599999999999996</v>
      </c>
      <c r="F18" s="64">
        <v>3.88</v>
      </c>
      <c r="G18" s="64">
        <v>83.5</v>
      </c>
      <c r="H18" s="64">
        <v>29.6</v>
      </c>
      <c r="I18" s="211" t="s">
        <v>43</v>
      </c>
      <c r="J18" s="64">
        <v>1.8</v>
      </c>
      <c r="K18" s="64">
        <v>346.43</v>
      </c>
      <c r="L18" s="64">
        <v>15.21</v>
      </c>
      <c r="M18" s="64">
        <v>101.71</v>
      </c>
      <c r="N18" s="64">
        <v>161.19999999999999</v>
      </c>
      <c r="O18" s="64">
        <v>0</v>
      </c>
      <c r="P18" s="64">
        <v>1.01</v>
      </c>
      <c r="Q18" s="64">
        <v>9.2200000000000006</v>
      </c>
      <c r="R18" s="198"/>
      <c r="S18" s="198"/>
      <c r="T18" s="198"/>
      <c r="U18" s="198"/>
    </row>
    <row r="19" spans="1:21" s="12" customFormat="1" x14ac:dyDescent="0.25">
      <c r="A19" s="215" t="s">
        <v>3042</v>
      </c>
      <c r="B19" s="64">
        <v>43.03</v>
      </c>
      <c r="C19" s="64">
        <v>36.71</v>
      </c>
      <c r="D19" s="64">
        <v>52.31</v>
      </c>
      <c r="E19" s="64">
        <v>5.38</v>
      </c>
      <c r="F19" s="64">
        <v>3.75</v>
      </c>
      <c r="G19" s="64">
        <v>79</v>
      </c>
      <c r="H19" s="64">
        <v>26.25</v>
      </c>
      <c r="I19" s="211" t="s">
        <v>43</v>
      </c>
      <c r="J19" s="64">
        <v>2.72</v>
      </c>
      <c r="K19" s="64">
        <v>350.06</v>
      </c>
      <c r="L19" s="64">
        <v>15.33</v>
      </c>
      <c r="M19" s="64">
        <v>99.84</v>
      </c>
      <c r="N19" s="64">
        <v>160.69999999999999</v>
      </c>
      <c r="O19" s="64">
        <v>0</v>
      </c>
      <c r="P19" s="64">
        <v>1.04</v>
      </c>
      <c r="Q19" s="64">
        <v>9.16</v>
      </c>
      <c r="R19" s="198"/>
      <c r="S19" s="198"/>
      <c r="T19" s="198"/>
      <c r="U19" s="198"/>
    </row>
    <row r="20" spans="1:21" s="12" customFormat="1" x14ac:dyDescent="0.25">
      <c r="A20" s="215" t="s">
        <v>3043</v>
      </c>
      <c r="B20" s="64">
        <v>41.89</v>
      </c>
      <c r="C20" s="64">
        <v>37.07</v>
      </c>
      <c r="D20" s="64">
        <v>51.59</v>
      </c>
      <c r="E20" s="64">
        <v>5.82</v>
      </c>
      <c r="F20" s="64">
        <v>3.64</v>
      </c>
      <c r="G20" s="64">
        <v>77.069999999999993</v>
      </c>
      <c r="H20" s="64">
        <v>24.82</v>
      </c>
      <c r="I20" s="211" t="s">
        <v>43</v>
      </c>
      <c r="J20" s="64">
        <v>0.93</v>
      </c>
      <c r="K20" s="64">
        <v>318.64</v>
      </c>
      <c r="L20" s="64">
        <v>15.28</v>
      </c>
      <c r="M20" s="64">
        <v>100.55</v>
      </c>
      <c r="N20" s="64">
        <v>161.5</v>
      </c>
      <c r="O20" s="64">
        <v>0</v>
      </c>
      <c r="P20" s="64">
        <v>0.98</v>
      </c>
      <c r="Q20" s="64">
        <v>9.09</v>
      </c>
      <c r="R20" s="198"/>
      <c r="S20" s="198"/>
      <c r="T20" s="198"/>
      <c r="U20" s="198"/>
    </row>
    <row r="21" spans="1:21" s="12" customFormat="1" x14ac:dyDescent="0.25">
      <c r="A21" s="215" t="s">
        <v>3044</v>
      </c>
      <c r="B21" s="64">
        <v>40.92</v>
      </c>
      <c r="C21" s="64">
        <v>36.42</v>
      </c>
      <c r="D21" s="64">
        <v>50.46</v>
      </c>
      <c r="E21" s="64">
        <v>5.52</v>
      </c>
      <c r="F21" s="64">
        <v>4.37</v>
      </c>
      <c r="G21" s="64">
        <v>77.069999999999993</v>
      </c>
      <c r="H21" s="64">
        <v>24.82</v>
      </c>
      <c r="I21" s="211" t="s">
        <v>43</v>
      </c>
      <c r="J21" s="64">
        <v>3.19</v>
      </c>
      <c r="K21" s="64">
        <v>343.78</v>
      </c>
      <c r="L21" s="64">
        <v>15.21</v>
      </c>
      <c r="M21" s="64">
        <v>101.3</v>
      </c>
      <c r="N21" s="64">
        <v>161.4</v>
      </c>
      <c r="O21" s="64">
        <v>0</v>
      </c>
      <c r="P21" s="64">
        <v>1.04</v>
      </c>
      <c r="Q21" s="64">
        <v>9.0399999999999991</v>
      </c>
      <c r="R21" s="198"/>
      <c r="S21" s="198"/>
      <c r="T21" s="198"/>
      <c r="U21" s="198"/>
    </row>
    <row r="22" spans="1:21" s="12" customFormat="1" x14ac:dyDescent="0.25">
      <c r="A22" s="215" t="s">
        <v>3045</v>
      </c>
      <c r="B22" s="64">
        <v>40.04</v>
      </c>
      <c r="C22" s="64">
        <v>36.69</v>
      </c>
      <c r="D22" s="64">
        <v>49.9</v>
      </c>
      <c r="E22" s="64">
        <v>5.59</v>
      </c>
      <c r="F22" s="64">
        <v>4.28</v>
      </c>
      <c r="G22" s="64">
        <v>77.069999999999993</v>
      </c>
      <c r="H22" s="64">
        <v>24.82</v>
      </c>
      <c r="I22" s="211" t="s">
        <v>43</v>
      </c>
      <c r="J22" s="64">
        <v>2.99</v>
      </c>
      <c r="K22" s="64">
        <v>347.1</v>
      </c>
      <c r="L22" s="64">
        <v>15.42</v>
      </c>
      <c r="M22" s="64">
        <v>100.77</v>
      </c>
      <c r="N22" s="64">
        <v>162.30000000000001</v>
      </c>
      <c r="O22" s="64">
        <v>0</v>
      </c>
      <c r="P22" s="64">
        <v>1</v>
      </c>
      <c r="Q22" s="64">
        <v>8.98</v>
      </c>
      <c r="R22" s="198"/>
      <c r="S22" s="198"/>
      <c r="T22" s="198"/>
      <c r="U22" s="198"/>
    </row>
    <row r="23" spans="1:21" s="12" customFormat="1" x14ac:dyDescent="0.25">
      <c r="A23" s="215" t="s">
        <v>3046</v>
      </c>
      <c r="B23" s="64">
        <v>39.51</v>
      </c>
      <c r="C23" s="64">
        <v>36.520000000000003</v>
      </c>
      <c r="D23" s="64">
        <v>49.39</v>
      </c>
      <c r="E23" s="64">
        <v>5.47</v>
      </c>
      <c r="F23" s="64">
        <v>3.99</v>
      </c>
      <c r="G23" s="64">
        <v>84.89</v>
      </c>
      <c r="H23" s="64">
        <v>26.58</v>
      </c>
      <c r="I23" s="211" t="s">
        <v>43</v>
      </c>
      <c r="J23" s="64">
        <v>1.4</v>
      </c>
      <c r="K23" s="64">
        <v>17.38</v>
      </c>
      <c r="L23" s="64">
        <v>15.19</v>
      </c>
      <c r="M23" s="64">
        <v>102.16</v>
      </c>
      <c r="N23" s="64">
        <v>163</v>
      </c>
      <c r="O23" s="64">
        <v>0</v>
      </c>
      <c r="P23" s="64">
        <v>1</v>
      </c>
      <c r="Q23" s="64">
        <v>8.92</v>
      </c>
      <c r="R23" s="198"/>
      <c r="S23" s="198"/>
      <c r="T23" s="198"/>
      <c r="U23" s="198"/>
    </row>
    <row r="24" spans="1:21" s="12" customFormat="1" x14ac:dyDescent="0.25">
      <c r="A24" s="215" t="s">
        <v>3047</v>
      </c>
      <c r="B24" s="64">
        <v>38.99</v>
      </c>
      <c r="C24" s="64">
        <v>36.909999999999997</v>
      </c>
      <c r="D24" s="64">
        <v>49.17</v>
      </c>
      <c r="E24" s="64">
        <v>5.55</v>
      </c>
      <c r="F24" s="64">
        <v>3.65</v>
      </c>
      <c r="G24" s="64">
        <v>88.24</v>
      </c>
      <c r="H24" s="64">
        <v>27.33</v>
      </c>
      <c r="I24" s="211" t="s">
        <v>43</v>
      </c>
      <c r="J24" s="64">
        <v>1.23</v>
      </c>
      <c r="K24" s="64">
        <v>79.97</v>
      </c>
      <c r="L24" s="64">
        <v>15.07</v>
      </c>
      <c r="M24" s="64">
        <v>102.39</v>
      </c>
      <c r="N24" s="64">
        <v>162.4</v>
      </c>
      <c r="O24" s="64">
        <v>0</v>
      </c>
      <c r="P24" s="64">
        <v>1.03</v>
      </c>
      <c r="Q24" s="64">
        <v>8.8800000000000008</v>
      </c>
      <c r="R24" s="198"/>
      <c r="S24" s="198"/>
      <c r="T24" s="198"/>
      <c r="U24" s="198"/>
    </row>
    <row r="25" spans="1:21" s="12" customFormat="1" x14ac:dyDescent="0.25">
      <c r="A25" s="215" t="s">
        <v>3048</v>
      </c>
      <c r="B25" s="64">
        <v>38.270000000000003</v>
      </c>
      <c r="C25" s="64">
        <v>38.479999999999997</v>
      </c>
      <c r="D25" s="64">
        <v>49.42</v>
      </c>
      <c r="E25" s="64">
        <v>5.67</v>
      </c>
      <c r="F25" s="64">
        <v>3.57</v>
      </c>
      <c r="G25" s="64">
        <v>88.24</v>
      </c>
      <c r="H25" s="64">
        <v>27.33</v>
      </c>
      <c r="I25" s="211" t="s">
        <v>43</v>
      </c>
      <c r="J25" s="64">
        <v>0.81</v>
      </c>
      <c r="K25" s="64">
        <v>344.08</v>
      </c>
      <c r="L25" s="64">
        <v>14.92</v>
      </c>
      <c r="M25" s="64">
        <v>101.57</v>
      </c>
      <c r="N25" s="64">
        <v>161.69999999999999</v>
      </c>
      <c r="O25" s="64">
        <v>0</v>
      </c>
      <c r="P25" s="64">
        <v>1.03</v>
      </c>
      <c r="Q25" s="64">
        <v>8.8000000000000007</v>
      </c>
      <c r="R25" s="198"/>
      <c r="S25" s="198"/>
      <c r="T25" s="198"/>
      <c r="U25" s="198"/>
    </row>
    <row r="26" spans="1:21" s="12" customFormat="1" x14ac:dyDescent="0.25">
      <c r="A26" s="215" t="s">
        <v>3049</v>
      </c>
      <c r="B26" s="64">
        <v>37.31</v>
      </c>
      <c r="C26" s="64">
        <v>37.86</v>
      </c>
      <c r="D26" s="64">
        <v>48.33</v>
      </c>
      <c r="E26" s="64">
        <v>5.83</v>
      </c>
      <c r="F26" s="64">
        <v>3.74</v>
      </c>
      <c r="G26" s="64">
        <v>88.24</v>
      </c>
      <c r="H26" s="64">
        <v>27.33</v>
      </c>
      <c r="I26" s="211" t="s">
        <v>43</v>
      </c>
      <c r="J26" s="64">
        <v>1.45</v>
      </c>
      <c r="K26" s="64">
        <v>344.52</v>
      </c>
      <c r="L26" s="64">
        <v>14.85</v>
      </c>
      <c r="M26" s="64">
        <v>100.77</v>
      </c>
      <c r="N26" s="64">
        <v>161.80000000000001</v>
      </c>
      <c r="O26" s="64">
        <v>0</v>
      </c>
      <c r="P26" s="64">
        <v>1.01</v>
      </c>
      <c r="Q26" s="64">
        <v>8.7100000000000009</v>
      </c>
      <c r="R26" s="198"/>
      <c r="S26" s="198"/>
      <c r="T26" s="198"/>
      <c r="U26" s="198"/>
    </row>
    <row r="27" spans="1:21" s="12" customFormat="1" x14ac:dyDescent="0.25">
      <c r="A27" s="215" t="s">
        <v>3050</v>
      </c>
      <c r="B27" s="64">
        <v>36.28</v>
      </c>
      <c r="C27" s="64">
        <v>37.32</v>
      </c>
      <c r="D27" s="64">
        <v>47.21</v>
      </c>
      <c r="E27" s="64">
        <v>5.76</v>
      </c>
      <c r="F27" s="64">
        <v>4.08</v>
      </c>
      <c r="G27" s="64">
        <v>88.17</v>
      </c>
      <c r="H27" s="64">
        <v>27.09</v>
      </c>
      <c r="I27" s="211" t="s">
        <v>43</v>
      </c>
      <c r="J27" s="64">
        <v>3.04</v>
      </c>
      <c r="K27" s="64">
        <v>352.77</v>
      </c>
      <c r="L27" s="64">
        <v>14.77</v>
      </c>
      <c r="M27" s="64">
        <v>100.66</v>
      </c>
      <c r="N27" s="64">
        <v>163</v>
      </c>
      <c r="O27" s="64">
        <v>0</v>
      </c>
      <c r="P27" s="64">
        <v>0.98</v>
      </c>
      <c r="Q27" s="64">
        <v>8.59</v>
      </c>
      <c r="R27" s="198"/>
      <c r="S27" s="198"/>
      <c r="T27" s="198"/>
      <c r="U27" s="198"/>
    </row>
    <row r="28" spans="1:21" s="12" customFormat="1" x14ac:dyDescent="0.25">
      <c r="A28" s="215" t="s">
        <v>3051</v>
      </c>
      <c r="B28" s="64">
        <v>35.229999999999997</v>
      </c>
      <c r="C28" s="64">
        <v>37.700000000000003</v>
      </c>
      <c r="D28" s="64">
        <v>46.57</v>
      </c>
      <c r="E28" s="64">
        <v>5.16</v>
      </c>
      <c r="F28" s="64">
        <v>4.01</v>
      </c>
      <c r="G28" s="64">
        <v>88.14</v>
      </c>
      <c r="H28" s="64">
        <v>26.98</v>
      </c>
      <c r="I28" s="211" t="s">
        <v>43</v>
      </c>
      <c r="J28" s="64">
        <v>1.93</v>
      </c>
      <c r="K28" s="64">
        <v>334.23</v>
      </c>
      <c r="L28" s="64">
        <v>14.72</v>
      </c>
      <c r="M28" s="64">
        <v>100</v>
      </c>
      <c r="N28" s="64">
        <v>161.80000000000001</v>
      </c>
      <c r="O28" s="64">
        <v>0</v>
      </c>
      <c r="P28" s="64">
        <v>0.95</v>
      </c>
      <c r="Q28" s="64">
        <v>8.49</v>
      </c>
      <c r="R28" s="198"/>
      <c r="S28" s="198"/>
      <c r="T28" s="198"/>
      <c r="U28" s="198"/>
    </row>
    <row r="29" spans="1:21" s="12" customFormat="1" x14ac:dyDescent="0.25">
      <c r="A29" s="215" t="s">
        <v>3052</v>
      </c>
      <c r="B29" s="64">
        <v>34.119999999999997</v>
      </c>
      <c r="C29" s="64">
        <v>37.56</v>
      </c>
      <c r="D29" s="64">
        <v>45.6</v>
      </c>
      <c r="E29" s="64">
        <v>5.12</v>
      </c>
      <c r="F29" s="64">
        <v>4.17</v>
      </c>
      <c r="G29" s="64">
        <v>88.14</v>
      </c>
      <c r="H29" s="64">
        <v>26.98</v>
      </c>
      <c r="I29" s="211" t="s">
        <v>43</v>
      </c>
      <c r="J29" s="64">
        <v>1.25</v>
      </c>
      <c r="K29" s="64">
        <v>343.69</v>
      </c>
      <c r="L29" s="64">
        <v>14.56</v>
      </c>
      <c r="M29" s="64">
        <v>100.26</v>
      </c>
      <c r="N29" s="64">
        <v>161.1</v>
      </c>
      <c r="O29" s="64">
        <v>0</v>
      </c>
      <c r="P29" s="64">
        <v>0.91</v>
      </c>
      <c r="Q29" s="64">
        <v>8.4</v>
      </c>
      <c r="R29" s="198"/>
      <c r="S29" s="198"/>
      <c r="T29" s="198"/>
      <c r="U29" s="198"/>
    </row>
    <row r="30" spans="1:21" s="12" customFormat="1" x14ac:dyDescent="0.25">
      <c r="A30" s="215" t="s">
        <v>3053</v>
      </c>
      <c r="B30" s="64">
        <v>33.03</v>
      </c>
      <c r="C30" s="64">
        <v>37.729999999999997</v>
      </c>
      <c r="D30" s="64">
        <v>44.83</v>
      </c>
      <c r="E30" s="64">
        <v>4.67</v>
      </c>
      <c r="F30" s="64">
        <v>3.93</v>
      </c>
      <c r="G30" s="64">
        <v>88.14</v>
      </c>
      <c r="H30" s="64">
        <v>26.98</v>
      </c>
      <c r="I30" s="211" t="s">
        <v>43</v>
      </c>
      <c r="J30" s="64">
        <v>1.74</v>
      </c>
      <c r="K30" s="64">
        <v>353.29</v>
      </c>
      <c r="L30" s="64">
        <v>14.53</v>
      </c>
      <c r="M30" s="64">
        <v>100.31</v>
      </c>
      <c r="N30" s="64">
        <v>160.19999999999999</v>
      </c>
      <c r="O30" s="64">
        <v>0</v>
      </c>
      <c r="P30" s="64">
        <v>0.88</v>
      </c>
      <c r="Q30" s="64">
        <v>8.27</v>
      </c>
      <c r="R30" s="198"/>
      <c r="S30" s="198"/>
      <c r="T30" s="198"/>
      <c r="U30" s="198"/>
    </row>
    <row r="31" spans="1:21" s="12" customFormat="1" x14ac:dyDescent="0.25">
      <c r="A31" s="215" t="s">
        <v>3054</v>
      </c>
      <c r="B31" s="64">
        <v>32.24</v>
      </c>
      <c r="C31" s="64">
        <v>37.590000000000003</v>
      </c>
      <c r="D31" s="64">
        <v>44.12</v>
      </c>
      <c r="E31" s="64">
        <v>4.72</v>
      </c>
      <c r="F31" s="64">
        <v>3.63</v>
      </c>
      <c r="G31" s="64">
        <v>74.52</v>
      </c>
      <c r="H31" s="64">
        <v>22</v>
      </c>
      <c r="I31" s="211" t="s">
        <v>43</v>
      </c>
      <c r="J31" s="64">
        <v>0.88</v>
      </c>
      <c r="K31" s="64">
        <v>53.05</v>
      </c>
      <c r="L31" s="64">
        <v>14.44</v>
      </c>
      <c r="M31" s="64">
        <v>100.45</v>
      </c>
      <c r="N31" s="64">
        <v>160.19999999999999</v>
      </c>
      <c r="O31" s="64">
        <v>0</v>
      </c>
      <c r="P31" s="64">
        <v>0.85</v>
      </c>
      <c r="Q31" s="64">
        <v>8.2200000000000006</v>
      </c>
      <c r="R31" s="198"/>
      <c r="S31" s="198"/>
      <c r="T31" s="198"/>
      <c r="U31" s="198"/>
    </row>
    <row r="32" spans="1:21" s="12" customFormat="1" x14ac:dyDescent="0.25">
      <c r="A32" s="215" t="s">
        <v>3055</v>
      </c>
      <c r="B32" s="64">
        <v>31.24</v>
      </c>
      <c r="C32" s="64">
        <v>37.090000000000003</v>
      </c>
      <c r="D32" s="64">
        <v>43.05</v>
      </c>
      <c r="E32" s="64">
        <v>4.78</v>
      </c>
      <c r="F32" s="64">
        <v>3.7</v>
      </c>
      <c r="G32" s="64">
        <v>68.680000000000007</v>
      </c>
      <c r="H32" s="64">
        <v>19.75</v>
      </c>
      <c r="I32" s="211" t="s">
        <v>43</v>
      </c>
      <c r="J32" s="64">
        <v>0.81</v>
      </c>
      <c r="K32" s="64">
        <v>42.11</v>
      </c>
      <c r="L32" s="64">
        <v>14.36</v>
      </c>
      <c r="M32" s="64">
        <v>100.7</v>
      </c>
      <c r="N32" s="64">
        <v>160.5</v>
      </c>
      <c r="O32" s="64">
        <v>0</v>
      </c>
      <c r="P32" s="64">
        <v>0.82</v>
      </c>
      <c r="Q32" s="64">
        <v>8.2100000000000009</v>
      </c>
      <c r="R32" s="198"/>
      <c r="S32" s="198"/>
      <c r="T32" s="198"/>
      <c r="U32" s="198"/>
    </row>
    <row r="33" spans="1:21" s="12" customFormat="1" x14ac:dyDescent="0.25">
      <c r="A33" s="215" t="s">
        <v>3056</v>
      </c>
      <c r="B33" s="64">
        <v>30.43</v>
      </c>
      <c r="C33" s="64">
        <v>36.81</v>
      </c>
      <c r="D33" s="64">
        <v>42.25</v>
      </c>
      <c r="E33" s="64">
        <v>4.43</v>
      </c>
      <c r="F33" s="64">
        <v>3.54</v>
      </c>
      <c r="G33" s="64">
        <v>68.680000000000007</v>
      </c>
      <c r="H33" s="64">
        <v>19.75</v>
      </c>
      <c r="I33" s="211" t="s">
        <v>43</v>
      </c>
      <c r="J33" s="64">
        <v>0.6</v>
      </c>
      <c r="K33" s="64">
        <v>338.3</v>
      </c>
      <c r="L33" s="64">
        <v>14.32</v>
      </c>
      <c r="M33" s="64">
        <v>100.79</v>
      </c>
      <c r="N33" s="64">
        <v>160.80000000000001</v>
      </c>
      <c r="O33" s="64">
        <v>0</v>
      </c>
      <c r="P33" s="64">
        <v>0.79</v>
      </c>
      <c r="Q33" s="64">
        <v>8.2100000000000009</v>
      </c>
      <c r="R33" s="198"/>
      <c r="S33" s="198"/>
      <c r="T33" s="198"/>
      <c r="U33" s="198"/>
    </row>
    <row r="34" spans="1:21" s="12" customFormat="1" x14ac:dyDescent="0.25">
      <c r="A34" s="215" t="s">
        <v>3057</v>
      </c>
      <c r="B34" s="64">
        <v>30.27</v>
      </c>
      <c r="C34" s="64">
        <v>33.549999999999997</v>
      </c>
      <c r="D34" s="64">
        <v>40.42</v>
      </c>
      <c r="E34" s="64">
        <v>4.3899999999999997</v>
      </c>
      <c r="F34" s="64">
        <v>3.58</v>
      </c>
      <c r="G34" s="64">
        <v>68.680000000000007</v>
      </c>
      <c r="H34" s="64">
        <v>19.75</v>
      </c>
      <c r="I34" s="211" t="s">
        <v>43</v>
      </c>
      <c r="J34" s="64">
        <v>1.17</v>
      </c>
      <c r="K34" s="64">
        <v>351.33</v>
      </c>
      <c r="L34" s="64">
        <v>14.29</v>
      </c>
      <c r="M34" s="64">
        <v>101.35</v>
      </c>
      <c r="N34" s="64">
        <v>160.30000000000001</v>
      </c>
      <c r="O34" s="64">
        <v>0</v>
      </c>
      <c r="P34" s="64">
        <v>0.77</v>
      </c>
      <c r="Q34" s="64">
        <v>8.2100000000000009</v>
      </c>
      <c r="R34" s="198"/>
      <c r="S34" s="198"/>
      <c r="T34" s="198"/>
      <c r="U34" s="198"/>
    </row>
    <row r="35" spans="1:21" s="12" customFormat="1" x14ac:dyDescent="0.25">
      <c r="A35" s="215" t="s">
        <v>3058</v>
      </c>
      <c r="B35" s="64">
        <v>30.63</v>
      </c>
      <c r="C35" s="64">
        <v>34.869999999999997</v>
      </c>
      <c r="D35" s="64">
        <v>41.4</v>
      </c>
      <c r="E35" s="64">
        <v>4.1900000000000004</v>
      </c>
      <c r="F35" s="64">
        <v>3.74</v>
      </c>
      <c r="G35" s="64">
        <v>59.01</v>
      </c>
      <c r="H35" s="64">
        <v>19.5</v>
      </c>
      <c r="I35" s="211" t="s">
        <v>43</v>
      </c>
      <c r="J35" s="64">
        <v>1.28</v>
      </c>
      <c r="K35" s="64">
        <v>343.66</v>
      </c>
      <c r="L35" s="64">
        <v>14.15</v>
      </c>
      <c r="M35" s="64">
        <v>102.41</v>
      </c>
      <c r="N35" s="64">
        <v>162.80000000000001</v>
      </c>
      <c r="O35" s="64">
        <v>0</v>
      </c>
      <c r="P35" s="64">
        <v>0.76</v>
      </c>
      <c r="Q35" s="64">
        <v>8.2100000000000009</v>
      </c>
      <c r="R35" s="198"/>
      <c r="S35" s="198"/>
      <c r="T35" s="198"/>
      <c r="U35" s="198"/>
    </row>
    <row r="36" spans="1:21" s="12" customFormat="1" x14ac:dyDescent="0.25">
      <c r="A36" s="215" t="s">
        <v>3059</v>
      </c>
      <c r="B36" s="64">
        <v>32.33</v>
      </c>
      <c r="C36" s="64">
        <v>35.65</v>
      </c>
      <c r="D36" s="64">
        <v>43.18</v>
      </c>
      <c r="E36" s="64">
        <v>4.5</v>
      </c>
      <c r="F36" s="64">
        <v>3.06</v>
      </c>
      <c r="G36" s="64">
        <v>54.64</v>
      </c>
      <c r="H36" s="64">
        <v>19.39</v>
      </c>
      <c r="I36" s="211" t="s">
        <v>43</v>
      </c>
      <c r="J36" s="64">
        <v>0.59</v>
      </c>
      <c r="K36" s="64">
        <v>334.58</v>
      </c>
      <c r="L36" s="64">
        <v>14.17</v>
      </c>
      <c r="M36" s="64">
        <v>102.46</v>
      </c>
      <c r="N36" s="64">
        <v>172.6</v>
      </c>
      <c r="O36" s="64">
        <v>0</v>
      </c>
      <c r="P36" s="64">
        <v>0.76</v>
      </c>
      <c r="Q36" s="64">
        <v>8.2100000000000009</v>
      </c>
      <c r="R36" s="198"/>
      <c r="S36" s="198"/>
      <c r="T36" s="198"/>
      <c r="U36" s="198"/>
    </row>
    <row r="37" spans="1:21" s="12" customFormat="1" x14ac:dyDescent="0.25">
      <c r="A37" s="215" t="s">
        <v>3060</v>
      </c>
      <c r="B37" s="64">
        <v>33.93</v>
      </c>
      <c r="C37" s="64">
        <v>35.43</v>
      </c>
      <c r="D37" s="64">
        <v>44.34</v>
      </c>
      <c r="E37" s="64">
        <v>4.8099999999999996</v>
      </c>
      <c r="F37" s="64">
        <v>3.35</v>
      </c>
      <c r="G37" s="64">
        <v>54.64</v>
      </c>
      <c r="H37" s="64">
        <v>19.39</v>
      </c>
      <c r="I37" s="211" t="s">
        <v>43</v>
      </c>
      <c r="J37" s="64">
        <v>2.04</v>
      </c>
      <c r="K37" s="64">
        <v>106.06</v>
      </c>
      <c r="L37" s="64">
        <v>14.41</v>
      </c>
      <c r="M37" s="64">
        <v>101.64</v>
      </c>
      <c r="N37" s="64">
        <v>189.5</v>
      </c>
      <c r="O37" s="64">
        <v>0</v>
      </c>
      <c r="P37" s="64">
        <v>0.77</v>
      </c>
      <c r="Q37" s="64">
        <v>8.23</v>
      </c>
      <c r="R37" s="198"/>
      <c r="S37" s="198"/>
      <c r="T37" s="198"/>
      <c r="U37" s="198"/>
    </row>
    <row r="38" spans="1:21" s="12" customFormat="1" x14ac:dyDescent="0.25">
      <c r="A38" s="215" t="s">
        <v>3061</v>
      </c>
      <c r="B38" s="64">
        <v>34.07</v>
      </c>
      <c r="C38" s="64">
        <v>35.4</v>
      </c>
      <c r="D38" s="64">
        <v>44.44</v>
      </c>
      <c r="E38" s="64">
        <v>4.7</v>
      </c>
      <c r="F38" s="64">
        <v>3.44</v>
      </c>
      <c r="G38" s="64">
        <v>54.64</v>
      </c>
      <c r="H38" s="64">
        <v>19.39</v>
      </c>
      <c r="I38" s="211" t="s">
        <v>43</v>
      </c>
      <c r="J38" s="64">
        <v>2.95</v>
      </c>
      <c r="K38" s="64">
        <v>109.91</v>
      </c>
      <c r="L38" s="64">
        <v>14.77</v>
      </c>
      <c r="M38" s="64">
        <v>99.4</v>
      </c>
      <c r="N38" s="64">
        <v>210.8</v>
      </c>
      <c r="O38" s="64">
        <v>0</v>
      </c>
      <c r="P38" s="64">
        <v>0.8</v>
      </c>
      <c r="Q38" s="64">
        <v>8.3000000000000007</v>
      </c>
      <c r="R38" s="198"/>
      <c r="S38" s="198"/>
      <c r="T38" s="198"/>
      <c r="U38" s="198"/>
    </row>
    <row r="39" spans="1:21" s="12" customFormat="1" x14ac:dyDescent="0.25">
      <c r="A39" s="215" t="s">
        <v>3062</v>
      </c>
      <c r="B39" s="64">
        <v>33.61</v>
      </c>
      <c r="C39" s="64">
        <v>35.07</v>
      </c>
      <c r="D39" s="64">
        <v>43.9</v>
      </c>
      <c r="E39" s="64">
        <v>4.3600000000000003</v>
      </c>
      <c r="F39" s="64">
        <v>3.68</v>
      </c>
      <c r="G39" s="64">
        <v>51.07</v>
      </c>
      <c r="H39" s="64">
        <v>18.46</v>
      </c>
      <c r="I39" s="211" t="s">
        <v>43</v>
      </c>
      <c r="J39" s="64">
        <v>2.66</v>
      </c>
      <c r="K39" s="64">
        <v>126.65</v>
      </c>
      <c r="L39" s="64">
        <v>15.09</v>
      </c>
      <c r="M39" s="64">
        <v>98.18</v>
      </c>
      <c r="N39" s="64">
        <v>237.8</v>
      </c>
      <c r="O39" s="64">
        <v>0</v>
      </c>
      <c r="P39" s="64">
        <v>0.79</v>
      </c>
      <c r="Q39" s="64">
        <v>8.3000000000000007</v>
      </c>
      <c r="R39" s="198"/>
      <c r="S39" s="198"/>
      <c r="T39" s="198"/>
      <c r="U39" s="198"/>
    </row>
    <row r="40" spans="1:21" s="12" customFormat="1" x14ac:dyDescent="0.25">
      <c r="A40" s="215" t="s">
        <v>3063</v>
      </c>
      <c r="B40" s="64">
        <v>33.03</v>
      </c>
      <c r="C40" s="64">
        <v>34.729999999999997</v>
      </c>
      <c r="D40" s="64">
        <v>43.25</v>
      </c>
      <c r="E40" s="64">
        <v>5.79</v>
      </c>
      <c r="F40" s="64">
        <v>3.86</v>
      </c>
      <c r="G40" s="64">
        <v>49.54</v>
      </c>
      <c r="H40" s="64">
        <v>18.04</v>
      </c>
      <c r="I40" s="211" t="s">
        <v>43</v>
      </c>
      <c r="J40" s="64">
        <v>3.31</v>
      </c>
      <c r="K40" s="64">
        <v>113.01</v>
      </c>
      <c r="L40" s="64">
        <v>15.38</v>
      </c>
      <c r="M40" s="64">
        <v>97.45</v>
      </c>
      <c r="N40" s="64">
        <v>301</v>
      </c>
      <c r="O40" s="64">
        <v>0</v>
      </c>
      <c r="P40" s="64">
        <v>0.78</v>
      </c>
      <c r="Q40" s="64">
        <v>8.27</v>
      </c>
      <c r="R40" s="198"/>
      <c r="S40" s="198"/>
      <c r="T40" s="198"/>
      <c r="U40" s="198"/>
    </row>
    <row r="41" spans="1:21" s="12" customFormat="1" x14ac:dyDescent="0.25">
      <c r="A41" s="215" t="s">
        <v>3064</v>
      </c>
      <c r="B41" s="64">
        <v>32.25</v>
      </c>
      <c r="C41" s="64">
        <v>34.01</v>
      </c>
      <c r="D41" s="64">
        <v>42.26</v>
      </c>
      <c r="E41" s="64">
        <v>6.19</v>
      </c>
      <c r="F41" s="64">
        <v>3.63</v>
      </c>
      <c r="G41" s="64">
        <v>49.54</v>
      </c>
      <c r="H41" s="64">
        <v>18.04</v>
      </c>
      <c r="I41" s="211" t="s">
        <v>43</v>
      </c>
      <c r="J41" s="64">
        <v>3.87</v>
      </c>
      <c r="K41" s="64">
        <v>118.08</v>
      </c>
      <c r="L41" s="64">
        <v>15.93</v>
      </c>
      <c r="M41" s="64">
        <v>94.5</v>
      </c>
      <c r="N41" s="64">
        <v>349.1</v>
      </c>
      <c r="O41" s="64">
        <v>0</v>
      </c>
      <c r="P41" s="64">
        <v>0.77</v>
      </c>
      <c r="Q41" s="64">
        <v>8.2200000000000006</v>
      </c>
      <c r="R41" s="198"/>
      <c r="S41" s="198"/>
      <c r="T41" s="198"/>
      <c r="U41" s="198"/>
    </row>
    <row r="42" spans="1:21" s="12" customFormat="1" x14ac:dyDescent="0.25">
      <c r="A42" s="215" t="s">
        <v>3065</v>
      </c>
      <c r="B42" s="64">
        <v>31.24</v>
      </c>
      <c r="C42" s="64">
        <v>35.64</v>
      </c>
      <c r="D42" s="64">
        <v>42.29</v>
      </c>
      <c r="E42" s="64">
        <v>6.07</v>
      </c>
      <c r="F42" s="64">
        <v>3.64</v>
      </c>
      <c r="G42" s="64">
        <v>49.54</v>
      </c>
      <c r="H42" s="64">
        <v>18.04</v>
      </c>
      <c r="I42" s="211" t="s">
        <v>43</v>
      </c>
      <c r="J42" s="64">
        <v>3.37</v>
      </c>
      <c r="K42" s="64">
        <v>110.89</v>
      </c>
      <c r="L42" s="64">
        <v>16.39</v>
      </c>
      <c r="M42" s="64">
        <v>92.12</v>
      </c>
      <c r="N42" s="64">
        <v>400.6</v>
      </c>
      <c r="O42" s="64">
        <v>0</v>
      </c>
      <c r="P42" s="64">
        <v>0.75</v>
      </c>
      <c r="Q42" s="64">
        <v>8.2100000000000009</v>
      </c>
      <c r="R42" s="198"/>
      <c r="S42" s="198"/>
      <c r="T42" s="198"/>
      <c r="U42" s="198"/>
    </row>
    <row r="43" spans="1:21" s="12" customFormat="1" x14ac:dyDescent="0.25">
      <c r="A43" s="215" t="s">
        <v>3066</v>
      </c>
      <c r="B43" s="64">
        <v>30.2</v>
      </c>
      <c r="C43" s="64">
        <v>35.72</v>
      </c>
      <c r="D43" s="64">
        <v>41.5</v>
      </c>
      <c r="E43" s="64">
        <v>6.04</v>
      </c>
      <c r="F43" s="64">
        <v>3.59</v>
      </c>
      <c r="G43" s="64">
        <v>48.73</v>
      </c>
      <c r="H43" s="64">
        <v>16.170000000000002</v>
      </c>
      <c r="I43" s="211" t="s">
        <v>43</v>
      </c>
      <c r="J43" s="64">
        <v>3.43</v>
      </c>
      <c r="K43" s="64">
        <v>110.41</v>
      </c>
      <c r="L43" s="64">
        <v>17.059999999999999</v>
      </c>
      <c r="M43" s="64">
        <v>89.04</v>
      </c>
      <c r="N43" s="64">
        <v>453.1</v>
      </c>
      <c r="O43" s="64">
        <v>0</v>
      </c>
      <c r="P43" s="64">
        <v>0.75</v>
      </c>
      <c r="Q43" s="64">
        <v>8.2100000000000009</v>
      </c>
      <c r="R43" s="198"/>
      <c r="S43" s="198"/>
      <c r="T43" s="198"/>
      <c r="U43" s="198"/>
    </row>
    <row r="44" spans="1:21" s="12" customFormat="1" x14ac:dyDescent="0.25">
      <c r="A44" s="215" t="s">
        <v>3067</v>
      </c>
      <c r="B44" s="64">
        <v>29.29</v>
      </c>
      <c r="C44" s="64">
        <v>35.89</v>
      </c>
      <c r="D44" s="64">
        <v>40.86</v>
      </c>
      <c r="E44" s="64">
        <v>5.89</v>
      </c>
      <c r="F44" s="64">
        <v>3.78</v>
      </c>
      <c r="G44" s="64">
        <v>48.38</v>
      </c>
      <c r="H44" s="64">
        <v>15.33</v>
      </c>
      <c r="I44" s="211" t="s">
        <v>43</v>
      </c>
      <c r="J44" s="64">
        <v>1.43</v>
      </c>
      <c r="K44" s="64">
        <v>62.64</v>
      </c>
      <c r="L44" s="64">
        <v>18.059999999999999</v>
      </c>
      <c r="M44" s="64">
        <v>84.81</v>
      </c>
      <c r="N44" s="64">
        <v>447.7</v>
      </c>
      <c r="O44" s="64">
        <v>0</v>
      </c>
      <c r="P44" s="64">
        <v>0.74</v>
      </c>
      <c r="Q44" s="64">
        <v>8.2100000000000009</v>
      </c>
      <c r="R44" s="198"/>
      <c r="S44" s="198"/>
      <c r="T44" s="198"/>
      <c r="U44" s="198"/>
    </row>
    <row r="45" spans="1:21" s="12" customFormat="1" x14ac:dyDescent="0.25">
      <c r="A45" s="215" t="s">
        <v>3068</v>
      </c>
      <c r="B45" s="64">
        <v>30</v>
      </c>
      <c r="C45" s="64">
        <v>36.25</v>
      </c>
      <c r="D45" s="64">
        <v>41.62</v>
      </c>
      <c r="E45" s="64">
        <v>5.79</v>
      </c>
      <c r="F45" s="64">
        <v>3.91</v>
      </c>
      <c r="G45" s="64">
        <v>48.38</v>
      </c>
      <c r="H45" s="64">
        <v>15.33</v>
      </c>
      <c r="I45" s="211" t="s">
        <v>43</v>
      </c>
      <c r="J45" s="64">
        <v>0.94</v>
      </c>
      <c r="K45" s="64">
        <v>36.08</v>
      </c>
      <c r="L45" s="64">
        <v>20.22</v>
      </c>
      <c r="M45" s="64">
        <v>73.88</v>
      </c>
      <c r="N45" s="64">
        <v>506.1</v>
      </c>
      <c r="O45" s="64">
        <v>0</v>
      </c>
      <c r="P45" s="64">
        <v>0.73</v>
      </c>
      <c r="Q45" s="64">
        <v>8.2100000000000009</v>
      </c>
      <c r="R45" s="198"/>
      <c r="S45" s="198"/>
      <c r="T45" s="198"/>
      <c r="U45" s="198"/>
    </row>
    <row r="46" spans="1:21" s="12" customFormat="1" x14ac:dyDescent="0.25">
      <c r="A46" s="215" t="s">
        <v>3069</v>
      </c>
      <c r="B46" s="64">
        <v>31.12</v>
      </c>
      <c r="C46" s="64">
        <v>37.58</v>
      </c>
      <c r="D46" s="64">
        <v>43.22</v>
      </c>
      <c r="E46" s="64">
        <v>6.2</v>
      </c>
      <c r="F46" s="64">
        <v>3.5</v>
      </c>
      <c r="G46" s="64">
        <v>48.38</v>
      </c>
      <c r="H46" s="64">
        <v>15.33</v>
      </c>
      <c r="I46" s="211" t="s">
        <v>43</v>
      </c>
      <c r="J46" s="64">
        <v>2.36</v>
      </c>
      <c r="K46" s="64">
        <v>97.29</v>
      </c>
      <c r="L46" s="64">
        <v>19.41</v>
      </c>
      <c r="M46" s="64">
        <v>77.39</v>
      </c>
      <c r="N46" s="64">
        <v>545.79999999999995</v>
      </c>
      <c r="O46" s="64">
        <v>0</v>
      </c>
      <c r="P46" s="64">
        <v>0.73</v>
      </c>
      <c r="Q46" s="64">
        <v>8.2100000000000009</v>
      </c>
      <c r="R46" s="198"/>
      <c r="S46" s="198"/>
      <c r="T46" s="198"/>
      <c r="U46" s="198"/>
    </row>
    <row r="47" spans="1:21" s="12" customFormat="1" x14ac:dyDescent="0.25">
      <c r="A47" s="215" t="s">
        <v>3070</v>
      </c>
      <c r="B47" s="64">
        <v>31.18</v>
      </c>
      <c r="C47" s="64">
        <v>37.58</v>
      </c>
      <c r="D47" s="64">
        <v>43.26</v>
      </c>
      <c r="E47" s="64">
        <v>6.07</v>
      </c>
      <c r="F47" s="64">
        <v>3.72</v>
      </c>
      <c r="G47" s="64">
        <v>46.49</v>
      </c>
      <c r="H47" s="64">
        <v>16.989999999999998</v>
      </c>
      <c r="I47" s="211" t="s">
        <v>43</v>
      </c>
      <c r="J47" s="64">
        <v>2.9</v>
      </c>
      <c r="K47" s="64">
        <v>103.76</v>
      </c>
      <c r="L47" s="64">
        <v>18.760000000000002</v>
      </c>
      <c r="M47" s="64">
        <v>80.180000000000007</v>
      </c>
      <c r="N47" s="64">
        <v>594.1</v>
      </c>
      <c r="O47" s="64">
        <v>0</v>
      </c>
      <c r="P47" s="64">
        <v>0.71</v>
      </c>
      <c r="Q47" s="64">
        <v>8.2100000000000009</v>
      </c>
      <c r="R47" s="198"/>
      <c r="S47" s="198"/>
      <c r="T47" s="198"/>
      <c r="U47" s="198"/>
    </row>
    <row r="48" spans="1:21" s="12" customFormat="1" x14ac:dyDescent="0.25">
      <c r="A48" s="215" t="s">
        <v>3071</v>
      </c>
      <c r="B48" s="64">
        <v>31.27</v>
      </c>
      <c r="C48" s="64">
        <v>37.86</v>
      </c>
      <c r="D48" s="64">
        <v>43.48</v>
      </c>
      <c r="E48" s="64">
        <v>5.69</v>
      </c>
      <c r="F48" s="64">
        <v>3.29</v>
      </c>
      <c r="G48" s="64">
        <v>45.63</v>
      </c>
      <c r="H48" s="64">
        <v>17.7</v>
      </c>
      <c r="I48" s="211" t="s">
        <v>43</v>
      </c>
      <c r="J48" s="64">
        <v>2.42</v>
      </c>
      <c r="K48" s="64">
        <v>101.8</v>
      </c>
      <c r="L48" s="64">
        <v>19.79</v>
      </c>
      <c r="M48" s="64">
        <v>75.75</v>
      </c>
      <c r="N48" s="64">
        <v>637.6</v>
      </c>
      <c r="O48" s="64">
        <v>0</v>
      </c>
      <c r="P48" s="64">
        <v>0.7</v>
      </c>
      <c r="Q48" s="64">
        <v>8.2100000000000009</v>
      </c>
      <c r="R48" s="198"/>
      <c r="S48" s="198"/>
      <c r="T48" s="198"/>
      <c r="U48" s="198"/>
    </row>
    <row r="49" spans="1:21" s="12" customFormat="1" x14ac:dyDescent="0.25">
      <c r="A49" s="215" t="s">
        <v>3072</v>
      </c>
      <c r="B49" s="64">
        <v>30.95</v>
      </c>
      <c r="C49" s="64">
        <v>38.1</v>
      </c>
      <c r="D49" s="64">
        <v>43.35</v>
      </c>
      <c r="E49" s="64">
        <v>5.51</v>
      </c>
      <c r="F49" s="64">
        <v>2.76</v>
      </c>
      <c r="G49" s="64">
        <v>45.63</v>
      </c>
      <c r="H49" s="64">
        <v>17.7</v>
      </c>
      <c r="I49" s="211" t="s">
        <v>43</v>
      </c>
      <c r="J49" s="64">
        <v>2.48</v>
      </c>
      <c r="K49" s="64">
        <v>107.15</v>
      </c>
      <c r="L49" s="64">
        <v>20.100000000000001</v>
      </c>
      <c r="M49" s="64">
        <v>74.83</v>
      </c>
      <c r="N49" s="64">
        <v>708.5</v>
      </c>
      <c r="O49" s="64">
        <v>0</v>
      </c>
      <c r="P49" s="64">
        <v>0.69</v>
      </c>
      <c r="Q49" s="64">
        <v>8.2100000000000009</v>
      </c>
      <c r="R49" s="198"/>
      <c r="S49" s="198"/>
      <c r="T49" s="198"/>
      <c r="U49" s="198"/>
    </row>
    <row r="50" spans="1:21" s="12" customFormat="1" x14ac:dyDescent="0.25">
      <c r="A50" s="215" t="s">
        <v>3073</v>
      </c>
      <c r="B50" s="64">
        <v>30.2</v>
      </c>
      <c r="C50" s="64">
        <v>36.619999999999997</v>
      </c>
      <c r="D50" s="64">
        <v>41.97</v>
      </c>
      <c r="E50" s="64">
        <v>5.46</v>
      </c>
      <c r="F50" s="64">
        <v>3.21</v>
      </c>
      <c r="G50" s="64">
        <v>45.63</v>
      </c>
      <c r="H50" s="64">
        <v>17.7</v>
      </c>
      <c r="I50" s="211" t="s">
        <v>43</v>
      </c>
      <c r="J50" s="64">
        <v>2.4</v>
      </c>
      <c r="K50" s="64">
        <v>120.12</v>
      </c>
      <c r="L50" s="64">
        <v>20.32</v>
      </c>
      <c r="M50" s="64">
        <v>73.87</v>
      </c>
      <c r="N50" s="64">
        <v>722</v>
      </c>
      <c r="O50" s="64">
        <v>0</v>
      </c>
      <c r="P50" s="64">
        <v>0.67</v>
      </c>
      <c r="Q50" s="64">
        <v>8.2100000000000009</v>
      </c>
      <c r="R50" s="198"/>
      <c r="S50" s="198"/>
      <c r="T50" s="198"/>
      <c r="U50" s="198"/>
    </row>
    <row r="51" spans="1:21" s="12" customFormat="1" x14ac:dyDescent="0.25">
      <c r="A51" s="215" t="s">
        <v>3074</v>
      </c>
      <c r="B51" s="64">
        <v>29.46</v>
      </c>
      <c r="C51" s="64">
        <v>35.380000000000003</v>
      </c>
      <c r="D51" s="64">
        <v>40.729999999999997</v>
      </c>
      <c r="E51" s="64">
        <v>5.47</v>
      </c>
      <c r="F51" s="64">
        <v>3.55</v>
      </c>
      <c r="G51" s="64">
        <v>44.41</v>
      </c>
      <c r="H51" s="64">
        <v>15.87</v>
      </c>
      <c r="I51" s="211" t="s">
        <v>43</v>
      </c>
      <c r="J51" s="64">
        <v>1.22</v>
      </c>
      <c r="K51" s="64">
        <v>109.94</v>
      </c>
      <c r="L51" s="64">
        <v>21.29</v>
      </c>
      <c r="M51" s="64">
        <v>69.42</v>
      </c>
      <c r="N51" s="64">
        <v>714.5</v>
      </c>
      <c r="O51" s="64">
        <v>0</v>
      </c>
      <c r="P51" s="64">
        <v>0.66</v>
      </c>
      <c r="Q51" s="64">
        <v>8.2100000000000009</v>
      </c>
      <c r="R51" s="198"/>
      <c r="S51" s="198"/>
      <c r="T51" s="198"/>
      <c r="U51" s="198"/>
    </row>
    <row r="52" spans="1:21" s="12" customFormat="1" x14ac:dyDescent="0.25">
      <c r="A52" s="215" t="s">
        <v>3075</v>
      </c>
      <c r="B52" s="64">
        <v>28.84</v>
      </c>
      <c r="C52" s="64">
        <v>37.15</v>
      </c>
      <c r="D52" s="64">
        <v>41.16</v>
      </c>
      <c r="E52" s="64">
        <v>5.62</v>
      </c>
      <c r="F52" s="64">
        <v>3.59</v>
      </c>
      <c r="G52" s="64">
        <v>43.88</v>
      </c>
      <c r="H52" s="64">
        <v>15.09</v>
      </c>
      <c r="I52" s="211" t="s">
        <v>43</v>
      </c>
      <c r="J52" s="64">
        <v>2.09</v>
      </c>
      <c r="K52" s="64">
        <v>113.57</v>
      </c>
      <c r="L52" s="64">
        <v>21.65</v>
      </c>
      <c r="M52" s="64">
        <v>67.5</v>
      </c>
      <c r="N52" s="64">
        <v>684.3</v>
      </c>
      <c r="O52" s="64">
        <v>0</v>
      </c>
      <c r="P52" s="64">
        <v>0.65</v>
      </c>
      <c r="Q52" s="64">
        <v>8.2100000000000009</v>
      </c>
      <c r="R52" s="198"/>
      <c r="S52" s="198"/>
      <c r="T52" s="198"/>
      <c r="U52" s="198"/>
    </row>
    <row r="53" spans="1:21" s="12" customFormat="1" x14ac:dyDescent="0.25">
      <c r="A53" s="215" t="s">
        <v>3076</v>
      </c>
      <c r="B53" s="64">
        <v>28</v>
      </c>
      <c r="C53" s="64">
        <v>38.07</v>
      </c>
      <c r="D53" s="64">
        <v>40.97</v>
      </c>
      <c r="E53" s="64">
        <v>5.44</v>
      </c>
      <c r="F53" s="64">
        <v>3.45</v>
      </c>
      <c r="G53" s="64">
        <v>43.88</v>
      </c>
      <c r="H53" s="64">
        <v>15.09</v>
      </c>
      <c r="I53" s="211" t="s">
        <v>43</v>
      </c>
      <c r="J53" s="64">
        <v>1.63</v>
      </c>
      <c r="K53" s="64">
        <v>139.97999999999999</v>
      </c>
      <c r="L53" s="64">
        <v>22.19</v>
      </c>
      <c r="M53" s="64">
        <v>64.89</v>
      </c>
      <c r="N53" s="64">
        <v>604.20000000000005</v>
      </c>
      <c r="O53" s="64">
        <v>0</v>
      </c>
      <c r="P53" s="64">
        <v>0.64</v>
      </c>
      <c r="Q53" s="64">
        <v>8.2100000000000009</v>
      </c>
      <c r="R53" s="198"/>
      <c r="S53" s="198"/>
      <c r="T53" s="198"/>
      <c r="U53" s="198"/>
    </row>
    <row r="54" spans="1:21" s="12" customFormat="1" x14ac:dyDescent="0.25">
      <c r="A54" s="215" t="s">
        <v>3077</v>
      </c>
      <c r="B54" s="64">
        <v>27.24</v>
      </c>
      <c r="C54" s="64">
        <v>38.049999999999997</v>
      </c>
      <c r="D54" s="64">
        <v>40.340000000000003</v>
      </c>
      <c r="E54" s="64">
        <v>5.47</v>
      </c>
      <c r="F54" s="64">
        <v>3.6</v>
      </c>
      <c r="G54" s="64">
        <v>43.88</v>
      </c>
      <c r="H54" s="64">
        <v>15.09</v>
      </c>
      <c r="I54" s="211" t="s">
        <v>43</v>
      </c>
      <c r="J54" s="64">
        <v>2.13</v>
      </c>
      <c r="K54" s="64">
        <v>121.87</v>
      </c>
      <c r="L54" s="64">
        <v>22.35</v>
      </c>
      <c r="M54" s="64">
        <v>64.84</v>
      </c>
      <c r="N54" s="64">
        <v>629.70000000000005</v>
      </c>
      <c r="O54" s="64">
        <v>0</v>
      </c>
      <c r="P54" s="64">
        <v>0.63</v>
      </c>
      <c r="Q54" s="64">
        <v>8.2100000000000009</v>
      </c>
      <c r="R54" s="198"/>
      <c r="S54" s="198"/>
      <c r="T54" s="198"/>
      <c r="U54" s="198"/>
    </row>
    <row r="55" spans="1:21" s="12" customFormat="1" x14ac:dyDescent="0.25">
      <c r="A55" s="215" t="s">
        <v>3078</v>
      </c>
      <c r="B55" s="64">
        <v>26.51</v>
      </c>
      <c r="C55" s="64">
        <v>38.11</v>
      </c>
      <c r="D55" s="64">
        <v>39.79</v>
      </c>
      <c r="E55" s="64">
        <v>5.81</v>
      </c>
      <c r="F55" s="64">
        <v>3.34</v>
      </c>
      <c r="G55" s="64">
        <v>41.41</v>
      </c>
      <c r="H55" s="64">
        <v>14.92</v>
      </c>
      <c r="I55" s="211" t="s">
        <v>43</v>
      </c>
      <c r="J55" s="64">
        <v>2.5299999999999998</v>
      </c>
      <c r="K55" s="64">
        <v>327.88</v>
      </c>
      <c r="L55" s="64">
        <v>24.89</v>
      </c>
      <c r="M55" s="64">
        <v>56.09</v>
      </c>
      <c r="N55" s="64">
        <v>640.1</v>
      </c>
      <c r="O55" s="64">
        <v>0</v>
      </c>
      <c r="P55" s="64">
        <v>0.62</v>
      </c>
      <c r="Q55" s="64">
        <v>8.2100000000000009</v>
      </c>
      <c r="R55" s="198"/>
      <c r="S55" s="198"/>
      <c r="T55" s="198"/>
      <c r="U55" s="198"/>
    </row>
    <row r="56" spans="1:21" s="12" customFormat="1" x14ac:dyDescent="0.25">
      <c r="A56" s="215" t="s">
        <v>3079</v>
      </c>
      <c r="B56" s="64">
        <v>26.26</v>
      </c>
      <c r="C56" s="64">
        <v>39.11</v>
      </c>
      <c r="D56" s="64">
        <v>40.11</v>
      </c>
      <c r="E56" s="64">
        <v>5.75</v>
      </c>
      <c r="F56" s="64">
        <v>3.61</v>
      </c>
      <c r="G56" s="64">
        <v>40.35</v>
      </c>
      <c r="H56" s="64">
        <v>14.84</v>
      </c>
      <c r="I56" s="211" t="s">
        <v>43</v>
      </c>
      <c r="J56" s="64">
        <v>1.89</v>
      </c>
      <c r="K56" s="64">
        <v>340.8</v>
      </c>
      <c r="L56" s="64">
        <v>26.79</v>
      </c>
      <c r="M56" s="64">
        <v>49.4</v>
      </c>
      <c r="N56" s="64">
        <v>674.8</v>
      </c>
      <c r="O56" s="64">
        <v>0</v>
      </c>
      <c r="P56" s="64">
        <v>0.62</v>
      </c>
      <c r="Q56" s="64">
        <v>8.2100000000000009</v>
      </c>
      <c r="R56" s="198"/>
      <c r="S56" s="198"/>
      <c r="T56" s="198"/>
      <c r="U56" s="198"/>
    </row>
    <row r="57" spans="1:21" s="12" customFormat="1" x14ac:dyDescent="0.25">
      <c r="A57" s="215" t="s">
        <v>3080</v>
      </c>
      <c r="B57" s="64">
        <v>25.95</v>
      </c>
      <c r="C57" s="64">
        <v>39.200000000000003</v>
      </c>
      <c r="D57" s="64">
        <v>39.92</v>
      </c>
      <c r="E57" s="64">
        <v>5.75</v>
      </c>
      <c r="F57" s="64">
        <v>3.77</v>
      </c>
      <c r="G57" s="64">
        <v>40.35</v>
      </c>
      <c r="H57" s="64">
        <v>14.84</v>
      </c>
      <c r="I57" s="211" t="s">
        <v>43</v>
      </c>
      <c r="J57" s="64">
        <v>2.5</v>
      </c>
      <c r="K57" s="64">
        <v>313</v>
      </c>
      <c r="L57" s="64">
        <v>27.23</v>
      </c>
      <c r="M57" s="64">
        <v>48.79</v>
      </c>
      <c r="N57" s="64">
        <v>685.6</v>
      </c>
      <c r="O57" s="64">
        <v>0</v>
      </c>
      <c r="P57" s="64">
        <v>0.63</v>
      </c>
      <c r="Q57" s="64">
        <v>8.2100000000000009</v>
      </c>
      <c r="R57" s="198"/>
      <c r="S57" s="198"/>
      <c r="T57" s="198"/>
      <c r="U57" s="198"/>
    </row>
    <row r="58" spans="1:21" s="12" customFormat="1" x14ac:dyDescent="0.25">
      <c r="A58" s="215" t="s">
        <v>3081</v>
      </c>
      <c r="B58" s="64">
        <v>25.52</v>
      </c>
      <c r="C58" s="64">
        <v>40.049999999999997</v>
      </c>
      <c r="D58" s="64">
        <v>40.01</v>
      </c>
      <c r="E58" s="64">
        <v>5.86</v>
      </c>
      <c r="F58" s="64">
        <v>3.68</v>
      </c>
      <c r="G58" s="64">
        <v>40.35</v>
      </c>
      <c r="H58" s="64">
        <v>14.84</v>
      </c>
      <c r="I58" s="211" t="s">
        <v>43</v>
      </c>
      <c r="J58" s="64">
        <v>0.65</v>
      </c>
      <c r="K58" s="64">
        <v>338.22</v>
      </c>
      <c r="L58" s="64">
        <v>26.25</v>
      </c>
      <c r="M58" s="64">
        <v>51.37</v>
      </c>
      <c r="N58" s="64">
        <v>656.9</v>
      </c>
      <c r="O58" s="64">
        <v>0</v>
      </c>
      <c r="P58" s="64">
        <v>0.63</v>
      </c>
      <c r="Q58" s="64">
        <v>8.2100000000000009</v>
      </c>
      <c r="R58" s="198"/>
      <c r="S58" s="198"/>
      <c r="T58" s="198"/>
      <c r="U58" s="198"/>
    </row>
    <row r="59" spans="1:21" s="12" customFormat="1" x14ac:dyDescent="0.25">
      <c r="A59" s="215" t="s">
        <v>3082</v>
      </c>
      <c r="B59" s="64">
        <v>24.78</v>
      </c>
      <c r="C59" s="64">
        <v>40.81</v>
      </c>
      <c r="D59" s="64">
        <v>39.82</v>
      </c>
      <c r="E59" s="64">
        <v>5.64</v>
      </c>
      <c r="F59" s="64">
        <v>3.78</v>
      </c>
      <c r="G59" s="64">
        <v>44.43</v>
      </c>
      <c r="H59" s="64">
        <v>13.42</v>
      </c>
      <c r="I59" s="211" t="s">
        <v>43</v>
      </c>
      <c r="J59" s="64">
        <v>1.85</v>
      </c>
      <c r="K59" s="64">
        <v>342.92</v>
      </c>
      <c r="L59" s="64">
        <v>25.45</v>
      </c>
      <c r="M59" s="64">
        <v>54.59</v>
      </c>
      <c r="N59" s="64">
        <v>600.29999999999995</v>
      </c>
      <c r="O59" s="64">
        <v>0</v>
      </c>
      <c r="P59" s="64">
        <v>0.64</v>
      </c>
      <c r="Q59" s="64">
        <v>8.2100000000000009</v>
      </c>
      <c r="R59" s="198"/>
      <c r="S59" s="198"/>
      <c r="T59" s="198"/>
      <c r="U59" s="198"/>
    </row>
    <row r="60" spans="1:21" s="12" customFormat="1" x14ac:dyDescent="0.25">
      <c r="A60" s="215" t="s">
        <v>3083</v>
      </c>
      <c r="B60" s="64">
        <v>23.79</v>
      </c>
      <c r="C60" s="64">
        <v>42.21</v>
      </c>
      <c r="D60" s="64">
        <v>39.76</v>
      </c>
      <c r="E60" s="64">
        <v>5.92</v>
      </c>
      <c r="F60" s="64">
        <v>4.04</v>
      </c>
      <c r="G60" s="64">
        <v>46.18</v>
      </c>
      <c r="H60" s="64">
        <v>12.81</v>
      </c>
      <c r="I60" s="211" t="s">
        <v>43</v>
      </c>
      <c r="J60" s="64">
        <v>1.2</v>
      </c>
      <c r="K60" s="64">
        <v>19.23</v>
      </c>
      <c r="L60" s="64">
        <v>25.99</v>
      </c>
      <c r="M60" s="64">
        <v>52.28</v>
      </c>
      <c r="N60" s="64">
        <v>584.79999999999995</v>
      </c>
      <c r="O60" s="64">
        <v>0</v>
      </c>
      <c r="P60" s="64">
        <v>0.63</v>
      </c>
      <c r="Q60" s="64">
        <v>8.2100000000000009</v>
      </c>
      <c r="R60" s="198"/>
      <c r="S60" s="198"/>
      <c r="T60" s="198"/>
      <c r="U60" s="198"/>
    </row>
    <row r="61" spans="1:21" s="12" customFormat="1" x14ac:dyDescent="0.25">
      <c r="A61" s="215" t="s">
        <v>3084</v>
      </c>
      <c r="B61" s="64">
        <v>22.31</v>
      </c>
      <c r="C61" s="64">
        <v>42.58</v>
      </c>
      <c r="D61" s="64">
        <v>38.76</v>
      </c>
      <c r="E61" s="64">
        <v>5.99</v>
      </c>
      <c r="F61" s="64">
        <v>4.2</v>
      </c>
      <c r="G61" s="64">
        <v>46.18</v>
      </c>
      <c r="H61" s="64">
        <v>12.81</v>
      </c>
      <c r="I61" s="211" t="s">
        <v>43</v>
      </c>
      <c r="J61" s="64">
        <v>1.06</v>
      </c>
      <c r="K61" s="64">
        <v>178.5</v>
      </c>
      <c r="L61" s="64">
        <v>23.83</v>
      </c>
      <c r="M61" s="64">
        <v>58.72</v>
      </c>
      <c r="N61" s="64">
        <v>548.5</v>
      </c>
      <c r="O61" s="64">
        <v>0</v>
      </c>
      <c r="P61" s="64">
        <v>0.63</v>
      </c>
      <c r="Q61" s="64">
        <v>8.2100000000000009</v>
      </c>
      <c r="R61" s="198"/>
      <c r="S61" s="198"/>
      <c r="T61" s="198"/>
      <c r="U61" s="198"/>
    </row>
    <row r="62" spans="1:21" s="12" customFormat="1" x14ac:dyDescent="0.25">
      <c r="A62" s="215" t="s">
        <v>3085</v>
      </c>
      <c r="B62" s="64">
        <v>20.7</v>
      </c>
      <c r="C62" s="64">
        <v>43.29</v>
      </c>
      <c r="D62" s="64">
        <v>37.840000000000003</v>
      </c>
      <c r="E62" s="64">
        <v>6.08</v>
      </c>
      <c r="F62" s="64">
        <v>3.9</v>
      </c>
      <c r="G62" s="64">
        <v>46.18</v>
      </c>
      <c r="H62" s="64">
        <v>12.81</v>
      </c>
      <c r="I62" s="211" t="s">
        <v>43</v>
      </c>
      <c r="J62" s="64">
        <v>1.96</v>
      </c>
      <c r="K62" s="64">
        <v>330.3</v>
      </c>
      <c r="L62" s="64">
        <v>25.06</v>
      </c>
      <c r="M62" s="64">
        <v>54.27</v>
      </c>
      <c r="N62" s="64">
        <v>486.7</v>
      </c>
      <c r="O62" s="64">
        <v>0</v>
      </c>
      <c r="P62" s="64">
        <v>0.66</v>
      </c>
      <c r="Q62" s="64">
        <v>8.2100000000000009</v>
      </c>
      <c r="R62" s="198"/>
      <c r="S62" s="198"/>
      <c r="T62" s="198"/>
      <c r="U62" s="198"/>
    </row>
    <row r="63" spans="1:21" s="12" customFormat="1" x14ac:dyDescent="0.25">
      <c r="A63" s="215" t="s">
        <v>3086</v>
      </c>
      <c r="B63" s="64">
        <v>19.78</v>
      </c>
      <c r="C63" s="64">
        <v>44.21</v>
      </c>
      <c r="D63" s="64">
        <v>37.58</v>
      </c>
      <c r="E63" s="64">
        <v>5.87</v>
      </c>
      <c r="F63" s="64">
        <v>3.8</v>
      </c>
      <c r="G63" s="64">
        <v>49.09</v>
      </c>
      <c r="H63" s="64">
        <v>19.149999999999999</v>
      </c>
      <c r="I63" s="211" t="s">
        <v>43</v>
      </c>
      <c r="J63" s="64">
        <v>0.63</v>
      </c>
      <c r="K63" s="64">
        <v>205.33</v>
      </c>
      <c r="L63" s="64">
        <v>24.47</v>
      </c>
      <c r="M63" s="64">
        <v>55.12</v>
      </c>
      <c r="N63" s="64">
        <v>497.7</v>
      </c>
      <c r="O63" s="64">
        <v>0</v>
      </c>
      <c r="P63" s="64">
        <v>0.67</v>
      </c>
      <c r="Q63" s="64">
        <v>8.2100000000000009</v>
      </c>
      <c r="R63" s="198"/>
      <c r="S63" s="198"/>
      <c r="T63" s="198"/>
      <c r="U63" s="198"/>
    </row>
    <row r="64" spans="1:21" s="12" customFormat="1" x14ac:dyDescent="0.25">
      <c r="A64" s="215" t="s">
        <v>3087</v>
      </c>
      <c r="B64" s="64">
        <v>18.350000000000001</v>
      </c>
      <c r="C64" s="64">
        <v>45.01</v>
      </c>
      <c r="D64" s="64">
        <v>36.86</v>
      </c>
      <c r="E64" s="64">
        <v>5.4</v>
      </c>
      <c r="F64" s="64">
        <v>3.64</v>
      </c>
      <c r="G64" s="64">
        <v>50.34</v>
      </c>
      <c r="H64" s="64">
        <v>21.86</v>
      </c>
      <c r="I64" s="211" t="s">
        <v>43</v>
      </c>
      <c r="J64" s="64">
        <v>0.64</v>
      </c>
      <c r="K64" s="64">
        <v>100.68</v>
      </c>
      <c r="L64" s="64">
        <v>23.31</v>
      </c>
      <c r="M64" s="64">
        <v>58.52</v>
      </c>
      <c r="N64" s="64">
        <v>406.8</v>
      </c>
      <c r="O64" s="64">
        <v>0</v>
      </c>
      <c r="P64" s="64">
        <v>0.66</v>
      </c>
      <c r="Q64" s="64">
        <v>8.2100000000000009</v>
      </c>
      <c r="R64" s="198"/>
      <c r="S64" s="198"/>
      <c r="T64" s="198"/>
      <c r="U64" s="198"/>
    </row>
    <row r="65" spans="1:21" s="12" customFormat="1" x14ac:dyDescent="0.25">
      <c r="A65" s="215" t="s">
        <v>3088</v>
      </c>
      <c r="B65" s="64">
        <v>17.02</v>
      </c>
      <c r="C65" s="64">
        <v>45.95</v>
      </c>
      <c r="D65" s="64">
        <v>36.28</v>
      </c>
      <c r="E65" s="64">
        <v>5.84</v>
      </c>
      <c r="F65" s="64">
        <v>4.08</v>
      </c>
      <c r="G65" s="64">
        <v>50.34</v>
      </c>
      <c r="H65" s="64">
        <v>21.86</v>
      </c>
      <c r="I65" s="211" t="s">
        <v>43</v>
      </c>
      <c r="J65" s="64">
        <v>2.71</v>
      </c>
      <c r="K65" s="64">
        <v>340.74</v>
      </c>
      <c r="L65" s="64">
        <v>24.58</v>
      </c>
      <c r="M65" s="64">
        <v>54.16</v>
      </c>
      <c r="N65" s="64">
        <v>185.7</v>
      </c>
      <c r="O65" s="64">
        <v>0</v>
      </c>
      <c r="P65" s="64">
        <v>0.67</v>
      </c>
      <c r="Q65" s="64">
        <v>8.2100000000000009</v>
      </c>
      <c r="R65" s="198"/>
      <c r="S65" s="198"/>
      <c r="T65" s="198"/>
      <c r="U65" s="198"/>
    </row>
    <row r="66" spans="1:21" s="12" customFormat="1" x14ac:dyDescent="0.25">
      <c r="A66" s="215" t="s">
        <v>3089</v>
      </c>
      <c r="B66" s="64">
        <v>16.14</v>
      </c>
      <c r="C66" s="64">
        <v>46.39</v>
      </c>
      <c r="D66" s="64">
        <v>35.799999999999997</v>
      </c>
      <c r="E66" s="64">
        <v>5.7</v>
      </c>
      <c r="F66" s="64">
        <v>3.87</v>
      </c>
      <c r="G66" s="64">
        <v>50.34</v>
      </c>
      <c r="H66" s="64">
        <v>21.86</v>
      </c>
      <c r="I66" s="211" t="s">
        <v>43</v>
      </c>
      <c r="J66" s="64">
        <v>2.04</v>
      </c>
      <c r="K66" s="64">
        <v>301.72000000000003</v>
      </c>
      <c r="L66" s="64">
        <v>24.82</v>
      </c>
      <c r="M66" s="64">
        <v>52.13</v>
      </c>
      <c r="N66" s="64">
        <v>213.6</v>
      </c>
      <c r="O66" s="64">
        <v>0</v>
      </c>
      <c r="P66" s="64">
        <v>0.69</v>
      </c>
      <c r="Q66" s="64">
        <v>8.2100000000000009</v>
      </c>
      <c r="R66" s="198"/>
      <c r="S66" s="198"/>
      <c r="T66" s="198"/>
      <c r="U66" s="198"/>
    </row>
    <row r="67" spans="1:21" s="12" customFormat="1" x14ac:dyDescent="0.25">
      <c r="A67" s="215" t="s">
        <v>3090</v>
      </c>
      <c r="B67" s="64">
        <v>15.08</v>
      </c>
      <c r="C67" s="64">
        <v>46.03</v>
      </c>
      <c r="D67" s="64">
        <v>34.76</v>
      </c>
      <c r="E67" s="64">
        <v>5.78</v>
      </c>
      <c r="F67" s="64">
        <v>4.1900000000000004</v>
      </c>
      <c r="G67" s="64">
        <v>56.58</v>
      </c>
      <c r="H67" s="64">
        <v>24.49</v>
      </c>
      <c r="I67" s="211" t="s">
        <v>43</v>
      </c>
      <c r="J67" s="64">
        <v>3.11</v>
      </c>
      <c r="K67" s="64">
        <v>336.68</v>
      </c>
      <c r="L67" s="64">
        <v>25.4</v>
      </c>
      <c r="M67" s="64">
        <v>48.33</v>
      </c>
      <c r="N67" s="64">
        <v>201</v>
      </c>
      <c r="O67" s="64">
        <v>0</v>
      </c>
      <c r="P67" s="64">
        <v>0.68</v>
      </c>
      <c r="Q67" s="64">
        <v>8.2100000000000009</v>
      </c>
      <c r="R67" s="198"/>
      <c r="S67" s="198"/>
      <c r="T67" s="198"/>
      <c r="U67" s="198"/>
    </row>
    <row r="68" spans="1:21" s="12" customFormat="1" x14ac:dyDescent="0.25">
      <c r="A68" s="215" t="s">
        <v>3091</v>
      </c>
      <c r="B68" s="64">
        <v>14.26</v>
      </c>
      <c r="C68" s="64">
        <v>44.11</v>
      </c>
      <c r="D68" s="64">
        <v>33.1</v>
      </c>
      <c r="E68" s="64">
        <v>6.03</v>
      </c>
      <c r="F68" s="64">
        <v>3.96</v>
      </c>
      <c r="G68" s="64">
        <v>59.25</v>
      </c>
      <c r="H68" s="64">
        <v>25.62</v>
      </c>
      <c r="I68" s="211" t="s">
        <v>43</v>
      </c>
      <c r="J68" s="64">
        <v>2.94</v>
      </c>
      <c r="K68" s="64">
        <v>333.19</v>
      </c>
      <c r="L68" s="64">
        <v>25.61</v>
      </c>
      <c r="M68" s="64">
        <v>46.62</v>
      </c>
      <c r="N68" s="64">
        <v>179</v>
      </c>
      <c r="O68" s="64">
        <v>0</v>
      </c>
      <c r="P68" s="64">
        <v>0.71</v>
      </c>
      <c r="Q68" s="64">
        <v>8.2100000000000009</v>
      </c>
      <c r="R68" s="198"/>
      <c r="S68" s="198"/>
      <c r="T68" s="198"/>
      <c r="U68" s="198"/>
    </row>
    <row r="69" spans="1:21" s="12" customFormat="1" x14ac:dyDescent="0.25">
      <c r="A69" s="215" t="s">
        <v>3092</v>
      </c>
      <c r="B69" s="64">
        <v>13.76</v>
      </c>
      <c r="C69" s="64">
        <v>44.6</v>
      </c>
      <c r="D69" s="64">
        <v>32.96</v>
      </c>
      <c r="E69" s="64">
        <v>5.69</v>
      </c>
      <c r="F69" s="64">
        <v>3.91</v>
      </c>
      <c r="G69" s="64">
        <v>59.25</v>
      </c>
      <c r="H69" s="64">
        <v>25.62</v>
      </c>
      <c r="I69" s="211" t="s">
        <v>43</v>
      </c>
      <c r="J69" s="64">
        <v>3.11</v>
      </c>
      <c r="K69" s="64">
        <v>330.91</v>
      </c>
      <c r="L69" s="64">
        <v>25.13</v>
      </c>
      <c r="M69" s="64">
        <v>45.88</v>
      </c>
      <c r="N69" s="64">
        <v>154</v>
      </c>
      <c r="O69" s="64">
        <v>0</v>
      </c>
      <c r="P69" s="64">
        <v>0.66</v>
      </c>
      <c r="Q69" s="64">
        <v>8.2100000000000009</v>
      </c>
      <c r="R69" s="198"/>
      <c r="S69" s="198"/>
      <c r="T69" s="198"/>
      <c r="U69" s="198"/>
    </row>
    <row r="70" spans="1:21" s="12" customFormat="1" x14ac:dyDescent="0.25">
      <c r="A70" s="215" t="s">
        <v>3093</v>
      </c>
      <c r="B70" s="64">
        <v>13.41</v>
      </c>
      <c r="C70" s="64">
        <v>45.62</v>
      </c>
      <c r="D70" s="64">
        <v>33.21</v>
      </c>
      <c r="E70" s="64">
        <v>6.03</v>
      </c>
      <c r="F70" s="64">
        <v>4.16</v>
      </c>
      <c r="G70" s="64">
        <v>59.25</v>
      </c>
      <c r="H70" s="64">
        <v>25.62</v>
      </c>
      <c r="I70" s="211" t="s">
        <v>43</v>
      </c>
      <c r="J70" s="64">
        <v>2.68</v>
      </c>
      <c r="K70" s="64">
        <v>329.84</v>
      </c>
      <c r="L70" s="64">
        <v>24.59</v>
      </c>
      <c r="M70" s="64">
        <v>47.69</v>
      </c>
      <c r="N70" s="64">
        <v>134.9</v>
      </c>
      <c r="O70" s="64">
        <v>0</v>
      </c>
      <c r="P70" s="64">
        <v>0.68</v>
      </c>
      <c r="Q70" s="64">
        <v>8.2100000000000009</v>
      </c>
      <c r="R70" s="198"/>
      <c r="S70" s="198"/>
      <c r="T70" s="198"/>
      <c r="U70" s="198"/>
    </row>
    <row r="71" spans="1:21" s="12" customFormat="1" x14ac:dyDescent="0.25">
      <c r="A71" s="215" t="s">
        <v>3094</v>
      </c>
      <c r="B71" s="64">
        <v>13.26</v>
      </c>
      <c r="C71" s="64">
        <v>46.42</v>
      </c>
      <c r="D71" s="64">
        <v>33.51</v>
      </c>
      <c r="E71" s="64">
        <v>5.89</v>
      </c>
      <c r="F71" s="64">
        <v>3.98</v>
      </c>
      <c r="G71" s="64">
        <v>58.1</v>
      </c>
      <c r="H71" s="64">
        <v>19.73</v>
      </c>
      <c r="I71" s="211" t="s">
        <v>43</v>
      </c>
      <c r="J71" s="64">
        <v>3.23</v>
      </c>
      <c r="K71" s="64">
        <v>333.04</v>
      </c>
      <c r="L71" s="64">
        <v>24.1</v>
      </c>
      <c r="M71" s="64">
        <v>49.59</v>
      </c>
      <c r="N71" s="64">
        <v>122.6</v>
      </c>
      <c r="O71" s="64">
        <v>0</v>
      </c>
      <c r="P71" s="64">
        <v>0.65</v>
      </c>
      <c r="Q71" s="64">
        <v>8.2100000000000009</v>
      </c>
      <c r="R71" s="198"/>
      <c r="S71" s="198"/>
      <c r="T71" s="198"/>
      <c r="U71" s="198"/>
    </row>
    <row r="72" spans="1:21" s="12" customFormat="1" x14ac:dyDescent="0.25">
      <c r="A72" s="215" t="s">
        <v>3095</v>
      </c>
      <c r="B72" s="64">
        <v>13.26</v>
      </c>
      <c r="C72" s="64">
        <v>46.41</v>
      </c>
      <c r="D72" s="64">
        <v>33.5</v>
      </c>
      <c r="E72" s="64">
        <v>4.87</v>
      </c>
      <c r="F72" s="64">
        <v>4.3</v>
      </c>
      <c r="G72" s="64">
        <v>57.61</v>
      </c>
      <c r="H72" s="64">
        <v>17.2</v>
      </c>
      <c r="I72" s="211" t="s">
        <v>43</v>
      </c>
      <c r="J72" s="64">
        <v>2.23</v>
      </c>
      <c r="K72" s="64">
        <v>347.31</v>
      </c>
      <c r="L72" s="64">
        <v>23.5</v>
      </c>
      <c r="M72" s="64">
        <v>50.32</v>
      </c>
      <c r="N72" s="64">
        <v>110.1</v>
      </c>
      <c r="O72" s="64">
        <v>0</v>
      </c>
      <c r="P72" s="64">
        <v>0.66</v>
      </c>
      <c r="Q72" s="64">
        <v>8.2100000000000009</v>
      </c>
      <c r="R72" s="198"/>
      <c r="S72" s="198"/>
      <c r="T72" s="198"/>
      <c r="U72" s="198"/>
    </row>
    <row r="73" spans="1:21" s="12" customFormat="1" x14ac:dyDescent="0.25">
      <c r="A73" s="215" t="s">
        <v>3096</v>
      </c>
      <c r="B73" s="64">
        <v>13.34</v>
      </c>
      <c r="C73" s="64">
        <v>46.17</v>
      </c>
      <c r="D73" s="64">
        <v>33.450000000000003</v>
      </c>
      <c r="E73" s="64">
        <v>5</v>
      </c>
      <c r="F73" s="64">
        <v>3.88</v>
      </c>
      <c r="G73" s="64">
        <v>57.61</v>
      </c>
      <c r="H73" s="64">
        <v>17.2</v>
      </c>
      <c r="I73" s="211" t="s">
        <v>43</v>
      </c>
      <c r="J73" s="64">
        <v>2.4</v>
      </c>
      <c r="K73" s="64">
        <v>333.79</v>
      </c>
      <c r="L73" s="64">
        <v>23.24</v>
      </c>
      <c r="M73" s="64">
        <v>50.9</v>
      </c>
      <c r="N73" s="64">
        <v>102.3</v>
      </c>
      <c r="O73" s="64">
        <v>0</v>
      </c>
      <c r="P73" s="64">
        <v>0.69</v>
      </c>
      <c r="Q73" s="64">
        <v>8.2100000000000009</v>
      </c>
      <c r="R73" s="198"/>
      <c r="S73" s="198"/>
      <c r="T73" s="198"/>
      <c r="U73" s="198"/>
    </row>
    <row r="74" spans="1:21" s="12" customFormat="1" x14ac:dyDescent="0.25">
      <c r="A74" s="215" t="s">
        <v>3097</v>
      </c>
      <c r="B74" s="64">
        <v>13.5</v>
      </c>
      <c r="C74" s="64">
        <v>45.68</v>
      </c>
      <c r="D74" s="64">
        <v>33.31</v>
      </c>
      <c r="E74" s="64">
        <v>5.36</v>
      </c>
      <c r="F74" s="64">
        <v>3.28</v>
      </c>
      <c r="G74" s="64">
        <v>57.61</v>
      </c>
      <c r="H74" s="64">
        <v>17.2</v>
      </c>
      <c r="I74" s="211" t="s">
        <v>43</v>
      </c>
      <c r="J74" s="64">
        <v>2.61</v>
      </c>
      <c r="K74" s="64">
        <v>332.02</v>
      </c>
      <c r="L74" s="64">
        <v>23</v>
      </c>
      <c r="M74" s="64">
        <v>51.54</v>
      </c>
      <c r="N74" s="64">
        <v>94.4</v>
      </c>
      <c r="O74" s="64">
        <v>0</v>
      </c>
      <c r="P74" s="64">
        <v>0.65</v>
      </c>
      <c r="Q74" s="64">
        <v>8.2100000000000009</v>
      </c>
      <c r="R74" s="198"/>
      <c r="S74" s="198"/>
      <c r="T74" s="198"/>
      <c r="U74" s="198"/>
    </row>
    <row r="75" spans="1:21" s="12" customFormat="1" x14ac:dyDescent="0.25">
      <c r="A75" s="215" t="s">
        <v>3098</v>
      </c>
      <c r="B75" s="64">
        <v>13.64</v>
      </c>
      <c r="C75" s="64">
        <v>45.43</v>
      </c>
      <c r="D75" s="64">
        <v>33.299999999999997</v>
      </c>
      <c r="E75" s="64">
        <v>4.9000000000000004</v>
      </c>
      <c r="F75" s="64">
        <v>3.62</v>
      </c>
      <c r="G75" s="64">
        <v>54.59</v>
      </c>
      <c r="H75" s="64">
        <v>19.760000000000002</v>
      </c>
      <c r="I75" s="211" t="s">
        <v>43</v>
      </c>
      <c r="J75" s="64">
        <v>2.79</v>
      </c>
      <c r="K75" s="64">
        <v>341.49</v>
      </c>
      <c r="L75" s="64">
        <v>22.69</v>
      </c>
      <c r="M75" s="64">
        <v>53.01</v>
      </c>
      <c r="N75" s="64">
        <v>86.4</v>
      </c>
      <c r="O75" s="64">
        <v>0</v>
      </c>
      <c r="P75" s="64">
        <v>0.69</v>
      </c>
      <c r="Q75" s="64">
        <v>8.2100000000000009</v>
      </c>
      <c r="R75" s="198"/>
      <c r="S75" s="198"/>
      <c r="T75" s="198"/>
      <c r="U75" s="198"/>
    </row>
    <row r="76" spans="1:21" s="12" customFormat="1" x14ac:dyDescent="0.25">
      <c r="A76" s="215" t="s">
        <v>3099</v>
      </c>
      <c r="B76" s="64">
        <v>14.11</v>
      </c>
      <c r="C76" s="64">
        <v>45.26</v>
      </c>
      <c r="D76" s="64">
        <v>33.590000000000003</v>
      </c>
      <c r="E76" s="64">
        <v>4.8499999999999996</v>
      </c>
      <c r="F76" s="64">
        <v>4.04</v>
      </c>
      <c r="G76" s="64">
        <v>53.29</v>
      </c>
      <c r="H76" s="64">
        <v>20.92</v>
      </c>
      <c r="I76" s="211" t="s">
        <v>43</v>
      </c>
      <c r="J76" s="64">
        <v>2.41</v>
      </c>
      <c r="K76" s="64">
        <v>344.22</v>
      </c>
      <c r="L76" s="64">
        <v>22.36</v>
      </c>
      <c r="M76" s="64">
        <v>53.91</v>
      </c>
      <c r="N76" s="64">
        <v>77.8</v>
      </c>
      <c r="O76" s="64">
        <v>0</v>
      </c>
      <c r="P76" s="64">
        <v>0.72</v>
      </c>
      <c r="Q76" s="64">
        <v>8.2100000000000009</v>
      </c>
      <c r="R76" s="198"/>
      <c r="S76" s="198"/>
      <c r="T76" s="198"/>
      <c r="U76" s="198"/>
    </row>
    <row r="77" spans="1:21" s="12" customFormat="1" x14ac:dyDescent="0.25">
      <c r="A77" s="215" t="s">
        <v>3100</v>
      </c>
      <c r="B77" s="64">
        <v>15.02</v>
      </c>
      <c r="C77" s="64">
        <v>45.74</v>
      </c>
      <c r="D77" s="64">
        <v>34.57</v>
      </c>
      <c r="E77" s="64">
        <v>5.46</v>
      </c>
      <c r="F77" s="64">
        <v>3.92</v>
      </c>
      <c r="G77" s="64">
        <v>53.29</v>
      </c>
      <c r="H77" s="64">
        <v>20.92</v>
      </c>
      <c r="I77" s="211" t="s">
        <v>43</v>
      </c>
      <c r="J77" s="64">
        <v>2.09</v>
      </c>
      <c r="K77" s="64">
        <v>349.7</v>
      </c>
      <c r="L77" s="64">
        <v>21.86</v>
      </c>
      <c r="M77" s="64">
        <v>56.55</v>
      </c>
      <c r="N77" s="64">
        <v>68.900000000000006</v>
      </c>
      <c r="O77" s="64">
        <v>0</v>
      </c>
      <c r="P77" s="64">
        <v>0.78</v>
      </c>
      <c r="Q77" s="64">
        <v>8.2100000000000009</v>
      </c>
      <c r="R77" s="198"/>
      <c r="S77" s="198"/>
      <c r="T77" s="198"/>
      <c r="U77" s="198"/>
    </row>
    <row r="78" spans="1:21" s="12" customFormat="1" x14ac:dyDescent="0.25">
      <c r="A78" s="215" t="s">
        <v>3101</v>
      </c>
      <c r="B78" s="64">
        <v>16.399999999999999</v>
      </c>
      <c r="C78" s="64">
        <v>45.87</v>
      </c>
      <c r="D78" s="64">
        <v>35.74</v>
      </c>
      <c r="E78" s="64">
        <v>5.16</v>
      </c>
      <c r="F78" s="64">
        <v>3.9</v>
      </c>
      <c r="G78" s="64">
        <v>53.29</v>
      </c>
      <c r="H78" s="64">
        <v>20.92</v>
      </c>
      <c r="I78" s="211" t="s">
        <v>43</v>
      </c>
      <c r="J78" s="64">
        <v>0.38</v>
      </c>
      <c r="K78" s="64">
        <v>240.4</v>
      </c>
      <c r="L78" s="64">
        <v>21.08</v>
      </c>
      <c r="M78" s="64">
        <v>59.28</v>
      </c>
      <c r="N78" s="64">
        <v>62.1</v>
      </c>
      <c r="O78" s="64">
        <v>0</v>
      </c>
      <c r="P78" s="64">
        <v>0.8</v>
      </c>
      <c r="Q78" s="64">
        <v>8.2100000000000009</v>
      </c>
      <c r="R78" s="198"/>
      <c r="S78" s="198"/>
      <c r="T78" s="198"/>
      <c r="U78" s="198"/>
    </row>
    <row r="79" spans="1:21" s="12" customFormat="1" x14ac:dyDescent="0.25">
      <c r="A79" s="215" t="s">
        <v>3102</v>
      </c>
      <c r="B79" s="64">
        <v>18.010000000000002</v>
      </c>
      <c r="C79" s="64">
        <v>45.68</v>
      </c>
      <c r="D79" s="64">
        <v>36.93</v>
      </c>
      <c r="E79" s="64">
        <v>5.0999999999999996</v>
      </c>
      <c r="F79" s="64">
        <v>3.67</v>
      </c>
      <c r="G79" s="64">
        <v>54.44</v>
      </c>
      <c r="H79" s="64">
        <v>17.77</v>
      </c>
      <c r="I79" s="211" t="s">
        <v>43</v>
      </c>
      <c r="J79" s="64">
        <v>1.04</v>
      </c>
      <c r="K79" s="64">
        <v>19.86</v>
      </c>
      <c r="L79" s="64">
        <v>20.2</v>
      </c>
      <c r="M79" s="64">
        <v>69.28</v>
      </c>
      <c r="N79" s="64">
        <v>58.6</v>
      </c>
      <c r="O79" s="64">
        <v>0</v>
      </c>
      <c r="P79" s="64">
        <v>0.83</v>
      </c>
      <c r="Q79" s="64">
        <v>8.2100000000000009</v>
      </c>
      <c r="R79" s="198"/>
      <c r="S79" s="198"/>
      <c r="T79" s="198"/>
      <c r="U79" s="198"/>
    </row>
    <row r="80" spans="1:21" s="12" customFormat="1" x14ac:dyDescent="0.25">
      <c r="A80" s="215" t="s">
        <v>3103</v>
      </c>
      <c r="B80" s="64">
        <v>20.9</v>
      </c>
      <c r="C80" s="64">
        <v>45.58</v>
      </c>
      <c r="D80" s="64">
        <v>39.200000000000003</v>
      </c>
      <c r="E80" s="64">
        <v>5.66</v>
      </c>
      <c r="F80" s="64">
        <v>3.66</v>
      </c>
      <c r="G80" s="64">
        <v>54.93</v>
      </c>
      <c r="H80" s="64">
        <v>16.420000000000002</v>
      </c>
      <c r="I80" s="211" t="s">
        <v>43</v>
      </c>
      <c r="J80" s="64">
        <v>1.84</v>
      </c>
      <c r="K80" s="64">
        <v>272.48</v>
      </c>
      <c r="L80" s="64">
        <v>19.600000000000001</v>
      </c>
      <c r="M80" s="64">
        <v>67.77</v>
      </c>
      <c r="N80" s="64">
        <v>57.3</v>
      </c>
      <c r="O80" s="64">
        <v>0</v>
      </c>
      <c r="P80" s="64">
        <v>0.86</v>
      </c>
      <c r="Q80" s="64">
        <v>8.2100000000000009</v>
      </c>
      <c r="R80" s="198"/>
      <c r="S80" s="198"/>
      <c r="T80" s="198"/>
      <c r="U80" s="198"/>
    </row>
    <row r="81" spans="1:26" s="12" customFormat="1" x14ac:dyDescent="0.25">
      <c r="A81" s="215" t="s">
        <v>3104</v>
      </c>
      <c r="B81" s="64">
        <v>23.34</v>
      </c>
      <c r="C81" s="64">
        <v>45.88</v>
      </c>
      <c r="D81" s="64">
        <v>41.31</v>
      </c>
      <c r="E81" s="64">
        <v>5.71</v>
      </c>
      <c r="F81" s="64">
        <v>3.63</v>
      </c>
      <c r="G81" s="64">
        <v>54.93</v>
      </c>
      <c r="H81" s="64">
        <v>16.420000000000002</v>
      </c>
      <c r="I81" s="211" t="s">
        <v>43</v>
      </c>
      <c r="J81" s="64">
        <v>2.11</v>
      </c>
      <c r="K81" s="64">
        <v>273.60000000000002</v>
      </c>
      <c r="L81" s="64">
        <v>19.09</v>
      </c>
      <c r="M81" s="64">
        <v>71.63</v>
      </c>
      <c r="N81" s="64">
        <v>57.3</v>
      </c>
      <c r="O81" s="64">
        <v>0</v>
      </c>
      <c r="P81" s="64">
        <v>0.92</v>
      </c>
      <c r="Q81" s="64">
        <v>8.2100000000000009</v>
      </c>
      <c r="R81" s="198"/>
      <c r="S81" s="198"/>
      <c r="T81" s="198"/>
      <c r="U81" s="198"/>
    </row>
    <row r="82" spans="1:26" s="12" customFormat="1" x14ac:dyDescent="0.25">
      <c r="A82" s="215" t="s">
        <v>3105</v>
      </c>
      <c r="B82" s="64">
        <v>28.07</v>
      </c>
      <c r="C82" s="64">
        <v>46.49</v>
      </c>
      <c r="D82" s="64">
        <v>45.42</v>
      </c>
      <c r="E82" s="64">
        <v>6.46</v>
      </c>
      <c r="F82" s="64">
        <v>4.17</v>
      </c>
      <c r="G82" s="64">
        <v>54.93</v>
      </c>
      <c r="H82" s="64">
        <v>16.420000000000002</v>
      </c>
      <c r="I82" s="211" t="s">
        <v>43</v>
      </c>
      <c r="J82" s="64">
        <v>2.15</v>
      </c>
      <c r="K82" s="64">
        <v>279.58</v>
      </c>
      <c r="L82" s="64">
        <v>18.739999999999998</v>
      </c>
      <c r="M82" s="64">
        <v>74.67</v>
      </c>
      <c r="N82" s="64">
        <v>57.2</v>
      </c>
      <c r="O82" s="64">
        <v>0</v>
      </c>
      <c r="P82" s="64">
        <v>0.98</v>
      </c>
      <c r="Q82" s="64">
        <v>8.2100000000000009</v>
      </c>
      <c r="R82" s="198"/>
      <c r="S82" s="198"/>
      <c r="T82" s="198"/>
      <c r="U82" s="198"/>
    </row>
    <row r="83" spans="1:26" s="12" customFormat="1" x14ac:dyDescent="0.25">
      <c r="A83" s="215" t="s">
        <v>3106</v>
      </c>
      <c r="B83" s="64">
        <v>33.76</v>
      </c>
      <c r="C83" s="64">
        <v>46.53</v>
      </c>
      <c r="D83" s="64">
        <v>50</v>
      </c>
      <c r="E83" s="64">
        <v>7.18</v>
      </c>
      <c r="F83" s="64">
        <v>3.99</v>
      </c>
      <c r="G83" s="64">
        <v>112.3</v>
      </c>
      <c r="H83" s="64">
        <v>23.63</v>
      </c>
      <c r="I83" s="211" t="s">
        <v>43</v>
      </c>
      <c r="J83" s="64">
        <v>1.6</v>
      </c>
      <c r="K83" s="64">
        <v>303.95</v>
      </c>
      <c r="L83" s="64">
        <v>18.489999999999998</v>
      </c>
      <c r="M83" s="64">
        <v>78.59</v>
      </c>
      <c r="N83" s="64">
        <v>57.3</v>
      </c>
      <c r="O83" s="64">
        <v>0</v>
      </c>
      <c r="P83" s="64">
        <v>1.55</v>
      </c>
      <c r="Q83" s="64">
        <v>8.23</v>
      </c>
      <c r="R83" s="198"/>
      <c r="S83" s="198"/>
      <c r="T83" s="198"/>
      <c r="U83" s="198"/>
    </row>
    <row r="84" spans="1:26" s="12" customFormat="1" x14ac:dyDescent="0.25">
      <c r="A84" s="215" t="s">
        <v>3107</v>
      </c>
      <c r="B84" s="64">
        <v>38.97</v>
      </c>
      <c r="C84" s="64">
        <v>43.88</v>
      </c>
      <c r="D84" s="64">
        <v>52.8</v>
      </c>
      <c r="E84" s="64">
        <v>7.06</v>
      </c>
      <c r="F84" s="64">
        <v>3.96</v>
      </c>
      <c r="G84" s="64">
        <v>136.88999999999999</v>
      </c>
      <c r="H84" s="64">
        <v>26.72</v>
      </c>
      <c r="I84" s="211" t="s">
        <v>43</v>
      </c>
      <c r="J84" s="64">
        <v>2.0499999999999998</v>
      </c>
      <c r="K84" s="64">
        <v>284.70999999999998</v>
      </c>
      <c r="L84" s="64">
        <v>18.27</v>
      </c>
      <c r="M84" s="64">
        <v>77.38</v>
      </c>
      <c r="N84" s="64">
        <v>57.1</v>
      </c>
      <c r="O84" s="64">
        <v>0</v>
      </c>
      <c r="P84" s="64">
        <v>1.46</v>
      </c>
      <c r="Q84" s="64">
        <v>8.51</v>
      </c>
      <c r="R84" s="198"/>
      <c r="S84" s="198"/>
      <c r="T84" s="198"/>
      <c r="U84" s="198"/>
    </row>
    <row r="85" spans="1:26" s="12" customFormat="1" x14ac:dyDescent="0.25">
      <c r="A85" s="215" t="s">
        <v>3108</v>
      </c>
      <c r="B85" s="64">
        <v>42.7</v>
      </c>
      <c r="C85" s="64">
        <v>43.65</v>
      </c>
      <c r="D85" s="64">
        <v>55.67</v>
      </c>
      <c r="E85" s="64">
        <v>6.95</v>
      </c>
      <c r="F85" s="64">
        <v>3.91</v>
      </c>
      <c r="G85" s="64">
        <v>136.88999999999999</v>
      </c>
      <c r="H85" s="64">
        <v>26.72</v>
      </c>
      <c r="I85" s="211" t="s">
        <v>43</v>
      </c>
      <c r="J85" s="64">
        <v>0.35</v>
      </c>
      <c r="K85" s="64">
        <v>267.3</v>
      </c>
      <c r="L85" s="64">
        <v>18.149999999999999</v>
      </c>
      <c r="M85" s="64">
        <v>77.37</v>
      </c>
      <c r="N85" s="64">
        <v>57.1</v>
      </c>
      <c r="O85" s="64">
        <v>0</v>
      </c>
      <c r="P85" s="64">
        <v>1.29</v>
      </c>
      <c r="Q85" s="64">
        <v>8.81</v>
      </c>
      <c r="R85" s="198"/>
      <c r="S85" s="198"/>
      <c r="T85" s="198"/>
      <c r="U85" s="198"/>
    </row>
    <row r="86" spans="1:26" s="12" customFormat="1" x14ac:dyDescent="0.25">
      <c r="A86" s="215" t="s">
        <v>3109</v>
      </c>
      <c r="B86" s="64">
        <v>46.95</v>
      </c>
      <c r="C86" s="64">
        <v>43.48</v>
      </c>
      <c r="D86" s="64">
        <v>58.99</v>
      </c>
      <c r="E86" s="64">
        <v>7.17</v>
      </c>
      <c r="F86" s="64">
        <v>3.72</v>
      </c>
      <c r="G86" s="64">
        <v>136.88999999999999</v>
      </c>
      <c r="H86" s="64">
        <v>26.72</v>
      </c>
      <c r="I86" s="211" t="s">
        <v>43</v>
      </c>
      <c r="J86" s="64">
        <v>1.7</v>
      </c>
      <c r="K86" s="64">
        <v>141.72</v>
      </c>
      <c r="L86" s="64">
        <v>17.989999999999998</v>
      </c>
      <c r="M86" s="64">
        <v>79.91</v>
      </c>
      <c r="N86" s="64">
        <v>57</v>
      </c>
      <c r="O86" s="64">
        <v>0</v>
      </c>
      <c r="P86" s="64">
        <v>1.49</v>
      </c>
      <c r="Q86" s="64">
        <v>9.14</v>
      </c>
      <c r="R86" s="198"/>
      <c r="S86" s="198"/>
      <c r="T86" s="198"/>
      <c r="U86" s="198"/>
    </row>
    <row r="87" spans="1:26" s="12" customFormat="1" x14ac:dyDescent="0.25">
      <c r="A87" s="215" t="s">
        <v>3110</v>
      </c>
      <c r="B87" s="64">
        <v>53.77</v>
      </c>
      <c r="C87" s="64">
        <v>43.38</v>
      </c>
      <c r="D87" s="64">
        <v>64.41</v>
      </c>
      <c r="E87" s="64">
        <v>7.55</v>
      </c>
      <c r="F87" s="64">
        <v>3.74</v>
      </c>
      <c r="G87" s="64">
        <v>142.69</v>
      </c>
      <c r="H87" s="64">
        <v>29.64</v>
      </c>
      <c r="I87" s="211" t="s">
        <v>43</v>
      </c>
      <c r="J87" s="64">
        <v>1.29</v>
      </c>
      <c r="K87" s="64">
        <v>292.64999999999998</v>
      </c>
      <c r="L87" s="64">
        <v>17.95</v>
      </c>
      <c r="M87" s="64">
        <v>82.57</v>
      </c>
      <c r="N87" s="64">
        <v>56.8</v>
      </c>
      <c r="O87" s="64">
        <v>0</v>
      </c>
      <c r="P87" s="64">
        <v>1.9</v>
      </c>
      <c r="Q87" s="64">
        <v>9.6199999999999992</v>
      </c>
      <c r="R87" s="198"/>
      <c r="S87" s="198"/>
      <c r="T87" s="198"/>
      <c r="U87" s="198"/>
    </row>
    <row r="88" spans="1:26" s="12" customFormat="1" x14ac:dyDescent="0.25">
      <c r="A88" s="215" t="s">
        <v>3111</v>
      </c>
      <c r="B88" s="64">
        <v>62.21</v>
      </c>
      <c r="C88" s="64">
        <v>42.85</v>
      </c>
      <c r="D88" s="64">
        <v>70.900000000000006</v>
      </c>
      <c r="E88" s="64">
        <v>7.44</v>
      </c>
      <c r="F88" s="64">
        <v>4.03</v>
      </c>
      <c r="G88" s="64">
        <v>145.18</v>
      </c>
      <c r="H88" s="64">
        <v>30.89</v>
      </c>
      <c r="I88" s="211" t="s">
        <v>43</v>
      </c>
      <c r="J88" s="64">
        <v>1.86</v>
      </c>
      <c r="K88" s="64">
        <v>302.93</v>
      </c>
      <c r="L88" s="64">
        <v>17.73</v>
      </c>
      <c r="M88" s="64">
        <v>87.99</v>
      </c>
      <c r="N88" s="64">
        <v>57.1</v>
      </c>
      <c r="O88" s="64">
        <v>0</v>
      </c>
      <c r="P88" s="64">
        <v>1.71</v>
      </c>
      <c r="Q88" s="64">
        <v>9.83</v>
      </c>
      <c r="R88" s="198"/>
      <c r="S88" s="198"/>
      <c r="T88" s="198"/>
      <c r="U88" s="198"/>
    </row>
    <row r="89" spans="1:26" s="12" customFormat="1" x14ac:dyDescent="0.25">
      <c r="A89" s="215" t="s">
        <v>3112</v>
      </c>
      <c r="B89" s="64">
        <v>66.540000000000006</v>
      </c>
      <c r="C89" s="64">
        <v>42.47</v>
      </c>
      <c r="D89" s="64">
        <v>74.17</v>
      </c>
      <c r="E89" s="64">
        <v>8.0500000000000007</v>
      </c>
      <c r="F89" s="64">
        <v>4.12</v>
      </c>
      <c r="G89" s="64">
        <v>145.18</v>
      </c>
      <c r="H89" s="64">
        <v>30.89</v>
      </c>
      <c r="I89" s="211" t="s">
        <v>43</v>
      </c>
      <c r="J89" s="64">
        <v>1.36</v>
      </c>
      <c r="K89" s="64">
        <v>312.13</v>
      </c>
      <c r="L89" s="64">
        <v>17.53</v>
      </c>
      <c r="M89" s="64">
        <v>89</v>
      </c>
      <c r="N89" s="64">
        <v>57</v>
      </c>
      <c r="O89" s="64">
        <v>0</v>
      </c>
      <c r="P89" s="64">
        <v>2.0299999999999998</v>
      </c>
      <c r="Q89" s="64">
        <v>9.8800000000000008</v>
      </c>
      <c r="R89" s="198"/>
      <c r="S89" s="198"/>
      <c r="T89" s="198"/>
      <c r="U89" s="198"/>
    </row>
    <row r="90" spans="1:26" s="12" customFormat="1" x14ac:dyDescent="0.25">
      <c r="A90" s="215" t="s">
        <v>3113</v>
      </c>
      <c r="B90" s="64">
        <v>69.87</v>
      </c>
      <c r="C90" s="64">
        <v>41.11</v>
      </c>
      <c r="D90" s="64">
        <v>76.13</v>
      </c>
      <c r="E90" s="64">
        <v>8.58</v>
      </c>
      <c r="F90" s="64">
        <v>4.38</v>
      </c>
      <c r="G90" s="64">
        <v>145.18</v>
      </c>
      <c r="H90" s="64">
        <v>30.89</v>
      </c>
      <c r="I90" s="211" t="s">
        <v>43</v>
      </c>
      <c r="J90" s="64">
        <v>2.2599999999999998</v>
      </c>
      <c r="K90" s="64">
        <v>342.95</v>
      </c>
      <c r="L90" s="64">
        <v>17.440000000000001</v>
      </c>
      <c r="M90" s="64">
        <v>90.41</v>
      </c>
      <c r="N90" s="64">
        <v>56.3</v>
      </c>
      <c r="O90" s="64">
        <v>0</v>
      </c>
      <c r="P90" s="64">
        <v>1.84</v>
      </c>
      <c r="Q90" s="64">
        <v>9.9600000000000009</v>
      </c>
      <c r="R90" s="198"/>
      <c r="S90" s="198"/>
      <c r="T90" s="198"/>
      <c r="U90" s="198"/>
    </row>
    <row r="91" spans="1:26" s="12" customFormat="1" x14ac:dyDescent="0.25">
      <c r="A91" s="215" t="s">
        <v>3114</v>
      </c>
      <c r="B91" s="64">
        <v>72.58</v>
      </c>
      <c r="C91" s="64">
        <v>42.1</v>
      </c>
      <c r="D91" s="64">
        <v>78.83</v>
      </c>
      <c r="E91" s="64">
        <v>8.77</v>
      </c>
      <c r="F91" s="64">
        <v>4.45</v>
      </c>
      <c r="G91" s="64">
        <v>156.87</v>
      </c>
      <c r="H91" s="64">
        <v>34.72</v>
      </c>
      <c r="I91" s="211" t="s">
        <v>43</v>
      </c>
      <c r="J91" s="64">
        <v>2.5499999999999998</v>
      </c>
      <c r="K91" s="64">
        <v>348.03</v>
      </c>
      <c r="L91" s="64">
        <v>17.68</v>
      </c>
      <c r="M91" s="64">
        <v>83.28</v>
      </c>
      <c r="N91" s="64">
        <v>56.1</v>
      </c>
      <c r="O91" s="64">
        <v>0</v>
      </c>
      <c r="P91" s="64">
        <v>1.59</v>
      </c>
      <c r="Q91" s="64">
        <v>9.99</v>
      </c>
      <c r="R91" s="198"/>
      <c r="S91" s="198"/>
      <c r="T91" s="198"/>
      <c r="U91" s="198"/>
    </row>
    <row r="92" spans="1:26" s="12" customFormat="1" x14ac:dyDescent="0.25">
      <c r="A92" s="215" t="s">
        <v>3115</v>
      </c>
      <c r="B92" s="64">
        <v>74.2</v>
      </c>
      <c r="C92" s="64">
        <v>43.57</v>
      </c>
      <c r="D92" s="64">
        <v>80.89</v>
      </c>
      <c r="E92" s="64">
        <v>8.44</v>
      </c>
      <c r="F92" s="64">
        <v>4.0599999999999996</v>
      </c>
      <c r="G92" s="64">
        <v>161.88</v>
      </c>
      <c r="H92" s="64">
        <v>36.36</v>
      </c>
      <c r="I92" s="211" t="s">
        <v>43</v>
      </c>
      <c r="J92" s="64">
        <v>0.71</v>
      </c>
      <c r="K92" s="64">
        <v>331.18</v>
      </c>
      <c r="L92" s="64">
        <v>17.63</v>
      </c>
      <c r="M92" s="64">
        <v>79.819999999999993</v>
      </c>
      <c r="N92" s="64">
        <v>57.1</v>
      </c>
      <c r="O92" s="64">
        <v>0</v>
      </c>
      <c r="P92" s="64">
        <v>1.63</v>
      </c>
      <c r="Q92" s="64">
        <v>10.02</v>
      </c>
      <c r="R92" s="198"/>
      <c r="S92" s="198"/>
      <c r="T92" s="198"/>
      <c r="U92" s="198"/>
    </row>
    <row r="93" spans="1:26" s="12" customFormat="1" x14ac:dyDescent="0.25">
      <c r="A93" s="215" t="s">
        <v>3116</v>
      </c>
      <c r="B93" s="64">
        <v>74.56</v>
      </c>
      <c r="C93" s="64">
        <v>42.61</v>
      </c>
      <c r="D93" s="64">
        <v>80.680000000000007</v>
      </c>
      <c r="E93" s="64">
        <v>8.09</v>
      </c>
      <c r="F93" s="64">
        <v>4.1500000000000004</v>
      </c>
      <c r="G93" s="64">
        <v>161.88</v>
      </c>
      <c r="H93" s="64">
        <v>36.36</v>
      </c>
      <c r="I93" s="211" t="s">
        <v>43</v>
      </c>
      <c r="J93" s="64">
        <v>0.97</v>
      </c>
      <c r="K93" s="64">
        <v>339.46</v>
      </c>
      <c r="L93" s="64">
        <v>17.489999999999998</v>
      </c>
      <c r="M93" s="64">
        <v>78.56</v>
      </c>
      <c r="N93" s="64">
        <v>57.1</v>
      </c>
      <c r="O93" s="64">
        <v>0</v>
      </c>
      <c r="P93" s="64">
        <v>1.65</v>
      </c>
      <c r="Q93" s="64">
        <v>10</v>
      </c>
      <c r="R93" s="198"/>
      <c r="S93" s="198"/>
      <c r="T93" s="198"/>
      <c r="U93" s="198"/>
    </row>
    <row r="94" spans="1:26" s="12" customFormat="1" x14ac:dyDescent="0.25">
      <c r="A94" s="215" t="s">
        <v>3117</v>
      </c>
      <c r="B94" s="64">
        <v>75.489999999999995</v>
      </c>
      <c r="C94" s="64">
        <v>42.58</v>
      </c>
      <c r="D94" s="64">
        <v>81.41</v>
      </c>
      <c r="E94" s="64">
        <v>8.3000000000000007</v>
      </c>
      <c r="F94" s="64">
        <v>4.29</v>
      </c>
      <c r="G94" s="64">
        <v>161.88</v>
      </c>
      <c r="H94" s="64">
        <v>36.36</v>
      </c>
      <c r="I94" s="211" t="s">
        <v>43</v>
      </c>
      <c r="J94" s="64">
        <v>1.48</v>
      </c>
      <c r="K94" s="64">
        <v>249.59</v>
      </c>
      <c r="L94" s="64">
        <v>17.3</v>
      </c>
      <c r="M94" s="64">
        <v>80.430000000000007</v>
      </c>
      <c r="N94" s="64">
        <v>57</v>
      </c>
      <c r="O94" s="64">
        <v>0</v>
      </c>
      <c r="P94" s="64">
        <v>1.69</v>
      </c>
      <c r="Q94" s="64">
        <v>10.01</v>
      </c>
      <c r="R94" s="198"/>
      <c r="S94" s="198"/>
      <c r="T94" s="198"/>
      <c r="U94" s="198"/>
    </row>
    <row r="95" spans="1:26" s="12" customFormat="1" x14ac:dyDescent="0.25">
      <c r="A95" s="215" t="s">
        <v>3118</v>
      </c>
      <c r="B95" s="64">
        <v>78.709999999999994</v>
      </c>
      <c r="C95" s="64">
        <v>43.03</v>
      </c>
      <c r="D95" s="64">
        <v>84.23</v>
      </c>
      <c r="E95" s="64">
        <v>8.4600000000000009</v>
      </c>
      <c r="F95" s="64">
        <v>3.97</v>
      </c>
      <c r="G95" s="64">
        <v>136.16999999999999</v>
      </c>
      <c r="H95" s="64">
        <v>41.34</v>
      </c>
      <c r="I95" s="211" t="s">
        <v>43</v>
      </c>
      <c r="J95" s="64">
        <v>0.97</v>
      </c>
      <c r="K95" s="64">
        <v>356.5</v>
      </c>
      <c r="L95" s="64">
        <v>17.02</v>
      </c>
      <c r="M95" s="64">
        <v>80.94</v>
      </c>
      <c r="N95" s="64">
        <v>57.3</v>
      </c>
      <c r="O95" s="64">
        <v>0</v>
      </c>
      <c r="P95" s="64">
        <v>1.79</v>
      </c>
      <c r="Q95" s="64">
        <v>10.02</v>
      </c>
      <c r="R95" s="198"/>
      <c r="S95" s="198"/>
      <c r="T95" s="198"/>
      <c r="U95" s="198"/>
    </row>
    <row r="96" spans="1:26" s="12" customFormat="1" x14ac:dyDescent="0.25">
      <c r="A96" s="215" t="s">
        <v>3119</v>
      </c>
      <c r="B96" s="64">
        <v>83.43</v>
      </c>
      <c r="C96" s="64">
        <v>42.33</v>
      </c>
      <c r="D96" s="64">
        <v>87.65</v>
      </c>
      <c r="E96" s="64">
        <v>8.19</v>
      </c>
      <c r="F96" s="64">
        <v>4.5199999999999996</v>
      </c>
      <c r="G96" s="64">
        <v>125.15</v>
      </c>
      <c r="H96" s="64">
        <v>43.47</v>
      </c>
      <c r="I96" s="211" t="s">
        <v>43</v>
      </c>
      <c r="J96" s="64">
        <v>1.92</v>
      </c>
      <c r="K96" s="64">
        <v>343.31</v>
      </c>
      <c r="L96" s="64">
        <v>16.510000000000002</v>
      </c>
      <c r="M96" s="64">
        <v>85.99</v>
      </c>
      <c r="N96" s="64">
        <v>57.1</v>
      </c>
      <c r="O96" s="64">
        <v>0</v>
      </c>
      <c r="P96" s="64">
        <v>1.78</v>
      </c>
      <c r="Q96" s="64">
        <v>10.029999999999999</v>
      </c>
      <c r="R96" s="198"/>
      <c r="S96" s="198"/>
      <c r="T96" s="214"/>
      <c r="U96" s="198"/>
      <c r="Z96" s="109"/>
    </row>
    <row r="97" spans="1:33" s="12" customFormat="1" x14ac:dyDescent="0.25">
      <c r="A97" s="215" t="s">
        <v>3120</v>
      </c>
      <c r="B97" s="64">
        <v>92.36</v>
      </c>
      <c r="C97" s="64">
        <v>42.83</v>
      </c>
      <c r="D97" s="64">
        <v>95.06</v>
      </c>
      <c r="E97" s="64">
        <v>9.27</v>
      </c>
      <c r="F97" s="64">
        <v>4.18</v>
      </c>
      <c r="G97" s="64">
        <v>125.15</v>
      </c>
      <c r="H97" s="64">
        <v>43.47</v>
      </c>
      <c r="I97" s="211" t="s">
        <v>43</v>
      </c>
      <c r="J97" s="64">
        <v>0.22</v>
      </c>
      <c r="K97" s="64">
        <v>320.85000000000002</v>
      </c>
      <c r="L97" s="64">
        <v>16.27</v>
      </c>
      <c r="M97" s="64">
        <v>86.2</v>
      </c>
      <c r="N97" s="64">
        <v>57</v>
      </c>
      <c r="O97" s="64">
        <v>0</v>
      </c>
      <c r="P97" s="64">
        <v>1.86</v>
      </c>
      <c r="Q97" s="64">
        <v>10.07</v>
      </c>
      <c r="R97" s="198"/>
      <c r="S97" s="198"/>
      <c r="T97" s="198"/>
      <c r="U97" s="198"/>
    </row>
    <row r="98" spans="1:33" s="12" customFormat="1" x14ac:dyDescent="0.25">
      <c r="A98" s="215" t="s">
        <v>3121</v>
      </c>
      <c r="B98" s="64">
        <v>99.77</v>
      </c>
      <c r="C98" s="64">
        <v>42.54</v>
      </c>
      <c r="D98" s="64">
        <v>100.85</v>
      </c>
      <c r="E98" s="64">
        <v>8.92</v>
      </c>
      <c r="F98" s="64">
        <v>4.2699999999999996</v>
      </c>
      <c r="G98" s="64">
        <v>125.15</v>
      </c>
      <c r="H98" s="64">
        <v>43.47</v>
      </c>
      <c r="I98" s="211" t="s">
        <v>43</v>
      </c>
      <c r="J98" s="64">
        <v>2.08</v>
      </c>
      <c r="K98" s="64">
        <v>319.82</v>
      </c>
      <c r="L98" s="64">
        <v>16.010000000000002</v>
      </c>
      <c r="M98" s="64">
        <v>90.19</v>
      </c>
      <c r="N98" s="64">
        <v>57.1</v>
      </c>
      <c r="O98" s="64">
        <v>0</v>
      </c>
      <c r="P98" s="64">
        <v>1.91</v>
      </c>
      <c r="Q98" s="64">
        <v>10.130000000000001</v>
      </c>
      <c r="R98" s="198"/>
      <c r="S98" s="198"/>
      <c r="T98" s="198"/>
      <c r="U98" s="198"/>
    </row>
    <row r="99" spans="1:33" s="12" customFormat="1" x14ac:dyDescent="0.25">
      <c r="A99" s="215" t="s">
        <v>3122</v>
      </c>
      <c r="B99" s="64">
        <v>105.9</v>
      </c>
      <c r="C99" s="64">
        <v>42</v>
      </c>
      <c r="D99" s="64">
        <v>105.49</v>
      </c>
      <c r="E99" s="64">
        <v>8.82</v>
      </c>
      <c r="F99" s="64">
        <v>4.01</v>
      </c>
      <c r="G99" s="64">
        <v>165.24</v>
      </c>
      <c r="H99" s="64">
        <v>47.35</v>
      </c>
      <c r="I99" s="211" t="s">
        <v>43</v>
      </c>
      <c r="J99" s="64">
        <v>1.34</v>
      </c>
      <c r="K99" s="64">
        <v>294.83999999999997</v>
      </c>
      <c r="L99" s="64">
        <v>15.65</v>
      </c>
      <c r="M99" s="64">
        <v>92.24</v>
      </c>
      <c r="N99" s="64">
        <v>57</v>
      </c>
      <c r="O99" s="64">
        <v>0</v>
      </c>
      <c r="P99" s="64">
        <v>1.97</v>
      </c>
      <c r="Q99" s="64">
        <v>10.17</v>
      </c>
      <c r="R99" s="198"/>
      <c r="S99" s="198"/>
      <c r="T99" s="198"/>
      <c r="U99" s="198"/>
    </row>
    <row r="100" spans="1:33" s="12" customFormat="1" x14ac:dyDescent="0.25">
      <c r="A100" s="215" t="s">
        <v>3123</v>
      </c>
      <c r="B100" s="64">
        <v>109.79</v>
      </c>
      <c r="C100" s="64">
        <v>39.270000000000003</v>
      </c>
      <c r="D100" s="64">
        <v>107.18</v>
      </c>
      <c r="E100" s="64">
        <v>8.7799999999999994</v>
      </c>
      <c r="F100" s="64">
        <v>4.03</v>
      </c>
      <c r="G100" s="64">
        <v>182.41</v>
      </c>
      <c r="H100" s="64">
        <v>49.01</v>
      </c>
      <c r="I100" s="211" t="s">
        <v>43</v>
      </c>
      <c r="J100" s="64">
        <v>2.12</v>
      </c>
      <c r="K100" s="64">
        <v>300.5</v>
      </c>
      <c r="L100" s="64">
        <v>15.53</v>
      </c>
      <c r="M100" s="64">
        <v>91.36</v>
      </c>
      <c r="N100" s="64">
        <v>56.8</v>
      </c>
      <c r="O100" s="64">
        <v>0</v>
      </c>
      <c r="P100" s="64">
        <v>2.2000000000000002</v>
      </c>
      <c r="Q100" s="64">
        <v>10.23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3124</v>
      </c>
      <c r="B101" s="64">
        <v>114.74</v>
      </c>
      <c r="C101" s="64">
        <v>37.69</v>
      </c>
      <c r="D101" s="64">
        <v>110.33</v>
      </c>
      <c r="E101" s="64">
        <v>8.82</v>
      </c>
      <c r="F101" s="64">
        <v>4.18</v>
      </c>
      <c r="G101" s="64">
        <v>182.41</v>
      </c>
      <c r="H101" s="64">
        <v>49.01</v>
      </c>
      <c r="I101" s="211" t="s">
        <v>43</v>
      </c>
      <c r="J101" s="64">
        <v>2.14</v>
      </c>
      <c r="K101" s="64">
        <v>295.94</v>
      </c>
      <c r="L101" s="64">
        <v>15.42</v>
      </c>
      <c r="M101" s="64">
        <v>92.3</v>
      </c>
      <c r="N101" s="64">
        <v>56.8</v>
      </c>
      <c r="O101" s="64">
        <v>0</v>
      </c>
      <c r="P101" s="64">
        <v>2.13</v>
      </c>
      <c r="Q101" s="64">
        <v>10.24</v>
      </c>
      <c r="R101" s="198"/>
      <c r="S101" s="198"/>
      <c r="T101" s="198"/>
      <c r="U101" s="198"/>
    </row>
    <row r="102" spans="1:33" s="12" customFormat="1" x14ac:dyDescent="0.25">
      <c r="A102" s="215" t="s">
        <v>3125</v>
      </c>
      <c r="B102" s="64">
        <v>118</v>
      </c>
      <c r="C102" s="64">
        <v>38.33</v>
      </c>
      <c r="D102" s="64">
        <v>113.28</v>
      </c>
      <c r="E102" s="64">
        <v>8.77</v>
      </c>
      <c r="F102" s="64">
        <v>4.1900000000000004</v>
      </c>
      <c r="G102" s="64">
        <v>182.41</v>
      </c>
      <c r="H102" s="64">
        <v>49.01</v>
      </c>
      <c r="I102" s="211" t="s">
        <v>43</v>
      </c>
      <c r="J102" s="64">
        <v>2.14</v>
      </c>
      <c r="K102" s="64">
        <v>296.93</v>
      </c>
      <c r="L102" s="64">
        <v>15.33</v>
      </c>
      <c r="M102" s="64">
        <v>89.82</v>
      </c>
      <c r="N102" s="64">
        <v>56.9</v>
      </c>
      <c r="O102" s="64">
        <v>0</v>
      </c>
      <c r="P102" s="64">
        <v>2.06</v>
      </c>
      <c r="Q102" s="64">
        <v>10.26</v>
      </c>
      <c r="R102" s="198"/>
      <c r="S102" s="198"/>
      <c r="T102" s="198"/>
      <c r="U102" s="198"/>
    </row>
    <row r="103" spans="1:33" s="12" customFormat="1" x14ac:dyDescent="0.25">
      <c r="A103" s="215" t="s">
        <v>3126</v>
      </c>
      <c r="B103" s="64">
        <v>118</v>
      </c>
      <c r="C103" s="64">
        <v>38</v>
      </c>
      <c r="D103" s="64">
        <v>113.11</v>
      </c>
      <c r="E103" s="64">
        <v>8.67</v>
      </c>
      <c r="F103" s="64">
        <v>4.0999999999999996</v>
      </c>
      <c r="G103" s="64">
        <v>155.69999999999999</v>
      </c>
      <c r="H103" s="64">
        <v>44.42</v>
      </c>
      <c r="I103" s="211" t="s">
        <v>43</v>
      </c>
      <c r="J103" s="64">
        <v>1.61</v>
      </c>
      <c r="K103" s="64">
        <v>279.05</v>
      </c>
      <c r="L103" s="64">
        <v>15.25</v>
      </c>
      <c r="M103" s="64">
        <v>87.1</v>
      </c>
      <c r="N103" s="64">
        <v>56.9</v>
      </c>
      <c r="O103" s="64">
        <v>0</v>
      </c>
      <c r="P103" s="64">
        <v>1.91</v>
      </c>
      <c r="Q103" s="64">
        <v>10.32</v>
      </c>
      <c r="R103" s="198"/>
      <c r="S103" s="198"/>
      <c r="T103" s="198"/>
      <c r="U103" s="198"/>
    </row>
    <row r="104" spans="1:33" s="12" customFormat="1" x14ac:dyDescent="0.25">
      <c r="A104" s="215" t="s">
        <v>3127</v>
      </c>
      <c r="B104" s="64">
        <v>115.57</v>
      </c>
      <c r="C104" s="64">
        <v>38.19</v>
      </c>
      <c r="D104" s="64">
        <v>111.25</v>
      </c>
      <c r="E104" s="64">
        <v>6.65</v>
      </c>
      <c r="F104" s="64">
        <v>3.96</v>
      </c>
      <c r="G104" s="64">
        <v>144.25</v>
      </c>
      <c r="H104" s="64">
        <v>42.45</v>
      </c>
      <c r="I104" s="211" t="s">
        <v>43</v>
      </c>
      <c r="J104" s="64">
        <v>2.19</v>
      </c>
      <c r="K104" s="64">
        <v>273.61</v>
      </c>
      <c r="L104" s="64">
        <v>15.09</v>
      </c>
      <c r="M104" s="64">
        <v>87.19</v>
      </c>
      <c r="N104" s="64">
        <v>57</v>
      </c>
      <c r="O104" s="64">
        <v>0</v>
      </c>
      <c r="P104" s="64">
        <v>1.8</v>
      </c>
      <c r="Q104" s="64">
        <v>10.34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13.26</v>
      </c>
      <c r="C106" s="67">
        <f>MIN(C9:C104)</f>
        <v>33.549999999999997</v>
      </c>
      <c r="D106" s="67">
        <f t="shared" ref="D106:Q106" si="0">MIN(D9:D104)</f>
        <v>32.96</v>
      </c>
      <c r="E106" s="67">
        <f t="shared" si="0"/>
        <v>4.1900000000000004</v>
      </c>
      <c r="F106" s="67">
        <f t="shared" si="0"/>
        <v>2.76</v>
      </c>
      <c r="G106" s="67">
        <f t="shared" si="0"/>
        <v>40.35</v>
      </c>
      <c r="H106" s="67">
        <f t="shared" si="0"/>
        <v>12.81</v>
      </c>
      <c r="I106" s="67">
        <f t="shared" si="0"/>
        <v>0</v>
      </c>
      <c r="J106" s="67">
        <f t="shared" si="0"/>
        <v>0.22</v>
      </c>
      <c r="K106" s="67">
        <f t="shared" si="0"/>
        <v>17.38</v>
      </c>
      <c r="L106" s="67">
        <f t="shared" si="0"/>
        <v>14.15</v>
      </c>
      <c r="M106" s="67">
        <f t="shared" si="0"/>
        <v>45.88</v>
      </c>
      <c r="N106" s="67">
        <f t="shared" si="0"/>
        <v>56.1</v>
      </c>
      <c r="O106" s="67">
        <f t="shared" si="0"/>
        <v>0</v>
      </c>
      <c r="P106" s="67">
        <f t="shared" si="0"/>
        <v>0.62</v>
      </c>
      <c r="Q106" s="67">
        <f t="shared" si="0"/>
        <v>8.2100000000000009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118</v>
      </c>
      <c r="C107" s="66">
        <f t="shared" ref="C107:Q107" si="1">MAX(C9:C104)</f>
        <v>46.53</v>
      </c>
      <c r="D107" s="66">
        <f t="shared" si="1"/>
        <v>113.28</v>
      </c>
      <c r="E107" s="66">
        <f t="shared" si="1"/>
        <v>9.27</v>
      </c>
      <c r="F107" s="66">
        <f t="shared" si="1"/>
        <v>4.5199999999999996</v>
      </c>
      <c r="G107" s="66">
        <f t="shared" si="1"/>
        <v>182.41</v>
      </c>
      <c r="H107" s="66">
        <f t="shared" si="1"/>
        <v>49.01</v>
      </c>
      <c r="I107" s="66">
        <f t="shared" si="1"/>
        <v>0</v>
      </c>
      <c r="J107" s="66">
        <f t="shared" si="1"/>
        <v>3.87</v>
      </c>
      <c r="K107" s="66">
        <f t="shared" si="1"/>
        <v>356.5</v>
      </c>
      <c r="L107" s="66">
        <f t="shared" si="1"/>
        <v>27.23</v>
      </c>
      <c r="M107" s="66">
        <f t="shared" si="1"/>
        <v>102.48</v>
      </c>
      <c r="N107" s="66">
        <f t="shared" si="1"/>
        <v>722</v>
      </c>
      <c r="O107" s="66">
        <f t="shared" si="1"/>
        <v>0</v>
      </c>
      <c r="P107" s="66">
        <f t="shared" si="1"/>
        <v>2.2000000000000002</v>
      </c>
      <c r="Q107" s="66">
        <f t="shared" si="1"/>
        <v>10.34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40.763437499999995</v>
      </c>
      <c r="C108" s="67">
        <f t="shared" ref="C108:Q108" si="2">AVERAGE(C9:C104)</f>
        <v>40.294374999999995</v>
      </c>
      <c r="D108" s="67">
        <f t="shared" si="2"/>
        <v>52.364479166666676</v>
      </c>
      <c r="E108" s="67">
        <f t="shared" si="2"/>
        <v>6.0695833333333304</v>
      </c>
      <c r="F108" s="67">
        <f t="shared" si="2"/>
        <v>3.8496875000000004</v>
      </c>
      <c r="G108" s="67">
        <f t="shared" si="2"/>
        <v>81.538020833333334</v>
      </c>
      <c r="H108" s="67">
        <f t="shared" si="2"/>
        <v>24.35614583333334</v>
      </c>
      <c r="I108" s="67" t="e">
        <f t="shared" si="2"/>
        <v>#DIV/0!</v>
      </c>
      <c r="J108" s="67">
        <f t="shared" si="2"/>
        <v>1.8758333333333337</v>
      </c>
      <c r="K108" s="67">
        <f t="shared" si="2"/>
        <v>248.07354166666664</v>
      </c>
      <c r="L108" s="67">
        <f t="shared" si="2"/>
        <v>18.629687499999999</v>
      </c>
      <c r="M108" s="67">
        <f t="shared" si="2"/>
        <v>80.40812499999997</v>
      </c>
      <c r="N108" s="67">
        <f t="shared" si="2"/>
        <v>234.8083333333332</v>
      </c>
      <c r="O108" s="67">
        <f t="shared" si="2"/>
        <v>0</v>
      </c>
      <c r="P108" s="67">
        <f t="shared" si="2"/>
        <v>1.0414583333333332</v>
      </c>
      <c r="Q108" s="67">
        <f t="shared" si="2"/>
        <v>8.7555208333333336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26.157364338018521</v>
      </c>
      <c r="C109" s="67">
        <f t="shared" ref="C109:Q109" si="3">STDEV(C9:C104)</f>
        <v>3.7871549695197189</v>
      </c>
      <c r="D109" s="67">
        <f t="shared" si="3"/>
        <v>20.774204443304026</v>
      </c>
      <c r="E109" s="67">
        <f t="shared" si="3"/>
        <v>1.2630247042353522</v>
      </c>
      <c r="F109" s="67">
        <f t="shared" si="3"/>
        <v>0.30890452664042883</v>
      </c>
      <c r="G109" s="67">
        <f t="shared" si="3"/>
        <v>40.506410321013341</v>
      </c>
      <c r="H109" s="67">
        <f t="shared" si="3"/>
        <v>9.118691892543584</v>
      </c>
      <c r="I109" s="67" t="e">
        <f t="shared" si="3"/>
        <v>#DIV/0!</v>
      </c>
      <c r="J109" s="67">
        <f t="shared" si="3"/>
        <v>0.81424122465632032</v>
      </c>
      <c r="K109" s="67">
        <f t="shared" si="3"/>
        <v>111.93083659567993</v>
      </c>
      <c r="L109" s="67">
        <f t="shared" si="3"/>
        <v>3.8940925442805359</v>
      </c>
      <c r="M109" s="67">
        <f t="shared" si="3"/>
        <v>19.239696206842371</v>
      </c>
      <c r="N109" s="67">
        <f t="shared" si="3"/>
        <v>210.41225182792542</v>
      </c>
      <c r="O109" s="67">
        <f t="shared" si="3"/>
        <v>0</v>
      </c>
      <c r="P109" s="67">
        <f t="shared" si="3"/>
        <v>0.44886518704434131</v>
      </c>
      <c r="Q109" s="67">
        <f t="shared" si="3"/>
        <v>0.72752626256328223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0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&lt;90%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LESS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0" zoomScaleNormal="80" workbookViewId="0">
      <selection activeCell="I111" sqref="I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x14ac:dyDescent="0.25">
      <c r="A1" s="15" t="s">
        <v>30</v>
      </c>
      <c r="B1" s="57" t="s">
        <v>247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31/12/2024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231</v>
      </c>
      <c r="C7" s="198" t="s">
        <v>232</v>
      </c>
      <c r="D7" s="198" t="s">
        <v>233</v>
      </c>
      <c r="E7" s="198" t="s">
        <v>234</v>
      </c>
      <c r="F7" s="198" t="s">
        <v>235</v>
      </c>
      <c r="G7" s="198" t="s">
        <v>236</v>
      </c>
      <c r="H7" s="198" t="s">
        <v>237</v>
      </c>
      <c r="I7" s="198" t="s">
        <v>238</v>
      </c>
      <c r="J7" s="198" t="s">
        <v>239</v>
      </c>
      <c r="K7" s="198" t="s">
        <v>240</v>
      </c>
      <c r="L7" s="198" t="s">
        <v>241</v>
      </c>
      <c r="M7" s="198" t="s">
        <v>242</v>
      </c>
      <c r="N7" s="198" t="s">
        <v>243</v>
      </c>
      <c r="O7" s="198" t="s">
        <v>244</v>
      </c>
      <c r="P7" s="198" t="s">
        <v>245</v>
      </c>
      <c r="Q7" s="198" t="s">
        <v>246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226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x14ac:dyDescent="0.25">
      <c r="A9" s="215" t="s">
        <v>3128</v>
      </c>
      <c r="B9" s="64">
        <v>112.18</v>
      </c>
      <c r="C9" s="64">
        <v>37.61</v>
      </c>
      <c r="D9" s="64">
        <v>108.23</v>
      </c>
      <c r="E9" s="64">
        <v>7.44</v>
      </c>
      <c r="F9" s="64">
        <v>4.45</v>
      </c>
      <c r="G9" s="64">
        <v>144.25</v>
      </c>
      <c r="H9" s="64">
        <v>42.45</v>
      </c>
      <c r="I9" s="211" t="s">
        <v>43</v>
      </c>
      <c r="J9" s="64">
        <v>1.43</v>
      </c>
      <c r="K9" s="64">
        <v>309.73</v>
      </c>
      <c r="L9" s="64">
        <v>14.85</v>
      </c>
      <c r="M9" s="64">
        <v>87.4</v>
      </c>
      <c r="N9" s="64">
        <v>56.8</v>
      </c>
      <c r="O9" s="64">
        <v>0</v>
      </c>
      <c r="P9" s="64">
        <v>1.91</v>
      </c>
      <c r="Q9" s="64">
        <v>10.32</v>
      </c>
      <c r="R9" s="198"/>
      <c r="S9" s="198"/>
      <c r="T9" s="198"/>
      <c r="U9" s="198"/>
    </row>
    <row r="10" spans="1:21" s="12" customFormat="1" x14ac:dyDescent="0.25">
      <c r="A10" s="215" t="s">
        <v>3129</v>
      </c>
      <c r="B10" s="64">
        <v>108.51</v>
      </c>
      <c r="C10" s="64">
        <v>37.54</v>
      </c>
      <c r="D10" s="64">
        <v>105.25</v>
      </c>
      <c r="E10" s="64">
        <v>7.5</v>
      </c>
      <c r="F10" s="64">
        <v>3.76</v>
      </c>
      <c r="G10" s="64">
        <v>144.25</v>
      </c>
      <c r="H10" s="64">
        <v>42.45</v>
      </c>
      <c r="I10" s="211" t="s">
        <v>43</v>
      </c>
      <c r="J10" s="64">
        <v>0.8</v>
      </c>
      <c r="K10" s="64">
        <v>328.78</v>
      </c>
      <c r="L10" s="64">
        <v>15.07</v>
      </c>
      <c r="M10" s="64">
        <v>80.94</v>
      </c>
      <c r="N10" s="64">
        <v>56.6</v>
      </c>
      <c r="O10" s="64">
        <v>0</v>
      </c>
      <c r="P10" s="64">
        <v>1.52</v>
      </c>
      <c r="Q10" s="64">
        <v>10.29</v>
      </c>
      <c r="R10" s="198"/>
      <c r="S10" s="198"/>
      <c r="T10" s="198"/>
      <c r="U10" s="198"/>
    </row>
    <row r="11" spans="1:21" s="12" customFormat="1" x14ac:dyDescent="0.25">
      <c r="A11" s="215" t="s">
        <v>3130</v>
      </c>
      <c r="B11" s="64">
        <v>105.01</v>
      </c>
      <c r="C11" s="64">
        <v>37.24</v>
      </c>
      <c r="D11" s="64">
        <v>102.28</v>
      </c>
      <c r="E11" s="64">
        <v>7.1</v>
      </c>
      <c r="F11" s="64">
        <v>3.36</v>
      </c>
      <c r="G11" s="64">
        <v>74.94</v>
      </c>
      <c r="H11" s="64">
        <v>36.14</v>
      </c>
      <c r="I11" s="211" t="s">
        <v>43</v>
      </c>
      <c r="J11" s="64">
        <v>2.29</v>
      </c>
      <c r="K11" s="64">
        <v>344.98</v>
      </c>
      <c r="L11" s="64">
        <v>15.15</v>
      </c>
      <c r="M11" s="64">
        <v>79.69</v>
      </c>
      <c r="N11" s="64">
        <v>56.1</v>
      </c>
      <c r="O11" s="64">
        <v>0</v>
      </c>
      <c r="P11" s="64">
        <v>1.66</v>
      </c>
      <c r="Q11" s="64">
        <v>10.25</v>
      </c>
      <c r="R11" s="198"/>
      <c r="S11" s="198"/>
      <c r="T11" s="198"/>
      <c r="U11" s="198"/>
    </row>
    <row r="12" spans="1:21" s="12" customFormat="1" x14ac:dyDescent="0.25">
      <c r="A12" s="215" t="s">
        <v>3131</v>
      </c>
      <c r="B12" s="64">
        <v>101.91</v>
      </c>
      <c r="C12" s="64">
        <v>37.26</v>
      </c>
      <c r="D12" s="64">
        <v>99.82</v>
      </c>
      <c r="E12" s="64">
        <v>6.89</v>
      </c>
      <c r="F12" s="64">
        <v>3.34</v>
      </c>
      <c r="G12" s="64">
        <v>45.23</v>
      </c>
      <c r="H12" s="64">
        <v>33.43</v>
      </c>
      <c r="I12" s="211" t="s">
        <v>43</v>
      </c>
      <c r="J12" s="64">
        <v>2.54</v>
      </c>
      <c r="K12" s="64">
        <v>351.77</v>
      </c>
      <c r="L12" s="64">
        <v>15.29</v>
      </c>
      <c r="M12" s="64">
        <v>75.8</v>
      </c>
      <c r="N12" s="64">
        <v>56.1</v>
      </c>
      <c r="O12" s="64">
        <v>0</v>
      </c>
      <c r="P12" s="64">
        <v>1.78</v>
      </c>
      <c r="Q12" s="64">
        <v>10.220000000000001</v>
      </c>
      <c r="R12" s="198"/>
      <c r="S12" s="198"/>
      <c r="T12" s="198"/>
      <c r="U12" s="198"/>
    </row>
    <row r="13" spans="1:21" s="12" customFormat="1" x14ac:dyDescent="0.25">
      <c r="A13" s="215" t="s">
        <v>3132</v>
      </c>
      <c r="B13" s="64">
        <v>96.97</v>
      </c>
      <c r="C13" s="64">
        <v>38.19</v>
      </c>
      <c r="D13" s="64">
        <v>96.34</v>
      </c>
      <c r="E13" s="64">
        <v>6.53</v>
      </c>
      <c r="F13" s="64">
        <v>3.8</v>
      </c>
      <c r="G13" s="64">
        <v>45.23</v>
      </c>
      <c r="H13" s="64">
        <v>33.43</v>
      </c>
      <c r="I13" s="211" t="s">
        <v>43</v>
      </c>
      <c r="J13" s="64">
        <v>2.96</v>
      </c>
      <c r="K13" s="64">
        <v>349.14</v>
      </c>
      <c r="L13" s="64">
        <v>15.15</v>
      </c>
      <c r="M13" s="64">
        <v>74.92</v>
      </c>
      <c r="N13" s="64">
        <v>56.4</v>
      </c>
      <c r="O13" s="64">
        <v>0</v>
      </c>
      <c r="P13" s="64">
        <v>1.44</v>
      </c>
      <c r="Q13" s="64">
        <v>10.15</v>
      </c>
      <c r="R13" s="198"/>
      <c r="S13" s="198"/>
      <c r="T13" s="198"/>
      <c r="U13" s="198"/>
    </row>
    <row r="14" spans="1:21" s="12" customFormat="1" x14ac:dyDescent="0.25">
      <c r="A14" s="215" t="s">
        <v>3133</v>
      </c>
      <c r="B14" s="64">
        <v>91.42</v>
      </c>
      <c r="C14" s="64">
        <v>38.68</v>
      </c>
      <c r="D14" s="64">
        <v>92.14</v>
      </c>
      <c r="E14" s="64">
        <v>6.89</v>
      </c>
      <c r="F14" s="64">
        <v>3.59</v>
      </c>
      <c r="G14" s="64">
        <v>45.23</v>
      </c>
      <c r="H14" s="64">
        <v>33.43</v>
      </c>
      <c r="I14" s="211" t="s">
        <v>43</v>
      </c>
      <c r="J14" s="64">
        <v>2.99</v>
      </c>
      <c r="K14" s="64">
        <v>344.85</v>
      </c>
      <c r="L14" s="64">
        <v>15.1</v>
      </c>
      <c r="M14" s="64">
        <v>74.209999999999994</v>
      </c>
      <c r="N14" s="64">
        <v>56.5</v>
      </c>
      <c r="O14" s="64">
        <v>0</v>
      </c>
      <c r="P14" s="64">
        <v>1.45</v>
      </c>
      <c r="Q14" s="64">
        <v>10.06</v>
      </c>
      <c r="R14" s="198"/>
      <c r="S14" s="198"/>
      <c r="T14" s="198"/>
      <c r="U14" s="198"/>
    </row>
    <row r="15" spans="1:21" s="12" customFormat="1" x14ac:dyDescent="0.25">
      <c r="A15" s="215" t="s">
        <v>3134</v>
      </c>
      <c r="B15" s="64">
        <v>86.51</v>
      </c>
      <c r="C15" s="64">
        <v>39.67</v>
      </c>
      <c r="D15" s="64">
        <v>88.72</v>
      </c>
      <c r="E15" s="64">
        <v>6.07</v>
      </c>
      <c r="F15" s="64">
        <v>4.12</v>
      </c>
      <c r="G15" s="64">
        <v>58.31</v>
      </c>
      <c r="H15" s="64">
        <v>31.01</v>
      </c>
      <c r="I15" s="211" t="s">
        <v>43</v>
      </c>
      <c r="J15" s="64">
        <v>2.93</v>
      </c>
      <c r="K15" s="64">
        <v>345.62</v>
      </c>
      <c r="L15" s="64">
        <v>14.97</v>
      </c>
      <c r="M15" s="64">
        <v>75.62</v>
      </c>
      <c r="N15" s="64">
        <v>56.7</v>
      </c>
      <c r="O15" s="64">
        <v>0</v>
      </c>
      <c r="P15" s="64">
        <v>1.37</v>
      </c>
      <c r="Q15" s="64">
        <v>10</v>
      </c>
      <c r="R15" s="198"/>
      <c r="S15" s="198"/>
      <c r="T15" s="198"/>
      <c r="U15" s="198"/>
    </row>
    <row r="16" spans="1:21" s="12" customFormat="1" x14ac:dyDescent="0.25">
      <c r="A16" s="215" t="s">
        <v>3135</v>
      </c>
      <c r="B16" s="64">
        <v>82.13</v>
      </c>
      <c r="C16" s="64">
        <v>40.65</v>
      </c>
      <c r="D16" s="64">
        <v>85.72</v>
      </c>
      <c r="E16" s="64">
        <v>6.43</v>
      </c>
      <c r="F16" s="64">
        <v>3.95</v>
      </c>
      <c r="G16" s="64">
        <v>63.91</v>
      </c>
      <c r="H16" s="64">
        <v>29.97</v>
      </c>
      <c r="I16" s="211" t="s">
        <v>43</v>
      </c>
      <c r="J16" s="64">
        <v>3</v>
      </c>
      <c r="K16" s="64">
        <v>348.48</v>
      </c>
      <c r="L16" s="64">
        <v>14.77</v>
      </c>
      <c r="M16" s="64">
        <v>74.48</v>
      </c>
      <c r="N16" s="64">
        <v>56.8</v>
      </c>
      <c r="O16" s="64">
        <v>0</v>
      </c>
      <c r="P16" s="64">
        <v>1.3</v>
      </c>
      <c r="Q16" s="64">
        <v>9.99</v>
      </c>
      <c r="R16" s="198"/>
      <c r="S16" s="198"/>
      <c r="T16" s="198"/>
      <c r="U16" s="198"/>
    </row>
    <row r="17" spans="1:21" s="12" customFormat="1" x14ac:dyDescent="0.25">
      <c r="A17" s="215" t="s">
        <v>3136</v>
      </c>
      <c r="B17" s="64">
        <v>77.959999999999994</v>
      </c>
      <c r="C17" s="64">
        <v>41.48</v>
      </c>
      <c r="D17" s="64">
        <v>82.82</v>
      </c>
      <c r="E17" s="64">
        <v>6</v>
      </c>
      <c r="F17" s="64">
        <v>3.81</v>
      </c>
      <c r="G17" s="64">
        <v>63.91</v>
      </c>
      <c r="H17" s="64">
        <v>29.97</v>
      </c>
      <c r="I17" s="211" t="s">
        <v>43</v>
      </c>
      <c r="J17" s="64">
        <v>3.34</v>
      </c>
      <c r="K17" s="64">
        <v>346.57</v>
      </c>
      <c r="L17" s="64">
        <v>14.59</v>
      </c>
      <c r="M17" s="64">
        <v>75.86</v>
      </c>
      <c r="N17" s="64">
        <v>57</v>
      </c>
      <c r="O17" s="64">
        <v>0</v>
      </c>
      <c r="P17" s="64">
        <v>1.24</v>
      </c>
      <c r="Q17" s="64">
        <v>9.9499999999999993</v>
      </c>
      <c r="R17" s="198"/>
      <c r="S17" s="198"/>
      <c r="T17" s="198"/>
      <c r="U17" s="198"/>
    </row>
    <row r="18" spans="1:21" s="12" customFormat="1" x14ac:dyDescent="0.25">
      <c r="A18" s="215" t="s">
        <v>3137</v>
      </c>
      <c r="B18" s="64">
        <v>73.27</v>
      </c>
      <c r="C18" s="64">
        <v>41.31</v>
      </c>
      <c r="D18" s="64">
        <v>78.959999999999994</v>
      </c>
      <c r="E18" s="64">
        <v>5.67</v>
      </c>
      <c r="F18" s="64">
        <v>3.77</v>
      </c>
      <c r="G18" s="64">
        <v>63.91</v>
      </c>
      <c r="H18" s="64">
        <v>29.97</v>
      </c>
      <c r="I18" s="211" t="s">
        <v>43</v>
      </c>
      <c r="J18" s="64">
        <v>3.65</v>
      </c>
      <c r="K18" s="64">
        <v>348.01</v>
      </c>
      <c r="L18" s="64">
        <v>14.25</v>
      </c>
      <c r="M18" s="64">
        <v>80.069999999999993</v>
      </c>
      <c r="N18" s="64">
        <v>57.1</v>
      </c>
      <c r="O18" s="64">
        <v>0</v>
      </c>
      <c r="P18" s="64">
        <v>1.17</v>
      </c>
      <c r="Q18" s="64">
        <v>9.89</v>
      </c>
      <c r="R18" s="198"/>
      <c r="S18" s="198"/>
      <c r="T18" s="198"/>
      <c r="U18" s="198"/>
    </row>
    <row r="19" spans="1:21" s="12" customFormat="1" x14ac:dyDescent="0.25">
      <c r="A19" s="215" t="s">
        <v>3138</v>
      </c>
      <c r="B19" s="64">
        <v>68.760000000000005</v>
      </c>
      <c r="C19" s="64">
        <v>41.41</v>
      </c>
      <c r="D19" s="64">
        <v>75.400000000000006</v>
      </c>
      <c r="E19" s="64">
        <v>5.64</v>
      </c>
      <c r="F19" s="64">
        <v>3.75</v>
      </c>
      <c r="G19" s="64">
        <v>69.569999999999993</v>
      </c>
      <c r="H19" s="64">
        <v>28.63</v>
      </c>
      <c r="I19" s="211" t="s">
        <v>43</v>
      </c>
      <c r="J19" s="64">
        <v>3.15</v>
      </c>
      <c r="K19" s="64">
        <v>349.64</v>
      </c>
      <c r="L19" s="64">
        <v>14</v>
      </c>
      <c r="M19" s="64">
        <v>83.17</v>
      </c>
      <c r="N19" s="64">
        <v>57.1</v>
      </c>
      <c r="O19" s="64">
        <v>0</v>
      </c>
      <c r="P19" s="64">
        <v>1.1200000000000001</v>
      </c>
      <c r="Q19" s="64">
        <v>9.89</v>
      </c>
      <c r="R19" s="198"/>
      <c r="S19" s="198"/>
      <c r="T19" s="198"/>
      <c r="U19" s="198"/>
    </row>
    <row r="20" spans="1:21" s="12" customFormat="1" x14ac:dyDescent="0.25">
      <c r="A20" s="215" t="s">
        <v>3139</v>
      </c>
      <c r="B20" s="64">
        <v>64.8</v>
      </c>
      <c r="C20" s="64">
        <v>41.6</v>
      </c>
      <c r="D20" s="64">
        <v>72.33</v>
      </c>
      <c r="E20" s="64">
        <v>6.33</v>
      </c>
      <c r="F20" s="64">
        <v>3.78</v>
      </c>
      <c r="G20" s="64">
        <v>72</v>
      </c>
      <c r="H20" s="64">
        <v>28.06</v>
      </c>
      <c r="I20" s="211" t="s">
        <v>43</v>
      </c>
      <c r="J20" s="64">
        <v>3.72</v>
      </c>
      <c r="K20" s="64">
        <v>345.51</v>
      </c>
      <c r="L20" s="64">
        <v>13.74</v>
      </c>
      <c r="M20" s="64">
        <v>86.93</v>
      </c>
      <c r="N20" s="64">
        <v>57</v>
      </c>
      <c r="O20" s="64">
        <v>0</v>
      </c>
      <c r="P20" s="64">
        <v>1.07</v>
      </c>
      <c r="Q20" s="64">
        <v>9.86</v>
      </c>
      <c r="R20" s="198"/>
      <c r="S20" s="198"/>
      <c r="T20" s="198"/>
      <c r="U20" s="198"/>
    </row>
    <row r="21" spans="1:21" s="12" customFormat="1" x14ac:dyDescent="0.25">
      <c r="A21" s="215" t="s">
        <v>3140</v>
      </c>
      <c r="B21" s="64">
        <v>61.32</v>
      </c>
      <c r="C21" s="64">
        <v>40.58</v>
      </c>
      <c r="D21" s="64">
        <v>69</v>
      </c>
      <c r="E21" s="64">
        <v>6.34</v>
      </c>
      <c r="F21" s="64">
        <v>4.28</v>
      </c>
      <c r="G21" s="64">
        <v>72</v>
      </c>
      <c r="H21" s="64">
        <v>28.06</v>
      </c>
      <c r="I21" s="211" t="s">
        <v>43</v>
      </c>
      <c r="J21" s="64">
        <v>3</v>
      </c>
      <c r="K21" s="64">
        <v>345.35</v>
      </c>
      <c r="L21" s="64">
        <v>13.51</v>
      </c>
      <c r="M21" s="64">
        <v>88.91</v>
      </c>
      <c r="N21" s="64">
        <v>57</v>
      </c>
      <c r="O21" s="64">
        <v>0</v>
      </c>
      <c r="P21" s="64">
        <v>1.03</v>
      </c>
      <c r="Q21" s="64">
        <v>9.85</v>
      </c>
      <c r="R21" s="198"/>
      <c r="S21" s="198"/>
      <c r="T21" s="198"/>
      <c r="U21" s="198"/>
    </row>
    <row r="22" spans="1:21" s="12" customFormat="1" x14ac:dyDescent="0.25">
      <c r="A22" s="215" t="s">
        <v>3141</v>
      </c>
      <c r="B22" s="64">
        <v>59.5</v>
      </c>
      <c r="C22" s="64">
        <v>40.119999999999997</v>
      </c>
      <c r="D22" s="64">
        <v>67.3</v>
      </c>
      <c r="E22" s="64">
        <v>5.79</v>
      </c>
      <c r="F22" s="64">
        <v>3.87</v>
      </c>
      <c r="G22" s="64">
        <v>72</v>
      </c>
      <c r="H22" s="64">
        <v>28.06</v>
      </c>
      <c r="I22" s="211" t="s">
        <v>43</v>
      </c>
      <c r="J22" s="64">
        <v>2.16</v>
      </c>
      <c r="K22" s="64">
        <v>351.05</v>
      </c>
      <c r="L22" s="64">
        <v>13.36</v>
      </c>
      <c r="M22" s="64">
        <v>88.07</v>
      </c>
      <c r="N22" s="64">
        <v>56.9</v>
      </c>
      <c r="O22" s="64">
        <v>0</v>
      </c>
      <c r="P22" s="64">
        <v>1.04</v>
      </c>
      <c r="Q22" s="64">
        <v>9.84</v>
      </c>
      <c r="R22" s="198"/>
      <c r="S22" s="198"/>
      <c r="T22" s="198"/>
      <c r="U22" s="198"/>
    </row>
    <row r="23" spans="1:21" s="12" customFormat="1" x14ac:dyDescent="0.25">
      <c r="A23" s="215" t="s">
        <v>3142</v>
      </c>
      <c r="B23" s="64">
        <v>57.7</v>
      </c>
      <c r="C23" s="64">
        <v>39.909999999999997</v>
      </c>
      <c r="D23" s="64">
        <v>65.75</v>
      </c>
      <c r="E23" s="64">
        <v>6.31</v>
      </c>
      <c r="F23" s="64">
        <v>3.43</v>
      </c>
      <c r="G23" s="64">
        <v>94.44</v>
      </c>
      <c r="H23" s="64">
        <v>29.32</v>
      </c>
      <c r="I23" s="211" t="s">
        <v>43</v>
      </c>
      <c r="J23" s="64">
        <v>2.29</v>
      </c>
      <c r="K23" s="64">
        <v>342.33</v>
      </c>
      <c r="L23" s="64">
        <v>13.15</v>
      </c>
      <c r="M23" s="64">
        <v>84.65</v>
      </c>
      <c r="N23" s="64">
        <v>56.8</v>
      </c>
      <c r="O23" s="64">
        <v>0</v>
      </c>
      <c r="P23" s="64">
        <v>1.03</v>
      </c>
      <c r="Q23" s="64">
        <v>9.84</v>
      </c>
      <c r="R23" s="198"/>
      <c r="S23" s="198"/>
      <c r="T23" s="198"/>
      <c r="U23" s="198"/>
    </row>
    <row r="24" spans="1:21" s="12" customFormat="1" x14ac:dyDescent="0.25">
      <c r="A24" s="215" t="s">
        <v>3143</v>
      </c>
      <c r="B24" s="64">
        <v>55.12</v>
      </c>
      <c r="C24" s="64">
        <v>39.6</v>
      </c>
      <c r="D24" s="64">
        <v>63.52</v>
      </c>
      <c r="E24" s="64">
        <v>5.99</v>
      </c>
      <c r="F24" s="64">
        <v>3.52</v>
      </c>
      <c r="G24" s="64">
        <v>104.06</v>
      </c>
      <c r="H24" s="64">
        <v>29.86</v>
      </c>
      <c r="I24" s="211" t="s">
        <v>43</v>
      </c>
      <c r="J24" s="64">
        <v>2.27</v>
      </c>
      <c r="K24" s="64">
        <v>347.05</v>
      </c>
      <c r="L24" s="64">
        <v>12.9</v>
      </c>
      <c r="M24" s="64">
        <v>83.78</v>
      </c>
      <c r="N24" s="64">
        <v>56.9</v>
      </c>
      <c r="O24" s="64">
        <v>0</v>
      </c>
      <c r="P24" s="64">
        <v>1</v>
      </c>
      <c r="Q24" s="64">
        <v>9.84</v>
      </c>
      <c r="R24" s="198"/>
      <c r="S24" s="198"/>
      <c r="T24" s="198"/>
      <c r="U24" s="198"/>
    </row>
    <row r="25" spans="1:21" s="12" customFormat="1" x14ac:dyDescent="0.25">
      <c r="A25" s="215" t="s">
        <v>3144</v>
      </c>
      <c r="B25" s="64">
        <v>52.33</v>
      </c>
      <c r="C25" s="64">
        <v>39.24</v>
      </c>
      <c r="D25" s="64">
        <v>61.09</v>
      </c>
      <c r="E25" s="64">
        <v>5.88</v>
      </c>
      <c r="F25" s="64">
        <v>3.75</v>
      </c>
      <c r="G25" s="64">
        <v>104.06</v>
      </c>
      <c r="H25" s="64">
        <v>29.86</v>
      </c>
      <c r="I25" s="211" t="s">
        <v>43</v>
      </c>
      <c r="J25" s="64">
        <v>2.13</v>
      </c>
      <c r="K25" s="64">
        <v>350.93</v>
      </c>
      <c r="L25" s="64">
        <v>12.59</v>
      </c>
      <c r="M25" s="64">
        <v>83.56</v>
      </c>
      <c r="N25" s="64">
        <v>56.7</v>
      </c>
      <c r="O25" s="64">
        <v>0</v>
      </c>
      <c r="P25" s="64">
        <v>0.93</v>
      </c>
      <c r="Q25" s="64">
        <v>9.81</v>
      </c>
      <c r="R25" s="198"/>
      <c r="S25" s="198"/>
      <c r="T25" s="198"/>
      <c r="U25" s="198"/>
    </row>
    <row r="26" spans="1:21" s="12" customFormat="1" x14ac:dyDescent="0.25">
      <c r="A26" s="215" t="s">
        <v>3145</v>
      </c>
      <c r="B26" s="64">
        <v>49.1</v>
      </c>
      <c r="C26" s="64">
        <v>38.799999999999997</v>
      </c>
      <c r="D26" s="64">
        <v>58.27</v>
      </c>
      <c r="E26" s="64">
        <v>5.87</v>
      </c>
      <c r="F26" s="64">
        <v>3.12</v>
      </c>
      <c r="G26" s="64">
        <v>104.06</v>
      </c>
      <c r="H26" s="64">
        <v>29.86</v>
      </c>
      <c r="I26" s="211" t="s">
        <v>43</v>
      </c>
      <c r="J26" s="64">
        <v>3.28</v>
      </c>
      <c r="K26" s="64">
        <v>350.97</v>
      </c>
      <c r="L26" s="64">
        <v>12.42</v>
      </c>
      <c r="M26" s="64">
        <v>84.04</v>
      </c>
      <c r="N26" s="64">
        <v>56.8</v>
      </c>
      <c r="O26" s="64">
        <v>0</v>
      </c>
      <c r="P26" s="64">
        <v>0.89</v>
      </c>
      <c r="Q26" s="64">
        <v>9.73</v>
      </c>
      <c r="R26" s="198"/>
      <c r="S26" s="198"/>
      <c r="T26" s="198"/>
      <c r="U26" s="198"/>
    </row>
    <row r="27" spans="1:21" s="12" customFormat="1" x14ac:dyDescent="0.25">
      <c r="A27" s="215" t="s">
        <v>3146</v>
      </c>
      <c r="B27" s="64">
        <v>45.95</v>
      </c>
      <c r="C27" s="64">
        <v>38.840000000000003</v>
      </c>
      <c r="D27" s="64">
        <v>55.76</v>
      </c>
      <c r="E27" s="64">
        <v>5.26</v>
      </c>
      <c r="F27" s="64">
        <v>3.54</v>
      </c>
      <c r="G27" s="64">
        <v>59.55</v>
      </c>
      <c r="H27" s="64">
        <v>27.03</v>
      </c>
      <c r="I27" s="211" t="s">
        <v>43</v>
      </c>
      <c r="J27" s="64">
        <v>2.86</v>
      </c>
      <c r="K27" s="64">
        <v>353.27</v>
      </c>
      <c r="L27" s="64">
        <v>12.23</v>
      </c>
      <c r="M27" s="64">
        <v>85.13</v>
      </c>
      <c r="N27" s="64">
        <v>56.8</v>
      </c>
      <c r="O27" s="64">
        <v>0</v>
      </c>
      <c r="P27" s="64">
        <v>0.81</v>
      </c>
      <c r="Q27" s="64">
        <v>9.48</v>
      </c>
      <c r="R27" s="198"/>
      <c r="S27" s="198"/>
      <c r="T27" s="198"/>
      <c r="U27" s="198"/>
    </row>
    <row r="28" spans="1:21" s="12" customFormat="1" x14ac:dyDescent="0.25">
      <c r="A28" s="215" t="s">
        <v>3147</v>
      </c>
      <c r="B28" s="64">
        <v>43.61</v>
      </c>
      <c r="C28" s="64">
        <v>38.57</v>
      </c>
      <c r="D28" s="64">
        <v>53.74</v>
      </c>
      <c r="E28" s="64">
        <v>5.12</v>
      </c>
      <c r="F28" s="64">
        <v>3.81</v>
      </c>
      <c r="G28" s="64">
        <v>40.47</v>
      </c>
      <c r="H28" s="64">
        <v>25.82</v>
      </c>
      <c r="I28" s="211" t="s">
        <v>43</v>
      </c>
      <c r="J28" s="64">
        <v>0.63</v>
      </c>
      <c r="K28" s="64">
        <v>2.71</v>
      </c>
      <c r="L28" s="64">
        <v>12.07</v>
      </c>
      <c r="M28" s="64">
        <v>85.54</v>
      </c>
      <c r="N28" s="64">
        <v>56.7</v>
      </c>
      <c r="O28" s="64">
        <v>0</v>
      </c>
      <c r="P28" s="64">
        <v>0.81</v>
      </c>
      <c r="Q28" s="64">
        <v>9.23</v>
      </c>
      <c r="R28" s="198"/>
      <c r="S28" s="198"/>
      <c r="T28" s="198"/>
      <c r="U28" s="198"/>
    </row>
    <row r="29" spans="1:21" s="12" customFormat="1" x14ac:dyDescent="0.25">
      <c r="A29" s="215" t="s">
        <v>3148</v>
      </c>
      <c r="B29" s="64">
        <v>41.67</v>
      </c>
      <c r="C29" s="64">
        <v>40.090000000000003</v>
      </c>
      <c r="D29" s="64">
        <v>52.99</v>
      </c>
      <c r="E29" s="64">
        <v>5.29</v>
      </c>
      <c r="F29" s="64">
        <v>3.64</v>
      </c>
      <c r="G29" s="64">
        <v>40.47</v>
      </c>
      <c r="H29" s="64">
        <v>25.82</v>
      </c>
      <c r="I29" s="211" t="s">
        <v>43</v>
      </c>
      <c r="J29" s="64">
        <v>1.29</v>
      </c>
      <c r="K29" s="64">
        <v>99.2</v>
      </c>
      <c r="L29" s="64">
        <v>11.95</v>
      </c>
      <c r="M29" s="64">
        <v>84.6</v>
      </c>
      <c r="N29" s="64">
        <v>56.5</v>
      </c>
      <c r="O29" s="64">
        <v>0</v>
      </c>
      <c r="P29" s="64">
        <v>0.77</v>
      </c>
      <c r="Q29" s="64">
        <v>9.02</v>
      </c>
      <c r="R29" s="198"/>
      <c r="S29" s="198"/>
      <c r="T29" s="198"/>
      <c r="U29" s="198"/>
    </row>
    <row r="30" spans="1:21" s="12" customFormat="1" x14ac:dyDescent="0.25">
      <c r="A30" s="215" t="s">
        <v>3149</v>
      </c>
      <c r="B30" s="64">
        <v>39.74</v>
      </c>
      <c r="C30" s="64">
        <v>40.26</v>
      </c>
      <c r="D30" s="64">
        <v>51.52</v>
      </c>
      <c r="E30" s="64">
        <v>5.18</v>
      </c>
      <c r="F30" s="64">
        <v>3.92</v>
      </c>
      <c r="G30" s="64">
        <v>40.47</v>
      </c>
      <c r="H30" s="64">
        <v>25.82</v>
      </c>
      <c r="I30" s="211" t="s">
        <v>43</v>
      </c>
      <c r="J30" s="64">
        <v>0.83</v>
      </c>
      <c r="K30" s="64">
        <v>344.28</v>
      </c>
      <c r="L30" s="64">
        <v>12.03</v>
      </c>
      <c r="M30" s="64">
        <v>82.97</v>
      </c>
      <c r="N30" s="64">
        <v>56.4</v>
      </c>
      <c r="O30" s="64">
        <v>0</v>
      </c>
      <c r="P30" s="64">
        <v>0.73</v>
      </c>
      <c r="Q30" s="64">
        <v>8.56</v>
      </c>
      <c r="R30" s="198"/>
      <c r="S30" s="198"/>
      <c r="T30" s="198"/>
      <c r="U30" s="198"/>
    </row>
    <row r="31" spans="1:21" s="12" customFormat="1" x14ac:dyDescent="0.25">
      <c r="A31" s="215" t="s">
        <v>3150</v>
      </c>
      <c r="B31" s="64">
        <v>37.64</v>
      </c>
      <c r="C31" s="64">
        <v>39.880000000000003</v>
      </c>
      <c r="D31" s="64">
        <v>49.64</v>
      </c>
      <c r="E31" s="64">
        <v>5.27</v>
      </c>
      <c r="F31" s="64">
        <v>3.88</v>
      </c>
      <c r="G31" s="64">
        <v>35.64</v>
      </c>
      <c r="H31" s="64">
        <v>20.63</v>
      </c>
      <c r="I31" s="211" t="s">
        <v>43</v>
      </c>
      <c r="J31" s="64">
        <v>0.59</v>
      </c>
      <c r="K31" s="64">
        <v>352.41</v>
      </c>
      <c r="L31" s="64">
        <v>12.03</v>
      </c>
      <c r="M31" s="64">
        <v>82.18</v>
      </c>
      <c r="N31" s="64">
        <v>56.5</v>
      </c>
      <c r="O31" s="64">
        <v>0</v>
      </c>
      <c r="P31" s="64">
        <v>0.7</v>
      </c>
      <c r="Q31" s="64">
        <v>8.2899999999999991</v>
      </c>
      <c r="R31" s="198"/>
      <c r="S31" s="198"/>
      <c r="T31" s="198"/>
      <c r="U31" s="198"/>
    </row>
    <row r="32" spans="1:21" s="12" customFormat="1" x14ac:dyDescent="0.25">
      <c r="A32" s="215" t="s">
        <v>3151</v>
      </c>
      <c r="B32" s="64">
        <v>35.619999999999997</v>
      </c>
      <c r="C32" s="64">
        <v>39.78</v>
      </c>
      <c r="D32" s="64">
        <v>47.97</v>
      </c>
      <c r="E32" s="64">
        <v>4.82</v>
      </c>
      <c r="F32" s="64">
        <v>3.63</v>
      </c>
      <c r="G32" s="64">
        <v>33.56</v>
      </c>
      <c r="H32" s="64">
        <v>18.41</v>
      </c>
      <c r="I32" s="211" t="s">
        <v>43</v>
      </c>
      <c r="J32" s="64">
        <v>0.5</v>
      </c>
      <c r="K32" s="64">
        <v>73.72</v>
      </c>
      <c r="L32" s="64">
        <v>11.94</v>
      </c>
      <c r="M32" s="64">
        <v>82.28</v>
      </c>
      <c r="N32" s="64">
        <v>56.5</v>
      </c>
      <c r="O32" s="64">
        <v>0</v>
      </c>
      <c r="P32" s="64">
        <v>0.66</v>
      </c>
      <c r="Q32" s="64">
        <v>8.2200000000000006</v>
      </c>
      <c r="R32" s="198"/>
      <c r="S32" s="198"/>
      <c r="T32" s="198"/>
      <c r="U32" s="198"/>
    </row>
    <row r="33" spans="1:21" s="12" customFormat="1" x14ac:dyDescent="0.25">
      <c r="A33" s="215" t="s">
        <v>3152</v>
      </c>
      <c r="B33" s="64">
        <v>33.97</v>
      </c>
      <c r="C33" s="64">
        <v>39.83</v>
      </c>
      <c r="D33" s="64">
        <v>46.67</v>
      </c>
      <c r="E33" s="64">
        <v>4.49</v>
      </c>
      <c r="F33" s="64">
        <v>3.4</v>
      </c>
      <c r="G33" s="64">
        <v>33.56</v>
      </c>
      <c r="H33" s="64">
        <v>18.41</v>
      </c>
      <c r="I33" s="211" t="s">
        <v>43</v>
      </c>
      <c r="J33" s="64">
        <v>0.4</v>
      </c>
      <c r="K33" s="64">
        <v>10.02</v>
      </c>
      <c r="L33" s="64">
        <v>11.82</v>
      </c>
      <c r="M33" s="64">
        <v>83.65</v>
      </c>
      <c r="N33" s="64">
        <v>56.7</v>
      </c>
      <c r="O33" s="64">
        <v>0</v>
      </c>
      <c r="P33" s="64">
        <v>0.63</v>
      </c>
      <c r="Q33" s="64">
        <v>8.2100000000000009</v>
      </c>
      <c r="R33" s="198"/>
      <c r="S33" s="198"/>
      <c r="T33" s="198"/>
      <c r="U33" s="198"/>
    </row>
    <row r="34" spans="1:21" s="12" customFormat="1" x14ac:dyDescent="0.25">
      <c r="A34" s="215" t="s">
        <v>3153</v>
      </c>
      <c r="B34" s="64">
        <v>33.090000000000003</v>
      </c>
      <c r="C34" s="64">
        <v>40.31</v>
      </c>
      <c r="D34" s="64">
        <v>46.22</v>
      </c>
      <c r="E34" s="64">
        <v>4.68</v>
      </c>
      <c r="F34" s="64">
        <v>3.47</v>
      </c>
      <c r="G34" s="64">
        <v>33.56</v>
      </c>
      <c r="H34" s="64">
        <v>18.41</v>
      </c>
      <c r="I34" s="211" t="s">
        <v>43</v>
      </c>
      <c r="J34" s="64">
        <v>0.95</v>
      </c>
      <c r="K34" s="64">
        <v>22.41</v>
      </c>
      <c r="L34" s="64">
        <v>11.61</v>
      </c>
      <c r="M34" s="64">
        <v>85.81</v>
      </c>
      <c r="N34" s="64">
        <v>57</v>
      </c>
      <c r="O34" s="64">
        <v>0</v>
      </c>
      <c r="P34" s="64">
        <v>0.6</v>
      </c>
      <c r="Q34" s="64">
        <v>8.2100000000000009</v>
      </c>
      <c r="R34" s="198"/>
      <c r="S34" s="198"/>
      <c r="T34" s="198"/>
      <c r="U34" s="198"/>
    </row>
    <row r="35" spans="1:21" s="12" customFormat="1" x14ac:dyDescent="0.25">
      <c r="A35" s="215" t="s">
        <v>3154</v>
      </c>
      <c r="B35" s="64">
        <v>33.25</v>
      </c>
      <c r="C35" s="64">
        <v>40.6</v>
      </c>
      <c r="D35" s="64">
        <v>46.5</v>
      </c>
      <c r="E35" s="64">
        <v>4.71</v>
      </c>
      <c r="F35" s="64">
        <v>3.53</v>
      </c>
      <c r="G35" s="64">
        <v>33.78</v>
      </c>
      <c r="H35" s="64">
        <v>18.45</v>
      </c>
      <c r="I35" s="211" t="s">
        <v>43</v>
      </c>
      <c r="J35" s="64">
        <v>1.43</v>
      </c>
      <c r="K35" s="64">
        <v>354.14</v>
      </c>
      <c r="L35" s="64">
        <v>11.67</v>
      </c>
      <c r="M35" s="64">
        <v>84.19</v>
      </c>
      <c r="N35" s="64">
        <v>59.1</v>
      </c>
      <c r="O35" s="64">
        <v>0</v>
      </c>
      <c r="P35" s="64">
        <v>0.57999999999999996</v>
      </c>
      <c r="Q35" s="64">
        <v>8.2100000000000009</v>
      </c>
      <c r="R35" s="198"/>
      <c r="S35" s="198"/>
      <c r="T35" s="198"/>
      <c r="U35" s="198"/>
    </row>
    <row r="36" spans="1:21" s="12" customFormat="1" x14ac:dyDescent="0.25">
      <c r="A36" s="215" t="s">
        <v>3155</v>
      </c>
      <c r="B36" s="64">
        <v>33.28</v>
      </c>
      <c r="C36" s="64">
        <v>41.04</v>
      </c>
      <c r="D36" s="64">
        <v>46.75</v>
      </c>
      <c r="E36" s="64">
        <v>4.6900000000000004</v>
      </c>
      <c r="F36" s="64">
        <v>3.55</v>
      </c>
      <c r="G36" s="64">
        <v>33.869999999999997</v>
      </c>
      <c r="H36" s="64">
        <v>18.46</v>
      </c>
      <c r="I36" s="211" t="s">
        <v>43</v>
      </c>
      <c r="J36" s="64">
        <v>0.92</v>
      </c>
      <c r="K36" s="64">
        <v>359.6</v>
      </c>
      <c r="L36" s="64">
        <v>11.86</v>
      </c>
      <c r="M36" s="64">
        <v>81.67</v>
      </c>
      <c r="N36" s="64">
        <v>67.900000000000006</v>
      </c>
      <c r="O36" s="64">
        <v>0</v>
      </c>
      <c r="P36" s="64">
        <v>0.56000000000000005</v>
      </c>
      <c r="Q36" s="64">
        <v>8.2100000000000009</v>
      </c>
      <c r="R36" s="198"/>
      <c r="S36" s="198"/>
      <c r="T36" s="198"/>
      <c r="U36" s="198"/>
    </row>
    <row r="37" spans="1:21" s="12" customFormat="1" x14ac:dyDescent="0.25">
      <c r="A37" s="215" t="s">
        <v>3156</v>
      </c>
      <c r="B37" s="64">
        <v>32.840000000000003</v>
      </c>
      <c r="C37" s="64">
        <v>40.869999999999997</v>
      </c>
      <c r="D37" s="64">
        <v>46.31</v>
      </c>
      <c r="E37" s="64">
        <v>4.78</v>
      </c>
      <c r="F37" s="64">
        <v>3.41</v>
      </c>
      <c r="G37" s="64">
        <v>33.869999999999997</v>
      </c>
      <c r="H37" s="64">
        <v>18.46</v>
      </c>
      <c r="I37" s="211" t="s">
        <v>43</v>
      </c>
      <c r="J37" s="64">
        <v>0.17</v>
      </c>
      <c r="K37" s="64">
        <v>49.21</v>
      </c>
      <c r="L37" s="64">
        <v>11.91</v>
      </c>
      <c r="M37" s="64">
        <v>82.34</v>
      </c>
      <c r="N37" s="64">
        <v>81.400000000000006</v>
      </c>
      <c r="O37" s="64">
        <v>0</v>
      </c>
      <c r="P37" s="64">
        <v>0.73</v>
      </c>
      <c r="Q37" s="64">
        <v>8.2100000000000009</v>
      </c>
      <c r="R37" s="198"/>
      <c r="S37" s="198"/>
      <c r="T37" s="198"/>
      <c r="U37" s="198"/>
    </row>
    <row r="38" spans="1:21" s="12" customFormat="1" x14ac:dyDescent="0.25">
      <c r="A38" s="215" t="s">
        <v>3157</v>
      </c>
      <c r="B38" s="64">
        <v>32.369999999999997</v>
      </c>
      <c r="C38" s="64">
        <v>37.92</v>
      </c>
      <c r="D38" s="64">
        <v>44.39</v>
      </c>
      <c r="E38" s="64">
        <v>4.49</v>
      </c>
      <c r="F38" s="64">
        <v>3.92</v>
      </c>
      <c r="G38" s="64">
        <v>33.869999999999997</v>
      </c>
      <c r="H38" s="64">
        <v>18.46</v>
      </c>
      <c r="I38" s="211" t="s">
        <v>43</v>
      </c>
      <c r="J38" s="64">
        <v>1.27</v>
      </c>
      <c r="K38" s="64">
        <v>353.63</v>
      </c>
      <c r="L38" s="64">
        <v>12.09</v>
      </c>
      <c r="M38" s="64">
        <v>82.28</v>
      </c>
      <c r="N38" s="64">
        <v>96</v>
      </c>
      <c r="O38" s="64">
        <v>0</v>
      </c>
      <c r="P38" s="64">
        <v>0.76</v>
      </c>
      <c r="Q38" s="64">
        <v>8.2100000000000009</v>
      </c>
      <c r="R38" s="198"/>
      <c r="S38" s="198"/>
      <c r="T38" s="198"/>
      <c r="U38" s="198"/>
    </row>
    <row r="39" spans="1:21" s="12" customFormat="1" x14ac:dyDescent="0.25">
      <c r="A39" s="215" t="s">
        <v>3158</v>
      </c>
      <c r="B39" s="64">
        <v>31.71</v>
      </c>
      <c r="C39" s="64">
        <v>38.380000000000003</v>
      </c>
      <c r="D39" s="64">
        <v>44.11</v>
      </c>
      <c r="E39" s="64">
        <v>4.25</v>
      </c>
      <c r="F39" s="64">
        <v>3.38</v>
      </c>
      <c r="G39" s="64">
        <v>39.64</v>
      </c>
      <c r="H39" s="64">
        <v>17.97</v>
      </c>
      <c r="I39" s="211" t="s">
        <v>43</v>
      </c>
      <c r="J39" s="64">
        <v>1.91</v>
      </c>
      <c r="K39" s="64">
        <v>344.55</v>
      </c>
      <c r="L39" s="64">
        <v>12.52</v>
      </c>
      <c r="M39" s="64">
        <v>81.06</v>
      </c>
      <c r="N39" s="64">
        <v>113.7</v>
      </c>
      <c r="O39" s="64">
        <v>0</v>
      </c>
      <c r="P39" s="64">
        <v>0.75</v>
      </c>
      <c r="Q39" s="64">
        <v>8.2100000000000009</v>
      </c>
      <c r="R39" s="198"/>
      <c r="S39" s="198"/>
      <c r="T39" s="198"/>
      <c r="U39" s="198"/>
    </row>
    <row r="40" spans="1:21" s="12" customFormat="1" x14ac:dyDescent="0.25">
      <c r="A40" s="215" t="s">
        <v>3159</v>
      </c>
      <c r="B40" s="64">
        <v>31.54</v>
      </c>
      <c r="C40" s="64">
        <v>39.04</v>
      </c>
      <c r="D40" s="64">
        <v>44.32</v>
      </c>
      <c r="E40" s="64">
        <v>4.54</v>
      </c>
      <c r="F40" s="64">
        <v>3.22</v>
      </c>
      <c r="G40" s="64">
        <v>42.12</v>
      </c>
      <c r="H40" s="64">
        <v>17.77</v>
      </c>
      <c r="I40" s="211" t="s">
        <v>43</v>
      </c>
      <c r="J40" s="64">
        <v>1.27</v>
      </c>
      <c r="K40" s="64">
        <v>7.52</v>
      </c>
      <c r="L40" s="64">
        <v>13.61</v>
      </c>
      <c r="M40" s="64">
        <v>76.27</v>
      </c>
      <c r="N40" s="64">
        <v>226.6</v>
      </c>
      <c r="O40" s="64">
        <v>0</v>
      </c>
      <c r="P40" s="64">
        <v>0.74</v>
      </c>
      <c r="Q40" s="64">
        <v>8.2100000000000009</v>
      </c>
      <c r="R40" s="198"/>
      <c r="S40" s="198"/>
      <c r="T40" s="198"/>
      <c r="U40" s="198"/>
    </row>
    <row r="41" spans="1:21" s="12" customFormat="1" x14ac:dyDescent="0.25">
      <c r="A41" s="215" t="s">
        <v>3160</v>
      </c>
      <c r="B41" s="64">
        <v>31.74</v>
      </c>
      <c r="C41" s="64">
        <v>39.46</v>
      </c>
      <c r="D41" s="64">
        <v>44.69</v>
      </c>
      <c r="E41" s="64">
        <v>4.53</v>
      </c>
      <c r="F41" s="64">
        <v>3.24</v>
      </c>
      <c r="G41" s="64">
        <v>42.12</v>
      </c>
      <c r="H41" s="64">
        <v>17.77</v>
      </c>
      <c r="I41" s="211" t="s">
        <v>43</v>
      </c>
      <c r="J41" s="64">
        <v>1.6</v>
      </c>
      <c r="K41" s="64">
        <v>89.49</v>
      </c>
      <c r="L41" s="64">
        <v>15.22</v>
      </c>
      <c r="M41" s="64">
        <v>67.92</v>
      </c>
      <c r="N41" s="64">
        <v>297.7</v>
      </c>
      <c r="O41" s="64">
        <v>0</v>
      </c>
      <c r="P41" s="64">
        <v>0.72</v>
      </c>
      <c r="Q41" s="64">
        <v>8.2100000000000009</v>
      </c>
      <c r="R41" s="198"/>
      <c r="S41" s="198"/>
      <c r="T41" s="198"/>
      <c r="U41" s="198"/>
    </row>
    <row r="42" spans="1:21" s="12" customFormat="1" x14ac:dyDescent="0.25">
      <c r="A42" s="215" t="s">
        <v>3161</v>
      </c>
      <c r="B42" s="64">
        <v>31.36</v>
      </c>
      <c r="C42" s="64">
        <v>38.99</v>
      </c>
      <c r="D42" s="64">
        <v>44.14</v>
      </c>
      <c r="E42" s="64">
        <v>4.8099999999999996</v>
      </c>
      <c r="F42" s="64">
        <v>3.24</v>
      </c>
      <c r="G42" s="64">
        <v>42.12</v>
      </c>
      <c r="H42" s="64">
        <v>17.77</v>
      </c>
      <c r="I42" s="211" t="s">
        <v>43</v>
      </c>
      <c r="J42" s="64">
        <v>3.15</v>
      </c>
      <c r="K42" s="64">
        <v>345.99</v>
      </c>
      <c r="L42" s="64">
        <v>17.57</v>
      </c>
      <c r="M42" s="64">
        <v>57.77</v>
      </c>
      <c r="N42" s="64">
        <v>355.1</v>
      </c>
      <c r="O42" s="64">
        <v>0</v>
      </c>
      <c r="P42" s="64">
        <v>0.72</v>
      </c>
      <c r="Q42" s="64">
        <v>8.2100000000000009</v>
      </c>
      <c r="R42" s="198"/>
      <c r="S42" s="198"/>
      <c r="T42" s="198"/>
      <c r="U42" s="198"/>
    </row>
    <row r="43" spans="1:21" s="12" customFormat="1" x14ac:dyDescent="0.25">
      <c r="A43" s="215" t="s">
        <v>3162</v>
      </c>
      <c r="B43" s="64">
        <v>30.38</v>
      </c>
      <c r="C43" s="64">
        <v>39.65</v>
      </c>
      <c r="D43" s="64">
        <v>43.7</v>
      </c>
      <c r="E43" s="64">
        <v>4.82</v>
      </c>
      <c r="F43" s="64">
        <v>3.22</v>
      </c>
      <c r="G43" s="64">
        <v>54.3</v>
      </c>
      <c r="H43" s="64">
        <v>20.9</v>
      </c>
      <c r="I43" s="211" t="s">
        <v>43</v>
      </c>
      <c r="J43" s="64">
        <v>2.08</v>
      </c>
      <c r="K43" s="64">
        <v>340.28</v>
      </c>
      <c r="L43" s="64">
        <v>18.98</v>
      </c>
      <c r="M43" s="64">
        <v>52.68</v>
      </c>
      <c r="N43" s="64">
        <v>415.5</v>
      </c>
      <c r="O43" s="64">
        <v>0</v>
      </c>
      <c r="P43" s="64">
        <v>0.7</v>
      </c>
      <c r="Q43" s="64">
        <v>8.2100000000000009</v>
      </c>
      <c r="R43" s="198"/>
      <c r="S43" s="198"/>
      <c r="T43" s="198"/>
      <c r="U43" s="198"/>
    </row>
    <row r="44" spans="1:21" s="12" customFormat="1" x14ac:dyDescent="0.25">
      <c r="A44" s="215" t="s">
        <v>3163</v>
      </c>
      <c r="B44" s="64">
        <v>29.58</v>
      </c>
      <c r="C44" s="64">
        <v>40.03</v>
      </c>
      <c r="D44" s="64">
        <v>43.26</v>
      </c>
      <c r="E44" s="64">
        <v>4.55</v>
      </c>
      <c r="F44" s="64">
        <v>3.27</v>
      </c>
      <c r="G44" s="64">
        <v>59.52</v>
      </c>
      <c r="H44" s="64">
        <v>22.24</v>
      </c>
      <c r="I44" s="211" t="s">
        <v>43</v>
      </c>
      <c r="J44" s="64">
        <v>1.03</v>
      </c>
      <c r="K44" s="64">
        <v>30</v>
      </c>
      <c r="L44" s="64">
        <v>18.829999999999998</v>
      </c>
      <c r="M44" s="64">
        <v>54.97</v>
      </c>
      <c r="N44" s="64">
        <v>471.7</v>
      </c>
      <c r="O44" s="64">
        <v>0</v>
      </c>
      <c r="P44" s="64">
        <v>0.69</v>
      </c>
      <c r="Q44" s="64">
        <v>8.2100000000000009</v>
      </c>
      <c r="R44" s="198"/>
      <c r="S44" s="198"/>
      <c r="T44" s="198"/>
      <c r="U44" s="198"/>
    </row>
    <row r="45" spans="1:21" s="12" customFormat="1" x14ac:dyDescent="0.25">
      <c r="A45" s="215" t="s">
        <v>3164</v>
      </c>
      <c r="B45" s="64">
        <v>29.06</v>
      </c>
      <c r="C45" s="64">
        <v>38.99</v>
      </c>
      <c r="D45" s="64">
        <v>42.3</v>
      </c>
      <c r="E45" s="64">
        <v>4.9000000000000004</v>
      </c>
      <c r="F45" s="64">
        <v>3.04</v>
      </c>
      <c r="G45" s="64">
        <v>59.52</v>
      </c>
      <c r="H45" s="64">
        <v>22.24</v>
      </c>
      <c r="I45" s="211" t="s">
        <v>43</v>
      </c>
      <c r="J45" s="64">
        <v>2.91</v>
      </c>
      <c r="K45" s="64">
        <v>342.73</v>
      </c>
      <c r="L45" s="64">
        <v>21.13</v>
      </c>
      <c r="M45" s="64">
        <v>47.39</v>
      </c>
      <c r="N45" s="64">
        <v>496.5</v>
      </c>
      <c r="O45" s="64">
        <v>0</v>
      </c>
      <c r="P45" s="64">
        <v>0.68</v>
      </c>
      <c r="Q45" s="64">
        <v>8.2100000000000009</v>
      </c>
      <c r="R45" s="198"/>
      <c r="S45" s="198"/>
      <c r="T45" s="198"/>
      <c r="U45" s="198"/>
    </row>
    <row r="46" spans="1:21" s="12" customFormat="1" x14ac:dyDescent="0.25">
      <c r="A46" s="215" t="s">
        <v>3165</v>
      </c>
      <c r="B46" s="64">
        <v>28.7</v>
      </c>
      <c r="C46" s="64">
        <v>39.770000000000003</v>
      </c>
      <c r="D46" s="64">
        <v>42.42</v>
      </c>
      <c r="E46" s="64">
        <v>4.82</v>
      </c>
      <c r="F46" s="64">
        <v>3.24</v>
      </c>
      <c r="G46" s="64">
        <v>59.52</v>
      </c>
      <c r="H46" s="64">
        <v>22.24</v>
      </c>
      <c r="I46" s="211" t="s">
        <v>43</v>
      </c>
      <c r="J46" s="64">
        <v>3.11</v>
      </c>
      <c r="K46" s="64">
        <v>346.3</v>
      </c>
      <c r="L46" s="64">
        <v>22.69</v>
      </c>
      <c r="M46" s="64">
        <v>42.46</v>
      </c>
      <c r="N46" s="64">
        <v>543.29999999999995</v>
      </c>
      <c r="O46" s="64">
        <v>0</v>
      </c>
      <c r="P46" s="64">
        <v>0.68</v>
      </c>
      <c r="Q46" s="64">
        <v>8.2100000000000009</v>
      </c>
      <c r="R46" s="198"/>
      <c r="S46" s="198"/>
      <c r="T46" s="198"/>
      <c r="U46" s="198"/>
    </row>
    <row r="47" spans="1:21" s="12" customFormat="1" x14ac:dyDescent="0.25">
      <c r="A47" s="215" t="s">
        <v>3166</v>
      </c>
      <c r="B47" s="64">
        <v>27.78</v>
      </c>
      <c r="C47" s="64">
        <v>41.17</v>
      </c>
      <c r="D47" s="64">
        <v>42.41</v>
      </c>
      <c r="E47" s="64">
        <v>4.9800000000000004</v>
      </c>
      <c r="F47" s="64">
        <v>3.7</v>
      </c>
      <c r="G47" s="64">
        <v>48.96</v>
      </c>
      <c r="H47" s="64">
        <v>19.88</v>
      </c>
      <c r="I47" s="211" t="s">
        <v>43</v>
      </c>
      <c r="J47" s="64">
        <v>2.15</v>
      </c>
      <c r="K47" s="64">
        <v>336.55</v>
      </c>
      <c r="L47" s="64">
        <v>22.73</v>
      </c>
      <c r="M47" s="64">
        <v>42.99</v>
      </c>
      <c r="N47" s="64">
        <v>554.9</v>
      </c>
      <c r="O47" s="64">
        <v>0</v>
      </c>
      <c r="P47" s="64">
        <v>0.67</v>
      </c>
      <c r="Q47" s="64">
        <v>8.2100000000000009</v>
      </c>
      <c r="R47" s="198"/>
      <c r="S47" s="198"/>
      <c r="T47" s="198"/>
      <c r="U47" s="198"/>
    </row>
    <row r="48" spans="1:21" s="12" customFormat="1" x14ac:dyDescent="0.25">
      <c r="A48" s="215" t="s">
        <v>3167</v>
      </c>
      <c r="B48" s="64">
        <v>27.03</v>
      </c>
      <c r="C48" s="64">
        <v>42.19</v>
      </c>
      <c r="D48" s="64">
        <v>42.34</v>
      </c>
      <c r="E48" s="64">
        <v>4.8600000000000003</v>
      </c>
      <c r="F48" s="64">
        <v>3.93</v>
      </c>
      <c r="G48" s="64">
        <v>44.43</v>
      </c>
      <c r="H48" s="64">
        <v>18.86</v>
      </c>
      <c r="I48" s="211" t="s">
        <v>43</v>
      </c>
      <c r="J48" s="64">
        <v>1.89</v>
      </c>
      <c r="K48" s="64">
        <v>349.22</v>
      </c>
      <c r="L48" s="64">
        <v>23.37</v>
      </c>
      <c r="M48" s="64">
        <v>41.94</v>
      </c>
      <c r="N48" s="64">
        <v>590.6</v>
      </c>
      <c r="O48" s="64">
        <v>0</v>
      </c>
      <c r="P48" s="64">
        <v>0.67</v>
      </c>
      <c r="Q48" s="64">
        <v>8.2100000000000009</v>
      </c>
      <c r="R48" s="198"/>
      <c r="S48" s="198"/>
      <c r="T48" s="198"/>
      <c r="U48" s="198"/>
    </row>
    <row r="49" spans="1:21" s="12" customFormat="1" x14ac:dyDescent="0.25">
      <c r="A49" s="215" t="s">
        <v>3168</v>
      </c>
      <c r="B49" s="64">
        <v>26.39</v>
      </c>
      <c r="C49" s="64">
        <v>43.19</v>
      </c>
      <c r="D49" s="64">
        <v>42.35</v>
      </c>
      <c r="E49" s="64">
        <v>4.8</v>
      </c>
      <c r="F49" s="64">
        <v>3.81</v>
      </c>
      <c r="G49" s="64">
        <v>44.43</v>
      </c>
      <c r="H49" s="64">
        <v>18.86</v>
      </c>
      <c r="I49" s="211" t="s">
        <v>43</v>
      </c>
      <c r="J49" s="64">
        <v>1.36</v>
      </c>
      <c r="K49" s="64">
        <v>354.97</v>
      </c>
      <c r="L49" s="64">
        <v>22.96</v>
      </c>
      <c r="M49" s="64">
        <v>43.53</v>
      </c>
      <c r="N49" s="64">
        <v>620.70000000000005</v>
      </c>
      <c r="O49" s="64">
        <v>0</v>
      </c>
      <c r="P49" s="64">
        <v>0.68</v>
      </c>
      <c r="Q49" s="64">
        <v>8.2100000000000009</v>
      </c>
      <c r="R49" s="198"/>
      <c r="S49" s="198"/>
      <c r="T49" s="198"/>
      <c r="U49" s="198"/>
    </row>
    <row r="50" spans="1:21" s="12" customFormat="1" x14ac:dyDescent="0.25">
      <c r="A50" s="215" t="s">
        <v>3169</v>
      </c>
      <c r="B50" s="64">
        <v>25.56</v>
      </c>
      <c r="C50" s="64">
        <v>43.69</v>
      </c>
      <c r="D50" s="64">
        <v>41.95</v>
      </c>
      <c r="E50" s="64">
        <v>4.63</v>
      </c>
      <c r="F50" s="64">
        <v>3.68</v>
      </c>
      <c r="G50" s="64">
        <v>44.43</v>
      </c>
      <c r="H50" s="64">
        <v>18.86</v>
      </c>
      <c r="I50" s="211" t="s">
        <v>43</v>
      </c>
      <c r="J50" s="64">
        <v>1.77</v>
      </c>
      <c r="K50" s="64">
        <v>334.2</v>
      </c>
      <c r="L50" s="64">
        <v>24.42</v>
      </c>
      <c r="M50" s="64">
        <v>39.19</v>
      </c>
      <c r="N50" s="64">
        <v>616.6</v>
      </c>
      <c r="O50" s="64">
        <v>0</v>
      </c>
      <c r="P50" s="64">
        <v>0.67</v>
      </c>
      <c r="Q50" s="64">
        <v>8.2100000000000009</v>
      </c>
      <c r="R50" s="198"/>
      <c r="S50" s="198"/>
      <c r="T50" s="198"/>
      <c r="U50" s="198"/>
    </row>
    <row r="51" spans="1:21" s="12" customFormat="1" x14ac:dyDescent="0.25">
      <c r="A51" s="215" t="s">
        <v>3170</v>
      </c>
      <c r="B51" s="64">
        <v>24.75</v>
      </c>
      <c r="C51" s="64">
        <v>44.64</v>
      </c>
      <c r="D51" s="64">
        <v>41.79</v>
      </c>
      <c r="E51" s="64">
        <v>4.26</v>
      </c>
      <c r="F51" s="64">
        <v>3.49</v>
      </c>
      <c r="G51" s="64">
        <v>54.99</v>
      </c>
      <c r="H51" s="64">
        <v>19.579999999999998</v>
      </c>
      <c r="I51" s="211" t="s">
        <v>43</v>
      </c>
      <c r="J51" s="64">
        <v>1.93</v>
      </c>
      <c r="K51" s="64">
        <v>348.17</v>
      </c>
      <c r="L51" s="64">
        <v>24.02</v>
      </c>
      <c r="M51" s="64">
        <v>39.83</v>
      </c>
      <c r="N51" s="64">
        <v>740.9</v>
      </c>
      <c r="O51" s="64">
        <v>0</v>
      </c>
      <c r="P51" s="64">
        <v>0.67</v>
      </c>
      <c r="Q51" s="64">
        <v>8.2100000000000009</v>
      </c>
      <c r="R51" s="198"/>
      <c r="S51" s="198"/>
      <c r="T51" s="198"/>
      <c r="U51" s="198"/>
    </row>
    <row r="52" spans="1:21" s="12" customFormat="1" x14ac:dyDescent="0.25">
      <c r="A52" s="215" t="s">
        <v>3171</v>
      </c>
      <c r="B52" s="64">
        <v>22.32</v>
      </c>
      <c r="C52" s="64">
        <v>49.92</v>
      </c>
      <c r="D52" s="64">
        <v>42.6</v>
      </c>
      <c r="E52" s="64">
        <v>5.73</v>
      </c>
      <c r="F52" s="64">
        <v>4.24</v>
      </c>
      <c r="G52" s="64">
        <v>59.52</v>
      </c>
      <c r="H52" s="64">
        <v>19.89</v>
      </c>
      <c r="I52" s="211" t="s">
        <v>43</v>
      </c>
      <c r="J52" s="64">
        <v>3.64</v>
      </c>
      <c r="K52" s="64">
        <v>341.88</v>
      </c>
      <c r="L52" s="64">
        <v>26.52</v>
      </c>
      <c r="M52" s="64">
        <v>32.340000000000003</v>
      </c>
      <c r="N52" s="64">
        <v>777.1</v>
      </c>
      <c r="O52" s="64">
        <v>0</v>
      </c>
      <c r="P52" s="64">
        <v>0.67</v>
      </c>
      <c r="Q52" s="64">
        <v>8.2100000000000009</v>
      </c>
      <c r="R52" s="198"/>
      <c r="S52" s="198"/>
      <c r="T52" s="198"/>
      <c r="U52" s="198"/>
    </row>
    <row r="53" spans="1:21" s="12" customFormat="1" x14ac:dyDescent="0.25">
      <c r="A53" s="215" t="s">
        <v>3172</v>
      </c>
      <c r="B53" s="64">
        <v>19.350000000000001</v>
      </c>
      <c r="C53" s="64">
        <v>58.28</v>
      </c>
      <c r="D53" s="64">
        <v>44.59</v>
      </c>
      <c r="E53" s="64">
        <v>6.73</v>
      </c>
      <c r="F53" s="64">
        <v>4.74</v>
      </c>
      <c r="G53" s="64">
        <v>59.52</v>
      </c>
      <c r="H53" s="64">
        <v>19.89</v>
      </c>
      <c r="I53" s="211" t="s">
        <v>43</v>
      </c>
      <c r="J53" s="64">
        <v>3.67</v>
      </c>
      <c r="K53" s="64">
        <v>340.57</v>
      </c>
      <c r="L53" s="64">
        <v>26.85</v>
      </c>
      <c r="M53" s="64">
        <v>32.200000000000003</v>
      </c>
      <c r="N53" s="64">
        <v>781.1</v>
      </c>
      <c r="O53" s="64">
        <v>0</v>
      </c>
      <c r="P53" s="64">
        <v>0.7</v>
      </c>
      <c r="Q53" s="64">
        <v>8.2100000000000009</v>
      </c>
      <c r="R53" s="198"/>
      <c r="S53" s="198"/>
      <c r="T53" s="198"/>
      <c r="U53" s="198"/>
    </row>
    <row r="54" spans="1:21" s="12" customFormat="1" x14ac:dyDescent="0.25">
      <c r="A54" s="215" t="s">
        <v>3173</v>
      </c>
      <c r="B54" s="64">
        <v>17.61</v>
      </c>
      <c r="C54" s="64">
        <v>62.65</v>
      </c>
      <c r="D54" s="64">
        <v>45.48</v>
      </c>
      <c r="E54" s="64">
        <v>7.22</v>
      </c>
      <c r="F54" s="64">
        <v>4.57</v>
      </c>
      <c r="G54" s="64">
        <v>59.52</v>
      </c>
      <c r="H54" s="64">
        <v>19.89</v>
      </c>
      <c r="I54" s="211" t="s">
        <v>43</v>
      </c>
      <c r="J54" s="64">
        <v>3.38</v>
      </c>
      <c r="K54" s="64">
        <v>339.42</v>
      </c>
      <c r="L54" s="64">
        <v>27.17</v>
      </c>
      <c r="M54" s="64">
        <v>31.5</v>
      </c>
      <c r="N54" s="64">
        <v>792.3</v>
      </c>
      <c r="O54" s="64">
        <v>0</v>
      </c>
      <c r="P54" s="64">
        <v>0.73</v>
      </c>
      <c r="Q54" s="64">
        <v>8.2100000000000009</v>
      </c>
      <c r="R54" s="198"/>
      <c r="S54" s="198"/>
      <c r="T54" s="198"/>
      <c r="U54" s="198"/>
    </row>
    <row r="55" spans="1:21" s="12" customFormat="1" x14ac:dyDescent="0.25">
      <c r="A55" s="215" t="s">
        <v>3174</v>
      </c>
      <c r="B55" s="64">
        <v>16.71</v>
      </c>
      <c r="C55" s="64">
        <v>64.430000000000007</v>
      </c>
      <c r="D55" s="64">
        <v>45.68</v>
      </c>
      <c r="E55" s="64">
        <v>7.9</v>
      </c>
      <c r="F55" s="64">
        <v>4.8899999999999997</v>
      </c>
      <c r="G55" s="64">
        <v>67.56</v>
      </c>
      <c r="H55" s="64">
        <v>21.2</v>
      </c>
      <c r="I55" s="211" t="s">
        <v>43</v>
      </c>
      <c r="J55" s="64">
        <v>1.59</v>
      </c>
      <c r="K55" s="64">
        <v>19.78</v>
      </c>
      <c r="L55" s="64">
        <v>25.51</v>
      </c>
      <c r="M55" s="64">
        <v>34.409999999999997</v>
      </c>
      <c r="N55" s="64">
        <v>794.9</v>
      </c>
      <c r="O55" s="64">
        <v>0</v>
      </c>
      <c r="P55" s="64">
        <v>0.77</v>
      </c>
      <c r="Q55" s="64">
        <v>8.2100000000000009</v>
      </c>
      <c r="R55" s="198"/>
      <c r="S55" s="198"/>
      <c r="T55" s="198"/>
      <c r="U55" s="198"/>
    </row>
    <row r="56" spans="1:21" s="12" customFormat="1" x14ac:dyDescent="0.25">
      <c r="A56" s="215" t="s">
        <v>3175</v>
      </c>
      <c r="B56" s="64">
        <v>15.59</v>
      </c>
      <c r="C56" s="64">
        <v>63.97</v>
      </c>
      <c r="D56" s="64">
        <v>44.55</v>
      </c>
      <c r="E56" s="64">
        <v>6.63</v>
      </c>
      <c r="F56" s="64">
        <v>4.59</v>
      </c>
      <c r="G56" s="64">
        <v>71.010000000000005</v>
      </c>
      <c r="H56" s="64">
        <v>21.75</v>
      </c>
      <c r="I56" s="211" t="s">
        <v>43</v>
      </c>
      <c r="J56" s="64">
        <v>1.01</v>
      </c>
      <c r="K56" s="64">
        <v>359.75</v>
      </c>
      <c r="L56" s="64">
        <v>23.06</v>
      </c>
      <c r="M56" s="64">
        <v>38.28</v>
      </c>
      <c r="N56" s="64">
        <v>759.9</v>
      </c>
      <c r="O56" s="64">
        <v>0</v>
      </c>
      <c r="P56" s="64">
        <v>0.77</v>
      </c>
      <c r="Q56" s="64">
        <v>8.2100000000000009</v>
      </c>
      <c r="R56" s="198"/>
      <c r="S56" s="198"/>
      <c r="T56" s="198"/>
      <c r="U56" s="198"/>
    </row>
    <row r="57" spans="1:21" s="12" customFormat="1" x14ac:dyDescent="0.25">
      <c r="A57" s="215" t="s">
        <v>3176</v>
      </c>
      <c r="B57" s="64">
        <v>15.08</v>
      </c>
      <c r="C57" s="64">
        <v>62.22</v>
      </c>
      <c r="D57" s="64">
        <v>43.23</v>
      </c>
      <c r="E57" s="64">
        <v>6.59</v>
      </c>
      <c r="F57" s="64">
        <v>4.34</v>
      </c>
      <c r="G57" s="64">
        <v>71.010000000000005</v>
      </c>
      <c r="H57" s="64">
        <v>21.75</v>
      </c>
      <c r="I57" s="211" t="s">
        <v>43</v>
      </c>
      <c r="J57" s="64">
        <v>3.51</v>
      </c>
      <c r="K57" s="64">
        <v>338.13</v>
      </c>
      <c r="L57" s="64">
        <v>26.4</v>
      </c>
      <c r="M57" s="64">
        <v>32.1</v>
      </c>
      <c r="N57" s="64">
        <v>735.8</v>
      </c>
      <c r="O57" s="64">
        <v>0</v>
      </c>
      <c r="P57" s="64">
        <v>0.75</v>
      </c>
      <c r="Q57" s="64">
        <v>8.2100000000000009</v>
      </c>
      <c r="R57" s="198"/>
      <c r="S57" s="198"/>
      <c r="T57" s="198"/>
      <c r="U57" s="198"/>
    </row>
    <row r="58" spans="1:21" s="12" customFormat="1" x14ac:dyDescent="0.25">
      <c r="A58" s="215" t="s">
        <v>3177</v>
      </c>
      <c r="B58" s="64">
        <v>14.48</v>
      </c>
      <c r="C58" s="64">
        <v>63.08</v>
      </c>
      <c r="D58" s="64">
        <v>43.19</v>
      </c>
      <c r="E58" s="64">
        <v>6.99</v>
      </c>
      <c r="F58" s="64">
        <v>5.26</v>
      </c>
      <c r="G58" s="64">
        <v>71.010000000000005</v>
      </c>
      <c r="H58" s="64">
        <v>21.75</v>
      </c>
      <c r="I58" s="211" t="s">
        <v>43</v>
      </c>
      <c r="J58" s="64">
        <v>4.1900000000000004</v>
      </c>
      <c r="K58" s="64">
        <v>333.6</v>
      </c>
      <c r="L58" s="64">
        <v>27.25</v>
      </c>
      <c r="M58" s="64">
        <v>31.99</v>
      </c>
      <c r="N58" s="64">
        <v>731.8</v>
      </c>
      <c r="O58" s="64">
        <v>0</v>
      </c>
      <c r="P58" s="64">
        <v>0.73</v>
      </c>
      <c r="Q58" s="64">
        <v>8.2100000000000009</v>
      </c>
      <c r="R58" s="198"/>
      <c r="S58" s="198"/>
      <c r="T58" s="198"/>
      <c r="U58" s="198"/>
    </row>
    <row r="59" spans="1:21" s="12" customFormat="1" x14ac:dyDescent="0.25">
      <c r="A59" s="215" t="s">
        <v>3178</v>
      </c>
      <c r="B59" s="64">
        <v>11.6</v>
      </c>
      <c r="C59" s="64">
        <v>66.599999999999994</v>
      </c>
      <c r="D59" s="64">
        <v>42.72</v>
      </c>
      <c r="E59" s="64">
        <v>7.07</v>
      </c>
      <c r="F59" s="64">
        <v>5.89</v>
      </c>
      <c r="G59" s="64">
        <v>77.87</v>
      </c>
      <c r="H59" s="64">
        <v>23.35</v>
      </c>
      <c r="I59" s="211" t="s">
        <v>43</v>
      </c>
      <c r="J59" s="64">
        <v>3.7</v>
      </c>
      <c r="K59" s="64">
        <v>340.27</v>
      </c>
      <c r="L59" s="64">
        <v>27.06</v>
      </c>
      <c r="M59" s="64">
        <v>32.270000000000003</v>
      </c>
      <c r="N59" s="64">
        <v>711.4</v>
      </c>
      <c r="O59" s="64">
        <v>0</v>
      </c>
      <c r="P59" s="64">
        <v>0.67</v>
      </c>
      <c r="Q59" s="64">
        <v>8.2100000000000009</v>
      </c>
      <c r="R59" s="198"/>
      <c r="S59" s="198"/>
      <c r="T59" s="198"/>
      <c r="U59" s="198"/>
    </row>
    <row r="60" spans="1:21" s="12" customFormat="1" x14ac:dyDescent="0.25">
      <c r="A60" s="215" t="s">
        <v>3179</v>
      </c>
      <c r="B60" s="64">
        <v>8.02</v>
      </c>
      <c r="C60" s="64">
        <v>68.22</v>
      </c>
      <c r="D60" s="64">
        <v>40.69</v>
      </c>
      <c r="E60" s="64">
        <v>7.64</v>
      </c>
      <c r="F60" s="64">
        <v>7.36</v>
      </c>
      <c r="G60" s="64">
        <v>80.97</v>
      </c>
      <c r="H60" s="64">
        <v>24.03</v>
      </c>
      <c r="I60" s="211" t="s">
        <v>43</v>
      </c>
      <c r="J60" s="64">
        <v>2.5</v>
      </c>
      <c r="K60" s="64">
        <v>331.47</v>
      </c>
      <c r="L60" s="64">
        <v>26.79</v>
      </c>
      <c r="M60" s="64">
        <v>33.090000000000003</v>
      </c>
      <c r="N60" s="64">
        <v>678.1</v>
      </c>
      <c r="O60" s="64">
        <v>0</v>
      </c>
      <c r="P60" s="64">
        <v>0.66</v>
      </c>
      <c r="Q60" s="64">
        <v>8.2100000000000009</v>
      </c>
      <c r="R60" s="198"/>
      <c r="S60" s="198"/>
      <c r="T60" s="198"/>
      <c r="U60" s="198"/>
    </row>
    <row r="61" spans="1:21" s="12" customFormat="1" x14ac:dyDescent="0.25">
      <c r="A61" s="215" t="s">
        <v>3180</v>
      </c>
      <c r="B61" s="64">
        <v>5.95</v>
      </c>
      <c r="C61" s="64">
        <v>66.11</v>
      </c>
      <c r="D61" s="64">
        <v>37.94</v>
      </c>
      <c r="E61" s="64">
        <v>7.57</v>
      </c>
      <c r="F61" s="64">
        <v>6.73</v>
      </c>
      <c r="G61" s="64">
        <v>80.97</v>
      </c>
      <c r="H61" s="64">
        <v>24.03</v>
      </c>
      <c r="I61" s="211" t="s">
        <v>43</v>
      </c>
      <c r="J61" s="64">
        <v>2.85</v>
      </c>
      <c r="K61" s="64">
        <v>339.66</v>
      </c>
      <c r="L61" s="64">
        <v>26.67</v>
      </c>
      <c r="M61" s="64">
        <v>33.159999999999997</v>
      </c>
      <c r="N61" s="64">
        <v>650.29999999999995</v>
      </c>
      <c r="O61" s="64">
        <v>0</v>
      </c>
      <c r="P61" s="64">
        <v>0.63</v>
      </c>
      <c r="Q61" s="64">
        <v>8.2100000000000009</v>
      </c>
      <c r="R61" s="198"/>
      <c r="S61" s="198"/>
      <c r="T61" s="198"/>
      <c r="U61" s="198"/>
    </row>
    <row r="62" spans="1:21" s="12" customFormat="1" x14ac:dyDescent="0.25">
      <c r="A62" s="215" t="s">
        <v>3181</v>
      </c>
      <c r="B62" s="64">
        <v>5.8</v>
      </c>
      <c r="C62" s="64">
        <v>63.5</v>
      </c>
      <c r="D62" s="64">
        <v>36.450000000000003</v>
      </c>
      <c r="E62" s="64">
        <v>7.34</v>
      </c>
      <c r="F62" s="64">
        <v>24.94</v>
      </c>
      <c r="G62" s="64">
        <v>80.97</v>
      </c>
      <c r="H62" s="64">
        <v>24.03</v>
      </c>
      <c r="I62" s="211" t="s">
        <v>43</v>
      </c>
      <c r="J62" s="64">
        <v>2.36</v>
      </c>
      <c r="K62" s="64">
        <v>329.86</v>
      </c>
      <c r="L62" s="64">
        <v>25.39</v>
      </c>
      <c r="M62" s="64">
        <v>36.75</v>
      </c>
      <c r="N62" s="64">
        <v>645.9</v>
      </c>
      <c r="O62" s="64">
        <v>0</v>
      </c>
      <c r="P62" s="64">
        <v>0.65</v>
      </c>
      <c r="Q62" s="64">
        <v>8.2100000000000009</v>
      </c>
      <c r="R62" s="198"/>
      <c r="S62" s="198"/>
      <c r="T62" s="198"/>
      <c r="U62" s="198"/>
    </row>
    <row r="63" spans="1:21" s="12" customFormat="1" x14ac:dyDescent="0.25">
      <c r="A63" s="215" t="s">
        <v>3182</v>
      </c>
      <c r="B63" s="64">
        <v>3.18</v>
      </c>
      <c r="C63" s="64">
        <v>61.95</v>
      </c>
      <c r="D63" s="64">
        <v>33.54</v>
      </c>
      <c r="E63" s="64">
        <v>7.94</v>
      </c>
      <c r="F63" s="64">
        <v>13.36</v>
      </c>
      <c r="G63" s="64">
        <v>78.31</v>
      </c>
      <c r="H63" s="64">
        <v>19.11</v>
      </c>
      <c r="I63" s="211" t="s">
        <v>43</v>
      </c>
      <c r="J63" s="64">
        <v>3.09</v>
      </c>
      <c r="K63" s="64">
        <v>333.44</v>
      </c>
      <c r="L63" s="64">
        <v>25.95</v>
      </c>
      <c r="M63" s="64">
        <v>35.85</v>
      </c>
      <c r="N63" s="64">
        <v>647.70000000000005</v>
      </c>
      <c r="O63" s="64">
        <v>0</v>
      </c>
      <c r="P63" s="64">
        <v>0.62</v>
      </c>
      <c r="Q63" s="64">
        <v>8.2100000000000009</v>
      </c>
      <c r="R63" s="198"/>
      <c r="S63" s="198"/>
      <c r="T63" s="198"/>
      <c r="U63" s="198"/>
    </row>
    <row r="64" spans="1:21" s="12" customFormat="1" x14ac:dyDescent="0.25">
      <c r="A64" s="215" t="s">
        <v>3183</v>
      </c>
      <c r="B64" s="64">
        <v>2.3199999999999998</v>
      </c>
      <c r="C64" s="64">
        <v>59.26</v>
      </c>
      <c r="D64" s="64">
        <v>31.44</v>
      </c>
      <c r="E64" s="64">
        <v>6.49</v>
      </c>
      <c r="F64" s="64">
        <v>4.33</v>
      </c>
      <c r="G64" s="64">
        <v>77.17</v>
      </c>
      <c r="H64" s="64">
        <v>17</v>
      </c>
      <c r="I64" s="211" t="s">
        <v>43</v>
      </c>
      <c r="J64" s="64">
        <v>2.61</v>
      </c>
      <c r="K64" s="64">
        <v>317.92</v>
      </c>
      <c r="L64" s="64">
        <v>26.23</v>
      </c>
      <c r="M64" s="64">
        <v>35.78</v>
      </c>
      <c r="N64" s="64">
        <v>622.9</v>
      </c>
      <c r="O64" s="64">
        <v>0</v>
      </c>
      <c r="P64" s="64">
        <v>0.62</v>
      </c>
      <c r="Q64" s="64">
        <v>8.2100000000000009</v>
      </c>
      <c r="R64" s="198"/>
      <c r="S64" s="198"/>
      <c r="T64" s="198"/>
      <c r="U64" s="198"/>
    </row>
    <row r="65" spans="1:21" s="12" customFormat="1" x14ac:dyDescent="0.25">
      <c r="A65" s="215" t="s">
        <v>3184</v>
      </c>
      <c r="B65" s="64">
        <v>2.8</v>
      </c>
      <c r="C65" s="64">
        <v>56.17</v>
      </c>
      <c r="D65" s="64">
        <v>30.21</v>
      </c>
      <c r="E65" s="64">
        <v>5.94</v>
      </c>
      <c r="F65" s="64">
        <v>2.13</v>
      </c>
      <c r="G65" s="64">
        <v>77.17</v>
      </c>
      <c r="H65" s="64">
        <v>17</v>
      </c>
      <c r="I65" s="211" t="s">
        <v>43</v>
      </c>
      <c r="J65" s="64">
        <v>2.0699999999999998</v>
      </c>
      <c r="K65" s="64">
        <v>310.42</v>
      </c>
      <c r="L65" s="64">
        <v>26.12</v>
      </c>
      <c r="M65" s="64">
        <v>35.9</v>
      </c>
      <c r="N65" s="64">
        <v>372.5</v>
      </c>
      <c r="O65" s="64">
        <v>0</v>
      </c>
      <c r="P65" s="64">
        <v>0.62</v>
      </c>
      <c r="Q65" s="64">
        <v>8.2100000000000009</v>
      </c>
      <c r="R65" s="198"/>
      <c r="S65" s="198"/>
      <c r="T65" s="198"/>
      <c r="U65" s="198"/>
    </row>
    <row r="66" spans="1:21" s="12" customFormat="1" x14ac:dyDescent="0.25">
      <c r="A66" s="215" t="s">
        <v>3185</v>
      </c>
      <c r="B66" s="64">
        <v>3.39</v>
      </c>
      <c r="C66" s="64">
        <v>53.17</v>
      </c>
      <c r="D66" s="64">
        <v>29.12</v>
      </c>
      <c r="E66" s="64">
        <v>5.93</v>
      </c>
      <c r="F66" s="64">
        <v>2.13</v>
      </c>
      <c r="G66" s="64">
        <v>77.17</v>
      </c>
      <c r="H66" s="64">
        <v>17</v>
      </c>
      <c r="I66" s="211" t="s">
        <v>43</v>
      </c>
      <c r="J66" s="64">
        <v>2.92</v>
      </c>
      <c r="K66" s="64">
        <v>331.46</v>
      </c>
      <c r="L66" s="64">
        <v>25.26</v>
      </c>
      <c r="M66" s="64">
        <v>38.4</v>
      </c>
      <c r="N66" s="64">
        <v>221.9</v>
      </c>
      <c r="O66" s="64">
        <v>0</v>
      </c>
      <c r="P66" s="64">
        <v>0.61</v>
      </c>
      <c r="Q66" s="64">
        <v>8.2100000000000009</v>
      </c>
      <c r="R66" s="198"/>
      <c r="S66" s="198"/>
      <c r="T66" s="198"/>
      <c r="U66" s="198"/>
    </row>
    <row r="67" spans="1:21" s="12" customFormat="1" x14ac:dyDescent="0.25">
      <c r="A67" s="215" t="s">
        <v>3186</v>
      </c>
      <c r="B67" s="64">
        <v>4.1900000000000004</v>
      </c>
      <c r="C67" s="64">
        <v>51.43</v>
      </c>
      <c r="D67" s="64">
        <v>28.85</v>
      </c>
      <c r="E67" s="64">
        <v>5.05</v>
      </c>
      <c r="F67" s="64">
        <v>2.13</v>
      </c>
      <c r="G67" s="64">
        <v>68.88</v>
      </c>
      <c r="H67" s="64">
        <v>12.24</v>
      </c>
      <c r="I67" s="211" t="s">
        <v>43</v>
      </c>
      <c r="J67" s="64">
        <v>2.61</v>
      </c>
      <c r="K67" s="64">
        <v>319.83</v>
      </c>
      <c r="L67" s="64">
        <v>25.17</v>
      </c>
      <c r="M67" s="64">
        <v>38.46</v>
      </c>
      <c r="N67" s="64">
        <v>206.9</v>
      </c>
      <c r="O67" s="64">
        <v>0</v>
      </c>
      <c r="P67" s="64">
        <v>0.62</v>
      </c>
      <c r="Q67" s="64">
        <v>8.2100000000000009</v>
      </c>
      <c r="R67" s="198"/>
      <c r="S67" s="198"/>
      <c r="T67" s="198"/>
      <c r="U67" s="198"/>
    </row>
    <row r="68" spans="1:21" s="12" customFormat="1" x14ac:dyDescent="0.25">
      <c r="A68" s="215" t="s">
        <v>3187</v>
      </c>
      <c r="B68" s="64">
        <v>4.6900000000000004</v>
      </c>
      <c r="C68" s="64">
        <v>49.5</v>
      </c>
      <c r="D68" s="64">
        <v>28.25</v>
      </c>
      <c r="E68" s="64">
        <v>4.7</v>
      </c>
      <c r="F68" s="64">
        <v>2.13</v>
      </c>
      <c r="G68" s="64">
        <v>65.33</v>
      </c>
      <c r="H68" s="64">
        <v>10.199999999999999</v>
      </c>
      <c r="I68" s="211" t="s">
        <v>43</v>
      </c>
      <c r="J68" s="64">
        <v>2.64</v>
      </c>
      <c r="K68" s="64">
        <v>306.89999999999998</v>
      </c>
      <c r="L68" s="64">
        <v>25.2</v>
      </c>
      <c r="M68" s="64">
        <v>38.520000000000003</v>
      </c>
      <c r="N68" s="64">
        <v>188.3</v>
      </c>
      <c r="O68" s="64">
        <v>0</v>
      </c>
      <c r="P68" s="64">
        <v>0.61</v>
      </c>
      <c r="Q68" s="64">
        <v>8.2100000000000009</v>
      </c>
      <c r="R68" s="198"/>
      <c r="S68" s="198"/>
      <c r="T68" s="198"/>
      <c r="U68" s="198"/>
    </row>
    <row r="69" spans="1:21" s="12" customFormat="1" x14ac:dyDescent="0.25">
      <c r="A69" s="215" t="s">
        <v>3188</v>
      </c>
      <c r="B69" s="64">
        <v>4.93</v>
      </c>
      <c r="C69" s="64">
        <v>48.26</v>
      </c>
      <c r="D69" s="64">
        <v>27.79</v>
      </c>
      <c r="E69" s="64">
        <v>4.18</v>
      </c>
      <c r="F69" s="64">
        <v>2.13</v>
      </c>
      <c r="G69" s="64">
        <v>65.33</v>
      </c>
      <c r="H69" s="64">
        <v>10.199999999999999</v>
      </c>
      <c r="I69" s="211" t="s">
        <v>43</v>
      </c>
      <c r="J69" s="64">
        <v>2.5</v>
      </c>
      <c r="K69" s="64">
        <v>318.32</v>
      </c>
      <c r="L69" s="64">
        <v>24.68</v>
      </c>
      <c r="M69" s="64">
        <v>39.14</v>
      </c>
      <c r="N69" s="64">
        <v>156.5</v>
      </c>
      <c r="O69" s="64">
        <v>0</v>
      </c>
      <c r="P69" s="64">
        <v>0.61</v>
      </c>
      <c r="Q69" s="64">
        <v>8.2100000000000009</v>
      </c>
      <c r="R69" s="198"/>
      <c r="S69" s="198"/>
      <c r="T69" s="198"/>
      <c r="U69" s="198"/>
    </row>
    <row r="70" spans="1:21" s="12" customFormat="1" x14ac:dyDescent="0.25">
      <c r="A70" s="215" t="s">
        <v>3189</v>
      </c>
      <c r="B70" s="64">
        <v>5.57</v>
      </c>
      <c r="C70" s="64">
        <v>49.6</v>
      </c>
      <c r="D70" s="64">
        <v>29</v>
      </c>
      <c r="E70" s="64">
        <v>4.97</v>
      </c>
      <c r="F70" s="64">
        <v>2.13</v>
      </c>
      <c r="G70" s="64">
        <v>65.33</v>
      </c>
      <c r="H70" s="64">
        <v>10.199999999999999</v>
      </c>
      <c r="I70" s="211" t="s">
        <v>43</v>
      </c>
      <c r="J70" s="64">
        <v>2.2599999999999998</v>
      </c>
      <c r="K70" s="64">
        <v>317.10000000000002</v>
      </c>
      <c r="L70" s="64">
        <v>23.67</v>
      </c>
      <c r="M70" s="64">
        <v>41.89</v>
      </c>
      <c r="N70" s="64">
        <v>138.80000000000001</v>
      </c>
      <c r="O70" s="64">
        <v>0</v>
      </c>
      <c r="P70" s="64">
        <v>0.61</v>
      </c>
      <c r="Q70" s="64">
        <v>8.2100000000000009</v>
      </c>
      <c r="R70" s="198"/>
      <c r="S70" s="198"/>
      <c r="T70" s="198"/>
      <c r="U70" s="198"/>
    </row>
    <row r="71" spans="1:21" s="12" customFormat="1" x14ac:dyDescent="0.25">
      <c r="A71" s="215" t="s">
        <v>3190</v>
      </c>
      <c r="B71" s="64">
        <v>5.53</v>
      </c>
      <c r="C71" s="64">
        <v>51.26</v>
      </c>
      <c r="D71" s="64">
        <v>29.84</v>
      </c>
      <c r="E71" s="64">
        <v>5.41</v>
      </c>
      <c r="F71" s="64">
        <v>3.48</v>
      </c>
      <c r="G71" s="64">
        <v>54.51</v>
      </c>
      <c r="H71" s="64">
        <v>9.18</v>
      </c>
      <c r="I71" s="211" t="s">
        <v>43</v>
      </c>
      <c r="J71" s="64">
        <v>3.86</v>
      </c>
      <c r="K71" s="64">
        <v>334.61</v>
      </c>
      <c r="L71" s="64">
        <v>23.12</v>
      </c>
      <c r="M71" s="64">
        <v>43.5</v>
      </c>
      <c r="N71" s="64">
        <v>132.9</v>
      </c>
      <c r="O71" s="64">
        <v>0</v>
      </c>
      <c r="P71" s="64">
        <v>0.54</v>
      </c>
      <c r="Q71" s="64">
        <v>8.2100000000000009</v>
      </c>
      <c r="R71" s="198"/>
      <c r="S71" s="198"/>
      <c r="T71" s="198"/>
      <c r="U71" s="198"/>
    </row>
    <row r="72" spans="1:21" s="12" customFormat="1" x14ac:dyDescent="0.25">
      <c r="A72" s="215" t="s">
        <v>3191</v>
      </c>
      <c r="B72" s="64">
        <v>5.87</v>
      </c>
      <c r="C72" s="64">
        <v>57.21</v>
      </c>
      <c r="D72" s="64">
        <v>33.229999999999997</v>
      </c>
      <c r="E72" s="64">
        <v>8.4700000000000006</v>
      </c>
      <c r="F72" s="64">
        <v>7.93</v>
      </c>
      <c r="G72" s="64">
        <v>49.88</v>
      </c>
      <c r="H72" s="64">
        <v>8.75</v>
      </c>
      <c r="I72" s="211" t="s">
        <v>43</v>
      </c>
      <c r="J72" s="64">
        <v>2.75</v>
      </c>
      <c r="K72" s="64">
        <v>329.32</v>
      </c>
      <c r="L72" s="64">
        <v>22.85</v>
      </c>
      <c r="M72" s="64">
        <v>44.1</v>
      </c>
      <c r="N72" s="64">
        <v>124.5</v>
      </c>
      <c r="O72" s="64">
        <v>0</v>
      </c>
      <c r="P72" s="64">
        <v>0.6</v>
      </c>
      <c r="Q72" s="64">
        <v>8.2100000000000009</v>
      </c>
      <c r="R72" s="198"/>
      <c r="S72" s="198"/>
      <c r="T72" s="198"/>
      <c r="U72" s="198"/>
    </row>
    <row r="73" spans="1:21" s="12" customFormat="1" x14ac:dyDescent="0.25">
      <c r="A73" s="215" t="s">
        <v>3192</v>
      </c>
      <c r="B73" s="64">
        <v>4.7</v>
      </c>
      <c r="C73" s="64">
        <v>70.790000000000006</v>
      </c>
      <c r="D73" s="64">
        <v>39.369999999999997</v>
      </c>
      <c r="E73" s="64">
        <v>10.54</v>
      </c>
      <c r="F73" s="64">
        <v>8.18</v>
      </c>
      <c r="G73" s="64">
        <v>49.88</v>
      </c>
      <c r="H73" s="64">
        <v>8.75</v>
      </c>
      <c r="I73" s="211" t="s">
        <v>43</v>
      </c>
      <c r="J73" s="64">
        <v>1.1599999999999999</v>
      </c>
      <c r="K73" s="64">
        <v>299.73</v>
      </c>
      <c r="L73" s="64">
        <v>22.36</v>
      </c>
      <c r="M73" s="64">
        <v>44.62</v>
      </c>
      <c r="N73" s="64">
        <v>116.8</v>
      </c>
      <c r="O73" s="64">
        <v>0</v>
      </c>
      <c r="P73" s="64">
        <v>0.61</v>
      </c>
      <c r="Q73" s="64">
        <v>8.2100000000000009</v>
      </c>
      <c r="R73" s="198"/>
      <c r="S73" s="198"/>
      <c r="T73" s="198"/>
      <c r="U73" s="198"/>
    </row>
    <row r="74" spans="1:21" s="12" customFormat="1" x14ac:dyDescent="0.25">
      <c r="A74" s="215" t="s">
        <v>3193</v>
      </c>
      <c r="B74" s="64">
        <v>2.84</v>
      </c>
      <c r="C74" s="64">
        <v>70.040000000000006</v>
      </c>
      <c r="D74" s="64">
        <v>37.49</v>
      </c>
      <c r="E74" s="64">
        <v>8.68</v>
      </c>
      <c r="F74" s="64">
        <v>2.7</v>
      </c>
      <c r="G74" s="64">
        <v>49.88</v>
      </c>
      <c r="H74" s="64">
        <v>8.75</v>
      </c>
      <c r="I74" s="211" t="s">
        <v>43</v>
      </c>
      <c r="J74" s="64">
        <v>3.86</v>
      </c>
      <c r="K74" s="64">
        <v>328.12</v>
      </c>
      <c r="L74" s="64">
        <v>22.26</v>
      </c>
      <c r="M74" s="64">
        <v>45.45</v>
      </c>
      <c r="N74" s="64">
        <v>111.2</v>
      </c>
      <c r="O74" s="64">
        <v>0</v>
      </c>
      <c r="P74" s="64">
        <v>0.62</v>
      </c>
      <c r="Q74" s="64">
        <v>8.2100000000000009</v>
      </c>
      <c r="R74" s="198"/>
      <c r="S74" s="198"/>
      <c r="T74" s="198"/>
      <c r="U74" s="198"/>
    </row>
    <row r="75" spans="1:21" s="12" customFormat="1" x14ac:dyDescent="0.25">
      <c r="A75" s="215" t="s">
        <v>3194</v>
      </c>
      <c r="B75" s="64">
        <v>3.13</v>
      </c>
      <c r="C75" s="64">
        <v>65.510000000000005</v>
      </c>
      <c r="D75" s="64">
        <v>35.36</v>
      </c>
      <c r="E75" s="64">
        <v>8.0399999999999991</v>
      </c>
      <c r="F75" s="64">
        <v>2.13</v>
      </c>
      <c r="G75" s="64">
        <v>43.46</v>
      </c>
      <c r="H75" s="64">
        <v>10.039999999999999</v>
      </c>
      <c r="I75" s="211" t="s">
        <v>43</v>
      </c>
      <c r="J75" s="64">
        <v>3.98</v>
      </c>
      <c r="K75" s="64">
        <v>324.14</v>
      </c>
      <c r="L75" s="64">
        <v>21.98</v>
      </c>
      <c r="M75" s="64">
        <v>45.49</v>
      </c>
      <c r="N75" s="64">
        <v>105.1</v>
      </c>
      <c r="O75" s="64">
        <v>0</v>
      </c>
      <c r="P75" s="64">
        <v>0.62</v>
      </c>
      <c r="Q75" s="64">
        <v>8.2100000000000009</v>
      </c>
      <c r="R75" s="198"/>
      <c r="S75" s="198"/>
      <c r="T75" s="198"/>
      <c r="U75" s="198"/>
    </row>
    <row r="76" spans="1:21" s="12" customFormat="1" x14ac:dyDescent="0.25">
      <c r="A76" s="215" t="s">
        <v>3195</v>
      </c>
      <c r="B76" s="64">
        <v>3.71</v>
      </c>
      <c r="C76" s="64">
        <v>60.81</v>
      </c>
      <c r="D76" s="64">
        <v>33.369999999999997</v>
      </c>
      <c r="E76" s="64">
        <v>7.64</v>
      </c>
      <c r="F76" s="64">
        <v>2.13</v>
      </c>
      <c r="G76" s="64">
        <v>40.71</v>
      </c>
      <c r="H76" s="64">
        <v>10.59</v>
      </c>
      <c r="I76" s="211" t="s">
        <v>43</v>
      </c>
      <c r="J76" s="64">
        <v>3.5</v>
      </c>
      <c r="K76" s="64">
        <v>322.31</v>
      </c>
      <c r="L76" s="64">
        <v>21.64</v>
      </c>
      <c r="M76" s="64">
        <v>47.24</v>
      </c>
      <c r="N76" s="64">
        <v>98.1</v>
      </c>
      <c r="O76" s="64">
        <v>0</v>
      </c>
      <c r="P76" s="64">
        <v>0.62</v>
      </c>
      <c r="Q76" s="64">
        <v>8.2100000000000009</v>
      </c>
      <c r="R76" s="198"/>
      <c r="S76" s="198"/>
      <c r="T76" s="198"/>
      <c r="U76" s="198"/>
    </row>
    <row r="77" spans="1:21" s="12" customFormat="1" x14ac:dyDescent="0.25">
      <c r="A77" s="215" t="s">
        <v>3196</v>
      </c>
      <c r="B77" s="64">
        <v>4.34</v>
      </c>
      <c r="C77" s="64">
        <v>56.85</v>
      </c>
      <c r="D77" s="64">
        <v>31.81</v>
      </c>
      <c r="E77" s="64">
        <v>7.24</v>
      </c>
      <c r="F77" s="64">
        <v>2.13</v>
      </c>
      <c r="G77" s="64">
        <v>40.71</v>
      </c>
      <c r="H77" s="64">
        <v>10.59</v>
      </c>
      <c r="I77" s="211" t="s">
        <v>43</v>
      </c>
      <c r="J77" s="64">
        <v>3.48</v>
      </c>
      <c r="K77" s="64">
        <v>325.45</v>
      </c>
      <c r="L77" s="64">
        <v>21.23</v>
      </c>
      <c r="M77" s="64">
        <v>48.86</v>
      </c>
      <c r="N77" s="64">
        <v>90.4</v>
      </c>
      <c r="O77" s="64">
        <v>0</v>
      </c>
      <c r="P77" s="64">
        <v>0.63</v>
      </c>
      <c r="Q77" s="64">
        <v>8.2100000000000009</v>
      </c>
      <c r="R77" s="198"/>
      <c r="S77" s="198"/>
      <c r="T77" s="198"/>
      <c r="U77" s="198"/>
    </row>
    <row r="78" spans="1:21" s="12" customFormat="1" x14ac:dyDescent="0.25">
      <c r="A78" s="215" t="s">
        <v>3197</v>
      </c>
      <c r="B78" s="64">
        <v>5.31</v>
      </c>
      <c r="C78" s="64">
        <v>54.51</v>
      </c>
      <c r="D78" s="64">
        <v>31.37</v>
      </c>
      <c r="E78" s="64">
        <v>6.94</v>
      </c>
      <c r="F78" s="64">
        <v>2.13</v>
      </c>
      <c r="G78" s="64">
        <v>40.71</v>
      </c>
      <c r="H78" s="64">
        <v>10.59</v>
      </c>
      <c r="I78" s="211" t="s">
        <v>43</v>
      </c>
      <c r="J78" s="64">
        <v>2.8</v>
      </c>
      <c r="K78" s="64">
        <v>325.57</v>
      </c>
      <c r="L78" s="64">
        <v>20.69</v>
      </c>
      <c r="M78" s="64">
        <v>51.6</v>
      </c>
      <c r="N78" s="64">
        <v>83.3</v>
      </c>
      <c r="O78" s="64">
        <v>0</v>
      </c>
      <c r="P78" s="64">
        <v>0.67</v>
      </c>
      <c r="Q78" s="64">
        <v>8.2100000000000009</v>
      </c>
      <c r="R78" s="198"/>
      <c r="S78" s="198"/>
      <c r="T78" s="198"/>
      <c r="U78" s="198"/>
    </row>
    <row r="79" spans="1:21" s="12" customFormat="1" x14ac:dyDescent="0.25">
      <c r="A79" s="215" t="s">
        <v>3198</v>
      </c>
      <c r="B79" s="64">
        <v>6.89</v>
      </c>
      <c r="C79" s="64">
        <v>54.14</v>
      </c>
      <c r="D79" s="64">
        <v>32.43</v>
      </c>
      <c r="E79" s="64">
        <v>6.66</v>
      </c>
      <c r="F79" s="64">
        <v>2.13</v>
      </c>
      <c r="G79" s="64">
        <v>41.88</v>
      </c>
      <c r="H79" s="64">
        <v>14.63</v>
      </c>
      <c r="I79" s="211" t="s">
        <v>43</v>
      </c>
      <c r="J79" s="64">
        <v>2.34</v>
      </c>
      <c r="K79" s="64">
        <v>338.39</v>
      </c>
      <c r="L79" s="64">
        <v>20</v>
      </c>
      <c r="M79" s="64">
        <v>55.06</v>
      </c>
      <c r="N79" s="64">
        <v>78.7</v>
      </c>
      <c r="O79" s="64">
        <v>0</v>
      </c>
      <c r="P79" s="64">
        <v>0.69</v>
      </c>
      <c r="Q79" s="64">
        <v>8.2100000000000009</v>
      </c>
      <c r="R79" s="198"/>
      <c r="S79" s="198"/>
      <c r="T79" s="198"/>
      <c r="U79" s="198"/>
    </row>
    <row r="80" spans="1:21" s="12" customFormat="1" x14ac:dyDescent="0.25">
      <c r="A80" s="215" t="s">
        <v>3199</v>
      </c>
      <c r="B80" s="64">
        <v>9.4</v>
      </c>
      <c r="C80" s="64">
        <v>52.54</v>
      </c>
      <c r="D80" s="64">
        <v>33.619999999999997</v>
      </c>
      <c r="E80" s="64">
        <v>7.12</v>
      </c>
      <c r="F80" s="64">
        <v>2.13</v>
      </c>
      <c r="G80" s="64">
        <v>42.38</v>
      </c>
      <c r="H80" s="64">
        <v>16.36</v>
      </c>
      <c r="I80" s="211" t="s">
        <v>43</v>
      </c>
      <c r="J80" s="64">
        <v>1.53</v>
      </c>
      <c r="K80" s="64">
        <v>346.52</v>
      </c>
      <c r="L80" s="64">
        <v>19.23</v>
      </c>
      <c r="M80" s="64">
        <v>57.61</v>
      </c>
      <c r="N80" s="64">
        <v>78.099999999999994</v>
      </c>
      <c r="O80" s="64">
        <v>0</v>
      </c>
      <c r="P80" s="64">
        <v>0.72</v>
      </c>
      <c r="Q80" s="64">
        <v>8.2100000000000009</v>
      </c>
      <c r="R80" s="198"/>
      <c r="S80" s="198"/>
      <c r="T80" s="198"/>
      <c r="U80" s="198"/>
    </row>
    <row r="81" spans="1:26" s="12" customFormat="1" x14ac:dyDescent="0.25">
      <c r="A81" s="215" t="s">
        <v>3200</v>
      </c>
      <c r="B81" s="64">
        <v>11.43</v>
      </c>
      <c r="C81" s="64">
        <v>51.23</v>
      </c>
      <c r="D81" s="64">
        <v>34.549999999999997</v>
      </c>
      <c r="E81" s="64">
        <v>7.12</v>
      </c>
      <c r="F81" s="64">
        <v>2.13</v>
      </c>
      <c r="G81" s="64">
        <v>42.38</v>
      </c>
      <c r="H81" s="64">
        <v>16.36</v>
      </c>
      <c r="I81" s="211" t="s">
        <v>43</v>
      </c>
      <c r="J81" s="64">
        <v>2.0499999999999998</v>
      </c>
      <c r="K81" s="64">
        <v>32.51</v>
      </c>
      <c r="L81" s="64">
        <v>18.75</v>
      </c>
      <c r="M81" s="64">
        <v>59.6</v>
      </c>
      <c r="N81" s="64">
        <v>76.900000000000006</v>
      </c>
      <c r="O81" s="64">
        <v>0</v>
      </c>
      <c r="P81" s="64">
        <v>0.76</v>
      </c>
      <c r="Q81" s="64">
        <v>8.2100000000000009</v>
      </c>
      <c r="R81" s="198"/>
      <c r="S81" s="198"/>
      <c r="T81" s="198"/>
      <c r="U81" s="198"/>
    </row>
    <row r="82" spans="1:26" s="12" customFormat="1" x14ac:dyDescent="0.25">
      <c r="A82" s="215" t="s">
        <v>3201</v>
      </c>
      <c r="B82" s="64">
        <v>13.67</v>
      </c>
      <c r="C82" s="64">
        <v>50.54</v>
      </c>
      <c r="D82" s="64">
        <v>35.99</v>
      </c>
      <c r="E82" s="64">
        <v>6.81</v>
      </c>
      <c r="F82" s="64">
        <v>2.13</v>
      </c>
      <c r="G82" s="64">
        <v>42.38</v>
      </c>
      <c r="H82" s="64">
        <v>16.36</v>
      </c>
      <c r="I82" s="211" t="s">
        <v>43</v>
      </c>
      <c r="J82" s="64">
        <v>2.14</v>
      </c>
      <c r="K82" s="64">
        <v>141.21</v>
      </c>
      <c r="L82" s="64">
        <v>18.28</v>
      </c>
      <c r="M82" s="64">
        <v>63.2</v>
      </c>
      <c r="N82" s="64">
        <v>76.8</v>
      </c>
      <c r="O82" s="64">
        <v>0</v>
      </c>
      <c r="P82" s="64">
        <v>0.8</v>
      </c>
      <c r="Q82" s="64">
        <v>8.2100000000000009</v>
      </c>
      <c r="R82" s="198"/>
      <c r="S82" s="198"/>
      <c r="T82" s="198"/>
      <c r="U82" s="198"/>
    </row>
    <row r="83" spans="1:26" s="12" customFormat="1" x14ac:dyDescent="0.25">
      <c r="A83" s="215" t="s">
        <v>3202</v>
      </c>
      <c r="B83" s="64">
        <v>17.05</v>
      </c>
      <c r="C83" s="64">
        <v>50.08</v>
      </c>
      <c r="D83" s="64">
        <v>38.46</v>
      </c>
      <c r="E83" s="64">
        <v>7.26</v>
      </c>
      <c r="F83" s="64">
        <v>2.13</v>
      </c>
      <c r="G83" s="64">
        <v>67.430000000000007</v>
      </c>
      <c r="H83" s="64">
        <v>25.24</v>
      </c>
      <c r="I83" s="211" t="s">
        <v>43</v>
      </c>
      <c r="J83" s="64">
        <v>1.26</v>
      </c>
      <c r="K83" s="64">
        <v>304.67</v>
      </c>
      <c r="L83" s="64">
        <v>17.8</v>
      </c>
      <c r="M83" s="64">
        <v>70.28</v>
      </c>
      <c r="N83" s="64">
        <v>76.7</v>
      </c>
      <c r="O83" s="64">
        <v>0</v>
      </c>
      <c r="P83" s="64">
        <v>1.03</v>
      </c>
      <c r="Q83" s="64">
        <v>8.2100000000000009</v>
      </c>
      <c r="R83" s="198"/>
      <c r="S83" s="198"/>
      <c r="T83" s="198"/>
      <c r="U83" s="198"/>
    </row>
    <row r="84" spans="1:26" s="12" customFormat="1" x14ac:dyDescent="0.25">
      <c r="A84" s="215" t="s">
        <v>3203</v>
      </c>
      <c r="B84" s="64">
        <v>22.43</v>
      </c>
      <c r="C84" s="64">
        <v>49.27</v>
      </c>
      <c r="D84" s="64">
        <v>42.35</v>
      </c>
      <c r="E84" s="64">
        <v>7.03</v>
      </c>
      <c r="F84" s="64">
        <v>2.13</v>
      </c>
      <c r="G84" s="64">
        <v>78.17</v>
      </c>
      <c r="H84" s="64">
        <v>29.04</v>
      </c>
      <c r="I84" s="211" t="s">
        <v>43</v>
      </c>
      <c r="J84" s="64">
        <v>1.73</v>
      </c>
      <c r="K84" s="64">
        <v>57.33</v>
      </c>
      <c r="L84" s="64">
        <v>17.66</v>
      </c>
      <c r="M84" s="64">
        <v>68.930000000000007</v>
      </c>
      <c r="N84" s="64">
        <v>76.7</v>
      </c>
      <c r="O84" s="64">
        <v>0</v>
      </c>
      <c r="P84" s="64">
        <v>1</v>
      </c>
      <c r="Q84" s="64">
        <v>8.2100000000000009</v>
      </c>
      <c r="R84" s="198"/>
      <c r="S84" s="198"/>
      <c r="T84" s="198"/>
      <c r="U84" s="198"/>
    </row>
    <row r="85" spans="1:26" s="12" customFormat="1" x14ac:dyDescent="0.25">
      <c r="A85" s="215" t="s">
        <v>3204</v>
      </c>
      <c r="B85" s="64">
        <v>26.21</v>
      </c>
      <c r="C85" s="64">
        <v>48.63</v>
      </c>
      <c r="D85" s="64">
        <v>45.05</v>
      </c>
      <c r="E85" s="64">
        <v>7.51</v>
      </c>
      <c r="F85" s="64">
        <v>2.13</v>
      </c>
      <c r="G85" s="64">
        <v>78.17</v>
      </c>
      <c r="H85" s="64">
        <v>29.04</v>
      </c>
      <c r="I85" s="211" t="s">
        <v>43</v>
      </c>
      <c r="J85" s="64">
        <v>2.25</v>
      </c>
      <c r="K85" s="64">
        <v>6.06</v>
      </c>
      <c r="L85" s="64">
        <v>17.54</v>
      </c>
      <c r="M85" s="64">
        <v>72.75</v>
      </c>
      <c r="N85" s="64">
        <v>77.099999999999994</v>
      </c>
      <c r="O85" s="64">
        <v>0</v>
      </c>
      <c r="P85" s="64">
        <v>0.88</v>
      </c>
      <c r="Q85" s="64">
        <v>8.2100000000000009</v>
      </c>
      <c r="R85" s="198"/>
      <c r="S85" s="198"/>
      <c r="T85" s="198"/>
      <c r="U85" s="198"/>
    </row>
    <row r="86" spans="1:26" s="12" customFormat="1" x14ac:dyDescent="0.25">
      <c r="A86" s="215" t="s">
        <v>3205</v>
      </c>
      <c r="B86" s="64">
        <v>29.05</v>
      </c>
      <c r="C86" s="64">
        <v>47.9</v>
      </c>
      <c r="D86" s="64">
        <v>46.94</v>
      </c>
      <c r="E86" s="64">
        <v>7.94</v>
      </c>
      <c r="F86" s="64">
        <v>2.13</v>
      </c>
      <c r="G86" s="64">
        <v>78.17</v>
      </c>
      <c r="H86" s="64">
        <v>29.04</v>
      </c>
      <c r="I86" s="211" t="s">
        <v>43</v>
      </c>
      <c r="J86" s="64">
        <v>1.71</v>
      </c>
      <c r="K86" s="64">
        <v>60.16</v>
      </c>
      <c r="L86" s="64">
        <v>17.28</v>
      </c>
      <c r="M86" s="64">
        <v>74.92</v>
      </c>
      <c r="N86" s="64">
        <v>77.099999999999994</v>
      </c>
      <c r="O86" s="64">
        <v>0</v>
      </c>
      <c r="P86" s="64">
        <v>1.08</v>
      </c>
      <c r="Q86" s="64">
        <v>8.2100000000000009</v>
      </c>
      <c r="R86" s="198"/>
      <c r="S86" s="198"/>
      <c r="T86" s="198"/>
      <c r="U86" s="198"/>
    </row>
    <row r="87" spans="1:26" s="12" customFormat="1" x14ac:dyDescent="0.25">
      <c r="A87" s="215" t="s">
        <v>3206</v>
      </c>
      <c r="B87" s="64">
        <v>33.01</v>
      </c>
      <c r="C87" s="64">
        <v>47.47</v>
      </c>
      <c r="D87" s="64">
        <v>49.9</v>
      </c>
      <c r="E87" s="64">
        <v>7.89</v>
      </c>
      <c r="F87" s="64">
        <v>2.13</v>
      </c>
      <c r="G87" s="64">
        <v>93.96</v>
      </c>
      <c r="H87" s="64">
        <v>39.549999999999997</v>
      </c>
      <c r="I87" s="211" t="s">
        <v>43</v>
      </c>
      <c r="J87" s="64">
        <v>1.71</v>
      </c>
      <c r="K87" s="64">
        <v>8.7100000000000009</v>
      </c>
      <c r="L87" s="64">
        <v>17.309999999999999</v>
      </c>
      <c r="M87" s="64">
        <v>70.17</v>
      </c>
      <c r="N87" s="64">
        <v>77.2</v>
      </c>
      <c r="O87" s="64">
        <v>0</v>
      </c>
      <c r="P87" s="64">
        <v>1.28</v>
      </c>
      <c r="Q87" s="64">
        <v>8.24</v>
      </c>
      <c r="R87" s="198"/>
      <c r="S87" s="198"/>
      <c r="T87" s="198"/>
      <c r="U87" s="198"/>
    </row>
    <row r="88" spans="1:26" s="12" customFormat="1" x14ac:dyDescent="0.25">
      <c r="A88" s="215" t="s">
        <v>3207</v>
      </c>
      <c r="B88" s="64">
        <v>36.58</v>
      </c>
      <c r="C88" s="64">
        <v>44.69</v>
      </c>
      <c r="D88" s="64">
        <v>51.31</v>
      </c>
      <c r="E88" s="64">
        <v>7.78</v>
      </c>
      <c r="F88" s="64">
        <v>2.13</v>
      </c>
      <c r="G88" s="64">
        <v>100.73</v>
      </c>
      <c r="H88" s="64">
        <v>44.05</v>
      </c>
      <c r="I88" s="211" t="s">
        <v>43</v>
      </c>
      <c r="J88" s="64">
        <v>1.56</v>
      </c>
      <c r="K88" s="64">
        <v>358.26</v>
      </c>
      <c r="L88" s="64">
        <v>17.53</v>
      </c>
      <c r="M88" s="64">
        <v>62.88</v>
      </c>
      <c r="N88" s="64">
        <v>78.599999999999994</v>
      </c>
      <c r="O88" s="64">
        <v>0</v>
      </c>
      <c r="P88" s="64">
        <v>1.4</v>
      </c>
      <c r="Q88" s="64">
        <v>8.52</v>
      </c>
      <c r="R88" s="198"/>
      <c r="S88" s="198"/>
      <c r="T88" s="198"/>
      <c r="U88" s="198"/>
    </row>
    <row r="89" spans="1:26" s="12" customFormat="1" x14ac:dyDescent="0.25">
      <c r="A89" s="215" t="s">
        <v>3208</v>
      </c>
      <c r="B89" s="64">
        <v>38.36</v>
      </c>
      <c r="C89" s="64">
        <v>44.93</v>
      </c>
      <c r="D89" s="64">
        <v>52.86</v>
      </c>
      <c r="E89" s="64">
        <v>7.68</v>
      </c>
      <c r="F89" s="64">
        <v>2.13</v>
      </c>
      <c r="G89" s="64">
        <v>100.73</v>
      </c>
      <c r="H89" s="64">
        <v>44.05</v>
      </c>
      <c r="I89" s="211" t="s">
        <v>43</v>
      </c>
      <c r="J89" s="64">
        <v>1.1499999999999999</v>
      </c>
      <c r="K89" s="64">
        <v>1.42</v>
      </c>
      <c r="L89" s="64">
        <v>17.5</v>
      </c>
      <c r="M89" s="64">
        <v>61.32</v>
      </c>
      <c r="N89" s="64">
        <v>80.5</v>
      </c>
      <c r="O89" s="64">
        <v>0</v>
      </c>
      <c r="P89" s="64">
        <v>1.39</v>
      </c>
      <c r="Q89" s="64">
        <v>8.6999999999999993</v>
      </c>
      <c r="R89" s="198"/>
      <c r="S89" s="198"/>
      <c r="T89" s="198"/>
      <c r="U89" s="198"/>
    </row>
    <row r="90" spans="1:26" s="12" customFormat="1" x14ac:dyDescent="0.25">
      <c r="A90" s="215" t="s">
        <v>3209</v>
      </c>
      <c r="B90" s="64">
        <v>39.35</v>
      </c>
      <c r="C90" s="64">
        <v>45.09</v>
      </c>
      <c r="D90" s="64">
        <v>53.73</v>
      </c>
      <c r="E90" s="64">
        <v>7.67</v>
      </c>
      <c r="F90" s="64">
        <v>2.13</v>
      </c>
      <c r="G90" s="64">
        <v>100.73</v>
      </c>
      <c r="H90" s="64">
        <v>44.05</v>
      </c>
      <c r="I90" s="211" t="s">
        <v>43</v>
      </c>
      <c r="J90" s="64">
        <v>1.49</v>
      </c>
      <c r="K90" s="64">
        <v>7.64</v>
      </c>
      <c r="L90" s="64">
        <v>17.190000000000001</v>
      </c>
      <c r="M90" s="64">
        <v>63.7</v>
      </c>
      <c r="N90" s="64">
        <v>81.3</v>
      </c>
      <c r="O90" s="64">
        <v>0</v>
      </c>
      <c r="P90" s="64">
        <v>1.44</v>
      </c>
      <c r="Q90" s="64">
        <v>8.7799999999999994</v>
      </c>
      <c r="R90" s="198"/>
      <c r="S90" s="198"/>
      <c r="T90" s="198"/>
      <c r="U90" s="198"/>
    </row>
    <row r="91" spans="1:26" s="12" customFormat="1" x14ac:dyDescent="0.25">
      <c r="A91" s="215" t="s">
        <v>3210</v>
      </c>
      <c r="B91" s="64">
        <v>41.17</v>
      </c>
      <c r="C91" s="64">
        <v>45.16</v>
      </c>
      <c r="D91" s="64">
        <v>55.23</v>
      </c>
      <c r="E91" s="64">
        <v>8.07</v>
      </c>
      <c r="F91" s="64">
        <v>2.13</v>
      </c>
      <c r="G91" s="64">
        <v>101.7</v>
      </c>
      <c r="H91" s="64">
        <v>39.61</v>
      </c>
      <c r="I91" s="211" t="s">
        <v>43</v>
      </c>
      <c r="J91" s="64">
        <v>1.0900000000000001</v>
      </c>
      <c r="K91" s="64">
        <v>21.02</v>
      </c>
      <c r="L91" s="64">
        <v>16.88</v>
      </c>
      <c r="M91" s="64">
        <v>66.78</v>
      </c>
      <c r="N91" s="64">
        <v>81.2</v>
      </c>
      <c r="O91" s="64">
        <v>0</v>
      </c>
      <c r="P91" s="64">
        <v>1.72</v>
      </c>
      <c r="Q91" s="64">
        <v>8.73</v>
      </c>
      <c r="R91" s="198"/>
      <c r="S91" s="198"/>
      <c r="T91" s="198"/>
      <c r="U91" s="198"/>
    </row>
    <row r="92" spans="1:26" s="12" customFormat="1" x14ac:dyDescent="0.25">
      <c r="A92" s="215" t="s">
        <v>3211</v>
      </c>
      <c r="B92" s="64">
        <v>42.93</v>
      </c>
      <c r="C92" s="64">
        <v>44.44</v>
      </c>
      <c r="D92" s="64">
        <v>56.27</v>
      </c>
      <c r="E92" s="64">
        <v>8.17</v>
      </c>
      <c r="F92" s="64">
        <v>2.13</v>
      </c>
      <c r="G92" s="64">
        <v>102.11</v>
      </c>
      <c r="H92" s="64">
        <v>37.71</v>
      </c>
      <c r="I92" s="211" t="s">
        <v>43</v>
      </c>
      <c r="J92" s="64">
        <v>2.2400000000000002</v>
      </c>
      <c r="K92" s="64">
        <v>286.05</v>
      </c>
      <c r="L92" s="64">
        <v>16.34</v>
      </c>
      <c r="M92" s="64">
        <v>70.09</v>
      </c>
      <c r="N92" s="64">
        <v>81.599999999999994</v>
      </c>
      <c r="O92" s="64">
        <v>0</v>
      </c>
      <c r="P92" s="64">
        <v>1.5</v>
      </c>
      <c r="Q92" s="64">
        <v>8.8699999999999992</v>
      </c>
      <c r="R92" s="198"/>
      <c r="S92" s="198"/>
      <c r="T92" s="198"/>
      <c r="U92" s="198"/>
    </row>
    <row r="93" spans="1:26" s="12" customFormat="1" x14ac:dyDescent="0.25">
      <c r="A93" s="215" t="s">
        <v>3212</v>
      </c>
      <c r="B93" s="64">
        <v>45.69</v>
      </c>
      <c r="C93" s="64">
        <v>44.18</v>
      </c>
      <c r="D93" s="64">
        <v>58.34</v>
      </c>
      <c r="E93" s="64">
        <v>8.59</v>
      </c>
      <c r="F93" s="64">
        <v>2.13</v>
      </c>
      <c r="G93" s="64">
        <v>102.11</v>
      </c>
      <c r="H93" s="64">
        <v>37.71</v>
      </c>
      <c r="I93" s="211" t="s">
        <v>43</v>
      </c>
      <c r="J93" s="64">
        <v>2.23</v>
      </c>
      <c r="K93" s="64">
        <v>318.22000000000003</v>
      </c>
      <c r="L93" s="64">
        <v>15.86</v>
      </c>
      <c r="M93" s="64">
        <v>74.53</v>
      </c>
      <c r="N93" s="64">
        <v>81.400000000000006</v>
      </c>
      <c r="O93" s="64">
        <v>0</v>
      </c>
      <c r="P93" s="64">
        <v>1.87</v>
      </c>
      <c r="Q93" s="64">
        <v>9.23</v>
      </c>
      <c r="R93" s="198"/>
      <c r="S93" s="198"/>
      <c r="T93" s="198"/>
      <c r="U93" s="198"/>
    </row>
    <row r="94" spans="1:26" s="12" customFormat="1" x14ac:dyDescent="0.25">
      <c r="A94" s="215" t="s">
        <v>3213</v>
      </c>
      <c r="B94" s="64">
        <v>51.58</v>
      </c>
      <c r="C94" s="64">
        <v>43.88</v>
      </c>
      <c r="D94" s="64">
        <v>62.91</v>
      </c>
      <c r="E94" s="64">
        <v>8.6199999999999992</v>
      </c>
      <c r="F94" s="64">
        <v>2.13</v>
      </c>
      <c r="G94" s="64">
        <v>102.11</v>
      </c>
      <c r="H94" s="64">
        <v>37.71</v>
      </c>
      <c r="I94" s="211" t="s">
        <v>43</v>
      </c>
      <c r="J94" s="64">
        <v>1.46</v>
      </c>
      <c r="K94" s="64">
        <v>338.66</v>
      </c>
      <c r="L94" s="64">
        <v>15.56</v>
      </c>
      <c r="M94" s="64">
        <v>79.430000000000007</v>
      </c>
      <c r="N94" s="64">
        <v>81.3</v>
      </c>
      <c r="O94" s="64">
        <v>0</v>
      </c>
      <c r="P94" s="64">
        <v>1.76</v>
      </c>
      <c r="Q94" s="64">
        <v>9.6199999999999992</v>
      </c>
      <c r="R94" s="198"/>
      <c r="S94" s="198"/>
      <c r="T94" s="198"/>
      <c r="U94" s="198"/>
    </row>
    <row r="95" spans="1:26" s="12" customFormat="1" x14ac:dyDescent="0.25">
      <c r="A95" s="215" t="s">
        <v>3214</v>
      </c>
      <c r="B95" s="64">
        <v>56.99</v>
      </c>
      <c r="C95" s="64">
        <v>44.42</v>
      </c>
      <c r="D95" s="64">
        <v>67.540000000000006</v>
      </c>
      <c r="E95" s="64">
        <v>8.93</v>
      </c>
      <c r="F95" s="64">
        <v>2.13</v>
      </c>
      <c r="G95" s="64">
        <v>166.42</v>
      </c>
      <c r="H95" s="64">
        <v>43.37</v>
      </c>
      <c r="I95" s="211" t="s">
        <v>43</v>
      </c>
      <c r="J95" s="64">
        <v>1.45</v>
      </c>
      <c r="K95" s="64">
        <v>46.76</v>
      </c>
      <c r="L95" s="64">
        <v>15.62</v>
      </c>
      <c r="M95" s="64">
        <v>77.650000000000006</v>
      </c>
      <c r="N95" s="64">
        <v>80.599999999999994</v>
      </c>
      <c r="O95" s="64">
        <v>0</v>
      </c>
      <c r="P95" s="64">
        <v>1.76</v>
      </c>
      <c r="Q95" s="64">
        <v>9.77</v>
      </c>
      <c r="R95" s="198"/>
      <c r="S95" s="198"/>
      <c r="T95" s="198"/>
      <c r="U95" s="198"/>
    </row>
    <row r="96" spans="1:26" s="12" customFormat="1" x14ac:dyDescent="0.25">
      <c r="A96" s="215" t="s">
        <v>3215</v>
      </c>
      <c r="B96" s="64">
        <v>59.79</v>
      </c>
      <c r="C96" s="64">
        <v>44.64</v>
      </c>
      <c r="D96" s="64">
        <v>69.89</v>
      </c>
      <c r="E96" s="64">
        <v>9.3000000000000007</v>
      </c>
      <c r="F96" s="64">
        <v>2.13</v>
      </c>
      <c r="G96" s="64">
        <v>193.98</v>
      </c>
      <c r="H96" s="64">
        <v>45.79</v>
      </c>
      <c r="I96" s="211" t="s">
        <v>43</v>
      </c>
      <c r="J96" s="64">
        <v>1.51</v>
      </c>
      <c r="K96" s="64">
        <v>351.02</v>
      </c>
      <c r="L96" s="64">
        <v>15.85</v>
      </c>
      <c r="M96" s="64">
        <v>66.959999999999994</v>
      </c>
      <c r="N96" s="64">
        <v>80.400000000000006</v>
      </c>
      <c r="O96" s="64">
        <v>0</v>
      </c>
      <c r="P96" s="64">
        <v>1.62</v>
      </c>
      <c r="Q96" s="64">
        <v>9.77</v>
      </c>
      <c r="R96" s="198"/>
      <c r="S96" s="198"/>
      <c r="T96" s="214"/>
      <c r="U96" s="198"/>
      <c r="Z96" s="109"/>
    </row>
    <row r="97" spans="1:33" s="12" customFormat="1" x14ac:dyDescent="0.25">
      <c r="A97" s="215" t="s">
        <v>3216</v>
      </c>
      <c r="B97" s="64">
        <v>60.91</v>
      </c>
      <c r="C97" s="64">
        <v>44.62</v>
      </c>
      <c r="D97" s="64">
        <v>70.78</v>
      </c>
      <c r="E97" s="64">
        <v>8.83</v>
      </c>
      <c r="F97" s="64">
        <v>2.13</v>
      </c>
      <c r="G97" s="64">
        <v>193.98</v>
      </c>
      <c r="H97" s="64">
        <v>45.79</v>
      </c>
      <c r="I97" s="211" t="s">
        <v>43</v>
      </c>
      <c r="J97" s="64">
        <v>1.24</v>
      </c>
      <c r="K97" s="64">
        <v>340.12</v>
      </c>
      <c r="L97" s="64">
        <v>16.059999999999999</v>
      </c>
      <c r="M97" s="64">
        <v>53.31</v>
      </c>
      <c r="N97" s="64">
        <v>79.900000000000006</v>
      </c>
      <c r="O97" s="64">
        <v>0</v>
      </c>
      <c r="P97" s="64">
        <v>1.64</v>
      </c>
      <c r="Q97" s="64">
        <v>9.7799999999999994</v>
      </c>
      <c r="R97" s="198"/>
      <c r="S97" s="198"/>
      <c r="T97" s="198"/>
      <c r="U97" s="198"/>
    </row>
    <row r="98" spans="1:33" s="12" customFormat="1" x14ac:dyDescent="0.25">
      <c r="A98" s="215" t="s">
        <v>3217</v>
      </c>
      <c r="B98" s="64">
        <v>60.39</v>
      </c>
      <c r="C98" s="64">
        <v>44.71</v>
      </c>
      <c r="D98" s="64">
        <v>70.41</v>
      </c>
      <c r="E98" s="64">
        <v>8.8000000000000007</v>
      </c>
      <c r="F98" s="64">
        <v>2.13</v>
      </c>
      <c r="G98" s="64">
        <v>193.98</v>
      </c>
      <c r="H98" s="64">
        <v>45.79</v>
      </c>
      <c r="I98" s="211" t="s">
        <v>43</v>
      </c>
      <c r="J98" s="64">
        <v>1.05</v>
      </c>
      <c r="K98" s="64">
        <v>339.64</v>
      </c>
      <c r="L98" s="64">
        <v>15.99</v>
      </c>
      <c r="M98" s="64">
        <v>47.83</v>
      </c>
      <c r="N98" s="64">
        <v>79.5</v>
      </c>
      <c r="O98" s="64">
        <v>0</v>
      </c>
      <c r="P98" s="64">
        <v>1.62</v>
      </c>
      <c r="Q98" s="64">
        <v>9.77</v>
      </c>
      <c r="R98" s="198"/>
      <c r="S98" s="198"/>
      <c r="T98" s="198"/>
      <c r="U98" s="198"/>
    </row>
    <row r="99" spans="1:33" s="12" customFormat="1" x14ac:dyDescent="0.25">
      <c r="A99" s="215" t="s">
        <v>3218</v>
      </c>
      <c r="B99" s="64">
        <v>58.79</v>
      </c>
      <c r="C99" s="64">
        <v>44.54</v>
      </c>
      <c r="D99" s="64">
        <v>69.040000000000006</v>
      </c>
      <c r="E99" s="64">
        <v>7.94</v>
      </c>
      <c r="F99" s="64">
        <v>2.13</v>
      </c>
      <c r="G99" s="64">
        <v>126.64</v>
      </c>
      <c r="H99" s="64">
        <v>43.49</v>
      </c>
      <c r="I99" s="211" t="s">
        <v>43</v>
      </c>
      <c r="J99" s="64">
        <v>0.55000000000000004</v>
      </c>
      <c r="K99" s="64">
        <v>334.38</v>
      </c>
      <c r="L99" s="64">
        <v>15.48</v>
      </c>
      <c r="M99" s="64">
        <v>49.04</v>
      </c>
      <c r="N99" s="64">
        <v>80.3</v>
      </c>
      <c r="O99" s="64">
        <v>0</v>
      </c>
      <c r="P99" s="64">
        <v>1.59</v>
      </c>
      <c r="Q99" s="64">
        <v>9.8000000000000007</v>
      </c>
      <c r="R99" s="198"/>
      <c r="S99" s="198"/>
      <c r="T99" s="198"/>
      <c r="U99" s="198"/>
    </row>
    <row r="100" spans="1:33" s="12" customFormat="1" x14ac:dyDescent="0.25">
      <c r="A100" s="215" t="s">
        <v>3219</v>
      </c>
      <c r="B100" s="64">
        <v>56.89</v>
      </c>
      <c r="C100" s="64">
        <v>44.36</v>
      </c>
      <c r="D100" s="64">
        <v>67.42</v>
      </c>
      <c r="E100" s="64">
        <v>7.57</v>
      </c>
      <c r="F100" s="64">
        <v>2.13</v>
      </c>
      <c r="G100" s="64">
        <v>97.78</v>
      </c>
      <c r="H100" s="64">
        <v>42.51</v>
      </c>
      <c r="I100" s="211" t="s">
        <v>43</v>
      </c>
      <c r="J100" s="64">
        <v>1.75</v>
      </c>
      <c r="K100" s="64">
        <v>349.16</v>
      </c>
      <c r="L100" s="64">
        <v>15.03</v>
      </c>
      <c r="M100" s="64">
        <v>52.75</v>
      </c>
      <c r="N100" s="64">
        <v>80.099999999999994</v>
      </c>
      <c r="O100" s="64">
        <v>0</v>
      </c>
      <c r="P100" s="64">
        <v>1.53</v>
      </c>
      <c r="Q100" s="64">
        <v>9.7899999999999991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3220</v>
      </c>
      <c r="B101" s="64">
        <v>55.08</v>
      </c>
      <c r="C101" s="64">
        <v>44.16</v>
      </c>
      <c r="D101" s="64">
        <v>65.86</v>
      </c>
      <c r="E101" s="64">
        <v>7.11</v>
      </c>
      <c r="F101" s="64">
        <v>2.13</v>
      </c>
      <c r="G101" s="64">
        <v>97.78</v>
      </c>
      <c r="H101" s="64">
        <v>42.51</v>
      </c>
      <c r="I101" s="211" t="s">
        <v>43</v>
      </c>
      <c r="J101" s="64">
        <v>1.46</v>
      </c>
      <c r="K101" s="64">
        <v>10.93</v>
      </c>
      <c r="L101" s="64">
        <v>14.79</v>
      </c>
      <c r="M101" s="64">
        <v>55.37</v>
      </c>
      <c r="N101" s="64">
        <v>79.7</v>
      </c>
      <c r="O101" s="64">
        <v>0</v>
      </c>
      <c r="P101" s="64">
        <v>1.5</v>
      </c>
      <c r="Q101" s="64">
        <v>9.77</v>
      </c>
      <c r="R101" s="198"/>
      <c r="S101" s="198"/>
      <c r="T101" s="198"/>
      <c r="U101" s="198"/>
    </row>
    <row r="102" spans="1:33" s="12" customFormat="1" x14ac:dyDescent="0.25">
      <c r="A102" s="215" t="s">
        <v>3221</v>
      </c>
      <c r="B102" s="64">
        <v>53.37</v>
      </c>
      <c r="C102" s="64">
        <v>44.23</v>
      </c>
      <c r="D102" s="64">
        <v>64.53</v>
      </c>
      <c r="E102" s="64">
        <v>7.38</v>
      </c>
      <c r="F102" s="64">
        <v>2.13</v>
      </c>
      <c r="G102" s="64">
        <v>97.78</v>
      </c>
      <c r="H102" s="64">
        <v>42.51</v>
      </c>
      <c r="I102" s="211" t="s">
        <v>43</v>
      </c>
      <c r="J102" s="64">
        <v>1.1499999999999999</v>
      </c>
      <c r="K102" s="64">
        <v>24.1</v>
      </c>
      <c r="L102" s="64">
        <v>14.37</v>
      </c>
      <c r="M102" s="64">
        <v>57.34</v>
      </c>
      <c r="N102" s="64">
        <v>79.8</v>
      </c>
      <c r="O102" s="64">
        <v>0</v>
      </c>
      <c r="P102" s="64">
        <v>1.46</v>
      </c>
      <c r="Q102" s="64">
        <v>9.74</v>
      </c>
      <c r="R102" s="198"/>
      <c r="S102" s="198"/>
      <c r="T102" s="198"/>
      <c r="U102" s="198"/>
    </row>
    <row r="103" spans="1:33" s="12" customFormat="1" x14ac:dyDescent="0.25">
      <c r="A103" s="215" t="s">
        <v>3222</v>
      </c>
      <c r="B103" s="64">
        <v>52.64</v>
      </c>
      <c r="C103" s="64">
        <v>44.73</v>
      </c>
      <c r="D103" s="64">
        <v>64.209999999999994</v>
      </c>
      <c r="E103" s="64">
        <v>6.84</v>
      </c>
      <c r="F103" s="64">
        <v>2.13</v>
      </c>
      <c r="G103" s="64">
        <v>83.74</v>
      </c>
      <c r="H103" s="64">
        <v>37.67</v>
      </c>
      <c r="I103" s="211" t="s">
        <v>43</v>
      </c>
      <c r="J103" s="64">
        <v>0.84</v>
      </c>
      <c r="K103" s="64">
        <v>342.15</v>
      </c>
      <c r="L103" s="64">
        <v>14.14</v>
      </c>
      <c r="M103" s="64">
        <v>58.42</v>
      </c>
      <c r="N103" s="64">
        <v>78.7</v>
      </c>
      <c r="O103" s="64">
        <v>0</v>
      </c>
      <c r="P103" s="64">
        <v>1.42</v>
      </c>
      <c r="Q103" s="64">
        <v>9.69</v>
      </c>
      <c r="R103" s="198"/>
      <c r="S103" s="198"/>
      <c r="T103" s="198"/>
      <c r="U103" s="198"/>
    </row>
    <row r="104" spans="1:33" s="12" customFormat="1" x14ac:dyDescent="0.25">
      <c r="A104" s="215" t="s">
        <v>3223</v>
      </c>
      <c r="B104" s="64">
        <v>51.64</v>
      </c>
      <c r="C104" s="64">
        <v>43.5</v>
      </c>
      <c r="D104" s="64">
        <v>62.76</v>
      </c>
      <c r="E104" s="64">
        <v>6.42</v>
      </c>
      <c r="F104" s="64">
        <v>2.13</v>
      </c>
      <c r="G104" s="64">
        <v>77.72</v>
      </c>
      <c r="H104" s="64">
        <v>35.590000000000003</v>
      </c>
      <c r="I104" s="211" t="s">
        <v>43</v>
      </c>
      <c r="J104" s="64">
        <v>1.06</v>
      </c>
      <c r="K104" s="64">
        <v>149.78</v>
      </c>
      <c r="L104" s="64">
        <v>13.92</v>
      </c>
      <c r="M104" s="64">
        <v>59.09</v>
      </c>
      <c r="N104" s="64">
        <v>74.900000000000006</v>
      </c>
      <c r="O104" s="64">
        <v>0</v>
      </c>
      <c r="P104" s="64">
        <v>1.35</v>
      </c>
      <c r="Q104" s="64">
        <v>9.6300000000000008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2.3199999999999998</v>
      </c>
      <c r="C106" s="67">
        <f>MIN(C9:C104)</f>
        <v>37.24</v>
      </c>
      <c r="D106" s="67">
        <f t="shared" ref="D106:Q106" si="0">MIN(D9:D104)</f>
        <v>27.79</v>
      </c>
      <c r="E106" s="67">
        <f t="shared" si="0"/>
        <v>4.18</v>
      </c>
      <c r="F106" s="67">
        <f t="shared" si="0"/>
        <v>2.13</v>
      </c>
      <c r="G106" s="67">
        <f t="shared" si="0"/>
        <v>33.56</v>
      </c>
      <c r="H106" s="67">
        <f t="shared" si="0"/>
        <v>8.75</v>
      </c>
      <c r="I106" s="67">
        <f t="shared" si="0"/>
        <v>0</v>
      </c>
      <c r="J106" s="67">
        <f t="shared" si="0"/>
        <v>0.17</v>
      </c>
      <c r="K106" s="67">
        <f t="shared" si="0"/>
        <v>1.42</v>
      </c>
      <c r="L106" s="67">
        <f t="shared" si="0"/>
        <v>11.61</v>
      </c>
      <c r="M106" s="67">
        <f t="shared" si="0"/>
        <v>31.5</v>
      </c>
      <c r="N106" s="67">
        <f t="shared" si="0"/>
        <v>56.1</v>
      </c>
      <c r="O106" s="67">
        <f t="shared" si="0"/>
        <v>0</v>
      </c>
      <c r="P106" s="67">
        <f t="shared" si="0"/>
        <v>0.54</v>
      </c>
      <c r="Q106" s="67">
        <f t="shared" si="0"/>
        <v>8.2100000000000009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112.18</v>
      </c>
      <c r="C107" s="66">
        <f t="shared" ref="C107:Q107" si="1">MAX(C9:C104)</f>
        <v>70.790000000000006</v>
      </c>
      <c r="D107" s="66">
        <f t="shared" si="1"/>
        <v>108.23</v>
      </c>
      <c r="E107" s="66">
        <f t="shared" si="1"/>
        <v>10.54</v>
      </c>
      <c r="F107" s="66">
        <f t="shared" si="1"/>
        <v>24.94</v>
      </c>
      <c r="G107" s="66">
        <f t="shared" si="1"/>
        <v>193.98</v>
      </c>
      <c r="H107" s="66">
        <f t="shared" si="1"/>
        <v>45.79</v>
      </c>
      <c r="I107" s="66">
        <f t="shared" si="1"/>
        <v>0</v>
      </c>
      <c r="J107" s="66">
        <f t="shared" si="1"/>
        <v>4.1900000000000004</v>
      </c>
      <c r="K107" s="66">
        <f t="shared" si="1"/>
        <v>359.75</v>
      </c>
      <c r="L107" s="66">
        <f t="shared" si="1"/>
        <v>27.25</v>
      </c>
      <c r="M107" s="66">
        <f t="shared" si="1"/>
        <v>88.91</v>
      </c>
      <c r="N107" s="66">
        <f t="shared" si="1"/>
        <v>794.9</v>
      </c>
      <c r="O107" s="66">
        <f t="shared" si="1"/>
        <v>0</v>
      </c>
      <c r="P107" s="66">
        <f t="shared" si="1"/>
        <v>1.91</v>
      </c>
      <c r="Q107" s="66">
        <f t="shared" si="1"/>
        <v>10.32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36.181354166666658</v>
      </c>
      <c r="C108" s="67">
        <f t="shared" ref="C108:Q108" si="2">AVERAGE(C9:C104)</f>
        <v>47.202604166666653</v>
      </c>
      <c r="D108" s="67">
        <f t="shared" si="2"/>
        <v>52.299166666666657</v>
      </c>
      <c r="E108" s="67">
        <f t="shared" si="2"/>
        <v>6.4667708333333342</v>
      </c>
      <c r="F108" s="67">
        <f t="shared" si="2"/>
        <v>3.6439583333333321</v>
      </c>
      <c r="G108" s="67">
        <f t="shared" si="2"/>
        <v>71.452395833333284</v>
      </c>
      <c r="H108" s="67">
        <f t="shared" si="2"/>
        <v>25.420416666666668</v>
      </c>
      <c r="I108" s="67" t="e">
        <f t="shared" si="2"/>
        <v>#DIV/0!</v>
      </c>
      <c r="J108" s="67">
        <f t="shared" si="2"/>
        <v>2.1293750000000009</v>
      </c>
      <c r="K108" s="67">
        <f t="shared" si="2"/>
        <v>266.86697916666657</v>
      </c>
      <c r="L108" s="67">
        <f t="shared" si="2"/>
        <v>18.282916666666662</v>
      </c>
      <c r="M108" s="67">
        <f t="shared" si="2"/>
        <v>60.881666666666661</v>
      </c>
      <c r="N108" s="67">
        <f t="shared" si="2"/>
        <v>222.43854166666665</v>
      </c>
      <c r="O108" s="67">
        <f t="shared" si="2"/>
        <v>0</v>
      </c>
      <c r="P108" s="67">
        <f t="shared" si="2"/>
        <v>0.96562500000000018</v>
      </c>
      <c r="Q108" s="67">
        <f t="shared" si="2"/>
        <v>8.7929166666666667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27.186190287671007</v>
      </c>
      <c r="C109" s="67">
        <f t="shared" ref="C109:Q109" si="3">STDEV(C9:C104)</f>
        <v>9.091678699117292</v>
      </c>
      <c r="D109" s="67">
        <f t="shared" si="3"/>
        <v>18.843556914579153</v>
      </c>
      <c r="E109" s="67">
        <f t="shared" si="3"/>
        <v>1.4114356221064011</v>
      </c>
      <c r="F109" s="67">
        <f t="shared" si="3"/>
        <v>2.7359984145758269</v>
      </c>
      <c r="G109" s="67">
        <f t="shared" si="3"/>
        <v>34.695626077884882</v>
      </c>
      <c r="H109" s="67">
        <f t="shared" si="3"/>
        <v>10.525660466004689</v>
      </c>
      <c r="I109" s="67" t="e">
        <f t="shared" si="3"/>
        <v>#DIV/0!</v>
      </c>
      <c r="J109" s="67">
        <f t="shared" si="3"/>
        <v>0.97645417872928941</v>
      </c>
      <c r="K109" s="67">
        <f t="shared" si="3"/>
        <v>129.06847340702791</v>
      </c>
      <c r="L109" s="67">
        <f t="shared" si="3"/>
        <v>5.022773802060656</v>
      </c>
      <c r="M109" s="67">
        <f t="shared" si="3"/>
        <v>18.828303032608144</v>
      </c>
      <c r="N109" s="67">
        <f t="shared" si="3"/>
        <v>248.22563944494303</v>
      </c>
      <c r="O109" s="67">
        <f t="shared" si="3"/>
        <v>0</v>
      </c>
      <c r="P109" s="67">
        <f t="shared" si="3"/>
        <v>0.39345918667499369</v>
      </c>
      <c r="Q109" s="67">
        <f t="shared" si="3"/>
        <v>0.77085586975116394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0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&lt;90%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LESS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5"/>
  <sheetViews>
    <sheetView tabSelected="1" zoomScale="85" zoomScaleNormal="85" workbookViewId="0">
      <pane xSplit="1" ySplit="8" topLeftCell="B9" activePane="bottomRight" state="frozen"/>
      <selection activeCell="B2" sqref="B2"/>
      <selection pane="topRight" activeCell="B2" sqref="B2"/>
      <selection pane="bottomLeft" activeCell="B2" sqref="B2"/>
      <selection pane="bottomRight" activeCell="G55" sqref="G55"/>
    </sheetView>
  </sheetViews>
  <sheetFormatPr defaultColWidth="8.85546875" defaultRowHeight="15" x14ac:dyDescent="0.25"/>
  <cols>
    <col min="1" max="1" width="15.85546875" style="96" bestFit="1" customWidth="1"/>
    <col min="2" max="2" width="16.7109375" style="12" customWidth="1"/>
    <col min="3" max="3" width="9.85546875" style="12" customWidth="1"/>
    <col min="4" max="4" width="10.28515625" style="12" customWidth="1"/>
    <col min="5" max="5" width="10.5703125" style="12" customWidth="1"/>
    <col min="6" max="6" width="8.85546875" style="12"/>
    <col min="7" max="7" width="10.7109375" style="12" customWidth="1"/>
    <col min="8" max="8" width="12.28515625" style="12" customWidth="1"/>
    <col min="9" max="9" width="10.42578125" style="12" customWidth="1"/>
    <col min="10" max="10" width="8.85546875" style="12"/>
    <col min="11" max="11" width="9.5703125" style="12" customWidth="1"/>
    <col min="12" max="12" width="10.42578125" style="12" customWidth="1"/>
    <col min="13" max="13" width="10" style="12" customWidth="1"/>
    <col min="14" max="16" width="8.85546875" style="12"/>
    <col min="17" max="17" width="9.7109375" style="12" customWidth="1"/>
    <col min="18" max="19" width="8.85546875" style="12"/>
    <col min="20" max="20" width="10.28515625" style="12" customWidth="1"/>
    <col min="21" max="16384" width="8.85546875" style="12"/>
  </cols>
  <sheetData>
    <row r="1" spans="1:21" s="54" customFormat="1" ht="26.25" x14ac:dyDescent="0.25">
      <c r="A1" s="94" t="s">
        <v>30</v>
      </c>
      <c r="B1" s="57" t="s">
        <v>247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54" customFormat="1" x14ac:dyDescent="0.25">
      <c r="A2" s="94" t="s">
        <v>0</v>
      </c>
      <c r="B2" s="108" t="str">
        <f>$A$9</f>
        <v>01/12/2024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P2" s="104" t="s">
        <v>35</v>
      </c>
      <c r="Q2" s="13"/>
      <c r="R2" s="9" t="s">
        <v>36</v>
      </c>
      <c r="S2" s="12"/>
      <c r="T2" s="12"/>
      <c r="U2" s="12"/>
    </row>
    <row r="3" spans="1:21" s="54" customFormat="1" x14ac:dyDescent="0.25">
      <c r="A3" s="94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94"/>
      <c r="J3" s="28"/>
      <c r="K3" s="12"/>
      <c r="L3" s="11" t="s">
        <v>41</v>
      </c>
      <c r="M3" s="13"/>
      <c r="N3" s="6" t="s">
        <v>42</v>
      </c>
      <c r="O3" s="13"/>
      <c r="P3" s="106" t="s">
        <v>43</v>
      </c>
      <c r="Q3" s="13"/>
      <c r="R3" s="10" t="s">
        <v>43</v>
      </c>
      <c r="S3" s="12"/>
      <c r="T3" s="12"/>
      <c r="U3" s="12"/>
    </row>
    <row r="4" spans="1:21" s="54" customFormat="1" x14ac:dyDescent="0.25">
      <c r="A4" s="94" t="s">
        <v>44</v>
      </c>
      <c r="B4" s="13" t="s">
        <v>66</v>
      </c>
      <c r="C4" s="12"/>
      <c r="D4" s="11" t="s">
        <v>46</v>
      </c>
      <c r="E4" s="11"/>
      <c r="F4" s="11"/>
      <c r="G4" s="5" t="s">
        <v>47</v>
      </c>
      <c r="H4" s="28"/>
      <c r="I4" s="94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s="54" customFormat="1" x14ac:dyDescent="0.25">
      <c r="A5" s="94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54" customFormat="1" x14ac:dyDescent="0.25">
      <c r="A6" s="94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54" customFormat="1" x14ac:dyDescent="0.25">
      <c r="A7" s="95" t="s">
        <v>50</v>
      </c>
      <c r="B7" s="198" t="s">
        <v>231</v>
      </c>
      <c r="C7" s="198" t="s">
        <v>232</v>
      </c>
      <c r="D7" s="198" t="s">
        <v>233</v>
      </c>
      <c r="E7" s="198" t="s">
        <v>234</v>
      </c>
      <c r="F7" s="198" t="s">
        <v>235</v>
      </c>
      <c r="G7" s="198" t="s">
        <v>236</v>
      </c>
      <c r="H7" s="198" t="s">
        <v>237</v>
      </c>
      <c r="I7" s="198" t="s">
        <v>238</v>
      </c>
      <c r="J7" s="198" t="s">
        <v>239</v>
      </c>
      <c r="K7" s="198" t="s">
        <v>240</v>
      </c>
      <c r="L7" s="198" t="s">
        <v>241</v>
      </c>
      <c r="M7" s="198" t="s">
        <v>242</v>
      </c>
      <c r="N7" s="198" t="s">
        <v>243</v>
      </c>
      <c r="O7" s="198" t="s">
        <v>244</v>
      </c>
      <c r="P7" s="198" t="s">
        <v>245</v>
      </c>
      <c r="Q7" s="198" t="s">
        <v>246</v>
      </c>
      <c r="R7" s="196"/>
      <c r="S7" s="197"/>
      <c r="T7" s="196"/>
      <c r="U7" s="196"/>
    </row>
    <row r="8" spans="1:21" s="54" customFormat="1" x14ac:dyDescent="0.25">
      <c r="A8" s="95"/>
      <c r="B8" s="13" t="s">
        <v>51</v>
      </c>
      <c r="C8" s="13" t="s">
        <v>51</v>
      </c>
      <c r="D8" s="13" t="s">
        <v>226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38" t="s">
        <v>51</v>
      </c>
      <c r="R8" s="196"/>
      <c r="S8" s="197"/>
      <c r="T8" s="196"/>
      <c r="U8" s="196"/>
    </row>
    <row r="9" spans="1:21" x14ac:dyDescent="0.25">
      <c r="A9" s="94" t="str">
        <f>'01'!$B$2</f>
        <v>01/12/2024 00:15</v>
      </c>
      <c r="B9" s="210" t="s">
        <v>36</v>
      </c>
      <c r="C9" s="210" t="s">
        <v>36</v>
      </c>
      <c r="D9" s="210" t="s">
        <v>36</v>
      </c>
      <c r="E9" s="61">
        <f>'01'!E108</f>
        <v>4.7457291666666679</v>
      </c>
      <c r="F9" s="61">
        <f>'01'!F108</f>
        <v>3.6331249999999997</v>
      </c>
      <c r="G9" s="99">
        <f>'01'!$G$108</f>
        <v>33.278749999999988</v>
      </c>
      <c r="H9" s="61">
        <f>'01'!H108</f>
        <v>16.330729166666661</v>
      </c>
      <c r="I9" s="61">
        <f>'01'!I108</f>
        <v>7.5612499999999985</v>
      </c>
      <c r="J9" s="61">
        <f>'01'!J108</f>
        <v>2.2712499999999993</v>
      </c>
      <c r="K9" s="61">
        <f>'01'!K108</f>
        <v>171.55760416666669</v>
      </c>
      <c r="L9" s="61">
        <f>'01'!L108</f>
        <v>15.911354166666667</v>
      </c>
      <c r="M9" s="61">
        <f>'01'!M108</f>
        <v>102.58854166666667</v>
      </c>
      <c r="N9" s="61">
        <f>'01'!N108</f>
        <v>60.923958333333282</v>
      </c>
      <c r="O9" s="61">
        <f>'01'!O108</f>
        <v>1.8749999999999999E-2</v>
      </c>
      <c r="P9" s="202">
        <f>'01'!P108</f>
        <v>0.63020833333333326</v>
      </c>
      <c r="Q9" s="61">
        <f>'01'!Q108</f>
        <v>8.6341666666666779</v>
      </c>
      <c r="R9" s="118"/>
      <c r="S9" s="118"/>
      <c r="T9" s="118"/>
      <c r="U9" s="118"/>
    </row>
    <row r="10" spans="1:21" x14ac:dyDescent="0.25">
      <c r="A10" s="94" t="str">
        <f>'02'!$B$2</f>
        <v>02/12/2024 00:15</v>
      </c>
      <c r="B10" s="61">
        <f>'02'!B108</f>
        <v>20.427000000000003</v>
      </c>
      <c r="C10" s="61">
        <f>'02'!C108</f>
        <v>37.74799999999999</v>
      </c>
      <c r="D10" s="61">
        <f>'02'!D108</f>
        <v>34.725750000000012</v>
      </c>
      <c r="E10" s="61">
        <f>'02'!E108</f>
        <v>5.8250000000000002</v>
      </c>
      <c r="F10" s="61">
        <f>'02'!F108</f>
        <v>3.758541666666666</v>
      </c>
      <c r="G10" s="61">
        <f>'02'!G108</f>
        <v>39.890833333333354</v>
      </c>
      <c r="H10" s="61">
        <f>'02'!H108</f>
        <v>23.421562499999997</v>
      </c>
      <c r="I10" s="61">
        <f>'02'!I108</f>
        <v>6.4865625000000025</v>
      </c>
      <c r="J10" s="61">
        <f>'02'!J108</f>
        <v>1.6259375000000007</v>
      </c>
      <c r="K10" s="61">
        <f>'02'!K108</f>
        <v>189.24572916666662</v>
      </c>
      <c r="L10" s="61">
        <f>'02'!L108</f>
        <v>17.708229166666666</v>
      </c>
      <c r="M10" s="61">
        <f>'02'!M108</f>
        <v>98.131875000000022</v>
      </c>
      <c r="N10" s="61">
        <f>'02'!N108</f>
        <v>103.65833333333335</v>
      </c>
      <c r="O10" s="61">
        <f>'02'!O108</f>
        <v>0</v>
      </c>
      <c r="P10" s="202">
        <f>'02'!P108</f>
        <v>0.6836458333333334</v>
      </c>
      <c r="Q10" s="61">
        <f>'02'!Q108</f>
        <v>8.7186458333333352</v>
      </c>
      <c r="R10" s="118"/>
      <c r="S10" s="118"/>
      <c r="T10" s="118"/>
      <c r="U10" s="118"/>
    </row>
    <row r="11" spans="1:21" x14ac:dyDescent="0.25">
      <c r="A11" s="94" t="str">
        <f>'03'!$B$2</f>
        <v>03/12/2024 00:15</v>
      </c>
      <c r="B11" s="61">
        <f>'03'!B108</f>
        <v>19.628333333333341</v>
      </c>
      <c r="C11" s="61">
        <f>'03'!C108</f>
        <v>35.391250000000007</v>
      </c>
      <c r="D11" s="61">
        <f>'03'!D108</f>
        <v>32.854166666666671</v>
      </c>
      <c r="E11" s="61">
        <f>'03'!E108</f>
        <v>5.2270833333333329</v>
      </c>
      <c r="F11" s="61">
        <f>'03'!F108</f>
        <v>3.8737500000000016</v>
      </c>
      <c r="G11" s="61">
        <f>'03'!G108</f>
        <v>51.690833333333359</v>
      </c>
      <c r="H11" s="61">
        <f>'03'!H108</f>
        <v>25.665729166666662</v>
      </c>
      <c r="I11" s="61">
        <f>'03'!I108</f>
        <v>6.7531249999999998</v>
      </c>
      <c r="J11" s="61">
        <f>'03'!J108</f>
        <v>1.7976041666666676</v>
      </c>
      <c r="K11" s="61">
        <f>'03'!K108</f>
        <v>146.37531249999998</v>
      </c>
      <c r="L11" s="61">
        <f>'03'!L108</f>
        <v>19.700729166666665</v>
      </c>
      <c r="M11" s="61">
        <f>'03'!M108</f>
        <v>88.272916666666674</v>
      </c>
      <c r="N11" s="61">
        <f>'03'!N108</f>
        <v>123.95416666666667</v>
      </c>
      <c r="O11" s="61">
        <f>'03'!O108</f>
        <v>0</v>
      </c>
      <c r="P11" s="202">
        <f>'03'!P108</f>
        <v>0.75541666666666674</v>
      </c>
      <c r="Q11" s="61">
        <f>'03'!Q108</f>
        <v>8.6136458333333437</v>
      </c>
      <c r="R11" s="118"/>
      <c r="S11" s="118"/>
      <c r="T11" s="118"/>
      <c r="U11" s="118"/>
    </row>
    <row r="12" spans="1:21" x14ac:dyDescent="0.25">
      <c r="A12" s="94" t="str">
        <f>'04'!$B$2</f>
        <v>04/12/2024 00:15</v>
      </c>
      <c r="B12" s="61">
        <f>'04'!B108</f>
        <v>16.858229166666664</v>
      </c>
      <c r="C12" s="61">
        <f>'04'!C108</f>
        <v>38.391041666666666</v>
      </c>
      <c r="D12" s="61">
        <f>'04'!D108</f>
        <v>32.200833333333328</v>
      </c>
      <c r="E12" s="61">
        <f>'04'!E108</f>
        <v>5.4525000000000006</v>
      </c>
      <c r="F12" s="61">
        <f>'04'!F108</f>
        <v>4.2408333333333337</v>
      </c>
      <c r="G12" s="61">
        <f>'04'!G108</f>
        <v>66.008437500000014</v>
      </c>
      <c r="H12" s="61">
        <f>'04'!H108</f>
        <v>24.583020833333325</v>
      </c>
      <c r="I12" s="61">
        <f>'04'!I108</f>
        <v>5.3212500000000027</v>
      </c>
      <c r="J12" s="61">
        <f>'04'!J108</f>
        <v>1.6613541666666671</v>
      </c>
      <c r="K12" s="61">
        <f>'04'!K108</f>
        <v>190.2890625</v>
      </c>
      <c r="L12" s="61">
        <f>'04'!L108</f>
        <v>21.641874999999999</v>
      </c>
      <c r="M12" s="61">
        <f>'04'!M108</f>
        <v>75.557395833333359</v>
      </c>
      <c r="N12" s="61">
        <f>'04'!N108</f>
        <v>186.02395833333333</v>
      </c>
      <c r="O12" s="61">
        <f>'04'!O108</f>
        <v>0</v>
      </c>
      <c r="P12" s="202">
        <f>'04'!P108</f>
        <v>0.87041666666666673</v>
      </c>
      <c r="Q12" s="61">
        <f>'04'!Q108</f>
        <v>8.5921875000000068</v>
      </c>
      <c r="R12" s="118"/>
      <c r="S12" s="118"/>
      <c r="T12" s="118"/>
      <c r="U12" s="118"/>
    </row>
    <row r="13" spans="1:21" x14ac:dyDescent="0.25">
      <c r="A13" s="94" t="str">
        <f>'05'!$B$2</f>
        <v>05/12/2024 00:15</v>
      </c>
      <c r="B13" s="61">
        <f>'05'!B108</f>
        <v>26.064687500000002</v>
      </c>
      <c r="C13" s="61">
        <f>'05'!C108</f>
        <v>47.153124999999996</v>
      </c>
      <c r="D13" s="61">
        <f>'05'!D108</f>
        <v>44.161458333333321</v>
      </c>
      <c r="E13" s="61">
        <f>'05'!E108</f>
        <v>6.7227083333333288</v>
      </c>
      <c r="F13" s="61">
        <f>'05'!F108</f>
        <v>4.625</v>
      </c>
      <c r="G13" s="61">
        <f>'05'!G108</f>
        <v>100.16083333333334</v>
      </c>
      <c r="H13" s="61">
        <f>'05'!H108</f>
        <v>49.572500000000019</v>
      </c>
      <c r="I13" s="61">
        <f>'05'!I108</f>
        <v>7.080520833333332</v>
      </c>
      <c r="J13" s="61">
        <f>'05'!J108</f>
        <v>1.7365624999999998</v>
      </c>
      <c r="K13" s="61">
        <f>'05'!K108</f>
        <v>226.68552083333327</v>
      </c>
      <c r="L13" s="61">
        <f>'05'!L108</f>
        <v>21.014166666666672</v>
      </c>
      <c r="M13" s="61">
        <f>'05'!M108</f>
        <v>61.671249999999993</v>
      </c>
      <c r="N13" s="61">
        <f>'05'!N108</f>
        <v>171.00000000000003</v>
      </c>
      <c r="O13" s="61">
        <f>'05'!O108</f>
        <v>0</v>
      </c>
      <c r="P13" s="202">
        <f>'05'!P108</f>
        <v>1.3316666666666666</v>
      </c>
      <c r="Q13" s="61">
        <f>'05'!Q108</f>
        <v>9.0157291666666719</v>
      </c>
      <c r="R13" s="118"/>
      <c r="S13" s="118"/>
      <c r="T13" s="118"/>
      <c r="U13" s="118"/>
    </row>
    <row r="14" spans="1:21" x14ac:dyDescent="0.25">
      <c r="A14" s="94" t="str">
        <f>'06'!$B$2</f>
        <v>06/12/2024 00:15</v>
      </c>
      <c r="B14" s="61">
        <f>'06'!B108</f>
        <v>47.554791666666681</v>
      </c>
      <c r="C14" s="61">
        <f>'06'!C108</f>
        <v>50.525833333333345</v>
      </c>
      <c r="D14" s="61">
        <f>'06'!D108</f>
        <v>63.156458333333326</v>
      </c>
      <c r="E14" s="61">
        <f>'06'!E108</f>
        <v>7.9667708333333325</v>
      </c>
      <c r="F14" s="61">
        <f>'06'!F108</f>
        <v>4.886145833333333</v>
      </c>
      <c r="G14" s="61">
        <f>'06'!G108</f>
        <v>138.37479166666657</v>
      </c>
      <c r="H14" s="61">
        <f>'06'!H108</f>
        <v>68.415520833333332</v>
      </c>
      <c r="I14" s="61">
        <f>'06'!I108</f>
        <v>8.8120833333333302</v>
      </c>
      <c r="J14" s="61">
        <f>'06'!J108</f>
        <v>1.86625</v>
      </c>
      <c r="K14" s="61">
        <f>'06'!K108</f>
        <v>254.39312500000017</v>
      </c>
      <c r="L14" s="61">
        <f>'06'!L108</f>
        <v>20.913229166666664</v>
      </c>
      <c r="M14" s="61">
        <f>'06'!M108</f>
        <v>68.995000000000005</v>
      </c>
      <c r="N14" s="61">
        <f>'06'!N108</f>
        <v>190.02395833333335</v>
      </c>
      <c r="O14" s="61">
        <f>'06'!O108</f>
        <v>0</v>
      </c>
      <c r="P14" s="202">
        <f>'06'!P108</f>
        <v>1.7658333333333325</v>
      </c>
      <c r="Q14" s="61">
        <f>'06'!Q108</f>
        <v>9.8413541666666742</v>
      </c>
      <c r="R14" s="118"/>
      <c r="S14" s="118"/>
      <c r="T14" s="118"/>
      <c r="U14" s="118"/>
    </row>
    <row r="15" spans="1:21" x14ac:dyDescent="0.25">
      <c r="A15" s="94" t="str">
        <f>'07'!$B$2</f>
        <v>07/12/2024 00:15</v>
      </c>
      <c r="B15" s="61">
        <f>'07'!B108</f>
        <v>20.292812499999997</v>
      </c>
      <c r="C15" s="61">
        <f>'07'!C108</f>
        <v>45.396458333333335</v>
      </c>
      <c r="D15" s="61">
        <f>'07'!D108</f>
        <v>38.614479166666676</v>
      </c>
      <c r="E15" s="61">
        <f>'07'!E108</f>
        <v>5.9715625000000001</v>
      </c>
      <c r="F15" s="61">
        <f>'07'!F108</f>
        <v>4.2763541666666658</v>
      </c>
      <c r="G15" s="100">
        <f>'07'!$G$108</f>
        <v>67.467291666666696</v>
      </c>
      <c r="H15" s="61">
        <f>'07'!H108</f>
        <v>36.816041666666663</v>
      </c>
      <c r="I15" s="61">
        <f>'07'!I108</f>
        <v>8.1027083333333341</v>
      </c>
      <c r="J15" s="61">
        <f>'07'!J108</f>
        <v>2.0256249999999998</v>
      </c>
      <c r="K15" s="61">
        <f>'07'!K108</f>
        <v>145.41833333333329</v>
      </c>
      <c r="L15" s="61">
        <f>'07'!L108</f>
        <v>18.744270833333335</v>
      </c>
      <c r="M15" s="61">
        <f>'07'!M108</f>
        <v>62.170416666666675</v>
      </c>
      <c r="N15" s="61">
        <f>'07'!N108</f>
        <v>136.84791666666666</v>
      </c>
      <c r="O15" s="61">
        <f>'07'!O108</f>
        <v>0</v>
      </c>
      <c r="P15" s="202">
        <f>'07'!P108</f>
        <v>0.88635416666666667</v>
      </c>
      <c r="Q15" s="61">
        <f>'07'!Q108</f>
        <v>8.705416666666677</v>
      </c>
      <c r="R15" s="118"/>
      <c r="S15" s="118"/>
      <c r="T15" s="118"/>
      <c r="U15" s="118"/>
    </row>
    <row r="16" spans="1:21" x14ac:dyDescent="0.25">
      <c r="A16" s="94" t="str">
        <f>'08'!$B$2</f>
        <v>08/12/2024 00:15</v>
      </c>
      <c r="B16" s="61">
        <f>'08'!B108</f>
        <v>22.069270833333334</v>
      </c>
      <c r="C16" s="61">
        <f>'08'!C108</f>
        <v>44.319166666666661</v>
      </c>
      <c r="D16" s="61">
        <f>'08'!D108</f>
        <v>39.476354166666646</v>
      </c>
      <c r="E16" s="61">
        <f>'08'!E108</f>
        <v>6.5712499999999983</v>
      </c>
      <c r="F16" s="61">
        <f>'08'!F108</f>
        <v>4.5208333333333339</v>
      </c>
      <c r="G16" s="100">
        <f>'08'!$G$108</f>
        <v>90.439791666666693</v>
      </c>
      <c r="H16" s="61">
        <f>'08'!H108</f>
        <v>49.519270833333373</v>
      </c>
      <c r="I16" s="61">
        <f>'08'!I108</f>
        <v>8.0209375000000005</v>
      </c>
      <c r="J16" s="61">
        <f>'08'!J108</f>
        <v>2.2657291666666661</v>
      </c>
      <c r="K16" s="61">
        <f>'08'!K108</f>
        <v>204.40333333333345</v>
      </c>
      <c r="L16" s="61">
        <f>'08'!L108</f>
        <v>19.209895833333324</v>
      </c>
      <c r="M16" s="61">
        <f>'08'!M108</f>
        <v>82.182291666666671</v>
      </c>
      <c r="N16" s="61">
        <f>'08'!N108</f>
        <v>197.4760416666667</v>
      </c>
      <c r="O16" s="61">
        <f>'08'!O108</f>
        <v>0</v>
      </c>
      <c r="P16" s="202">
        <f>'08'!P108</f>
        <v>1.1874999999999998</v>
      </c>
      <c r="Q16" s="61">
        <f>'08'!Q108</f>
        <v>8.7399999999999967</v>
      </c>
      <c r="R16" s="118"/>
      <c r="S16" s="118"/>
      <c r="T16" s="118"/>
      <c r="U16" s="118"/>
    </row>
    <row r="17" spans="1:21" x14ac:dyDescent="0.25">
      <c r="A17" s="94" t="str">
        <f>'09'!$B$2</f>
        <v>09/12/2024 00:15</v>
      </c>
      <c r="B17" s="61">
        <f>'09'!B108</f>
        <v>24.470937499999991</v>
      </c>
      <c r="C17" s="61">
        <f>'09'!C108</f>
        <v>40.426458333333329</v>
      </c>
      <c r="D17" s="61">
        <f>'09'!D108</f>
        <v>39.368854166666658</v>
      </c>
      <c r="E17" s="61">
        <f>'09'!E108</f>
        <v>6.16</v>
      </c>
      <c r="F17" s="61">
        <f>'09'!F108</f>
        <v>4.2210416666666637</v>
      </c>
      <c r="G17" s="100">
        <f>'09'!$G$108</f>
        <v>65.175937499999989</v>
      </c>
      <c r="H17" s="61">
        <f>'09'!H108</f>
        <v>37.325000000000024</v>
      </c>
      <c r="I17" s="61">
        <f>'09'!I108</f>
        <v>5.7193749999999985</v>
      </c>
      <c r="J17" s="61">
        <f>'09'!J108</f>
        <v>2.5580208333333334</v>
      </c>
      <c r="K17" s="61">
        <f>'09'!K108</f>
        <v>278.51354166666658</v>
      </c>
      <c r="L17" s="61">
        <f>'09'!L108</f>
        <v>19.683020833333334</v>
      </c>
      <c r="M17" s="61">
        <f>'09'!M108</f>
        <v>80.321354166666666</v>
      </c>
      <c r="N17" s="61">
        <f>'09'!N108</f>
        <v>187.56562500000004</v>
      </c>
      <c r="O17" s="61">
        <f>'09'!O108</f>
        <v>0</v>
      </c>
      <c r="P17" s="202">
        <f>'09'!P108</f>
        <v>0.99072916666666666</v>
      </c>
      <c r="Q17" s="61">
        <f>'09'!Q108</f>
        <v>9.0542708333333426</v>
      </c>
      <c r="R17" s="118"/>
      <c r="S17" s="118"/>
      <c r="T17" s="118"/>
      <c r="U17" s="118"/>
    </row>
    <row r="18" spans="1:21" x14ac:dyDescent="0.25">
      <c r="A18" s="94" t="str">
        <f>'10'!$B$2</f>
        <v>10/12/2024 00:15</v>
      </c>
      <c r="B18" s="61">
        <f>'10'!B108</f>
        <v>23.310520833333342</v>
      </c>
      <c r="C18" s="61">
        <f>'10'!C108</f>
        <v>53.384687499999984</v>
      </c>
      <c r="D18" s="61">
        <f>'10'!D108</f>
        <v>45.208124999999995</v>
      </c>
      <c r="E18" s="61">
        <f>'10'!E108</f>
        <v>6.9082291666666675</v>
      </c>
      <c r="F18" s="61">
        <f>'10'!F108</f>
        <v>4.9538541666666651</v>
      </c>
      <c r="G18" s="101">
        <f>'10'!$G$108</f>
        <v>110.42968750000006</v>
      </c>
      <c r="H18" s="61">
        <f>'10'!H108</f>
        <v>38.755104166666669</v>
      </c>
      <c r="I18" s="61">
        <f>'10'!I108</f>
        <v>5.4761458333333346</v>
      </c>
      <c r="J18" s="61">
        <f>'10'!J108</f>
        <v>2.3762500000000011</v>
      </c>
      <c r="K18" s="61">
        <f>'10'!K108</f>
        <v>297.90770833333323</v>
      </c>
      <c r="L18" s="61">
        <f>'10'!L108</f>
        <v>17.064583333333339</v>
      </c>
      <c r="M18" s="61">
        <f>'10'!M108</f>
        <v>53.125</v>
      </c>
      <c r="N18" s="61">
        <f>'10'!N108</f>
        <v>240.97291666666663</v>
      </c>
      <c r="O18" s="61">
        <f>'10'!O108</f>
        <v>0</v>
      </c>
      <c r="P18" s="202">
        <f>'10'!P108</f>
        <v>0.99677083333333372</v>
      </c>
      <c r="Q18" s="61">
        <f>'10'!Q108</f>
        <v>8.7060416666666676</v>
      </c>
      <c r="R18" s="118"/>
      <c r="S18" s="118"/>
      <c r="T18" s="118"/>
      <c r="U18" s="118"/>
    </row>
    <row r="19" spans="1:21" x14ac:dyDescent="0.25">
      <c r="A19" s="94" t="str">
        <f>'11'!$B$2</f>
        <v>11/12/2024 00:15</v>
      </c>
      <c r="B19" s="61">
        <f>'11'!B108</f>
        <v>22.072708333333338</v>
      </c>
      <c r="C19" s="61">
        <f>'11'!C108</f>
        <v>59.181875000000012</v>
      </c>
      <c r="D19" s="61">
        <f>'11'!D108</f>
        <v>47.243854166666658</v>
      </c>
      <c r="E19" s="61">
        <f>'11'!E108</f>
        <v>7.1403125000000003</v>
      </c>
      <c r="F19" s="61">
        <f>'11'!F108</f>
        <v>4.5573958333333344</v>
      </c>
      <c r="G19" s="99">
        <f>'11'!$G$108</f>
        <v>100.57947916666664</v>
      </c>
      <c r="H19" s="61">
        <f>'11'!H108</f>
        <v>42.947407407407411</v>
      </c>
      <c r="I19" s="61">
        <f>'11'!I108</f>
        <v>6.6478125000000015</v>
      </c>
      <c r="J19" s="61">
        <f>'11'!J108</f>
        <v>1.8862499999999993</v>
      </c>
      <c r="K19" s="61">
        <f>'11'!K108</f>
        <v>224.90812500000004</v>
      </c>
      <c r="L19" s="61">
        <f>'11'!L108</f>
        <v>15.991249999999996</v>
      </c>
      <c r="M19" s="61">
        <f>'11'!M108</f>
        <v>51.377291666666686</v>
      </c>
      <c r="N19" s="61">
        <f>'11'!N108</f>
        <v>247.68541666666655</v>
      </c>
      <c r="O19" s="61">
        <f>'11'!O108</f>
        <v>0</v>
      </c>
      <c r="P19" s="202">
        <f>'11'!P108</f>
        <v>1.1138541666666668</v>
      </c>
      <c r="Q19" s="61">
        <f>'11'!Q108</f>
        <v>8.9358333333333366</v>
      </c>
      <c r="R19" s="118"/>
      <c r="S19" s="118"/>
      <c r="T19" s="118"/>
      <c r="U19" s="118"/>
    </row>
    <row r="20" spans="1:21" x14ac:dyDescent="0.25">
      <c r="A20" s="94" t="str">
        <f>'12'!$B$2</f>
        <v>12/12/2024 00:15</v>
      </c>
      <c r="B20" s="61">
        <f>'12'!B108</f>
        <v>29.314791666666668</v>
      </c>
      <c r="C20" s="61">
        <f>'12'!C108</f>
        <v>62.596770833333345</v>
      </c>
      <c r="D20" s="61">
        <f>'12'!D108</f>
        <v>54.836145833333326</v>
      </c>
      <c r="E20" s="61">
        <f>'12'!E108</f>
        <v>7.6115624999999989</v>
      </c>
      <c r="F20" s="61">
        <f>'12'!F108</f>
        <v>4.4896875000000014</v>
      </c>
      <c r="G20" s="101">
        <f>'12'!$G$108</f>
        <v>120.50156249999998</v>
      </c>
      <c r="H20" s="61">
        <f>'12'!H108</f>
        <v>53.522258064516116</v>
      </c>
      <c r="I20" s="61">
        <f>'12'!I108</f>
        <v>6.9959374999999975</v>
      </c>
      <c r="J20" s="61">
        <f>'12'!J108</f>
        <v>1.8477083333333331</v>
      </c>
      <c r="K20" s="61">
        <f>'12'!K108</f>
        <v>247.69093750000002</v>
      </c>
      <c r="L20" s="61">
        <f>'12'!L108</f>
        <v>15.721041666666657</v>
      </c>
      <c r="M20" s="61">
        <f>'12'!M108</f>
        <v>58.933437500000018</v>
      </c>
      <c r="N20" s="61">
        <f>'12'!N108</f>
        <v>247.0385416666667</v>
      </c>
      <c r="O20" s="61">
        <f>'12'!O108</f>
        <v>0</v>
      </c>
      <c r="P20" s="202">
        <f>'12'!P108</f>
        <v>1.2689583333333327</v>
      </c>
      <c r="Q20" s="61">
        <f>'12'!Q108</f>
        <v>9.0512500000000049</v>
      </c>
      <c r="R20" s="118"/>
      <c r="S20" s="118"/>
      <c r="T20" s="118"/>
      <c r="U20" s="118"/>
    </row>
    <row r="21" spans="1:21" s="89" customFormat="1" x14ac:dyDescent="0.25">
      <c r="A21" s="94" t="str">
        <f>'13'!$B$2</f>
        <v>13/12/2024 00:15</v>
      </c>
      <c r="B21" s="91">
        <f>'13'!B108</f>
        <v>46.597812500000003</v>
      </c>
      <c r="C21" s="91">
        <f>'13'!C108</f>
        <v>65.192812499999988</v>
      </c>
      <c r="D21" s="91">
        <f>'13'!D108</f>
        <v>70.052395833333321</v>
      </c>
      <c r="E21" s="91">
        <f>'13'!E108</f>
        <v>8.5634375000000009</v>
      </c>
      <c r="F21" s="91">
        <f>'13'!F108</f>
        <v>5.5211458333333319</v>
      </c>
      <c r="G21" s="100">
        <f>'13'!$G$108</f>
        <v>133.58945652173904</v>
      </c>
      <c r="H21" s="91">
        <f>'13'!H108</f>
        <v>45.194871794871766</v>
      </c>
      <c r="I21" s="91">
        <f>'13'!I108</f>
        <v>7.4453124999999973</v>
      </c>
      <c r="J21" s="91">
        <f>'13'!J108</f>
        <v>1.7146874999999995</v>
      </c>
      <c r="K21" s="91">
        <f>'13'!K108</f>
        <v>240.78041666666653</v>
      </c>
      <c r="L21" s="91">
        <f>'13'!L108</f>
        <v>15.897187500000001</v>
      </c>
      <c r="M21" s="91">
        <f>'13'!M108</f>
        <v>54.218437499999986</v>
      </c>
      <c r="N21" s="91">
        <f>'13'!N108</f>
        <v>252.8822916666667</v>
      </c>
      <c r="O21" s="91">
        <f>'13'!O108</f>
        <v>0</v>
      </c>
      <c r="P21" s="203">
        <f>'13'!P108</f>
        <v>1.4580208333333331</v>
      </c>
      <c r="Q21" s="91">
        <f>'13'!Q108</f>
        <v>9.8400000000000034</v>
      </c>
      <c r="R21" s="205"/>
      <c r="S21" s="205"/>
      <c r="T21" s="205"/>
      <c r="U21" s="205"/>
    </row>
    <row r="22" spans="1:21" s="89" customFormat="1" x14ac:dyDescent="0.25">
      <c r="A22" s="94" t="str">
        <f>'14'!$B$2</f>
        <v>14/12/2024 00:15</v>
      </c>
      <c r="B22" s="90">
        <f>'14'!B108</f>
        <v>45.986041666666665</v>
      </c>
      <c r="C22" s="90">
        <f>'14'!C108</f>
        <v>62.487291666666643</v>
      </c>
      <c r="D22" s="90">
        <f>'14'!D108</f>
        <v>68.147812500000001</v>
      </c>
      <c r="E22" s="90">
        <f>'14'!E108</f>
        <v>7.8949999999999996</v>
      </c>
      <c r="F22" s="90">
        <f>'14'!F108</f>
        <v>4.5194791666666667</v>
      </c>
      <c r="G22" s="100">
        <f>'14'!$G$108</f>
        <v>105.68833333333328</v>
      </c>
      <c r="H22" s="100">
        <f>'14'!$G$108</f>
        <v>105.68833333333328</v>
      </c>
      <c r="I22" s="90">
        <f>'14'!I108</f>
        <v>6.8354166666666645</v>
      </c>
      <c r="J22" s="90">
        <f>'14'!J108</f>
        <v>1.9494791666666667</v>
      </c>
      <c r="K22" s="90">
        <f>'14'!K108</f>
        <v>266.24593749999991</v>
      </c>
      <c r="L22" s="90">
        <f>'14'!L108</f>
        <v>15.083333333333341</v>
      </c>
      <c r="M22" s="90">
        <f>'14'!M108</f>
        <v>43.673541666666644</v>
      </c>
      <c r="N22" s="90">
        <f>'14'!N108</f>
        <v>259.44270833333331</v>
      </c>
      <c r="O22" s="90">
        <f>'14'!O108</f>
        <v>0</v>
      </c>
      <c r="P22" s="204">
        <f>'14'!P108</f>
        <v>1.2547916666666663</v>
      </c>
      <c r="Q22" s="90">
        <f>'14'!Q108</f>
        <v>9.8210416666666696</v>
      </c>
      <c r="R22" s="206"/>
      <c r="S22" s="206"/>
      <c r="T22" s="206"/>
      <c r="U22" s="206"/>
    </row>
    <row r="23" spans="1:21" x14ac:dyDescent="0.25">
      <c r="A23" s="94" t="str">
        <f>'15'!$B$2</f>
        <v>15/12/2024 00:15</v>
      </c>
      <c r="B23" s="61">
        <f>'15'!B108</f>
        <v>63.202395833333327</v>
      </c>
      <c r="C23" s="61">
        <f>'15'!C108</f>
        <v>64.06885416666664</v>
      </c>
      <c r="D23" s="61">
        <f>'15'!D108</f>
        <v>82.781562499999993</v>
      </c>
      <c r="E23" s="61">
        <f>'15'!E108</f>
        <v>8.6446874999999963</v>
      </c>
      <c r="F23" s="61">
        <f>'15'!F108</f>
        <v>4.4712499999999995</v>
      </c>
      <c r="G23" s="100">
        <f>'15'!$G$108</f>
        <v>116.43041666666664</v>
      </c>
      <c r="H23" s="61">
        <f>'15'!H108</f>
        <v>56.71794871794873</v>
      </c>
      <c r="I23" s="61">
        <f>'15'!I108</f>
        <v>8.3885416666666703</v>
      </c>
      <c r="J23" s="61">
        <f>'15'!J108</f>
        <v>1.7323958333333334</v>
      </c>
      <c r="K23" s="61">
        <f>'15'!K108</f>
        <v>218.00416666666661</v>
      </c>
      <c r="L23" s="61">
        <f>'15'!L108</f>
        <v>14.287187499999993</v>
      </c>
      <c r="M23" s="61">
        <f>'15'!M108</f>
        <v>46.598541666666669</v>
      </c>
      <c r="N23" s="61">
        <f>'15'!N108</f>
        <v>265.18541666666664</v>
      </c>
      <c r="O23" s="61">
        <f>'15'!O108</f>
        <v>0</v>
      </c>
      <c r="P23" s="202">
        <f>'15'!P108</f>
        <v>1.3775000000000004</v>
      </c>
      <c r="Q23" s="61">
        <f>'15'!Q108</f>
        <v>9.6755208333333407</v>
      </c>
      <c r="R23" s="118"/>
      <c r="S23" s="118"/>
      <c r="T23" s="118"/>
      <c r="U23" s="118"/>
    </row>
    <row r="24" spans="1:21" x14ac:dyDescent="0.25">
      <c r="A24" s="94" t="str">
        <f>'16'!$B$2</f>
        <v>16/12/2024 00:15</v>
      </c>
      <c r="B24" s="61">
        <f>'16'!B108</f>
        <v>70.488958333333343</v>
      </c>
      <c r="C24" s="61">
        <f>'16'!C108</f>
        <v>69.142291666666679</v>
      </c>
      <c r="D24" s="61">
        <f>'16'!D108</f>
        <v>91.274999999999991</v>
      </c>
      <c r="E24" s="61">
        <f>'16'!E108</f>
        <v>9.0426041666666652</v>
      </c>
      <c r="F24" s="61">
        <f>'16'!F108</f>
        <v>4.5405208333333329</v>
      </c>
      <c r="G24" s="100">
        <f>'16'!$G$108</f>
        <v>143.25135416666669</v>
      </c>
      <c r="H24" s="61">
        <f>'16'!H108</f>
        <v>38.810000000000009</v>
      </c>
      <c r="I24" s="61">
        <f>'16'!I108</f>
        <v>9.1831250000000022</v>
      </c>
      <c r="J24" s="61">
        <f>'16'!J108</f>
        <v>2.0473958333333333</v>
      </c>
      <c r="K24" s="61">
        <f>'16'!K108</f>
        <v>224.89520833333333</v>
      </c>
      <c r="L24" s="61">
        <f>'16'!L108</f>
        <v>14.306458333333332</v>
      </c>
      <c r="M24" s="61">
        <f>'16'!M108</f>
        <v>56.216354166666669</v>
      </c>
      <c r="N24" s="61">
        <f>'16'!N108</f>
        <v>269.85000000000008</v>
      </c>
      <c r="O24" s="61">
        <f>'16'!O108</f>
        <v>0</v>
      </c>
      <c r="P24" s="202">
        <f>'16'!P108</f>
        <v>1.6689583333333333</v>
      </c>
      <c r="Q24" s="61">
        <f>'16'!Q108</f>
        <v>9.708333333333341</v>
      </c>
      <c r="R24" s="118"/>
      <c r="S24" s="118"/>
      <c r="T24" s="118"/>
      <c r="U24" s="118"/>
    </row>
    <row r="25" spans="1:21" x14ac:dyDescent="0.25">
      <c r="A25" s="94" t="str">
        <f>'17'!$B$2</f>
        <v>17/12/2024 00:15</v>
      </c>
      <c r="B25" s="61">
        <f>'17'!B108</f>
        <v>62.476354166666674</v>
      </c>
      <c r="C25" s="61">
        <f>'17'!C108</f>
        <v>74.536458333333329</v>
      </c>
      <c r="D25" s="61">
        <f>'17'!D108</f>
        <v>87.667187500000011</v>
      </c>
      <c r="E25" s="61">
        <f>'17'!E108</f>
        <v>9.4874999999999989</v>
      </c>
      <c r="F25" s="61">
        <f>'17'!F108</f>
        <v>6.0084374999999994</v>
      </c>
      <c r="G25" s="101">
        <f>'17'!$G$108</f>
        <v>217.98550561797757</v>
      </c>
      <c r="H25" s="61">
        <f>'17'!H108</f>
        <v>103.36867469879516</v>
      </c>
      <c r="I25" s="61">
        <f>'17'!I108</f>
        <v>8.0811458333333324</v>
      </c>
      <c r="J25" s="61">
        <f>'17'!J108</f>
        <v>1.9970833333333324</v>
      </c>
      <c r="K25" s="61">
        <f>'17'!K108</f>
        <v>221.3425</v>
      </c>
      <c r="L25" s="61">
        <f>'17'!L108</f>
        <v>14.889583333333336</v>
      </c>
      <c r="M25" s="61">
        <f>'17'!M108</f>
        <v>57.385208333333338</v>
      </c>
      <c r="N25" s="61">
        <f>'17'!N108</f>
        <v>272.39375000000001</v>
      </c>
      <c r="O25" s="61">
        <f>'17'!O108</f>
        <v>0</v>
      </c>
      <c r="P25" s="202">
        <f>'17'!P108</f>
        <v>1.6070833333333328</v>
      </c>
      <c r="Q25" s="61">
        <f>'17'!Q108</f>
        <v>9.7725000000000097</v>
      </c>
      <c r="R25" s="118"/>
      <c r="S25" s="118"/>
      <c r="T25" s="118"/>
      <c r="U25" s="118"/>
    </row>
    <row r="26" spans="1:21" x14ac:dyDescent="0.25">
      <c r="A26" s="94" t="str">
        <f>'18'!$B$2</f>
        <v>18/12/2024 00:15</v>
      </c>
      <c r="B26" s="61">
        <f>'18'!B108</f>
        <v>22.756770833333338</v>
      </c>
      <c r="C26" s="61">
        <f>'18'!C108</f>
        <v>71.771979166666654</v>
      </c>
      <c r="D26" s="61">
        <f>'18'!D108</f>
        <v>54.370937499999997</v>
      </c>
      <c r="E26" s="61">
        <f>'18'!E108</f>
        <v>8.7286458333333332</v>
      </c>
      <c r="F26" s="61">
        <f>'18'!F108</f>
        <v>4.7732291666666669</v>
      </c>
      <c r="G26" s="99">
        <f>'18'!$G$108</f>
        <v>222.63208333333344</v>
      </c>
      <c r="H26" s="61">
        <f>'18'!H108</f>
        <v>87.854895833333288</v>
      </c>
      <c r="I26" s="61">
        <f>'18'!I108</f>
        <v>7.9959374999999975</v>
      </c>
      <c r="J26" s="61">
        <f>'18'!J108</f>
        <v>1.7492708333333342</v>
      </c>
      <c r="K26" s="61">
        <f>'18'!K108</f>
        <v>167.31645833333337</v>
      </c>
      <c r="L26" s="61">
        <f>'18'!L108</f>
        <v>15.301250000000001</v>
      </c>
      <c r="M26" s="61">
        <f>'18'!M108</f>
        <v>55.67781249999998</v>
      </c>
      <c r="N26" s="61">
        <f>'18'!N108</f>
        <v>227.34999999999994</v>
      </c>
      <c r="O26" s="61">
        <f>'18'!O108</f>
        <v>0</v>
      </c>
      <c r="P26" s="202">
        <f>'18'!P108</f>
        <v>1.3718750000000008</v>
      </c>
      <c r="Q26" s="61">
        <f>'18'!Q108</f>
        <v>9.2282291666666705</v>
      </c>
      <c r="R26" s="118"/>
      <c r="S26" s="118"/>
      <c r="T26" s="118"/>
      <c r="U26" s="118"/>
    </row>
    <row r="27" spans="1:21" x14ac:dyDescent="0.25">
      <c r="A27" s="94" t="str">
        <f>'19'!$B$2</f>
        <v>19/12/2024 00:15</v>
      </c>
      <c r="B27" s="61">
        <f>'19'!B108</f>
        <v>6.6587500000000004</v>
      </c>
      <c r="C27" s="61">
        <f>'19'!C108</f>
        <v>58.925625000000018</v>
      </c>
      <c r="D27" s="61">
        <f>'19'!D108</f>
        <v>34.749895833333333</v>
      </c>
      <c r="E27" s="61">
        <f>'19'!E108</f>
        <v>8.6053124999999948</v>
      </c>
      <c r="F27" s="61">
        <f>'19'!F108</f>
        <v>6.7109375000000027</v>
      </c>
      <c r="G27" s="61">
        <f>'19'!G108</f>
        <v>133.60583333333338</v>
      </c>
      <c r="H27" s="61">
        <f>'19'!H108</f>
        <v>65.334375000000037</v>
      </c>
      <c r="I27" s="61">
        <f>'19'!I108</f>
        <v>6.1306250000000047</v>
      </c>
      <c r="J27" s="61">
        <f>'19'!J108</f>
        <v>2.2676041666666671</v>
      </c>
      <c r="K27" s="61">
        <f>'19'!K108</f>
        <v>159.62864583333322</v>
      </c>
      <c r="L27" s="61">
        <f>'19'!L108</f>
        <v>17.131041666666675</v>
      </c>
      <c r="M27" s="61">
        <f>'19'!M108</f>
        <v>66.604583333333323</v>
      </c>
      <c r="N27" s="61">
        <f>'19'!N108</f>
        <v>198.74583333333339</v>
      </c>
      <c r="O27" s="61">
        <f>'19'!O108</f>
        <v>0</v>
      </c>
      <c r="P27" s="202">
        <f>'19'!P108</f>
        <v>0.97895833333333293</v>
      </c>
      <c r="Q27" s="61">
        <f>'19'!Q108</f>
        <v>8.2534375000000111</v>
      </c>
      <c r="R27" s="118"/>
      <c r="S27" s="118"/>
      <c r="T27" s="118"/>
      <c r="U27" s="118"/>
    </row>
    <row r="28" spans="1:21" x14ac:dyDescent="0.25">
      <c r="A28" s="94" t="str">
        <f>'20'!$B$2</f>
        <v>20/12/2024 00:15</v>
      </c>
      <c r="B28" s="61">
        <f>'20'!B108</f>
        <v>8.6813541666666669</v>
      </c>
      <c r="C28" s="61">
        <f>'20'!C108</f>
        <v>50.168229166666663</v>
      </c>
      <c r="D28" s="61">
        <f>'20'!D108</f>
        <v>31.793020833333326</v>
      </c>
      <c r="E28" s="61">
        <f>'20'!E108</f>
        <v>5.9865624999999989</v>
      </c>
      <c r="F28" s="61">
        <f>'20'!F108</f>
        <v>4.1789583333333322</v>
      </c>
      <c r="G28" s="61">
        <f>'20'!G108</f>
        <v>62.150833333333289</v>
      </c>
      <c r="H28" s="61">
        <f>'20'!H108</f>
        <v>29.262812500000006</v>
      </c>
      <c r="I28" s="61">
        <f>'20'!I108</f>
        <v>6.4588541666666641</v>
      </c>
      <c r="J28" s="61">
        <f>'20'!J108</f>
        <v>1.5103125000000002</v>
      </c>
      <c r="K28" s="61">
        <f>'20'!K108</f>
        <v>119.57104166666663</v>
      </c>
      <c r="L28" s="61">
        <f>'20'!L108</f>
        <v>19.614270833333325</v>
      </c>
      <c r="M28" s="61">
        <f>'20'!M108</f>
        <v>78.537708333333313</v>
      </c>
      <c r="N28" s="61">
        <f>'20'!N108</f>
        <v>191.77395833333344</v>
      </c>
      <c r="O28" s="61">
        <f>'20'!O108</f>
        <v>0</v>
      </c>
      <c r="P28" s="202">
        <f>'20'!P108</f>
        <v>0.76958333333333329</v>
      </c>
      <c r="Q28" s="61">
        <f>'20'!Q108</f>
        <v>8.210000000000008</v>
      </c>
      <c r="R28" s="118"/>
      <c r="S28" s="118"/>
      <c r="T28" s="118"/>
      <c r="U28" s="118"/>
    </row>
    <row r="29" spans="1:21" x14ac:dyDescent="0.25">
      <c r="A29" s="94" t="str">
        <f>'21'!$B$2</f>
        <v>21/12/2024 00:15</v>
      </c>
      <c r="B29" s="61">
        <f>'21'!B108</f>
        <v>18.018333333333342</v>
      </c>
      <c r="C29" s="61">
        <f>'21'!C108</f>
        <v>42.300312499999997</v>
      </c>
      <c r="D29" s="61">
        <f>'21'!D108</f>
        <v>35.173541666666672</v>
      </c>
      <c r="E29" s="61">
        <f>'21'!E108</f>
        <v>5.5128124999999999</v>
      </c>
      <c r="F29" s="61">
        <f>'21'!F108</f>
        <v>3.5828124999999993</v>
      </c>
      <c r="G29" s="61">
        <f>'21'!G108</f>
        <v>42.313645833333325</v>
      </c>
      <c r="H29" s="61">
        <f>'21'!H108</f>
        <v>16.509791666666672</v>
      </c>
      <c r="I29" s="61">
        <f>'21'!I108</f>
        <v>7.639895833333334</v>
      </c>
      <c r="J29" s="61">
        <f>'21'!J108</f>
        <v>2.3856249999999997</v>
      </c>
      <c r="K29" s="61">
        <f>'21'!K108</f>
        <v>141.17864583333332</v>
      </c>
      <c r="L29" s="61">
        <f>'21'!L108</f>
        <v>17.829583333333328</v>
      </c>
      <c r="M29" s="61">
        <f>'21'!M108</f>
        <v>90.888229166666648</v>
      </c>
      <c r="N29" s="61">
        <f>'21'!N108</f>
        <v>127.528125</v>
      </c>
      <c r="O29" s="61">
        <f>'21'!O108</f>
        <v>0</v>
      </c>
      <c r="P29" s="202">
        <f>'21'!P108</f>
        <v>0.70083333333333364</v>
      </c>
      <c r="Q29" s="61">
        <f>'21'!Q108</f>
        <v>8.3525000000000027</v>
      </c>
      <c r="R29" s="118"/>
      <c r="S29" s="118"/>
      <c r="T29" s="118"/>
      <c r="U29" s="118"/>
    </row>
    <row r="30" spans="1:21" x14ac:dyDescent="0.25">
      <c r="A30" s="94" t="str">
        <f>'22'!$B$2</f>
        <v>22/12/2024 00:15</v>
      </c>
      <c r="B30" s="61">
        <f>'22'!B108</f>
        <v>12.514479166666669</v>
      </c>
      <c r="C30" s="61">
        <f>'22'!C108</f>
        <v>41.463750000000005</v>
      </c>
      <c r="D30" s="61">
        <f>'22'!D108</f>
        <v>30.321979166666665</v>
      </c>
      <c r="E30" s="61">
        <f>'22'!E108</f>
        <v>5.4358333333333322</v>
      </c>
      <c r="F30" s="61">
        <f>'22'!F108</f>
        <v>3.832916666666669</v>
      </c>
      <c r="G30" s="61">
        <f>'22'!G108</f>
        <v>47.333229166666662</v>
      </c>
      <c r="H30" s="61">
        <f>'22'!H108</f>
        <v>17.911562500000006</v>
      </c>
      <c r="I30" s="61">
        <f>'22'!I108</f>
        <v>7.6377083333333333</v>
      </c>
      <c r="J30" s="61">
        <f>'22'!J108</f>
        <v>2.4845833333333345</v>
      </c>
      <c r="K30" s="61">
        <f>'22'!K108</f>
        <v>139.49499999999998</v>
      </c>
      <c r="L30" s="61">
        <f>'22'!L108</f>
        <v>17.316250000000004</v>
      </c>
      <c r="M30" s="61">
        <f>'22'!M108</f>
        <v>84.595624999999998</v>
      </c>
      <c r="N30" s="61">
        <f>'22'!N108</f>
        <v>160.11354166666669</v>
      </c>
      <c r="O30" s="61">
        <f>'22'!O108</f>
        <v>0</v>
      </c>
      <c r="P30" s="202">
        <f>'22'!P108</f>
        <v>0.60468749999999993</v>
      </c>
      <c r="Q30" s="61">
        <f>'22'!Q108</f>
        <v>8.2119791666666746</v>
      </c>
      <c r="R30" s="118"/>
      <c r="S30" s="118"/>
      <c r="T30" s="118"/>
      <c r="U30" s="118"/>
    </row>
    <row r="31" spans="1:21" x14ac:dyDescent="0.25">
      <c r="A31" s="94" t="str">
        <f>'23'!$B$2</f>
        <v>23/12/2024 00:15</v>
      </c>
      <c r="B31" s="61">
        <f>'23'!B108</f>
        <v>11.186458333333333</v>
      </c>
      <c r="C31" s="61">
        <f>'23'!C108</f>
        <v>46.2809375</v>
      </c>
      <c r="D31" s="61">
        <f>'23'!D108</f>
        <v>31.773749999999996</v>
      </c>
      <c r="E31" s="61">
        <f>'23'!E108</f>
        <v>6.6488541666666672</v>
      </c>
      <c r="F31" s="61">
        <f>'23'!F108</f>
        <v>4.5710416666666687</v>
      </c>
      <c r="G31" s="61">
        <f>'23'!G108</f>
        <v>69.774239130434765</v>
      </c>
      <c r="H31" s="61">
        <f>'23'!H108</f>
        <v>44.259772727272725</v>
      </c>
      <c r="I31" s="61">
        <f>'23'!I108</f>
        <v>6.820520833333334</v>
      </c>
      <c r="J31" s="61">
        <f>'23'!J108</f>
        <v>2.3610416666666669</v>
      </c>
      <c r="K31" s="61">
        <f>'23'!K108</f>
        <v>159.12812500000004</v>
      </c>
      <c r="L31" s="61">
        <f>'23'!L108</f>
        <v>17.306458333333328</v>
      </c>
      <c r="M31" s="61">
        <f>'23'!M108</f>
        <v>70.772604166666682</v>
      </c>
      <c r="N31" s="61">
        <f>'23'!N108</f>
        <v>194.328125</v>
      </c>
      <c r="O31" s="61">
        <f>'23'!O108</f>
        <v>0</v>
      </c>
      <c r="P31" s="9" t="s">
        <v>36</v>
      </c>
      <c r="Q31" s="9" t="s">
        <v>36</v>
      </c>
      <c r="R31" s="118"/>
      <c r="S31" s="207"/>
      <c r="T31" s="118"/>
      <c r="U31" s="118"/>
    </row>
    <row r="32" spans="1:21" x14ac:dyDescent="0.25">
      <c r="A32" s="94" t="str">
        <f>'24'!$B$2</f>
        <v>24/12/2024 00:15</v>
      </c>
      <c r="B32" s="61">
        <f>'24'!B108</f>
        <v>6.4845833333333323</v>
      </c>
      <c r="C32" s="61">
        <f>'24'!C108</f>
        <v>44.32</v>
      </c>
      <c r="D32" s="61">
        <f>'24'!D108</f>
        <v>26.97937499999999</v>
      </c>
      <c r="E32" s="61">
        <f>'24'!E108</f>
        <v>5.8266666666666671</v>
      </c>
      <c r="F32" s="61">
        <f>'24'!F108</f>
        <v>4.1294791666666679</v>
      </c>
      <c r="G32" s="61">
        <f>'24'!G108</f>
        <v>49.850833333333348</v>
      </c>
      <c r="H32" s="61">
        <f>'24'!H108</f>
        <v>22.464374999999993</v>
      </c>
      <c r="I32" s="61">
        <f>'24'!I108</f>
        <v>7.5360416666666667</v>
      </c>
      <c r="J32" s="61">
        <f>'24'!J108</f>
        <v>2.5100000000000007</v>
      </c>
      <c r="K32" s="61">
        <f>'24'!K108</f>
        <v>119.37697916666669</v>
      </c>
      <c r="L32" s="61">
        <f>'24'!L108</f>
        <v>18.044166666666666</v>
      </c>
      <c r="M32" s="61">
        <f>'24'!M108</f>
        <v>68.363958333333343</v>
      </c>
      <c r="N32" s="61">
        <f>'24'!N108</f>
        <v>146.44791666666674</v>
      </c>
      <c r="O32" s="61">
        <f>'24'!O108</f>
        <v>0</v>
      </c>
      <c r="P32" s="202">
        <f>'24'!P108</f>
        <v>0.62645833333333345</v>
      </c>
      <c r="Q32" s="61">
        <f>'24'!Q108</f>
        <v>8.210000000000008</v>
      </c>
      <c r="R32" s="118"/>
      <c r="S32" s="118"/>
      <c r="T32" s="118"/>
      <c r="U32" s="118"/>
    </row>
    <row r="33" spans="1:21" x14ac:dyDescent="0.25">
      <c r="A33" s="94" t="str">
        <f>'25'!$B$2</f>
        <v>25/12/2024 00:15</v>
      </c>
      <c r="B33" s="61">
        <f>'25'!B108</f>
        <v>8.1436458333333324</v>
      </c>
      <c r="C33" s="61">
        <f>'25'!C108</f>
        <v>39.118645833333332</v>
      </c>
      <c r="D33" s="61">
        <f>'25'!D108</f>
        <v>25.592395833333338</v>
      </c>
      <c r="E33" s="61">
        <f>'25'!E108</f>
        <v>5.3691666666666675</v>
      </c>
      <c r="F33" s="61">
        <f>'25'!F108</f>
        <v>3.843020833333334</v>
      </c>
      <c r="G33" s="61">
        <f>'25'!G108</f>
        <v>35.546770833333333</v>
      </c>
      <c r="H33" s="61">
        <f>'25'!H108</f>
        <v>15.065208333333326</v>
      </c>
      <c r="I33" s="61">
        <f>'25'!I108</f>
        <v>8.4761904761904745</v>
      </c>
      <c r="J33" s="61">
        <f>'25'!J108</f>
        <v>2.425416666666667</v>
      </c>
      <c r="K33" s="61">
        <f>'25'!K108</f>
        <v>121.05624999999999</v>
      </c>
      <c r="L33" s="61">
        <f>'25'!L108</f>
        <v>17.209062499999995</v>
      </c>
      <c r="M33" s="61">
        <f>'25'!M108</f>
        <v>83.800416666666706</v>
      </c>
      <c r="N33" s="61">
        <f>'25'!N108</f>
        <v>119.50416666666659</v>
      </c>
      <c r="O33" s="61">
        <f>'25'!O108</f>
        <v>0</v>
      </c>
      <c r="P33" s="202">
        <f>'25'!P108</f>
        <v>0.5194791666666666</v>
      </c>
      <c r="Q33" s="61">
        <f>'25'!Q108</f>
        <v>8.210000000000008</v>
      </c>
      <c r="R33" s="118"/>
      <c r="S33" s="207"/>
      <c r="T33" s="118"/>
      <c r="U33" s="118"/>
    </row>
    <row r="34" spans="1:21" x14ac:dyDescent="0.25">
      <c r="A34" s="94" t="str">
        <f>'26'!$B$2</f>
        <v>26/12/2024 00:15</v>
      </c>
      <c r="B34" s="61">
        <f>'26'!B108</f>
        <v>18.71916666666667</v>
      </c>
      <c r="C34" s="61">
        <f>'26'!C108</f>
        <v>36.149895833333325</v>
      </c>
      <c r="D34" s="61">
        <f>'26'!D108</f>
        <v>32.523020833333341</v>
      </c>
      <c r="E34" s="61">
        <f>'26'!E108</f>
        <v>5.6027083333333314</v>
      </c>
      <c r="F34" s="61">
        <f>'26'!F108</f>
        <v>4.651458333333335</v>
      </c>
      <c r="G34" s="61">
        <f>'26'!G108</f>
        <v>36.650937500000005</v>
      </c>
      <c r="H34" s="61">
        <f>'26'!H108</f>
        <v>10.20260416666666</v>
      </c>
      <c r="I34" s="210" t="s">
        <v>36</v>
      </c>
      <c r="J34" s="61">
        <f>'26'!J108</f>
        <v>2.191979166666667</v>
      </c>
      <c r="K34" s="61">
        <f>'26'!K108</f>
        <v>178.71906250000006</v>
      </c>
      <c r="L34" s="61">
        <f>'26'!L108</f>
        <v>17.803854166666675</v>
      </c>
      <c r="M34" s="61">
        <f>'26'!M108</f>
        <v>88.876979166666615</v>
      </c>
      <c r="N34" s="61">
        <f>'26'!N108</f>
        <v>142.66875000000002</v>
      </c>
      <c r="O34" s="61">
        <f>'26'!O108</f>
        <v>0</v>
      </c>
      <c r="P34" s="202">
        <f>'26'!P108</f>
        <v>0.23937499999999998</v>
      </c>
      <c r="Q34" s="61">
        <f>'26'!Q108</f>
        <v>8.442395833333336</v>
      </c>
      <c r="R34" s="118"/>
      <c r="S34" s="118"/>
      <c r="T34" s="118"/>
      <c r="U34" s="118"/>
    </row>
    <row r="35" spans="1:21" x14ac:dyDescent="0.25">
      <c r="A35" s="94" t="str">
        <f>'27'!$B$2</f>
        <v>27/12/2024 00:15</v>
      </c>
      <c r="B35" s="61">
        <f>'27'!B108</f>
        <v>28.697812499999994</v>
      </c>
      <c r="C35" s="61">
        <f>'27'!C108</f>
        <v>32.816250000000011</v>
      </c>
      <c r="D35" s="61">
        <f>'27'!D108</f>
        <v>38.781354166666688</v>
      </c>
      <c r="E35" s="61">
        <f>'27'!E108</f>
        <v>6.2051041666666711</v>
      </c>
      <c r="F35" s="61">
        <f>'27'!F108</f>
        <v>5.4062499999999973</v>
      </c>
      <c r="G35" s="61">
        <f>'27'!G108</f>
        <v>47.841458333333314</v>
      </c>
      <c r="H35" s="61">
        <f>'27'!H108</f>
        <v>15.214895833333332</v>
      </c>
      <c r="I35" s="210" t="s">
        <v>36</v>
      </c>
      <c r="J35" s="61">
        <f>'27'!J108</f>
        <v>2.1116666666666668</v>
      </c>
      <c r="K35" s="61">
        <f>'27'!K108</f>
        <v>147.96968750000002</v>
      </c>
      <c r="L35" s="61">
        <f>'27'!L108</f>
        <v>19.391458333333329</v>
      </c>
      <c r="M35" s="61">
        <f>'27'!M108</f>
        <v>80.089375000000004</v>
      </c>
      <c r="N35" s="61">
        <f>'27'!N108</f>
        <v>185.89687499999994</v>
      </c>
      <c r="O35" s="61">
        <f>'27'!O108</f>
        <v>0</v>
      </c>
      <c r="P35" s="202">
        <f>'27'!P108</f>
        <v>0.31354166666666661</v>
      </c>
      <c r="Q35" s="61">
        <f>'27'!Q108</f>
        <v>8.8095833333333449</v>
      </c>
      <c r="R35" s="118"/>
      <c r="S35" s="118"/>
      <c r="T35" s="118"/>
      <c r="U35" s="118"/>
    </row>
    <row r="36" spans="1:21" x14ac:dyDescent="0.25">
      <c r="A36" s="94" t="str">
        <f>'28'!$B$2</f>
        <v>28/12/2024 00:15</v>
      </c>
      <c r="B36" s="61">
        <f>'28'!B108</f>
        <v>10.555312499999994</v>
      </c>
      <c r="C36" s="61">
        <f>'28'!C108</f>
        <v>36.954895833333332</v>
      </c>
      <c r="D36" s="61">
        <f>'28'!D108</f>
        <v>26.395520833333325</v>
      </c>
      <c r="E36" s="61">
        <f>'28'!E108</f>
        <v>5.8362500000000006</v>
      </c>
      <c r="F36" s="61">
        <f>'28'!F108</f>
        <v>4.0181250000000004</v>
      </c>
      <c r="G36" s="61">
        <f>'28'!G108</f>
        <v>57.768854166666614</v>
      </c>
      <c r="H36" s="61">
        <f>'28'!H108</f>
        <v>18.352812500000002</v>
      </c>
      <c r="I36" s="210" t="s">
        <v>36</v>
      </c>
      <c r="J36" s="61">
        <f>'28'!J108</f>
        <v>2.7794791666666665</v>
      </c>
      <c r="K36" s="61">
        <f>'28'!K108</f>
        <v>225.36979166666674</v>
      </c>
      <c r="L36" s="61">
        <f>'28'!L108</f>
        <v>19.664687499999999</v>
      </c>
      <c r="M36" s="61">
        <f>'28'!M108</f>
        <v>79.777083333333323</v>
      </c>
      <c r="N36" s="61">
        <f>'28'!N108</f>
        <v>140.60104166666665</v>
      </c>
      <c r="O36" s="61">
        <f>'28'!O108</f>
        <v>2.0833333333333333E-3</v>
      </c>
      <c r="P36" s="202">
        <f>'28'!P108</f>
        <v>0.70874999999999988</v>
      </c>
      <c r="Q36" s="61">
        <f>'28'!Q108</f>
        <v>8.210000000000008</v>
      </c>
      <c r="R36" s="118"/>
      <c r="S36" s="118"/>
      <c r="T36" s="118"/>
      <c r="U36" s="118"/>
    </row>
    <row r="37" spans="1:21" s="54" customFormat="1" x14ac:dyDescent="0.25">
      <c r="A37" s="94" t="str">
        <f>'29'!$B$2</f>
        <v>29/12/2024 00:15</v>
      </c>
      <c r="B37" s="61">
        <f>'29'!B108</f>
        <v>25.876979166666658</v>
      </c>
      <c r="C37" s="61">
        <f>'29'!C108</f>
        <v>40.669895833333321</v>
      </c>
      <c r="D37" s="61">
        <f>'29'!D108</f>
        <v>40.623541666666654</v>
      </c>
      <c r="E37" s="61">
        <f>'29'!E108</f>
        <v>6.3048958333333305</v>
      </c>
      <c r="F37" s="61">
        <f>'29'!F108</f>
        <v>3.8210416666666664</v>
      </c>
      <c r="G37" s="61">
        <f>'29'!G108</f>
        <v>64.773541666666659</v>
      </c>
      <c r="H37" s="61">
        <f>'29'!H108</f>
        <v>17.550625000000011</v>
      </c>
      <c r="I37" s="211" t="s">
        <v>43</v>
      </c>
      <c r="J37" s="61">
        <f>'29'!J108</f>
        <v>2.2782291666666667</v>
      </c>
      <c r="K37" s="61">
        <f>'29'!K108</f>
        <v>224.52718750000011</v>
      </c>
      <c r="L37" s="61">
        <f>'29'!L108</f>
        <v>18.932812499999997</v>
      </c>
      <c r="M37" s="61">
        <f>'29'!M108</f>
        <v>80.891979166666673</v>
      </c>
      <c r="N37" s="61">
        <f>'29'!N108</f>
        <v>225.078125</v>
      </c>
      <c r="O37" s="61">
        <f>'29'!O108</f>
        <v>0</v>
      </c>
      <c r="P37" s="202">
        <f>'29'!P108</f>
        <v>0.80572916666666661</v>
      </c>
      <c r="Q37" s="61">
        <f>'29'!Q108</f>
        <v>8.3365625000000048</v>
      </c>
      <c r="R37" s="118"/>
      <c r="S37" s="118"/>
      <c r="T37" s="118"/>
      <c r="U37" s="118"/>
    </row>
    <row r="38" spans="1:21" s="54" customFormat="1" x14ac:dyDescent="0.25">
      <c r="A38" s="94" t="str">
        <f>'20'!$B$2</f>
        <v>20/12/2024 00:15</v>
      </c>
      <c r="B38" s="61">
        <f>'30'!B109</f>
        <v>26.157364338018521</v>
      </c>
      <c r="C38" s="61">
        <f>'30'!C109</f>
        <v>3.7871549695197189</v>
      </c>
      <c r="D38" s="61">
        <f>'30'!D109</f>
        <v>20.774204443304026</v>
      </c>
      <c r="E38" s="61">
        <f>'30'!E109</f>
        <v>1.2630247042353522</v>
      </c>
      <c r="F38" s="61">
        <f>'30'!F109</f>
        <v>0.30890452664042883</v>
      </c>
      <c r="G38" s="61">
        <f>'30'!G109</f>
        <v>40.506410321013341</v>
      </c>
      <c r="H38" s="61">
        <f>'30'!H109</f>
        <v>9.118691892543584</v>
      </c>
      <c r="I38" s="211" t="s">
        <v>43</v>
      </c>
      <c r="J38" s="61">
        <f>'30'!J109</f>
        <v>0.81424122465632032</v>
      </c>
      <c r="K38" s="61">
        <f>'30'!K109</f>
        <v>111.93083659567993</v>
      </c>
      <c r="L38" s="61">
        <f>'30'!L109</f>
        <v>3.8940925442805359</v>
      </c>
      <c r="M38" s="61">
        <f>'30'!M109</f>
        <v>19.239696206842371</v>
      </c>
      <c r="N38" s="61">
        <f>'30'!N109</f>
        <v>210.41225182792542</v>
      </c>
      <c r="O38" s="61">
        <f>'30'!O109</f>
        <v>0</v>
      </c>
      <c r="P38" s="61">
        <f>'30'!P109</f>
        <v>0.44886518704434131</v>
      </c>
      <c r="Q38" s="61">
        <f>'30'!Q109</f>
        <v>0.72752626256328223</v>
      </c>
      <c r="R38" s="118"/>
      <c r="S38" s="118"/>
      <c r="T38" s="118"/>
      <c r="U38" s="118"/>
    </row>
    <row r="39" spans="1:21" s="54" customFormat="1" x14ac:dyDescent="0.25">
      <c r="A39" s="94" t="str">
        <f>'31'!$B$2</f>
        <v>31/12/2024 00:15</v>
      </c>
      <c r="B39" s="61">
        <f>'30'!B108</f>
        <v>40.763437499999995</v>
      </c>
      <c r="C39" s="61">
        <f>'30'!C108</f>
        <v>40.294374999999995</v>
      </c>
      <c r="D39" s="61">
        <f>'30'!D108</f>
        <v>52.364479166666676</v>
      </c>
      <c r="E39" s="61">
        <f>'30'!E108</f>
        <v>6.0695833333333304</v>
      </c>
      <c r="F39" s="61">
        <f>'30'!F108</f>
        <v>3.8496875000000004</v>
      </c>
      <c r="G39" s="61">
        <f>'30'!G108</f>
        <v>81.538020833333334</v>
      </c>
      <c r="H39" s="61">
        <f>'30'!H108</f>
        <v>24.35614583333334</v>
      </c>
      <c r="I39" s="211" t="s">
        <v>43</v>
      </c>
      <c r="J39" s="61">
        <f>'30'!J108</f>
        <v>1.8758333333333337</v>
      </c>
      <c r="K39" s="61">
        <f>'30'!K108</f>
        <v>248.07354166666664</v>
      </c>
      <c r="L39" s="61">
        <f>'30'!L108</f>
        <v>18.629687499999999</v>
      </c>
      <c r="M39" s="61">
        <f>'30'!M108</f>
        <v>80.40812499999997</v>
      </c>
      <c r="N39" s="61">
        <f>'30'!N108</f>
        <v>234.8083333333332</v>
      </c>
      <c r="O39" s="61">
        <f>'30'!O108</f>
        <v>0</v>
      </c>
      <c r="P39" s="202">
        <f>'30'!P108</f>
        <v>1.0414583333333332</v>
      </c>
      <c r="Q39" s="61">
        <f>'30'!Q108</f>
        <v>8.7555208333333336</v>
      </c>
      <c r="R39" s="118"/>
      <c r="S39" s="118"/>
      <c r="T39" s="118"/>
      <c r="U39" s="118"/>
    </row>
    <row r="40" spans="1:21" s="54" customFormat="1" x14ac:dyDescent="0.25">
      <c r="A40" s="94"/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</row>
    <row r="41" spans="1:21" s="54" customFormat="1" x14ac:dyDescent="0.25">
      <c r="A41" s="94" t="s">
        <v>59</v>
      </c>
      <c r="B41" s="16">
        <f t="shared" ref="B41:Q41" si="0">MIN(B9:B39)</f>
        <v>6.4845833333333323</v>
      </c>
      <c r="C41" s="16">
        <f t="shared" si="0"/>
        <v>3.7871549695197189</v>
      </c>
      <c r="D41" s="16">
        <f t="shared" si="0"/>
        <v>20.774204443304026</v>
      </c>
      <c r="E41" s="16">
        <f t="shared" si="0"/>
        <v>1.2630247042353522</v>
      </c>
      <c r="F41" s="16">
        <f t="shared" si="0"/>
        <v>0.30890452664042883</v>
      </c>
      <c r="G41" s="16">
        <f t="shared" si="0"/>
        <v>33.278749999999988</v>
      </c>
      <c r="H41" s="16">
        <f t="shared" si="0"/>
        <v>9.118691892543584</v>
      </c>
      <c r="I41" s="16">
        <f t="shared" si="0"/>
        <v>5.3212500000000027</v>
      </c>
      <c r="J41" s="16">
        <f t="shared" si="0"/>
        <v>0.81424122465632032</v>
      </c>
      <c r="K41" s="16">
        <f t="shared" si="0"/>
        <v>111.93083659567993</v>
      </c>
      <c r="L41" s="16">
        <f t="shared" si="0"/>
        <v>3.8940925442805359</v>
      </c>
      <c r="M41" s="16">
        <f t="shared" si="0"/>
        <v>19.239696206842371</v>
      </c>
      <c r="N41" s="16">
        <f t="shared" si="0"/>
        <v>60.923958333333282</v>
      </c>
      <c r="O41" s="16">
        <f t="shared" si="0"/>
        <v>0</v>
      </c>
      <c r="P41" s="16">
        <f t="shared" si="0"/>
        <v>0.23937499999999998</v>
      </c>
      <c r="Q41" s="16">
        <f t="shared" si="0"/>
        <v>0.72752626256328223</v>
      </c>
      <c r="R41" s="16"/>
      <c r="S41" s="16"/>
      <c r="T41" s="16"/>
      <c r="U41" s="16"/>
    </row>
    <row r="42" spans="1:21" s="54" customFormat="1" x14ac:dyDescent="0.25">
      <c r="A42" s="94" t="s">
        <v>60</v>
      </c>
      <c r="B42" s="16">
        <f t="shared" ref="B42:Q42" si="1">MAX(B9:B39)</f>
        <v>70.488958333333343</v>
      </c>
      <c r="C42" s="16">
        <f t="shared" si="1"/>
        <v>74.536458333333329</v>
      </c>
      <c r="D42" s="16">
        <f t="shared" si="1"/>
        <v>91.274999999999991</v>
      </c>
      <c r="E42" s="16">
        <f t="shared" si="1"/>
        <v>9.4874999999999989</v>
      </c>
      <c r="F42" s="16">
        <f t="shared" si="1"/>
        <v>6.7109375000000027</v>
      </c>
      <c r="G42" s="16">
        <f t="shared" si="1"/>
        <v>222.63208333333344</v>
      </c>
      <c r="H42" s="16">
        <f t="shared" si="1"/>
        <v>105.68833333333328</v>
      </c>
      <c r="I42" s="16">
        <f t="shared" si="1"/>
        <v>9.1831250000000022</v>
      </c>
      <c r="J42" s="16">
        <f t="shared" si="1"/>
        <v>2.7794791666666665</v>
      </c>
      <c r="K42" s="16">
        <f t="shared" si="1"/>
        <v>297.90770833333323</v>
      </c>
      <c r="L42" s="16">
        <f t="shared" si="1"/>
        <v>21.641874999999999</v>
      </c>
      <c r="M42" s="16">
        <f t="shared" si="1"/>
        <v>102.58854166666667</v>
      </c>
      <c r="N42" s="16">
        <f t="shared" si="1"/>
        <v>272.39375000000001</v>
      </c>
      <c r="O42" s="16">
        <f t="shared" si="1"/>
        <v>1.8749999999999999E-2</v>
      </c>
      <c r="P42" s="16">
        <f t="shared" si="1"/>
        <v>1.7658333333333325</v>
      </c>
      <c r="Q42" s="16">
        <f t="shared" si="1"/>
        <v>9.8413541666666742</v>
      </c>
      <c r="R42" s="16"/>
      <c r="S42" s="16"/>
      <c r="T42" s="16"/>
      <c r="U42" s="16"/>
    </row>
    <row r="43" spans="1:21" s="54" customFormat="1" x14ac:dyDescent="0.25">
      <c r="A43" s="94" t="s">
        <v>61</v>
      </c>
      <c r="B43" s="16">
        <f t="shared" ref="B43:Q43" si="2">AVERAGE(B9:B39)</f>
        <v>26.867669783489507</v>
      </c>
      <c r="C43" s="16">
        <f t="shared" si="2"/>
        <v>47.83214405453954</v>
      </c>
      <c r="D43" s="16">
        <f t="shared" si="2"/>
        <v>45.132915148110122</v>
      </c>
      <c r="E43" s="16">
        <f t="shared" si="2"/>
        <v>6.5590760657280214</v>
      </c>
      <c r="F43" s="16">
        <f t="shared" si="2"/>
        <v>4.3475889901066802</v>
      </c>
      <c r="G43" s="16">
        <f t="shared" si="2"/>
        <v>86.878386664231115</v>
      </c>
      <c r="H43" s="16">
        <f t="shared" si="2"/>
        <v>39.035888450645885</v>
      </c>
      <c r="I43" s="16">
        <f t="shared" si="2"/>
        <v>7.2642809523809548</v>
      </c>
      <c r="J43" s="16">
        <f t="shared" si="2"/>
        <v>2.0356408459566553</v>
      </c>
      <c r="K43" s="16">
        <f t="shared" si="2"/>
        <v>193.93541341168861</v>
      </c>
      <c r="L43" s="16">
        <f t="shared" si="2"/>
        <v>17.285034571320882</v>
      </c>
      <c r="M43" s="16">
        <f t="shared" si="2"/>
        <v>69.998162243231462</v>
      </c>
      <c r="N43" s="16">
        <f t="shared" si="2"/>
        <v>190.90909817724494</v>
      </c>
      <c r="O43" s="16">
        <f t="shared" si="2"/>
        <v>6.7204301075268812E-4</v>
      </c>
      <c r="P43" s="16">
        <f t="shared" si="2"/>
        <v>0.96591008956814417</v>
      </c>
      <c r="Q43" s="16">
        <f t="shared" si="2"/>
        <v>8.5794557365298942</v>
      </c>
      <c r="R43" s="16"/>
      <c r="S43" s="16"/>
      <c r="T43" s="16"/>
      <c r="U43" s="16"/>
    </row>
    <row r="44" spans="1:21" s="54" customFormat="1" x14ac:dyDescent="0.25">
      <c r="A44" s="94" t="s">
        <v>77</v>
      </c>
      <c r="B44" s="16">
        <f t="shared" ref="B44:Q44" si="3">STDEV(B9:B39)</f>
        <v>17.185454562655792</v>
      </c>
      <c r="C44" s="16">
        <f t="shared" si="3"/>
        <v>14.554205187992601</v>
      </c>
      <c r="D44" s="16">
        <f t="shared" si="3"/>
        <v>18.810028826533237</v>
      </c>
      <c r="E44" s="16">
        <f t="shared" si="3"/>
        <v>1.6253731488003362</v>
      </c>
      <c r="F44" s="16">
        <f t="shared" si="3"/>
        <v>1.0216914437381517</v>
      </c>
      <c r="G44" s="16">
        <f t="shared" si="3"/>
        <v>49.236191086457097</v>
      </c>
      <c r="H44" s="16">
        <f t="shared" si="3"/>
        <v>25.687456240825522</v>
      </c>
      <c r="I44" s="16">
        <f t="shared" si="3"/>
        <v>1.0163245569617059</v>
      </c>
      <c r="J44" s="16">
        <f t="shared" si="3"/>
        <v>0.39243783136454979</v>
      </c>
      <c r="K44" s="16">
        <f t="shared" si="3"/>
        <v>51.859633125795405</v>
      </c>
      <c r="L44" s="16">
        <f t="shared" si="3"/>
        <v>3.1861790732055413</v>
      </c>
      <c r="M44" s="16">
        <f t="shared" si="3"/>
        <v>17.970040042133807</v>
      </c>
      <c r="N44" s="16">
        <f t="shared" si="3"/>
        <v>54.771360654416107</v>
      </c>
      <c r="O44" s="16">
        <f t="shared" si="3"/>
        <v>3.3759042330434967E-3</v>
      </c>
      <c r="P44" s="16">
        <f t="shared" si="3"/>
        <v>0.39946752734608826</v>
      </c>
      <c r="Q44" s="16">
        <f t="shared" si="3"/>
        <v>1.581607477607069</v>
      </c>
      <c r="R44" s="16"/>
      <c r="S44" s="16"/>
      <c r="T44" s="16"/>
      <c r="U44" s="16"/>
    </row>
    <row r="45" spans="1:21" s="54" customFormat="1" x14ac:dyDescent="0.25">
      <c r="A45" s="94" t="s">
        <v>62</v>
      </c>
      <c r="B45" s="13">
        <f>COUNT(B9:B39)+1</f>
        <v>31</v>
      </c>
      <c r="C45" s="13">
        <f t="shared" ref="C45:D45" si="4">COUNT(C9:C39)+1</f>
        <v>31</v>
      </c>
      <c r="D45" s="13">
        <f t="shared" si="4"/>
        <v>31</v>
      </c>
      <c r="E45" s="13">
        <f t="shared" ref="E45:O45" si="5">COUNT(E9:E39)</f>
        <v>31</v>
      </c>
      <c r="F45" s="13">
        <f t="shared" si="5"/>
        <v>31</v>
      </c>
      <c r="G45" s="13">
        <f t="shared" si="5"/>
        <v>31</v>
      </c>
      <c r="H45" s="13">
        <f t="shared" si="5"/>
        <v>31</v>
      </c>
      <c r="I45" s="16">
        <f>COUNT(I9:I39)+3</f>
        <v>28</v>
      </c>
      <c r="J45" s="13">
        <f t="shared" si="5"/>
        <v>31</v>
      </c>
      <c r="K45" s="13">
        <f t="shared" si="5"/>
        <v>31</v>
      </c>
      <c r="L45" s="13">
        <f t="shared" si="5"/>
        <v>31</v>
      </c>
      <c r="M45" s="13">
        <f t="shared" si="5"/>
        <v>31</v>
      </c>
      <c r="N45" s="13">
        <f t="shared" si="5"/>
        <v>31</v>
      </c>
      <c r="O45" s="13">
        <f t="shared" si="5"/>
        <v>31</v>
      </c>
      <c r="P45" s="16">
        <f>COUNT(P9:P39)+1</f>
        <v>31</v>
      </c>
      <c r="Q45" s="16">
        <f>COUNT(Q9:Q39)+1</f>
        <v>31</v>
      </c>
      <c r="R45" s="13"/>
      <c r="S45" s="13"/>
      <c r="T45" s="13"/>
      <c r="U45" s="13"/>
    </row>
    <row r="46" spans="1:21" s="54" customFormat="1" x14ac:dyDescent="0.25">
      <c r="A46" s="94" t="s">
        <v>63</v>
      </c>
      <c r="B46" s="13" t="str">
        <f>IF(B45&gt;=28,"&gt;90%",IF(B45&lt;=28,"&lt;90%"))</f>
        <v>&gt;90%</v>
      </c>
      <c r="C46" s="13" t="str">
        <f t="shared" ref="C46:Q46" si="6">IF(C45&gt;=28,"&gt;90%",IF(C45&lt;=28,"&lt;90%"))</f>
        <v>&gt;90%</v>
      </c>
      <c r="D46" s="13" t="str">
        <f t="shared" si="6"/>
        <v>&gt;90%</v>
      </c>
      <c r="E46" s="13" t="str">
        <f t="shared" si="6"/>
        <v>&gt;90%</v>
      </c>
      <c r="F46" s="13" t="str">
        <f t="shared" si="6"/>
        <v>&gt;90%</v>
      </c>
      <c r="G46" s="13" t="str">
        <f t="shared" si="6"/>
        <v>&gt;90%</v>
      </c>
      <c r="H46" s="13" t="str">
        <f t="shared" si="6"/>
        <v>&gt;90%</v>
      </c>
      <c r="I46" s="13" t="str">
        <f t="shared" si="6"/>
        <v>&gt;90%</v>
      </c>
      <c r="J46" s="13" t="str">
        <f t="shared" si="6"/>
        <v>&gt;90%</v>
      </c>
      <c r="K46" s="13" t="str">
        <f t="shared" si="6"/>
        <v>&gt;90%</v>
      </c>
      <c r="L46" s="13" t="str">
        <f t="shared" si="6"/>
        <v>&gt;90%</v>
      </c>
      <c r="M46" s="13" t="str">
        <f t="shared" si="6"/>
        <v>&gt;90%</v>
      </c>
      <c r="N46" s="13" t="str">
        <f t="shared" si="6"/>
        <v>&gt;90%</v>
      </c>
      <c r="O46" s="13" t="str">
        <f t="shared" si="6"/>
        <v>&gt;90%</v>
      </c>
      <c r="P46" s="13" t="str">
        <f t="shared" si="6"/>
        <v>&gt;90%</v>
      </c>
      <c r="Q46" s="13" t="str">
        <f t="shared" si="6"/>
        <v>&gt;90%</v>
      </c>
      <c r="R46" s="13"/>
      <c r="S46" s="13"/>
      <c r="T46" s="13"/>
      <c r="U46" s="13"/>
    </row>
    <row r="47" spans="1:21" x14ac:dyDescent="0.25">
      <c r="A47" s="94" t="s">
        <v>5</v>
      </c>
      <c r="B47" s="13" t="str">
        <f>IF(B45&gt;=28,"OK",IF(B45&lt;=28,"LESS"))</f>
        <v>OK</v>
      </c>
      <c r="C47" s="13" t="str">
        <f t="shared" ref="C47:Q47" si="7">IF(C45&gt;=28,"OK",IF(C45&lt;=28,"LESS"))</f>
        <v>OK</v>
      </c>
      <c r="D47" s="13" t="str">
        <f t="shared" si="7"/>
        <v>OK</v>
      </c>
      <c r="E47" s="13" t="str">
        <f t="shared" si="7"/>
        <v>OK</v>
      </c>
      <c r="F47" s="13" t="str">
        <f t="shared" si="7"/>
        <v>OK</v>
      </c>
      <c r="G47" s="13" t="str">
        <f t="shared" si="7"/>
        <v>OK</v>
      </c>
      <c r="H47" s="13" t="str">
        <f t="shared" si="7"/>
        <v>OK</v>
      </c>
      <c r="I47" s="13" t="str">
        <f t="shared" si="7"/>
        <v>OK</v>
      </c>
      <c r="J47" s="13" t="str">
        <f t="shared" si="7"/>
        <v>OK</v>
      </c>
      <c r="K47" s="13" t="str">
        <f t="shared" si="7"/>
        <v>OK</v>
      </c>
      <c r="L47" s="13" t="str">
        <f t="shared" si="7"/>
        <v>OK</v>
      </c>
      <c r="M47" s="13" t="str">
        <f t="shared" si="7"/>
        <v>OK</v>
      </c>
      <c r="N47" s="13" t="str">
        <f t="shared" si="7"/>
        <v>OK</v>
      </c>
      <c r="O47" s="13" t="str">
        <f t="shared" si="7"/>
        <v>OK</v>
      </c>
      <c r="P47" s="13" t="str">
        <f t="shared" si="7"/>
        <v>OK</v>
      </c>
      <c r="Q47" s="13" t="str">
        <f t="shared" si="7"/>
        <v>OK</v>
      </c>
      <c r="R47" s="13"/>
      <c r="S47" s="13"/>
      <c r="T47" s="13"/>
      <c r="U47" s="13"/>
    </row>
    <row r="48" spans="1:21" x14ac:dyDescent="0.25"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50" spans="1:16" x14ac:dyDescent="0.25">
      <c r="A50" s="94" t="s">
        <v>64</v>
      </c>
      <c r="B50" s="107" t="s">
        <v>133</v>
      </c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</row>
    <row r="51" spans="1:16" x14ac:dyDescent="0.25">
      <c r="A51" s="97"/>
      <c r="B51" s="54"/>
      <c r="C51" s="54"/>
      <c r="D51" s="2"/>
      <c r="E51" s="2"/>
      <c r="F51" s="2"/>
      <c r="G51" s="2"/>
      <c r="H51" s="2"/>
      <c r="I51" s="2"/>
      <c r="J51" s="54"/>
      <c r="K51" s="54"/>
      <c r="L51" s="54"/>
      <c r="M51" s="54"/>
      <c r="N51" s="54"/>
      <c r="O51" s="54"/>
      <c r="P51" s="54"/>
    </row>
    <row r="52" spans="1:16" ht="15.75" x14ac:dyDescent="0.25">
      <c r="A52" s="98" t="s">
        <v>65</v>
      </c>
      <c r="B52" s="218"/>
      <c r="C52" s="218"/>
      <c r="D52" s="218"/>
      <c r="E52" s="218"/>
      <c r="F52" s="218"/>
      <c r="G52" s="218"/>
      <c r="H52" s="218"/>
      <c r="I52" s="218"/>
      <c r="J52" s="218"/>
      <c r="K52" s="218"/>
      <c r="L52" s="218"/>
      <c r="M52" s="218"/>
      <c r="N52" s="218"/>
      <c r="O52" s="218"/>
      <c r="P52" s="218"/>
    </row>
    <row r="53" spans="1:16" x14ac:dyDescent="0.25">
      <c r="A53" s="97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</row>
    <row r="54" spans="1:16" x14ac:dyDescent="0.25">
      <c r="A54" s="97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</row>
    <row r="55" spans="1:16" x14ac:dyDescent="0.25">
      <c r="A55" s="97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</row>
  </sheetData>
  <mergeCells count="1">
    <mergeCell ref="B52:P52"/>
  </mergeCells>
  <pageMargins left="0.17" right="0.17" top="0.19" bottom="0.16" header="0.17" footer="0.16"/>
  <pageSetup paperSize="9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9"/>
  <sheetViews>
    <sheetView zoomScale="85" zoomScaleNormal="85" workbookViewId="0">
      <selection activeCell="V29" sqref="V29"/>
    </sheetView>
  </sheetViews>
  <sheetFormatPr defaultColWidth="8.85546875" defaultRowHeight="15" x14ac:dyDescent="0.25"/>
  <cols>
    <col min="1" max="1" width="4.5703125" style="24" customWidth="1"/>
    <col min="2" max="2" width="16.140625" style="1" bestFit="1" customWidth="1"/>
    <col min="3" max="3" width="10.28515625" style="19" customWidth="1"/>
    <col min="4" max="7" width="9.140625" style="19" customWidth="1"/>
    <col min="8" max="8" width="9.140625" style="22" customWidth="1"/>
    <col min="9" max="12" width="9.140625" style="19" customWidth="1"/>
    <col min="13" max="13" width="13.28515625" style="19" customWidth="1"/>
    <col min="14" max="14" width="5.7109375" style="19" customWidth="1"/>
    <col min="15" max="15" width="16.140625" style="25" bestFit="1" customWidth="1"/>
    <col min="16" max="16" width="10.85546875" style="25" bestFit="1" customWidth="1"/>
    <col min="17" max="17" width="15.42578125" style="25" customWidth="1"/>
    <col min="18" max="18" width="13.42578125" style="25" customWidth="1"/>
    <col min="19" max="19" width="16.85546875" style="84" customWidth="1"/>
    <col min="20" max="20" width="10" style="84" customWidth="1"/>
    <col min="21" max="21" width="12.85546875" style="25" customWidth="1"/>
    <col min="22" max="22" width="10.7109375" style="25" bestFit="1" customWidth="1"/>
    <col min="23" max="23" width="8.85546875" style="19"/>
    <col min="24" max="24" width="10.85546875" style="19" customWidth="1"/>
    <col min="25" max="16384" width="8.85546875" style="19"/>
  </cols>
  <sheetData>
    <row r="1" spans="2:24" ht="24" customHeight="1" thickBot="1" x14ac:dyDescent="0.3">
      <c r="B1" s="54"/>
      <c r="C1" s="111" t="s">
        <v>9</v>
      </c>
      <c r="D1" s="219" t="s">
        <v>227</v>
      </c>
      <c r="E1" s="219"/>
      <c r="F1" s="219"/>
      <c r="G1" s="219"/>
      <c r="H1" s="219"/>
      <c r="I1" s="219"/>
      <c r="J1" s="220"/>
    </row>
    <row r="2" spans="2:24" ht="22.5" customHeight="1" thickBot="1" x14ac:dyDescent="0.3">
      <c r="B2" s="54"/>
      <c r="C2" s="111" t="s">
        <v>0</v>
      </c>
      <c r="D2" s="112" t="s">
        <v>225</v>
      </c>
      <c r="E2" s="113"/>
      <c r="F2" s="113"/>
      <c r="G2" s="114"/>
      <c r="H2" s="115"/>
      <c r="I2" s="115"/>
      <c r="J2" s="116"/>
    </row>
    <row r="4" spans="2:24" ht="15.75" thickBot="1" x14ac:dyDescent="0.3">
      <c r="S4" s="25"/>
      <c r="T4" s="25"/>
      <c r="U4" s="84"/>
      <c r="V4" s="84"/>
      <c r="W4" s="25"/>
      <c r="X4" s="25"/>
    </row>
    <row r="5" spans="2:24" x14ac:dyDescent="0.25">
      <c r="B5" s="49"/>
      <c r="C5" s="40"/>
      <c r="D5" s="40"/>
      <c r="E5" s="40"/>
      <c r="F5" s="40"/>
      <c r="G5" s="223" t="s">
        <v>1</v>
      </c>
      <c r="H5" s="223"/>
      <c r="I5" s="40"/>
      <c r="J5" s="40"/>
      <c r="K5" s="40"/>
      <c r="L5" s="40"/>
      <c r="M5" s="41"/>
      <c r="O5" s="68"/>
      <c r="P5" s="69"/>
      <c r="Q5" s="69"/>
      <c r="R5" s="69"/>
      <c r="S5" s="208" t="s">
        <v>222</v>
      </c>
      <c r="T5" s="69"/>
      <c r="U5" s="85"/>
      <c r="V5" s="85"/>
      <c r="W5" s="69"/>
      <c r="X5" s="70"/>
    </row>
    <row r="6" spans="2:24" x14ac:dyDescent="0.25">
      <c r="B6" s="43"/>
      <c r="C6" s="37"/>
      <c r="D6" s="37"/>
      <c r="E6" s="37"/>
      <c r="F6" s="37"/>
      <c r="G6" s="37"/>
      <c r="H6" s="61"/>
      <c r="I6" s="37"/>
      <c r="J6" s="37"/>
      <c r="K6" s="37"/>
      <c r="L6" s="37"/>
      <c r="M6" s="42"/>
      <c r="O6" s="71"/>
      <c r="P6" s="64"/>
      <c r="Q6" s="64"/>
      <c r="R6" s="64"/>
      <c r="S6" s="64"/>
      <c r="T6" s="64"/>
      <c r="U6" s="86"/>
      <c r="V6" s="86"/>
      <c r="W6" s="64"/>
      <c r="X6" s="72"/>
    </row>
    <row r="7" spans="2:24" ht="15.75" x14ac:dyDescent="0.3">
      <c r="B7" s="92" t="s">
        <v>10</v>
      </c>
      <c r="C7" s="38" t="s">
        <v>11</v>
      </c>
      <c r="D7" s="38" t="s">
        <v>12</v>
      </c>
      <c r="E7" s="38" t="s">
        <v>13</v>
      </c>
      <c r="F7" s="38" t="s">
        <v>14</v>
      </c>
      <c r="G7" s="38" t="s">
        <v>15</v>
      </c>
      <c r="H7" s="102" t="s">
        <v>16</v>
      </c>
      <c r="I7" s="38" t="s">
        <v>17</v>
      </c>
      <c r="J7" s="38" t="s">
        <v>18</v>
      </c>
      <c r="K7" s="38" t="s">
        <v>19</v>
      </c>
      <c r="L7" s="38" t="s">
        <v>5</v>
      </c>
      <c r="M7" s="29" t="s">
        <v>20</v>
      </c>
      <c r="O7" s="73" t="s">
        <v>10</v>
      </c>
      <c r="P7" s="74" t="s">
        <v>11</v>
      </c>
      <c r="Q7" s="74" t="s">
        <v>76</v>
      </c>
      <c r="R7" s="74" t="s">
        <v>39</v>
      </c>
      <c r="S7" s="74" t="s">
        <v>72</v>
      </c>
      <c r="T7" s="74" t="s">
        <v>73</v>
      </c>
      <c r="U7" s="87" t="s">
        <v>74</v>
      </c>
      <c r="V7" s="87" t="s">
        <v>75</v>
      </c>
      <c r="W7" s="74" t="s">
        <v>5</v>
      </c>
      <c r="X7" s="75" t="s">
        <v>20</v>
      </c>
    </row>
    <row r="8" spans="2:24" ht="15.75" x14ac:dyDescent="0.25">
      <c r="B8" s="63"/>
      <c r="C8" s="60" t="s">
        <v>1</v>
      </c>
      <c r="D8" s="60" t="s">
        <v>51</v>
      </c>
      <c r="E8" s="60">
        <v>0</v>
      </c>
      <c r="F8" s="60">
        <v>200</v>
      </c>
      <c r="G8" s="60">
        <v>0</v>
      </c>
      <c r="H8" s="61"/>
      <c r="I8" s="60">
        <v>0</v>
      </c>
      <c r="J8" s="61" t="e">
        <f>F8/H8</f>
        <v>#DIV/0!</v>
      </c>
      <c r="K8" s="61">
        <f>(H8-F8)*100/F8</f>
        <v>-100</v>
      </c>
      <c r="L8" s="60" t="s">
        <v>67</v>
      </c>
      <c r="M8" s="78" t="s">
        <v>217</v>
      </c>
      <c r="O8" s="63">
        <v>45273.497916666667</v>
      </c>
      <c r="P8" s="64" t="s">
        <v>70</v>
      </c>
      <c r="Q8" s="64">
        <v>5094.75</v>
      </c>
      <c r="R8" s="64">
        <v>3919.01</v>
      </c>
      <c r="S8" s="77" t="s">
        <v>229</v>
      </c>
      <c r="T8" s="77">
        <v>826.69</v>
      </c>
      <c r="U8" s="86">
        <v>0.93489999999999995</v>
      </c>
      <c r="V8" s="86">
        <v>0.95</v>
      </c>
      <c r="W8" s="60" t="s">
        <v>67</v>
      </c>
      <c r="X8" s="78" t="s">
        <v>217</v>
      </c>
    </row>
    <row r="9" spans="2:24" ht="15.75" x14ac:dyDescent="0.25">
      <c r="B9" s="63"/>
      <c r="C9" s="60" t="s">
        <v>1</v>
      </c>
      <c r="D9" s="60" t="s">
        <v>51</v>
      </c>
      <c r="E9" s="60">
        <v>0</v>
      </c>
      <c r="F9" s="60">
        <v>200</v>
      </c>
      <c r="G9" s="60">
        <v>0</v>
      </c>
      <c r="H9" s="61"/>
      <c r="I9" s="60">
        <v>0</v>
      </c>
      <c r="J9" s="61" t="e">
        <f t="shared" ref="J9:J14" si="0">F9/H9</f>
        <v>#DIV/0!</v>
      </c>
      <c r="K9" s="61">
        <f t="shared" ref="K9:K14" si="1">(H9-F9)*100/F9</f>
        <v>-100</v>
      </c>
      <c r="L9" s="60" t="s">
        <v>67</v>
      </c>
      <c r="M9" s="62" t="s">
        <v>217</v>
      </c>
      <c r="O9" s="63">
        <v>45649.5625</v>
      </c>
      <c r="P9" s="64" t="s">
        <v>70</v>
      </c>
      <c r="Q9" s="64">
        <v>4125.24</v>
      </c>
      <c r="R9" s="64">
        <v>3184.21</v>
      </c>
      <c r="S9" s="77" t="s">
        <v>229</v>
      </c>
      <c r="T9" s="77">
        <v>836.15</v>
      </c>
      <c r="U9" s="86">
        <v>0.91339999999999999</v>
      </c>
      <c r="V9" s="86">
        <v>0.90990000000000004</v>
      </c>
      <c r="W9" s="60" t="s">
        <v>67</v>
      </c>
      <c r="X9" s="62" t="s">
        <v>217</v>
      </c>
    </row>
    <row r="10" spans="2:24" ht="15.75" x14ac:dyDescent="0.25">
      <c r="B10" s="63"/>
      <c r="C10" s="60" t="s">
        <v>1</v>
      </c>
      <c r="D10" s="60" t="s">
        <v>51</v>
      </c>
      <c r="E10" s="60">
        <v>0</v>
      </c>
      <c r="F10" s="60">
        <v>200</v>
      </c>
      <c r="G10" s="60">
        <v>0</v>
      </c>
      <c r="H10" s="61"/>
      <c r="I10" s="60">
        <v>0</v>
      </c>
      <c r="J10" s="61" t="e">
        <f t="shared" si="0"/>
        <v>#DIV/0!</v>
      </c>
      <c r="K10" s="61">
        <f t="shared" si="1"/>
        <v>-100</v>
      </c>
      <c r="L10" s="60" t="s">
        <v>67</v>
      </c>
      <c r="M10" s="62" t="s">
        <v>217</v>
      </c>
      <c r="O10" s="63"/>
      <c r="P10" s="64" t="s">
        <v>70</v>
      </c>
      <c r="Q10" s="64"/>
      <c r="R10" s="64"/>
      <c r="S10" s="77" t="s">
        <v>229</v>
      </c>
      <c r="T10" s="77"/>
      <c r="U10" s="86"/>
      <c r="V10" s="86"/>
      <c r="W10" s="60" t="s">
        <v>67</v>
      </c>
      <c r="X10" s="62" t="s">
        <v>217</v>
      </c>
    </row>
    <row r="11" spans="2:24" ht="15.75" x14ac:dyDescent="0.25">
      <c r="B11" s="63"/>
      <c r="C11" s="60" t="s">
        <v>1</v>
      </c>
      <c r="D11" s="60" t="s">
        <v>51</v>
      </c>
      <c r="E11" s="60">
        <v>0</v>
      </c>
      <c r="F11" s="60">
        <v>200</v>
      </c>
      <c r="G11" s="60">
        <v>0</v>
      </c>
      <c r="H11" s="61"/>
      <c r="I11" s="60">
        <v>0</v>
      </c>
      <c r="J11" s="61" t="e">
        <f t="shared" si="0"/>
        <v>#DIV/0!</v>
      </c>
      <c r="K11" s="61">
        <f t="shared" si="1"/>
        <v>-100</v>
      </c>
      <c r="L11" s="60" t="s">
        <v>67</v>
      </c>
      <c r="M11" s="62" t="s">
        <v>217</v>
      </c>
      <c r="O11" s="63"/>
      <c r="P11" s="64" t="s">
        <v>70</v>
      </c>
      <c r="Q11" s="64"/>
      <c r="R11" s="64"/>
      <c r="S11" s="77" t="s">
        <v>229</v>
      </c>
      <c r="T11" s="77"/>
      <c r="U11" s="86"/>
      <c r="V11" s="86"/>
      <c r="W11" s="60" t="s">
        <v>67</v>
      </c>
      <c r="X11" s="62"/>
    </row>
    <row r="12" spans="2:24" ht="15.75" x14ac:dyDescent="0.25">
      <c r="B12" s="63"/>
      <c r="C12" s="60" t="s">
        <v>1</v>
      </c>
      <c r="D12" s="60" t="s">
        <v>51</v>
      </c>
      <c r="E12" s="60">
        <v>0</v>
      </c>
      <c r="F12" s="60">
        <v>100</v>
      </c>
      <c r="G12" s="60">
        <v>0</v>
      </c>
      <c r="H12" s="61"/>
      <c r="I12" s="60">
        <v>0</v>
      </c>
      <c r="J12" s="61" t="e">
        <f t="shared" si="0"/>
        <v>#DIV/0!</v>
      </c>
      <c r="K12" s="61">
        <f t="shared" si="1"/>
        <v>-100</v>
      </c>
      <c r="L12" s="60" t="s">
        <v>67</v>
      </c>
      <c r="M12" s="62"/>
      <c r="O12" s="63"/>
      <c r="P12" s="64" t="s">
        <v>70</v>
      </c>
      <c r="Q12" s="64"/>
      <c r="R12" s="64"/>
      <c r="S12" s="77" t="s">
        <v>229</v>
      </c>
      <c r="T12" s="77"/>
      <c r="U12" s="86"/>
      <c r="V12" s="86"/>
      <c r="W12" s="60" t="s">
        <v>67</v>
      </c>
      <c r="X12" s="62"/>
    </row>
    <row r="13" spans="2:24" ht="15.75" x14ac:dyDescent="0.25">
      <c r="B13" s="63"/>
      <c r="C13" s="60" t="s">
        <v>1</v>
      </c>
      <c r="D13" s="60" t="s">
        <v>51</v>
      </c>
      <c r="E13" s="60">
        <v>0</v>
      </c>
      <c r="F13" s="60">
        <v>100</v>
      </c>
      <c r="G13" s="60">
        <v>0</v>
      </c>
      <c r="H13" s="61"/>
      <c r="I13" s="60">
        <v>0</v>
      </c>
      <c r="J13" s="61" t="e">
        <f t="shared" si="0"/>
        <v>#DIV/0!</v>
      </c>
      <c r="K13" s="61">
        <f t="shared" si="1"/>
        <v>-100</v>
      </c>
      <c r="L13" s="60" t="s">
        <v>67</v>
      </c>
      <c r="M13" s="62"/>
      <c r="O13" s="63"/>
      <c r="P13" s="64" t="s">
        <v>70</v>
      </c>
      <c r="Q13" s="64"/>
      <c r="R13" s="64"/>
      <c r="S13" s="77"/>
      <c r="T13" s="77"/>
      <c r="U13" s="86"/>
      <c r="V13" s="86"/>
      <c r="W13" s="60" t="s">
        <v>67</v>
      </c>
      <c r="X13" s="62"/>
    </row>
    <row r="14" spans="2:24" ht="15.75" x14ac:dyDescent="0.25">
      <c r="B14" s="63"/>
      <c r="C14" s="60" t="s">
        <v>1</v>
      </c>
      <c r="D14" s="60" t="s">
        <v>51</v>
      </c>
      <c r="E14" s="60">
        <v>0</v>
      </c>
      <c r="F14" s="60">
        <v>100</v>
      </c>
      <c r="G14" s="60">
        <v>0</v>
      </c>
      <c r="H14" s="61"/>
      <c r="I14" s="60">
        <v>0</v>
      </c>
      <c r="J14" s="61" t="e">
        <f t="shared" si="0"/>
        <v>#DIV/0!</v>
      </c>
      <c r="K14" s="61">
        <f t="shared" si="1"/>
        <v>-100</v>
      </c>
      <c r="L14" s="60" t="s">
        <v>67</v>
      </c>
      <c r="M14" s="62"/>
      <c r="O14" s="63"/>
      <c r="P14" s="64" t="s">
        <v>70</v>
      </c>
      <c r="Q14" s="64"/>
      <c r="R14" s="64"/>
      <c r="S14" s="77"/>
      <c r="T14" s="77"/>
      <c r="U14" s="86"/>
      <c r="V14" s="86"/>
      <c r="W14" s="60" t="s">
        <v>67</v>
      </c>
      <c r="X14" s="78"/>
    </row>
    <row r="15" spans="2:24" ht="15.75" x14ac:dyDescent="0.25">
      <c r="B15" s="63"/>
      <c r="C15" s="60"/>
      <c r="D15" s="60"/>
      <c r="E15" s="60"/>
      <c r="F15" s="60"/>
      <c r="G15" s="60"/>
      <c r="H15" s="61"/>
      <c r="I15" s="60"/>
      <c r="J15" s="61"/>
      <c r="K15" s="61"/>
      <c r="L15" s="60"/>
      <c r="M15" s="62"/>
      <c r="O15" s="63"/>
      <c r="P15" s="64" t="s">
        <v>70</v>
      </c>
      <c r="Q15" s="64"/>
      <c r="R15" s="64"/>
      <c r="S15" s="77"/>
      <c r="T15" s="77"/>
      <c r="U15" s="86"/>
      <c r="V15" s="86"/>
      <c r="W15" s="60" t="s">
        <v>67</v>
      </c>
      <c r="X15" s="78"/>
    </row>
    <row r="16" spans="2:24" ht="15.75" x14ac:dyDescent="0.25">
      <c r="B16" s="63"/>
      <c r="C16" s="60"/>
      <c r="D16" s="60"/>
      <c r="E16" s="60"/>
      <c r="F16" s="60"/>
      <c r="G16" s="37"/>
      <c r="H16" s="61"/>
      <c r="I16" s="60"/>
      <c r="J16" s="61"/>
      <c r="K16" s="61"/>
      <c r="L16" s="60"/>
      <c r="M16" s="62"/>
      <c r="O16" s="63"/>
      <c r="P16" s="64" t="s">
        <v>70</v>
      </c>
      <c r="Q16" s="64"/>
      <c r="R16" s="64"/>
      <c r="S16" s="77"/>
      <c r="T16" s="77"/>
      <c r="U16" s="86"/>
      <c r="V16" s="86"/>
      <c r="W16" s="60" t="s">
        <v>67</v>
      </c>
      <c r="X16" s="78"/>
    </row>
    <row r="17" spans="2:24" ht="15.75" x14ac:dyDescent="0.25">
      <c r="B17" s="63"/>
      <c r="C17" s="60"/>
      <c r="D17" s="60"/>
      <c r="E17" s="60"/>
      <c r="F17" s="60"/>
      <c r="G17" s="60"/>
      <c r="H17" s="61"/>
      <c r="I17" s="60"/>
      <c r="J17" s="61"/>
      <c r="K17" s="61"/>
      <c r="L17" s="60"/>
      <c r="M17" s="62"/>
      <c r="O17" s="63"/>
      <c r="P17" s="64" t="s">
        <v>70</v>
      </c>
      <c r="Q17" s="64"/>
      <c r="R17" s="64"/>
      <c r="S17" s="77"/>
      <c r="T17" s="77"/>
      <c r="U17" s="86"/>
      <c r="V17" s="86"/>
      <c r="W17" s="60"/>
      <c r="X17" s="78"/>
    </row>
    <row r="18" spans="2:24" ht="15.75" x14ac:dyDescent="0.25">
      <c r="B18" s="59"/>
      <c r="C18" s="60"/>
      <c r="D18" s="60"/>
      <c r="E18" s="60"/>
      <c r="F18" s="60"/>
      <c r="G18" s="37"/>
      <c r="H18" s="61"/>
      <c r="I18" s="60"/>
      <c r="J18" s="61"/>
      <c r="K18" s="61"/>
      <c r="L18" s="60"/>
      <c r="M18" s="62"/>
      <c r="O18" s="76"/>
      <c r="P18" s="64"/>
      <c r="Q18" s="64"/>
      <c r="R18" s="64"/>
      <c r="S18" s="77"/>
      <c r="T18" s="77"/>
      <c r="U18" s="86"/>
      <c r="V18" s="86"/>
      <c r="W18" s="60"/>
      <c r="X18" s="78"/>
    </row>
    <row r="19" spans="2:24" ht="15.75" x14ac:dyDescent="0.25">
      <c r="B19" s="59"/>
      <c r="C19" s="60"/>
      <c r="D19" s="60"/>
      <c r="E19" s="60"/>
      <c r="F19" s="60"/>
      <c r="G19" s="37"/>
      <c r="H19" s="61"/>
      <c r="I19" s="60"/>
      <c r="J19" s="61"/>
      <c r="K19" s="61"/>
      <c r="L19" s="60"/>
      <c r="M19" s="62"/>
      <c r="O19" s="79"/>
      <c r="P19" s="64"/>
      <c r="Q19" s="64"/>
      <c r="R19" s="64"/>
      <c r="S19" s="77"/>
      <c r="T19" s="77"/>
      <c r="U19" s="86"/>
      <c r="V19" s="86"/>
      <c r="W19" s="60"/>
      <c r="X19" s="78"/>
    </row>
    <row r="20" spans="2:24" ht="15.75" x14ac:dyDescent="0.25">
      <c r="B20" s="59"/>
      <c r="C20" s="60"/>
      <c r="D20" s="60"/>
      <c r="E20" s="60"/>
      <c r="F20" s="60"/>
      <c r="G20" s="37"/>
      <c r="H20" s="61"/>
      <c r="I20" s="60"/>
      <c r="J20" s="61"/>
      <c r="K20" s="61"/>
      <c r="L20" s="60"/>
      <c r="M20" s="62"/>
      <c r="O20" s="79"/>
      <c r="P20" s="64"/>
      <c r="Q20" s="64"/>
      <c r="R20" s="64"/>
      <c r="S20" s="77"/>
      <c r="T20" s="77"/>
      <c r="U20" s="86"/>
      <c r="V20" s="86"/>
      <c r="W20" s="60"/>
      <c r="X20" s="78"/>
    </row>
    <row r="21" spans="2:24" ht="15.75" thickBot="1" x14ac:dyDescent="0.3">
      <c r="B21" s="44"/>
      <c r="C21" s="222" t="s">
        <v>25</v>
      </c>
      <c r="D21" s="222"/>
      <c r="E21" s="222"/>
      <c r="F21" s="222"/>
      <c r="G21" s="222"/>
      <c r="H21" s="222"/>
      <c r="I21" s="45">
        <f>COUNT(B8:B20)</f>
        <v>0</v>
      </c>
      <c r="J21" s="46"/>
      <c r="K21" s="46"/>
      <c r="L21" s="47"/>
      <c r="M21" s="48"/>
      <c r="O21" s="80"/>
      <c r="P21" s="224" t="s">
        <v>84</v>
      </c>
      <c r="Q21" s="224"/>
      <c r="R21" s="224"/>
      <c r="S21" s="224"/>
      <c r="T21" s="81">
        <f>COUNT(O8:O20)</f>
        <v>2</v>
      </c>
      <c r="U21" s="88"/>
      <c r="V21" s="88"/>
      <c r="W21" s="82"/>
      <c r="X21" s="83"/>
    </row>
    <row r="22" spans="2:24" x14ac:dyDescent="0.25">
      <c r="C22" s="23"/>
      <c r="D22" s="23"/>
      <c r="E22" s="23"/>
      <c r="F22" s="23"/>
      <c r="G22" s="23"/>
      <c r="H22" s="103"/>
      <c r="J22" s="22"/>
      <c r="K22" s="22"/>
      <c r="S22" s="25"/>
      <c r="T22" s="25"/>
      <c r="U22" s="84"/>
      <c r="V22" s="84"/>
      <c r="W22" s="25"/>
      <c r="X22" s="25"/>
    </row>
    <row r="23" spans="2:24" ht="15.75" thickBot="1" x14ac:dyDescent="0.3">
      <c r="J23" s="22"/>
      <c r="K23" s="22"/>
      <c r="S23" s="25"/>
      <c r="T23" s="25"/>
      <c r="U23" s="84"/>
      <c r="V23" s="84"/>
      <c r="W23" s="25"/>
      <c r="X23" s="25"/>
    </row>
    <row r="24" spans="2:24" s="24" customFormat="1" x14ac:dyDescent="0.25">
      <c r="B24" s="49"/>
      <c r="C24" s="50"/>
      <c r="D24" s="50"/>
      <c r="E24" s="50"/>
      <c r="F24" s="50"/>
      <c r="G24" s="221" t="s">
        <v>2</v>
      </c>
      <c r="H24" s="221"/>
      <c r="I24" s="40"/>
      <c r="J24" s="51"/>
      <c r="K24" s="51"/>
      <c r="L24" s="40"/>
      <c r="M24" s="41"/>
      <c r="O24" s="68"/>
      <c r="P24" s="69"/>
      <c r="Q24" s="69"/>
      <c r="R24" s="69"/>
      <c r="S24" s="208"/>
      <c r="T24" s="69"/>
      <c r="U24" s="85"/>
      <c r="V24" s="85"/>
      <c r="W24" s="69"/>
      <c r="X24" s="70"/>
    </row>
    <row r="25" spans="2:24" s="54" customFormat="1" x14ac:dyDescent="0.25">
      <c r="B25" s="119"/>
      <c r="C25" s="120"/>
      <c r="D25" s="120"/>
      <c r="E25" s="120"/>
      <c r="F25" s="120"/>
      <c r="G25" s="121"/>
      <c r="H25" s="121"/>
      <c r="I25" s="121"/>
      <c r="J25" s="122"/>
      <c r="K25" s="122"/>
      <c r="L25" s="121"/>
      <c r="M25" s="123"/>
      <c r="O25" s="71"/>
      <c r="P25" s="64"/>
      <c r="Q25" s="64"/>
      <c r="R25" s="64"/>
      <c r="S25" s="64"/>
      <c r="T25" s="64"/>
      <c r="U25" s="86"/>
      <c r="V25" s="86"/>
      <c r="W25" s="64"/>
      <c r="X25" s="72"/>
    </row>
    <row r="26" spans="2:24" s="24" customFormat="1" ht="15.75" x14ac:dyDescent="0.3">
      <c r="B26" s="92" t="s">
        <v>10</v>
      </c>
      <c r="C26" s="38" t="s">
        <v>11</v>
      </c>
      <c r="D26" s="38" t="s">
        <v>12</v>
      </c>
      <c r="E26" s="38" t="s">
        <v>13</v>
      </c>
      <c r="F26" s="38" t="s">
        <v>14</v>
      </c>
      <c r="G26" s="38" t="s">
        <v>15</v>
      </c>
      <c r="H26" s="102" t="s">
        <v>16</v>
      </c>
      <c r="I26" s="38" t="s">
        <v>17</v>
      </c>
      <c r="J26" s="38" t="s">
        <v>18</v>
      </c>
      <c r="K26" s="38" t="s">
        <v>19</v>
      </c>
      <c r="L26" s="38" t="s">
        <v>5</v>
      </c>
      <c r="M26" s="29" t="s">
        <v>20</v>
      </c>
      <c r="O26" s="73" t="s">
        <v>10</v>
      </c>
      <c r="P26" s="74" t="s">
        <v>11</v>
      </c>
      <c r="Q26" s="74" t="s">
        <v>76</v>
      </c>
      <c r="R26" s="74" t="s">
        <v>39</v>
      </c>
      <c r="S26" s="74" t="s">
        <v>72</v>
      </c>
      <c r="T26" s="74" t="s">
        <v>73</v>
      </c>
      <c r="U26" s="87" t="s">
        <v>74</v>
      </c>
      <c r="V26" s="87" t="s">
        <v>75</v>
      </c>
      <c r="W26" s="74" t="s">
        <v>5</v>
      </c>
      <c r="X26" s="75" t="s">
        <v>20</v>
      </c>
    </row>
    <row r="27" spans="2:24" s="24" customFormat="1" ht="15.75" x14ac:dyDescent="0.25">
      <c r="B27" s="63">
        <v>45020.524305555555</v>
      </c>
      <c r="C27" s="60" t="s">
        <v>68</v>
      </c>
      <c r="D27" s="60" t="s">
        <v>51</v>
      </c>
      <c r="E27" s="60">
        <v>0</v>
      </c>
      <c r="F27" s="60">
        <v>200</v>
      </c>
      <c r="G27" s="60"/>
      <c r="H27" s="61">
        <v>215.02</v>
      </c>
      <c r="I27" s="60">
        <v>0</v>
      </c>
      <c r="J27" s="61">
        <f>F27/H27</f>
        <v>0.93014603292716957</v>
      </c>
      <c r="K27" s="61">
        <f>(H27-F27)*100/F27</f>
        <v>7.5100000000000042</v>
      </c>
      <c r="L27" s="60" t="s">
        <v>67</v>
      </c>
      <c r="M27" s="78" t="s">
        <v>217</v>
      </c>
      <c r="O27" s="63">
        <v>45273.497916666667</v>
      </c>
      <c r="P27" s="64" t="s">
        <v>71</v>
      </c>
      <c r="Q27" s="64">
        <v>4951.96</v>
      </c>
      <c r="R27" s="64">
        <v>3900.55</v>
      </c>
      <c r="S27" s="77" t="s">
        <v>228</v>
      </c>
      <c r="T27" s="77">
        <v>800.88</v>
      </c>
      <c r="U27" s="86">
        <v>0.99790000000000001</v>
      </c>
      <c r="V27" s="86">
        <v>1.0043</v>
      </c>
      <c r="W27" s="60" t="s">
        <v>67</v>
      </c>
      <c r="X27" s="78" t="s">
        <v>217</v>
      </c>
    </row>
    <row r="28" spans="2:24" s="24" customFormat="1" ht="15.75" x14ac:dyDescent="0.25">
      <c r="B28" s="63"/>
      <c r="C28" s="60" t="s">
        <v>68</v>
      </c>
      <c r="D28" s="60" t="s">
        <v>51</v>
      </c>
      <c r="E28" s="60">
        <v>0</v>
      </c>
      <c r="F28" s="60">
        <v>200</v>
      </c>
      <c r="G28" s="60"/>
      <c r="H28" s="61"/>
      <c r="I28" s="60">
        <v>0</v>
      </c>
      <c r="J28" s="61" t="e">
        <f t="shared" ref="J28:J33" si="2">F28/H28</f>
        <v>#DIV/0!</v>
      </c>
      <c r="K28" s="61">
        <f t="shared" ref="K28:K33" si="3">(H28-F28)*100/F28</f>
        <v>-100</v>
      </c>
      <c r="L28" s="60" t="s">
        <v>67</v>
      </c>
      <c r="M28" s="62" t="s">
        <v>223</v>
      </c>
      <c r="O28" s="63">
        <v>45649.5625</v>
      </c>
      <c r="P28" s="64" t="s">
        <v>71</v>
      </c>
      <c r="Q28" s="64">
        <v>3846.24</v>
      </c>
      <c r="R28" s="64">
        <v>2946.26</v>
      </c>
      <c r="S28" s="77" t="s">
        <v>228</v>
      </c>
      <c r="T28" s="77">
        <v>804.23</v>
      </c>
      <c r="U28" s="86">
        <v>0.91259999999999997</v>
      </c>
      <c r="V28" s="86">
        <v>0.91310000000000002</v>
      </c>
      <c r="W28" s="60" t="s">
        <v>67</v>
      </c>
      <c r="X28" s="62" t="s">
        <v>217</v>
      </c>
    </row>
    <row r="29" spans="2:24" s="24" customFormat="1" ht="15.75" x14ac:dyDescent="0.25">
      <c r="B29" s="63"/>
      <c r="C29" s="60" t="s">
        <v>68</v>
      </c>
      <c r="D29" s="60" t="s">
        <v>51</v>
      </c>
      <c r="E29" s="60">
        <v>0</v>
      </c>
      <c r="F29" s="60">
        <v>200</v>
      </c>
      <c r="G29" s="60"/>
      <c r="H29" s="61"/>
      <c r="I29" s="60">
        <v>0</v>
      </c>
      <c r="J29" s="61" t="e">
        <f t="shared" si="2"/>
        <v>#DIV/0!</v>
      </c>
      <c r="K29" s="61">
        <f t="shared" si="3"/>
        <v>-100</v>
      </c>
      <c r="L29" s="60" t="s">
        <v>67</v>
      </c>
      <c r="M29" s="62" t="s">
        <v>224</v>
      </c>
      <c r="O29" s="63"/>
      <c r="P29" s="64" t="s">
        <v>71</v>
      </c>
      <c r="Q29" s="64"/>
      <c r="R29" s="64"/>
      <c r="S29" s="77" t="s">
        <v>228</v>
      </c>
      <c r="T29" s="77"/>
      <c r="U29" s="86"/>
      <c r="V29" s="86"/>
      <c r="W29" s="60" t="s">
        <v>67</v>
      </c>
      <c r="X29" s="62" t="s">
        <v>217</v>
      </c>
    </row>
    <row r="30" spans="2:24" s="24" customFormat="1" ht="15.75" x14ac:dyDescent="0.25">
      <c r="B30" s="63"/>
      <c r="C30" s="60" t="s">
        <v>68</v>
      </c>
      <c r="D30" s="60" t="s">
        <v>51</v>
      </c>
      <c r="E30" s="60">
        <v>0</v>
      </c>
      <c r="F30" s="60">
        <v>200</v>
      </c>
      <c r="G30" s="60"/>
      <c r="H30" s="61"/>
      <c r="I30" s="60">
        <v>0</v>
      </c>
      <c r="J30" s="61" t="e">
        <f t="shared" si="2"/>
        <v>#DIV/0!</v>
      </c>
      <c r="K30" s="61">
        <f t="shared" si="3"/>
        <v>-100</v>
      </c>
      <c r="L30" s="60" t="s">
        <v>67</v>
      </c>
      <c r="M30" s="62" t="s">
        <v>224</v>
      </c>
      <c r="O30" s="63"/>
      <c r="P30" s="64" t="s">
        <v>71</v>
      </c>
      <c r="Q30" s="64"/>
      <c r="R30" s="64"/>
      <c r="S30" s="77" t="s">
        <v>228</v>
      </c>
      <c r="T30" s="77"/>
      <c r="U30" s="86"/>
      <c r="V30" s="86"/>
      <c r="W30" s="60" t="s">
        <v>67</v>
      </c>
      <c r="X30" s="62"/>
    </row>
    <row r="31" spans="2:24" s="24" customFormat="1" ht="15.75" x14ac:dyDescent="0.25">
      <c r="B31" s="63"/>
      <c r="C31" s="60" t="s">
        <v>68</v>
      </c>
      <c r="D31" s="60" t="s">
        <v>51</v>
      </c>
      <c r="E31" s="60">
        <v>0</v>
      </c>
      <c r="F31" s="60">
        <v>200</v>
      </c>
      <c r="G31" s="60"/>
      <c r="H31" s="61"/>
      <c r="I31" s="60">
        <v>0</v>
      </c>
      <c r="J31" s="61" t="e">
        <f t="shared" si="2"/>
        <v>#DIV/0!</v>
      </c>
      <c r="K31" s="61">
        <f t="shared" si="3"/>
        <v>-100</v>
      </c>
      <c r="L31" s="60" t="s">
        <v>67</v>
      </c>
      <c r="M31" s="62"/>
      <c r="O31" s="63"/>
      <c r="P31" s="64" t="s">
        <v>71</v>
      </c>
      <c r="Q31" s="64"/>
      <c r="R31" s="64"/>
      <c r="S31" s="77"/>
      <c r="T31" s="77"/>
      <c r="U31" s="86"/>
      <c r="V31" s="86"/>
      <c r="W31" s="60" t="s">
        <v>67</v>
      </c>
      <c r="X31" s="62"/>
    </row>
    <row r="32" spans="2:24" s="24" customFormat="1" ht="15.75" x14ac:dyDescent="0.25">
      <c r="B32" s="63"/>
      <c r="C32" s="60" t="s">
        <v>68</v>
      </c>
      <c r="D32" s="60" t="s">
        <v>51</v>
      </c>
      <c r="E32" s="60">
        <v>0</v>
      </c>
      <c r="F32" s="60">
        <v>200</v>
      </c>
      <c r="G32" s="60"/>
      <c r="H32" s="61"/>
      <c r="I32" s="60">
        <v>0</v>
      </c>
      <c r="J32" s="61" t="e">
        <f t="shared" si="2"/>
        <v>#DIV/0!</v>
      </c>
      <c r="K32" s="61">
        <f t="shared" si="3"/>
        <v>-100</v>
      </c>
      <c r="L32" s="60" t="s">
        <v>67</v>
      </c>
      <c r="M32" s="62"/>
      <c r="O32" s="63"/>
      <c r="P32" s="64" t="s">
        <v>71</v>
      </c>
      <c r="Q32" s="64"/>
      <c r="R32" s="64"/>
      <c r="S32" s="77"/>
      <c r="T32" s="77"/>
      <c r="U32" s="86"/>
      <c r="V32" s="86"/>
      <c r="W32" s="60" t="s">
        <v>67</v>
      </c>
      <c r="X32" s="62"/>
    </row>
    <row r="33" spans="2:24" s="24" customFormat="1" ht="15.75" x14ac:dyDescent="0.25">
      <c r="B33" s="63"/>
      <c r="C33" s="60" t="s">
        <v>68</v>
      </c>
      <c r="D33" s="60" t="s">
        <v>51</v>
      </c>
      <c r="E33" s="60">
        <v>0</v>
      </c>
      <c r="F33" s="60"/>
      <c r="G33" s="60"/>
      <c r="H33" s="61"/>
      <c r="I33" s="60">
        <v>0</v>
      </c>
      <c r="J33" s="61" t="e">
        <f t="shared" si="2"/>
        <v>#DIV/0!</v>
      </c>
      <c r="K33" s="61" t="e">
        <f t="shared" si="3"/>
        <v>#DIV/0!</v>
      </c>
      <c r="L33" s="60" t="s">
        <v>67</v>
      </c>
      <c r="M33" s="62"/>
      <c r="O33" s="63"/>
      <c r="P33" s="64" t="s">
        <v>71</v>
      </c>
      <c r="Q33" s="64"/>
      <c r="R33" s="64"/>
      <c r="S33" s="77"/>
      <c r="T33" s="77"/>
      <c r="U33" s="86"/>
      <c r="V33" s="86"/>
      <c r="W33" s="60" t="s">
        <v>67</v>
      </c>
      <c r="X33" s="78"/>
    </row>
    <row r="34" spans="2:24" s="24" customFormat="1" ht="15.75" x14ac:dyDescent="0.25">
      <c r="B34" s="63"/>
      <c r="C34" s="60"/>
      <c r="D34" s="60"/>
      <c r="E34" s="60"/>
      <c r="F34" s="60"/>
      <c r="G34" s="60"/>
      <c r="H34" s="61"/>
      <c r="I34" s="60"/>
      <c r="J34" s="61"/>
      <c r="K34" s="61"/>
      <c r="L34" s="60"/>
      <c r="M34" s="62"/>
      <c r="N34" s="54"/>
      <c r="O34" s="63"/>
      <c r="P34" s="64" t="s">
        <v>71</v>
      </c>
      <c r="Q34" s="64"/>
      <c r="R34" s="64"/>
      <c r="S34" s="77"/>
      <c r="T34" s="77"/>
      <c r="U34" s="86"/>
      <c r="V34" s="86"/>
      <c r="W34" s="60" t="s">
        <v>67</v>
      </c>
      <c r="X34" s="78"/>
    </row>
    <row r="35" spans="2:24" s="24" customFormat="1" ht="15.75" x14ac:dyDescent="0.25">
      <c r="B35" s="63"/>
      <c r="C35" s="60"/>
      <c r="D35" s="60"/>
      <c r="E35" s="60"/>
      <c r="F35" s="60"/>
      <c r="G35" s="37"/>
      <c r="H35" s="61"/>
      <c r="I35" s="60"/>
      <c r="J35" s="61"/>
      <c r="K35" s="61"/>
      <c r="L35" s="60"/>
      <c r="M35" s="62"/>
      <c r="O35" s="63"/>
      <c r="P35" s="64" t="s">
        <v>71</v>
      </c>
      <c r="Q35" s="64"/>
      <c r="R35" s="64"/>
      <c r="S35" s="77"/>
      <c r="T35" s="77"/>
      <c r="U35" s="86"/>
      <c r="V35" s="86"/>
      <c r="W35" s="60" t="s">
        <v>67</v>
      </c>
      <c r="X35" s="78"/>
    </row>
    <row r="36" spans="2:24" s="24" customFormat="1" ht="15.75" x14ac:dyDescent="0.25">
      <c r="B36" s="63"/>
      <c r="C36" s="60"/>
      <c r="D36" s="60"/>
      <c r="E36" s="60"/>
      <c r="F36" s="60"/>
      <c r="G36" s="60"/>
      <c r="H36" s="61"/>
      <c r="I36" s="60"/>
      <c r="J36" s="61"/>
      <c r="K36" s="61"/>
      <c r="L36" s="60"/>
      <c r="M36" s="62"/>
      <c r="O36" s="63"/>
      <c r="P36" s="64" t="s">
        <v>71</v>
      </c>
      <c r="Q36" s="64"/>
      <c r="R36" s="64"/>
      <c r="S36" s="77"/>
      <c r="T36" s="77"/>
      <c r="U36" s="86"/>
      <c r="V36" s="86"/>
      <c r="W36" s="60"/>
      <c r="X36" s="78"/>
    </row>
    <row r="37" spans="2:24" s="24" customFormat="1" ht="15.75" x14ac:dyDescent="0.25">
      <c r="B37" s="59"/>
      <c r="C37" s="60"/>
      <c r="D37" s="60"/>
      <c r="E37" s="60"/>
      <c r="F37" s="60"/>
      <c r="G37" s="37"/>
      <c r="H37" s="61"/>
      <c r="I37" s="60"/>
      <c r="J37" s="61"/>
      <c r="K37" s="61"/>
      <c r="L37" s="60"/>
      <c r="M37" s="62"/>
      <c r="O37" s="76"/>
      <c r="P37" s="64" t="s">
        <v>71</v>
      </c>
      <c r="Q37" s="64"/>
      <c r="R37" s="64"/>
      <c r="S37" s="77"/>
      <c r="T37" s="77"/>
      <c r="U37" s="86"/>
      <c r="V37" s="86"/>
      <c r="W37" s="60"/>
      <c r="X37" s="78"/>
    </row>
    <row r="38" spans="2:24" s="24" customFormat="1" ht="15.75" x14ac:dyDescent="0.25">
      <c r="B38" s="59"/>
      <c r="C38" s="60"/>
      <c r="D38" s="60"/>
      <c r="E38" s="60"/>
      <c r="F38" s="60"/>
      <c r="G38" s="37"/>
      <c r="H38" s="61"/>
      <c r="I38" s="60"/>
      <c r="J38" s="61"/>
      <c r="K38" s="61"/>
      <c r="L38" s="60"/>
      <c r="M38" s="62"/>
      <c r="O38" s="79"/>
      <c r="P38" s="64"/>
      <c r="Q38" s="64"/>
      <c r="R38" s="64"/>
      <c r="S38" s="77"/>
      <c r="T38" s="77"/>
      <c r="U38" s="86"/>
      <c r="V38" s="86"/>
      <c r="W38" s="60"/>
      <c r="X38" s="78"/>
    </row>
    <row r="39" spans="2:24" s="24" customFormat="1" ht="15.75" x14ac:dyDescent="0.25">
      <c r="B39" s="59"/>
      <c r="C39" s="60"/>
      <c r="D39" s="60"/>
      <c r="E39" s="60"/>
      <c r="F39" s="60"/>
      <c r="G39" s="37"/>
      <c r="H39" s="61"/>
      <c r="I39" s="60"/>
      <c r="J39" s="61"/>
      <c r="K39" s="61"/>
      <c r="L39" s="60"/>
      <c r="M39" s="62"/>
      <c r="O39" s="79"/>
      <c r="P39" s="64"/>
      <c r="Q39" s="64"/>
      <c r="R39" s="64"/>
      <c r="S39" s="77"/>
      <c r="T39" s="77"/>
      <c r="U39" s="86"/>
      <c r="V39" s="86"/>
      <c r="W39" s="60"/>
      <c r="X39" s="78"/>
    </row>
    <row r="40" spans="2:24" s="24" customFormat="1" ht="16.5" thickBot="1" x14ac:dyDescent="0.3">
      <c r="B40" s="43"/>
      <c r="C40" s="60"/>
      <c r="D40" s="60"/>
      <c r="E40" s="60"/>
      <c r="F40" s="60"/>
      <c r="G40" s="37"/>
      <c r="H40" s="61"/>
      <c r="I40" s="60"/>
      <c r="J40" s="61"/>
      <c r="K40" s="61"/>
      <c r="L40" s="60"/>
      <c r="M40" s="62"/>
      <c r="O40" s="80"/>
      <c r="P40" s="224" t="s">
        <v>85</v>
      </c>
      <c r="Q40" s="224"/>
      <c r="R40" s="224"/>
      <c r="S40" s="224"/>
      <c r="T40" s="81">
        <f>COUNT(O27:O39)</f>
        <v>2</v>
      </c>
      <c r="U40" s="88"/>
      <c r="V40" s="88"/>
      <c r="W40" s="82"/>
      <c r="X40" s="83"/>
    </row>
    <row r="41" spans="2:24" s="24" customFormat="1" ht="15.75" thickBot="1" x14ac:dyDescent="0.3">
      <c r="B41" s="44"/>
      <c r="C41" s="47"/>
      <c r="D41" s="222" t="s">
        <v>26</v>
      </c>
      <c r="E41" s="222"/>
      <c r="F41" s="222"/>
      <c r="G41" s="222"/>
      <c r="H41" s="222"/>
      <c r="I41" s="222"/>
      <c r="J41" s="52">
        <f>COUNT(B27:B39)</f>
        <v>1</v>
      </c>
      <c r="K41" s="46"/>
      <c r="L41" s="47"/>
      <c r="M41" s="48"/>
      <c r="O41" s="25"/>
      <c r="P41" s="25"/>
      <c r="Q41" s="25"/>
      <c r="R41" s="25"/>
      <c r="S41" s="25"/>
      <c r="T41" s="25"/>
      <c r="U41" s="84"/>
      <c r="V41" s="84"/>
      <c r="W41" s="25"/>
      <c r="X41" s="25"/>
    </row>
    <row r="42" spans="2:24" s="24" customFormat="1" x14ac:dyDescent="0.25">
      <c r="B42" s="1"/>
      <c r="C42" s="19"/>
      <c r="D42" s="19"/>
      <c r="E42" s="19"/>
      <c r="F42" s="19"/>
      <c r="G42" s="19"/>
      <c r="H42" s="22"/>
      <c r="I42" s="19"/>
      <c r="J42" s="19"/>
      <c r="K42" s="19"/>
      <c r="L42" s="19"/>
      <c r="M42" s="19"/>
      <c r="O42" s="25"/>
      <c r="P42" s="25"/>
      <c r="Q42" s="25"/>
      <c r="R42" s="25"/>
      <c r="S42" s="84"/>
      <c r="T42" s="84"/>
      <c r="U42" s="25"/>
      <c r="V42" s="25"/>
    </row>
    <row r="43" spans="2:24" ht="15.75" thickBot="1" x14ac:dyDescent="0.3"/>
    <row r="44" spans="2:24" x14ac:dyDescent="0.25">
      <c r="B44" s="49"/>
      <c r="C44" s="50"/>
      <c r="D44" s="50"/>
      <c r="E44" s="50"/>
      <c r="F44" s="50"/>
      <c r="G44" s="221" t="s">
        <v>23</v>
      </c>
      <c r="H44" s="221"/>
      <c r="I44" s="40"/>
      <c r="J44" s="51"/>
      <c r="K44" s="51"/>
      <c r="L44" s="40"/>
      <c r="M44" s="41"/>
    </row>
    <row r="45" spans="2:24" s="24" customFormat="1" x14ac:dyDescent="0.25">
      <c r="B45" s="43"/>
      <c r="C45" s="37"/>
      <c r="D45" s="37"/>
      <c r="E45" s="37"/>
      <c r="F45" s="37"/>
      <c r="G45" s="37"/>
      <c r="H45" s="61"/>
      <c r="I45" s="37"/>
      <c r="J45" s="39"/>
      <c r="K45" s="39"/>
      <c r="L45" s="37"/>
      <c r="M45" s="42"/>
      <c r="O45" s="25"/>
      <c r="P45" s="25"/>
      <c r="Q45" s="25"/>
      <c r="R45" s="25"/>
      <c r="S45" s="84"/>
      <c r="T45" s="84"/>
      <c r="U45" s="25"/>
      <c r="V45" s="25"/>
    </row>
    <row r="46" spans="2:24" s="24" customFormat="1" ht="15.75" x14ac:dyDescent="0.3">
      <c r="B46" s="92" t="s">
        <v>10</v>
      </c>
      <c r="C46" s="38" t="s">
        <v>11</v>
      </c>
      <c r="D46" s="38" t="s">
        <v>12</v>
      </c>
      <c r="E46" s="38" t="s">
        <v>13</v>
      </c>
      <c r="F46" s="38" t="s">
        <v>14</v>
      </c>
      <c r="G46" s="38" t="s">
        <v>15</v>
      </c>
      <c r="H46" s="102" t="s">
        <v>16</v>
      </c>
      <c r="I46" s="38" t="s">
        <v>17</v>
      </c>
      <c r="J46" s="38" t="s">
        <v>18</v>
      </c>
      <c r="K46" s="38" t="s">
        <v>19</v>
      </c>
      <c r="L46" s="38" t="s">
        <v>5</v>
      </c>
      <c r="M46" s="29" t="s">
        <v>20</v>
      </c>
      <c r="O46" s="25"/>
      <c r="P46" s="25"/>
      <c r="Q46" s="25"/>
      <c r="R46" s="25"/>
      <c r="S46" s="84"/>
      <c r="T46" s="84"/>
      <c r="U46" s="25"/>
      <c r="V46" s="25"/>
    </row>
    <row r="47" spans="2:24" s="24" customFormat="1" ht="15.75" x14ac:dyDescent="0.25">
      <c r="B47" s="63"/>
      <c r="C47" s="60" t="s">
        <v>23</v>
      </c>
      <c r="D47" s="60" t="s">
        <v>51</v>
      </c>
      <c r="E47" s="60">
        <v>0</v>
      </c>
      <c r="F47" s="60">
        <v>300</v>
      </c>
      <c r="G47" s="60">
        <v>0</v>
      </c>
      <c r="H47" s="61"/>
      <c r="I47" s="60">
        <v>0</v>
      </c>
      <c r="J47" s="61" t="e">
        <f>F47/H47</f>
        <v>#DIV/0!</v>
      </c>
      <c r="K47" s="61">
        <f>(H47-F47)*100/F47</f>
        <v>-100</v>
      </c>
      <c r="L47" s="60" t="s">
        <v>67</v>
      </c>
      <c r="M47" s="62" t="s">
        <v>223</v>
      </c>
      <c r="O47" s="25"/>
      <c r="P47" s="25"/>
      <c r="Q47" s="25"/>
      <c r="R47" s="25"/>
      <c r="S47" s="84"/>
      <c r="T47" s="84"/>
      <c r="U47" s="25"/>
      <c r="V47" s="25"/>
    </row>
    <row r="48" spans="2:24" s="24" customFormat="1" ht="15.75" x14ac:dyDescent="0.25">
      <c r="B48" s="63"/>
      <c r="C48" s="60" t="s">
        <v>23</v>
      </c>
      <c r="D48" s="60" t="s">
        <v>51</v>
      </c>
      <c r="E48" s="60">
        <v>0</v>
      </c>
      <c r="F48" s="60">
        <v>300</v>
      </c>
      <c r="G48" s="60">
        <v>1.2</v>
      </c>
      <c r="H48" s="61"/>
      <c r="I48" s="60">
        <v>0</v>
      </c>
      <c r="J48" s="61" t="e">
        <f>F48/H48</f>
        <v>#DIV/0!</v>
      </c>
      <c r="K48" s="61">
        <f>(H48-F48)*100/F48</f>
        <v>-100</v>
      </c>
      <c r="L48" s="60" t="s">
        <v>67</v>
      </c>
      <c r="M48" s="62"/>
      <c r="O48" s="25"/>
      <c r="P48" s="25"/>
      <c r="Q48" s="25"/>
      <c r="R48" s="25"/>
      <c r="S48" s="84"/>
      <c r="T48" s="84"/>
      <c r="U48" s="25"/>
      <c r="V48" s="25"/>
    </row>
    <row r="49" spans="2:22" s="24" customFormat="1" ht="15.75" x14ac:dyDescent="0.25">
      <c r="B49" s="63"/>
      <c r="C49" s="60" t="s">
        <v>23</v>
      </c>
      <c r="D49" s="60" t="s">
        <v>51</v>
      </c>
      <c r="E49" s="60">
        <v>0</v>
      </c>
      <c r="F49" s="60"/>
      <c r="G49" s="60">
        <v>0</v>
      </c>
      <c r="H49" s="61"/>
      <c r="I49" s="60">
        <v>0</v>
      </c>
      <c r="J49" s="61" t="e">
        <f>F49/H49</f>
        <v>#DIV/0!</v>
      </c>
      <c r="K49" s="61" t="e">
        <f>(H49-F49)*100/F49</f>
        <v>#DIV/0!</v>
      </c>
      <c r="L49" s="60" t="s">
        <v>67</v>
      </c>
      <c r="M49" s="62"/>
      <c r="O49" s="25"/>
      <c r="P49" s="25"/>
      <c r="Q49" s="25"/>
      <c r="R49" s="25"/>
      <c r="S49" s="84"/>
      <c r="T49" s="84"/>
      <c r="U49" s="25"/>
      <c r="V49" s="25"/>
    </row>
    <row r="50" spans="2:22" s="24" customFormat="1" ht="15.75" x14ac:dyDescent="0.25">
      <c r="B50" s="63"/>
      <c r="C50" s="60" t="s">
        <v>23</v>
      </c>
      <c r="D50" s="60" t="s">
        <v>51</v>
      </c>
      <c r="E50" s="60">
        <v>0</v>
      </c>
      <c r="F50" s="60"/>
      <c r="G50" s="60">
        <v>0</v>
      </c>
      <c r="H50" s="61"/>
      <c r="I50" s="60">
        <v>0</v>
      </c>
      <c r="J50" s="61" t="e">
        <f>F50/H50</f>
        <v>#DIV/0!</v>
      </c>
      <c r="K50" s="61" t="e">
        <f>(H50-F50)*100/F50</f>
        <v>#DIV/0!</v>
      </c>
      <c r="L50" s="60" t="s">
        <v>67</v>
      </c>
      <c r="M50" s="62"/>
      <c r="O50" s="25"/>
      <c r="P50" s="25"/>
      <c r="Q50" s="25"/>
      <c r="R50" s="25"/>
      <c r="S50" s="84"/>
      <c r="T50" s="84"/>
      <c r="U50" s="25"/>
      <c r="V50" s="25"/>
    </row>
    <row r="51" spans="2:22" s="24" customFormat="1" ht="15.75" x14ac:dyDescent="0.25">
      <c r="B51" s="63"/>
      <c r="C51" s="60" t="s">
        <v>23</v>
      </c>
      <c r="D51" s="60" t="s">
        <v>51</v>
      </c>
      <c r="E51" s="60">
        <v>0</v>
      </c>
      <c r="F51" s="60"/>
      <c r="G51" s="60">
        <v>0</v>
      </c>
      <c r="H51" s="61"/>
      <c r="I51" s="60">
        <v>0</v>
      </c>
      <c r="J51" s="61" t="e">
        <f>F51/H51</f>
        <v>#DIV/0!</v>
      </c>
      <c r="K51" s="61" t="e">
        <f>(H51-F51)*100/F51</f>
        <v>#DIV/0!</v>
      </c>
      <c r="L51" s="60" t="s">
        <v>67</v>
      </c>
      <c r="M51" s="62"/>
      <c r="O51" s="25"/>
      <c r="P51" s="25"/>
      <c r="Q51" s="25"/>
      <c r="R51" s="25"/>
      <c r="S51" s="84"/>
      <c r="T51" s="84"/>
      <c r="U51" s="25"/>
      <c r="V51" s="25"/>
    </row>
    <row r="52" spans="2:22" s="24" customFormat="1" ht="15.75" x14ac:dyDescent="0.25">
      <c r="B52" s="59"/>
      <c r="C52" s="60"/>
      <c r="D52" s="60"/>
      <c r="E52" s="60"/>
      <c r="F52" s="60"/>
      <c r="G52" s="60"/>
      <c r="H52" s="61"/>
      <c r="I52" s="60"/>
      <c r="J52" s="61"/>
      <c r="K52" s="61"/>
      <c r="L52" s="60"/>
      <c r="M52" s="62"/>
      <c r="O52" s="25"/>
      <c r="P52" s="25"/>
      <c r="Q52" s="25"/>
      <c r="R52" s="25"/>
      <c r="S52" s="84"/>
      <c r="T52" s="84"/>
      <c r="U52" s="25"/>
      <c r="V52" s="25"/>
    </row>
    <row r="53" spans="2:22" s="24" customFormat="1" ht="15.75" x14ac:dyDescent="0.25">
      <c r="B53" s="59"/>
      <c r="C53" s="60"/>
      <c r="D53" s="60"/>
      <c r="E53" s="60"/>
      <c r="F53" s="60"/>
      <c r="G53" s="60"/>
      <c r="H53" s="61"/>
      <c r="I53" s="60"/>
      <c r="J53" s="61"/>
      <c r="K53" s="61"/>
      <c r="L53" s="60"/>
      <c r="M53" s="62"/>
      <c r="O53" s="25"/>
      <c r="P53" s="25"/>
      <c r="Q53" s="25"/>
      <c r="R53" s="25"/>
      <c r="S53" s="84"/>
      <c r="T53" s="84"/>
      <c r="U53" s="25"/>
      <c r="V53" s="25"/>
    </row>
    <row r="54" spans="2:22" s="24" customFormat="1" ht="15.75" x14ac:dyDescent="0.25">
      <c r="B54" s="59"/>
      <c r="C54" s="60"/>
      <c r="D54" s="60"/>
      <c r="E54" s="60"/>
      <c r="F54" s="60"/>
      <c r="G54" s="60"/>
      <c r="H54" s="61"/>
      <c r="I54" s="60"/>
      <c r="J54" s="61"/>
      <c r="K54" s="61"/>
      <c r="L54" s="60"/>
      <c r="M54" s="62"/>
      <c r="O54" s="25"/>
      <c r="P54" s="25"/>
      <c r="Q54" s="25"/>
      <c r="R54" s="25"/>
      <c r="S54" s="84"/>
      <c r="T54" s="84"/>
      <c r="U54" s="25"/>
      <c r="V54" s="25"/>
    </row>
    <row r="55" spans="2:22" s="24" customFormat="1" ht="15.75" x14ac:dyDescent="0.25">
      <c r="B55" s="59"/>
      <c r="C55" s="60"/>
      <c r="D55" s="60"/>
      <c r="E55" s="60"/>
      <c r="F55" s="60"/>
      <c r="G55" s="37"/>
      <c r="H55" s="61"/>
      <c r="I55" s="60"/>
      <c r="J55" s="61"/>
      <c r="K55" s="61"/>
      <c r="L55" s="60"/>
      <c r="M55" s="62"/>
      <c r="O55" s="25"/>
      <c r="P55" s="25"/>
      <c r="Q55" s="25"/>
      <c r="R55" s="25"/>
      <c r="S55" s="84"/>
      <c r="T55" s="84"/>
      <c r="U55" s="25"/>
      <c r="V55" s="25"/>
    </row>
    <row r="56" spans="2:22" s="24" customFormat="1" ht="15.75" x14ac:dyDescent="0.25">
      <c r="B56" s="59"/>
      <c r="C56" s="60"/>
      <c r="D56" s="60"/>
      <c r="E56" s="60"/>
      <c r="F56" s="60"/>
      <c r="G56" s="37"/>
      <c r="H56" s="61"/>
      <c r="I56" s="60"/>
      <c r="J56" s="61"/>
      <c r="K56" s="61"/>
      <c r="L56" s="60"/>
      <c r="M56" s="62"/>
      <c r="O56" s="25"/>
      <c r="P56" s="25"/>
      <c r="Q56" s="25"/>
      <c r="R56" s="25"/>
      <c r="S56" s="84"/>
      <c r="T56" s="84"/>
      <c r="U56" s="25"/>
      <c r="V56" s="25"/>
    </row>
    <row r="57" spans="2:22" s="24" customFormat="1" ht="15.75" x14ac:dyDescent="0.25">
      <c r="B57" s="59"/>
      <c r="C57" s="60"/>
      <c r="D57" s="60"/>
      <c r="E57" s="60"/>
      <c r="F57" s="60"/>
      <c r="G57" s="37"/>
      <c r="H57" s="61"/>
      <c r="I57" s="60"/>
      <c r="J57" s="61"/>
      <c r="K57" s="61"/>
      <c r="L57" s="60"/>
      <c r="M57" s="62"/>
      <c r="O57" s="25"/>
      <c r="P57" s="25"/>
      <c r="Q57" s="25"/>
      <c r="R57" s="25"/>
      <c r="S57" s="84"/>
      <c r="T57" s="84"/>
      <c r="U57" s="25"/>
      <c r="V57" s="25"/>
    </row>
    <row r="58" spans="2:22" s="24" customFormat="1" ht="15.75" x14ac:dyDescent="0.25">
      <c r="B58" s="59"/>
      <c r="C58" s="60"/>
      <c r="D58" s="60"/>
      <c r="E58" s="60"/>
      <c r="F58" s="60"/>
      <c r="G58" s="37"/>
      <c r="H58" s="61"/>
      <c r="I58" s="60"/>
      <c r="J58" s="61"/>
      <c r="K58" s="61"/>
      <c r="L58" s="60"/>
      <c r="M58" s="62"/>
      <c r="O58" s="25"/>
      <c r="P58" s="25"/>
      <c r="Q58" s="25"/>
      <c r="R58" s="25"/>
      <c r="S58" s="84"/>
      <c r="T58" s="84"/>
      <c r="U58" s="25"/>
      <c r="V58" s="25"/>
    </row>
    <row r="59" spans="2:22" s="24" customFormat="1" ht="15.75" x14ac:dyDescent="0.25">
      <c r="B59" s="59"/>
      <c r="C59" s="60"/>
      <c r="D59" s="60"/>
      <c r="E59" s="60"/>
      <c r="F59" s="60"/>
      <c r="G59" s="37"/>
      <c r="H59" s="61"/>
      <c r="I59" s="60"/>
      <c r="J59" s="61"/>
      <c r="K59" s="61"/>
      <c r="L59" s="60"/>
      <c r="M59" s="62"/>
      <c r="O59" s="25"/>
      <c r="P59" s="25"/>
      <c r="Q59" s="25"/>
      <c r="R59" s="25"/>
      <c r="S59" s="84"/>
      <c r="T59" s="84"/>
      <c r="U59" s="25"/>
      <c r="V59" s="25"/>
    </row>
    <row r="60" spans="2:22" s="24" customFormat="1" ht="15.75" x14ac:dyDescent="0.25">
      <c r="B60" s="43"/>
      <c r="C60" s="60"/>
      <c r="D60" s="60"/>
      <c r="E60" s="60"/>
      <c r="F60" s="60"/>
      <c r="G60" s="37"/>
      <c r="H60" s="61"/>
      <c r="I60" s="60"/>
      <c r="J60" s="61"/>
      <c r="K60" s="61"/>
      <c r="L60" s="60"/>
      <c r="M60" s="62"/>
      <c r="O60" s="25"/>
      <c r="P60" s="25"/>
      <c r="Q60" s="25"/>
      <c r="R60" s="25"/>
      <c r="S60" s="84"/>
      <c r="T60" s="84"/>
      <c r="U60" s="25"/>
      <c r="V60" s="25"/>
    </row>
    <row r="61" spans="2:22" s="24" customFormat="1" ht="15.75" thickBot="1" x14ac:dyDescent="0.3">
      <c r="B61" s="44"/>
      <c r="C61" s="47"/>
      <c r="D61" s="222" t="s">
        <v>27</v>
      </c>
      <c r="E61" s="222"/>
      <c r="F61" s="222"/>
      <c r="G61" s="222"/>
      <c r="H61" s="222"/>
      <c r="I61" s="222"/>
      <c r="J61" s="52">
        <f>COUNT(B47:B59)</f>
        <v>0</v>
      </c>
      <c r="K61" s="46"/>
      <c r="L61" s="47"/>
      <c r="M61" s="48"/>
      <c r="O61" s="25"/>
      <c r="P61" s="25"/>
      <c r="Q61" s="25"/>
      <c r="R61" s="25"/>
      <c r="S61" s="84"/>
      <c r="T61" s="84"/>
      <c r="U61" s="25"/>
      <c r="V61" s="25"/>
    </row>
    <row r="62" spans="2:22" s="24" customFormat="1" x14ac:dyDescent="0.25">
      <c r="B62" s="1"/>
      <c r="C62" s="19"/>
      <c r="D62" s="19"/>
      <c r="E62" s="19"/>
      <c r="F62" s="19"/>
      <c r="G62" s="19"/>
      <c r="H62" s="22"/>
      <c r="I62" s="19"/>
      <c r="J62" s="19"/>
      <c r="K62" s="19"/>
      <c r="L62" s="19"/>
      <c r="M62" s="19"/>
      <c r="O62" s="25"/>
      <c r="P62" s="25"/>
      <c r="Q62" s="25"/>
      <c r="R62" s="25"/>
      <c r="S62" s="84"/>
      <c r="T62" s="84"/>
      <c r="U62" s="25"/>
      <c r="V62" s="25"/>
    </row>
    <row r="63" spans="2:22" ht="15.75" thickBot="1" x14ac:dyDescent="0.3"/>
    <row r="64" spans="2:22" x14ac:dyDescent="0.25">
      <c r="B64" s="49"/>
      <c r="C64" s="50"/>
      <c r="D64" s="50"/>
      <c r="E64" s="50"/>
      <c r="F64" s="50"/>
      <c r="G64" s="221" t="s">
        <v>3</v>
      </c>
      <c r="H64" s="221"/>
      <c r="I64" s="40"/>
      <c r="J64" s="51"/>
      <c r="K64" s="51"/>
      <c r="L64" s="40"/>
      <c r="M64" s="41"/>
    </row>
    <row r="65" spans="2:13" x14ac:dyDescent="0.25">
      <c r="B65" s="43"/>
      <c r="C65" s="37"/>
      <c r="D65" s="37"/>
      <c r="E65" s="37"/>
      <c r="F65" s="37"/>
      <c r="G65" s="37"/>
      <c r="H65" s="61"/>
      <c r="I65" s="37"/>
      <c r="J65" s="39"/>
      <c r="K65" s="39"/>
      <c r="L65" s="37"/>
      <c r="M65" s="42"/>
    </row>
    <row r="66" spans="2:13" ht="15.75" x14ac:dyDescent="0.3">
      <c r="B66" s="92" t="s">
        <v>10</v>
      </c>
      <c r="C66" s="38" t="s">
        <v>11</v>
      </c>
      <c r="D66" s="38" t="s">
        <v>12</v>
      </c>
      <c r="E66" s="38" t="s">
        <v>13</v>
      </c>
      <c r="F66" s="38" t="s">
        <v>14</v>
      </c>
      <c r="G66" s="38" t="s">
        <v>15</v>
      </c>
      <c r="H66" s="102" t="s">
        <v>16</v>
      </c>
      <c r="I66" s="38" t="s">
        <v>17</v>
      </c>
      <c r="J66" s="38" t="s">
        <v>18</v>
      </c>
      <c r="K66" s="38" t="s">
        <v>19</v>
      </c>
      <c r="L66" s="38" t="s">
        <v>5</v>
      </c>
      <c r="M66" s="29" t="s">
        <v>20</v>
      </c>
    </row>
    <row r="67" spans="2:13" ht="15.75" x14ac:dyDescent="0.25">
      <c r="B67" s="63">
        <v>45020.527777777781</v>
      </c>
      <c r="C67" s="60" t="s">
        <v>3</v>
      </c>
      <c r="D67" s="60" t="s">
        <v>52</v>
      </c>
      <c r="E67" s="60">
        <v>0</v>
      </c>
      <c r="F67" s="60">
        <v>5</v>
      </c>
      <c r="G67" s="60"/>
      <c r="H67" s="117">
        <v>5.13</v>
      </c>
      <c r="I67" s="60">
        <v>0</v>
      </c>
      <c r="J67" s="61">
        <f>F67/H67</f>
        <v>0.97465886939571156</v>
      </c>
      <c r="K67" s="61">
        <f>(H67-F67)*100/F67</f>
        <v>2.5999999999999979</v>
      </c>
      <c r="L67" s="60" t="s">
        <v>67</v>
      </c>
      <c r="M67" s="78" t="s">
        <v>223</v>
      </c>
    </row>
    <row r="68" spans="2:13" ht="15.75" x14ac:dyDescent="0.25">
      <c r="B68" s="63"/>
      <c r="C68" s="60" t="s">
        <v>3</v>
      </c>
      <c r="D68" s="60" t="s">
        <v>52</v>
      </c>
      <c r="E68" s="60">
        <v>0</v>
      </c>
      <c r="F68" s="60">
        <v>5</v>
      </c>
      <c r="G68" s="60">
        <v>0</v>
      </c>
      <c r="H68" s="61"/>
      <c r="I68" s="60">
        <v>0</v>
      </c>
      <c r="J68" s="61" t="e">
        <f t="shared" ref="J68:J73" si="4">F68/H68</f>
        <v>#DIV/0!</v>
      </c>
      <c r="K68" s="61">
        <f t="shared" ref="K68:K73" si="5">(H68-F68)*100/F68</f>
        <v>-100</v>
      </c>
      <c r="L68" s="60" t="s">
        <v>67</v>
      </c>
      <c r="M68" s="62" t="s">
        <v>224</v>
      </c>
    </row>
    <row r="69" spans="2:13" ht="15.75" x14ac:dyDescent="0.25">
      <c r="B69" s="63"/>
      <c r="C69" s="60" t="s">
        <v>3</v>
      </c>
      <c r="D69" s="60" t="s">
        <v>52</v>
      </c>
      <c r="E69" s="60">
        <v>0</v>
      </c>
      <c r="F69" s="60">
        <v>5</v>
      </c>
      <c r="G69" s="60">
        <v>0</v>
      </c>
      <c r="H69" s="61"/>
      <c r="I69" s="60">
        <v>0</v>
      </c>
      <c r="J69" s="61" t="e">
        <f t="shared" si="4"/>
        <v>#DIV/0!</v>
      </c>
      <c r="K69" s="61">
        <f t="shared" si="5"/>
        <v>-100</v>
      </c>
      <c r="L69" s="60" t="s">
        <v>67</v>
      </c>
      <c r="M69" s="62" t="s">
        <v>224</v>
      </c>
    </row>
    <row r="70" spans="2:13" ht="15.75" x14ac:dyDescent="0.25">
      <c r="B70" s="63"/>
      <c r="C70" s="60" t="s">
        <v>3</v>
      </c>
      <c r="D70" s="60" t="s">
        <v>52</v>
      </c>
      <c r="E70" s="60">
        <v>0</v>
      </c>
      <c r="F70" s="60">
        <v>5</v>
      </c>
      <c r="G70" s="60">
        <v>0</v>
      </c>
      <c r="H70" s="61"/>
      <c r="I70" s="60">
        <v>0</v>
      </c>
      <c r="J70" s="61" t="e">
        <f t="shared" si="4"/>
        <v>#DIV/0!</v>
      </c>
      <c r="K70" s="61">
        <f t="shared" si="5"/>
        <v>-100</v>
      </c>
      <c r="L70" s="60" t="s">
        <v>67</v>
      </c>
      <c r="M70" s="62" t="s">
        <v>224</v>
      </c>
    </row>
    <row r="71" spans="2:13" ht="15.75" x14ac:dyDescent="0.25">
      <c r="B71" s="63"/>
      <c r="C71" s="60" t="s">
        <v>3</v>
      </c>
      <c r="D71" s="60" t="s">
        <v>52</v>
      </c>
      <c r="E71" s="60">
        <v>0</v>
      </c>
      <c r="F71" s="60">
        <v>6</v>
      </c>
      <c r="G71" s="60">
        <v>0</v>
      </c>
      <c r="H71" s="117"/>
      <c r="I71" s="60">
        <v>0</v>
      </c>
      <c r="J71" s="61" t="e">
        <f t="shared" si="4"/>
        <v>#DIV/0!</v>
      </c>
      <c r="K71" s="61">
        <f t="shared" si="5"/>
        <v>-100</v>
      </c>
      <c r="L71" s="60" t="s">
        <v>67</v>
      </c>
      <c r="M71" s="62"/>
    </row>
    <row r="72" spans="2:13" ht="15.75" x14ac:dyDescent="0.25">
      <c r="B72" s="63"/>
      <c r="C72" s="60" t="s">
        <v>3</v>
      </c>
      <c r="D72" s="60" t="s">
        <v>52</v>
      </c>
      <c r="E72" s="60">
        <v>0</v>
      </c>
      <c r="F72" s="60"/>
      <c r="G72" s="60">
        <v>0</v>
      </c>
      <c r="H72" s="117"/>
      <c r="I72" s="60">
        <v>0</v>
      </c>
      <c r="J72" s="61" t="e">
        <f t="shared" si="4"/>
        <v>#DIV/0!</v>
      </c>
      <c r="K72" s="61" t="e">
        <f t="shared" si="5"/>
        <v>#DIV/0!</v>
      </c>
      <c r="L72" s="60" t="s">
        <v>67</v>
      </c>
      <c r="M72" s="62"/>
    </row>
    <row r="73" spans="2:13" ht="15.75" x14ac:dyDescent="0.25">
      <c r="B73" s="63"/>
      <c r="C73" s="60" t="s">
        <v>3</v>
      </c>
      <c r="D73" s="60" t="s">
        <v>52</v>
      </c>
      <c r="E73" s="60">
        <v>0</v>
      </c>
      <c r="F73" s="60"/>
      <c r="G73" s="60">
        <v>0</v>
      </c>
      <c r="H73" s="117"/>
      <c r="I73" s="60">
        <v>0</v>
      </c>
      <c r="J73" s="61" t="e">
        <f t="shared" si="4"/>
        <v>#DIV/0!</v>
      </c>
      <c r="K73" s="61" t="e">
        <f t="shared" si="5"/>
        <v>#DIV/0!</v>
      </c>
      <c r="L73" s="60" t="s">
        <v>67</v>
      </c>
      <c r="M73" s="62"/>
    </row>
    <row r="74" spans="2:13" ht="15.75" x14ac:dyDescent="0.25">
      <c r="B74" s="63"/>
      <c r="C74" s="60"/>
      <c r="D74" s="60"/>
      <c r="E74" s="60"/>
      <c r="F74" s="60"/>
      <c r="G74" s="60"/>
      <c r="H74" s="117"/>
      <c r="I74" s="60"/>
      <c r="J74" s="61"/>
      <c r="K74" s="61"/>
      <c r="L74" s="60"/>
      <c r="M74" s="62"/>
    </row>
    <row r="75" spans="2:13" ht="15.75" x14ac:dyDescent="0.25">
      <c r="B75" s="63"/>
      <c r="C75" s="60"/>
      <c r="D75" s="60"/>
      <c r="E75" s="60"/>
      <c r="F75" s="60"/>
      <c r="G75" s="60"/>
      <c r="H75" s="117"/>
      <c r="I75" s="60"/>
      <c r="J75" s="61"/>
      <c r="K75" s="61"/>
      <c r="L75" s="60"/>
      <c r="M75" s="62"/>
    </row>
    <row r="76" spans="2:13" ht="15.75" x14ac:dyDescent="0.25">
      <c r="B76" s="63"/>
      <c r="C76" s="60"/>
      <c r="D76" s="60"/>
      <c r="E76" s="60"/>
      <c r="F76" s="60"/>
      <c r="G76" s="60"/>
      <c r="H76" s="117"/>
      <c r="I76" s="60"/>
      <c r="J76" s="61"/>
      <c r="K76" s="61"/>
      <c r="L76" s="60"/>
      <c r="M76" s="62"/>
    </row>
    <row r="77" spans="2:13" ht="15.75" x14ac:dyDescent="0.25">
      <c r="B77" s="59"/>
      <c r="C77" s="60"/>
      <c r="D77" s="60"/>
      <c r="E77" s="60"/>
      <c r="F77" s="60"/>
      <c r="G77" s="37"/>
      <c r="H77" s="117"/>
      <c r="I77" s="60"/>
      <c r="J77" s="61"/>
      <c r="K77" s="61"/>
      <c r="L77" s="60"/>
      <c r="M77" s="58"/>
    </row>
    <row r="78" spans="2:13" ht="15.75" x14ac:dyDescent="0.25">
      <c r="B78" s="59"/>
      <c r="C78" s="60"/>
      <c r="D78" s="60"/>
      <c r="E78" s="60"/>
      <c r="F78" s="60"/>
      <c r="G78" s="37"/>
      <c r="H78" s="117"/>
      <c r="I78" s="60"/>
      <c r="J78" s="61"/>
      <c r="K78" s="61"/>
      <c r="L78" s="60"/>
      <c r="M78" s="58"/>
    </row>
    <row r="79" spans="2:13" ht="15.75" x14ac:dyDescent="0.25">
      <c r="B79" s="59"/>
      <c r="C79" s="60"/>
      <c r="D79" s="60"/>
      <c r="E79" s="60"/>
      <c r="F79" s="60"/>
      <c r="G79" s="37"/>
      <c r="H79" s="117"/>
      <c r="I79" s="60"/>
      <c r="J79" s="61"/>
      <c r="K79" s="61"/>
      <c r="L79" s="60"/>
      <c r="M79" s="58"/>
    </row>
    <row r="80" spans="2:13" ht="15.75" x14ac:dyDescent="0.25">
      <c r="B80" s="43"/>
      <c r="C80" s="60"/>
      <c r="D80" s="60"/>
      <c r="E80" s="60"/>
      <c r="F80" s="60"/>
      <c r="G80" s="37"/>
      <c r="H80" s="117"/>
      <c r="I80" s="60"/>
      <c r="J80" s="61"/>
      <c r="K80" s="61"/>
      <c r="L80" s="60"/>
      <c r="M80" s="62"/>
    </row>
    <row r="81" spans="2:13" ht="15.75" thickBot="1" x14ac:dyDescent="0.3">
      <c r="B81" s="44"/>
      <c r="C81" s="47"/>
      <c r="D81" s="222" t="s">
        <v>28</v>
      </c>
      <c r="E81" s="222"/>
      <c r="F81" s="222"/>
      <c r="G81" s="222"/>
      <c r="H81" s="222"/>
      <c r="I81" s="222"/>
      <c r="J81" s="52">
        <f>COUNT(B67:B79)</f>
        <v>1</v>
      </c>
      <c r="K81" s="46"/>
      <c r="L81" s="47"/>
      <c r="M81" s="48"/>
    </row>
    <row r="83" spans="2:13" ht="15.75" thickBot="1" x14ac:dyDescent="0.3"/>
    <row r="84" spans="2:13" x14ac:dyDescent="0.25">
      <c r="B84" s="49"/>
      <c r="C84" s="50"/>
      <c r="D84" s="50"/>
      <c r="E84" s="50"/>
      <c r="F84" s="50"/>
      <c r="G84" s="221" t="s">
        <v>24</v>
      </c>
      <c r="H84" s="221"/>
      <c r="I84" s="40"/>
      <c r="J84" s="51"/>
      <c r="K84" s="51"/>
      <c r="L84" s="40"/>
      <c r="M84" s="41"/>
    </row>
    <row r="85" spans="2:13" x14ac:dyDescent="0.25">
      <c r="B85" s="43"/>
      <c r="C85" s="37"/>
      <c r="D85" s="37"/>
      <c r="E85" s="37"/>
      <c r="F85" s="37"/>
      <c r="G85" s="37"/>
      <c r="H85" s="61"/>
      <c r="I85" s="37"/>
      <c r="J85" s="39"/>
      <c r="K85" s="39"/>
      <c r="L85" s="37"/>
      <c r="M85" s="42"/>
    </row>
    <row r="86" spans="2:13" ht="15.75" x14ac:dyDescent="0.3">
      <c r="B86" s="92" t="s">
        <v>10</v>
      </c>
      <c r="C86" s="38" t="s">
        <v>11</v>
      </c>
      <c r="D86" s="38" t="s">
        <v>12</v>
      </c>
      <c r="E86" s="38" t="s">
        <v>13</v>
      </c>
      <c r="F86" s="38" t="s">
        <v>14</v>
      </c>
      <c r="G86" s="38" t="s">
        <v>15</v>
      </c>
      <c r="H86" s="102" t="s">
        <v>16</v>
      </c>
      <c r="I86" s="38" t="s">
        <v>17</v>
      </c>
      <c r="J86" s="38" t="s">
        <v>18</v>
      </c>
      <c r="K86" s="38" t="s">
        <v>19</v>
      </c>
      <c r="L86" s="38" t="s">
        <v>5</v>
      </c>
      <c r="M86" s="29" t="s">
        <v>20</v>
      </c>
    </row>
    <row r="87" spans="2:13" ht="15.75" x14ac:dyDescent="0.25">
      <c r="B87" s="63"/>
      <c r="C87" s="60" t="s">
        <v>24</v>
      </c>
      <c r="D87" s="60" t="s">
        <v>51</v>
      </c>
      <c r="E87" s="60">
        <v>0</v>
      </c>
      <c r="F87" s="60">
        <v>60</v>
      </c>
      <c r="G87" s="60">
        <v>0</v>
      </c>
      <c r="H87" s="61"/>
      <c r="I87" s="60">
        <v>0</v>
      </c>
      <c r="J87" s="61" t="e">
        <f t="shared" ref="J87:J92" si="6">F87/H87</f>
        <v>#DIV/0!</v>
      </c>
      <c r="K87" s="61">
        <f t="shared" ref="K87:K92" si="7">(H87-F87)*100/F87</f>
        <v>-100</v>
      </c>
      <c r="L87" s="60" t="s">
        <v>67</v>
      </c>
      <c r="M87" s="62"/>
    </row>
    <row r="88" spans="2:13" ht="15.75" x14ac:dyDescent="0.25">
      <c r="B88" s="63"/>
      <c r="C88" s="60" t="s">
        <v>24</v>
      </c>
      <c r="D88" s="60" t="s">
        <v>51</v>
      </c>
      <c r="E88" s="60">
        <v>0</v>
      </c>
      <c r="F88" s="60">
        <v>60</v>
      </c>
      <c r="G88" s="60">
        <v>0</v>
      </c>
      <c r="H88" s="61"/>
      <c r="I88" s="60">
        <v>0</v>
      </c>
      <c r="J88" s="61" t="e">
        <f t="shared" si="6"/>
        <v>#DIV/0!</v>
      </c>
      <c r="K88" s="61">
        <f t="shared" si="7"/>
        <v>-100</v>
      </c>
      <c r="L88" s="60" t="s">
        <v>67</v>
      </c>
      <c r="M88" s="62"/>
    </row>
    <row r="89" spans="2:13" ht="15.75" x14ac:dyDescent="0.25">
      <c r="B89" s="63"/>
      <c r="C89" s="60" t="s">
        <v>24</v>
      </c>
      <c r="D89" s="60" t="s">
        <v>51</v>
      </c>
      <c r="E89" s="60">
        <v>0</v>
      </c>
      <c r="F89" s="60"/>
      <c r="G89" s="60">
        <v>0</v>
      </c>
      <c r="H89" s="61"/>
      <c r="I89" s="60">
        <v>0</v>
      </c>
      <c r="J89" s="61" t="e">
        <f t="shared" si="6"/>
        <v>#DIV/0!</v>
      </c>
      <c r="K89" s="61" t="e">
        <f t="shared" si="7"/>
        <v>#DIV/0!</v>
      </c>
      <c r="L89" s="60" t="s">
        <v>67</v>
      </c>
      <c r="M89" s="62"/>
    </row>
    <row r="90" spans="2:13" ht="15.75" x14ac:dyDescent="0.25">
      <c r="B90" s="63"/>
      <c r="C90" s="60" t="s">
        <v>24</v>
      </c>
      <c r="D90" s="60" t="s">
        <v>51</v>
      </c>
      <c r="E90" s="60">
        <v>0</v>
      </c>
      <c r="F90" s="60"/>
      <c r="G90" s="60">
        <v>0</v>
      </c>
      <c r="H90" s="61"/>
      <c r="I90" s="60">
        <v>0</v>
      </c>
      <c r="J90" s="61" t="e">
        <f t="shared" si="6"/>
        <v>#DIV/0!</v>
      </c>
      <c r="K90" s="61" t="e">
        <f t="shared" si="7"/>
        <v>#DIV/0!</v>
      </c>
      <c r="L90" s="60" t="s">
        <v>67</v>
      </c>
      <c r="M90" s="62"/>
    </row>
    <row r="91" spans="2:13" ht="15.75" x14ac:dyDescent="0.25">
      <c r="B91" s="63"/>
      <c r="C91" s="60" t="s">
        <v>24</v>
      </c>
      <c r="D91" s="60" t="s">
        <v>51</v>
      </c>
      <c r="E91" s="60">
        <v>0</v>
      </c>
      <c r="F91" s="60"/>
      <c r="G91" s="60">
        <v>0</v>
      </c>
      <c r="H91" s="61"/>
      <c r="I91" s="60">
        <v>0</v>
      </c>
      <c r="J91" s="61" t="e">
        <f t="shared" si="6"/>
        <v>#DIV/0!</v>
      </c>
      <c r="K91" s="61" t="e">
        <f t="shared" si="7"/>
        <v>#DIV/0!</v>
      </c>
      <c r="L91" s="60" t="s">
        <v>67</v>
      </c>
      <c r="M91" s="62"/>
    </row>
    <row r="92" spans="2:13" ht="15.75" x14ac:dyDescent="0.25">
      <c r="B92" s="63"/>
      <c r="C92" s="60" t="s">
        <v>24</v>
      </c>
      <c r="D92" s="60" t="s">
        <v>51</v>
      </c>
      <c r="E92" s="60">
        <v>0</v>
      </c>
      <c r="F92" s="60"/>
      <c r="G92" s="60">
        <v>0</v>
      </c>
      <c r="H92" s="61"/>
      <c r="I92" s="60">
        <v>0</v>
      </c>
      <c r="J92" s="61" t="e">
        <f t="shared" si="6"/>
        <v>#DIV/0!</v>
      </c>
      <c r="K92" s="61" t="e">
        <f t="shared" si="7"/>
        <v>#DIV/0!</v>
      </c>
      <c r="L92" s="60" t="s">
        <v>67</v>
      </c>
      <c r="M92" s="62"/>
    </row>
    <row r="93" spans="2:13" ht="15.75" x14ac:dyDescent="0.25">
      <c r="B93" s="59"/>
      <c r="C93" s="60"/>
      <c r="D93" s="60"/>
      <c r="E93" s="60"/>
      <c r="F93" s="60"/>
      <c r="G93" s="60"/>
      <c r="H93" s="61"/>
      <c r="I93" s="60"/>
      <c r="J93" s="61"/>
      <c r="K93" s="61"/>
      <c r="L93" s="60"/>
      <c r="M93" s="62"/>
    </row>
    <row r="94" spans="2:13" ht="15.75" x14ac:dyDescent="0.25">
      <c r="B94" s="59"/>
      <c r="C94" s="60"/>
      <c r="D94" s="60"/>
      <c r="E94" s="60"/>
      <c r="F94" s="60"/>
      <c r="G94" s="60"/>
      <c r="H94" s="61"/>
      <c r="I94" s="60"/>
      <c r="J94" s="61"/>
      <c r="K94" s="61"/>
      <c r="L94" s="60"/>
      <c r="M94" s="62"/>
    </row>
    <row r="95" spans="2:13" ht="15.75" x14ac:dyDescent="0.25">
      <c r="B95" s="59"/>
      <c r="C95" s="60"/>
      <c r="D95" s="60"/>
      <c r="E95" s="60"/>
      <c r="F95" s="60"/>
      <c r="G95" s="60"/>
      <c r="H95" s="61"/>
      <c r="I95" s="60"/>
      <c r="J95" s="61"/>
      <c r="K95" s="61"/>
      <c r="L95" s="60"/>
      <c r="M95" s="58"/>
    </row>
    <row r="96" spans="2:13" ht="15.75" x14ac:dyDescent="0.25">
      <c r="B96" s="59"/>
      <c r="C96" s="60"/>
      <c r="D96" s="60"/>
      <c r="E96" s="60"/>
      <c r="F96" s="60"/>
      <c r="G96" s="60"/>
      <c r="H96" s="61"/>
      <c r="I96" s="60"/>
      <c r="J96" s="61"/>
      <c r="K96" s="61"/>
      <c r="L96" s="60"/>
      <c r="M96" s="58"/>
    </row>
    <row r="97" spans="2:13" ht="15.75" x14ac:dyDescent="0.25">
      <c r="B97" s="59"/>
      <c r="C97" s="60"/>
      <c r="D97" s="60"/>
      <c r="E97" s="60"/>
      <c r="F97" s="60"/>
      <c r="G97" s="60"/>
      <c r="H97" s="61"/>
      <c r="I97" s="60"/>
      <c r="J97" s="61"/>
      <c r="K97" s="61"/>
      <c r="L97" s="60"/>
      <c r="M97" s="58"/>
    </row>
    <row r="98" spans="2:13" ht="15.75" x14ac:dyDescent="0.25">
      <c r="B98" s="59"/>
      <c r="C98" s="60"/>
      <c r="D98" s="60"/>
      <c r="E98" s="60"/>
      <c r="F98" s="60"/>
      <c r="G98" s="60"/>
      <c r="H98" s="61"/>
      <c r="I98" s="60"/>
      <c r="J98" s="61"/>
      <c r="K98" s="61"/>
      <c r="L98" s="60"/>
      <c r="M98" s="58"/>
    </row>
    <row r="99" spans="2:13" ht="15.75" x14ac:dyDescent="0.25">
      <c r="B99" s="59"/>
      <c r="C99" s="60"/>
      <c r="D99" s="60"/>
      <c r="E99" s="60"/>
      <c r="F99" s="60"/>
      <c r="G99" s="60"/>
      <c r="H99" s="61"/>
      <c r="I99" s="60"/>
      <c r="J99" s="61"/>
      <c r="K99" s="61"/>
      <c r="L99" s="60"/>
      <c r="M99" s="58"/>
    </row>
    <row r="100" spans="2:13" ht="15.75" x14ac:dyDescent="0.25">
      <c r="B100" s="43"/>
      <c r="C100" s="60"/>
      <c r="D100" s="60"/>
      <c r="E100" s="60"/>
      <c r="F100" s="60"/>
      <c r="G100" s="60"/>
      <c r="H100" s="61"/>
      <c r="I100" s="60"/>
      <c r="J100" s="61"/>
      <c r="K100" s="61"/>
      <c r="L100" s="60"/>
      <c r="M100" s="62"/>
    </row>
    <row r="101" spans="2:13" ht="15.75" thickBot="1" x14ac:dyDescent="0.3">
      <c r="B101" s="44"/>
      <c r="C101" s="47"/>
      <c r="D101" s="222" t="s">
        <v>29</v>
      </c>
      <c r="E101" s="222"/>
      <c r="F101" s="222"/>
      <c r="G101" s="222"/>
      <c r="H101" s="222"/>
      <c r="I101" s="222"/>
      <c r="J101" s="52">
        <f>COUNT(B87:B99)</f>
        <v>0</v>
      </c>
      <c r="K101" s="46"/>
      <c r="L101" s="47"/>
      <c r="M101" s="48"/>
    </row>
    <row r="103" spans="2:13" ht="15.75" thickBot="1" x14ac:dyDescent="0.3"/>
    <row r="104" spans="2:13" x14ac:dyDescent="0.25">
      <c r="B104" s="49"/>
      <c r="C104" s="40"/>
      <c r="D104" s="40"/>
      <c r="E104" s="40"/>
      <c r="F104" s="40"/>
      <c r="G104" s="223" t="s">
        <v>4</v>
      </c>
      <c r="H104" s="223"/>
      <c r="I104" s="40"/>
      <c r="J104" s="40"/>
      <c r="K104" s="40"/>
      <c r="L104" s="40"/>
      <c r="M104" s="41"/>
    </row>
    <row r="105" spans="2:13" x14ac:dyDescent="0.25">
      <c r="B105" s="43"/>
      <c r="C105" s="37"/>
      <c r="D105" s="37"/>
      <c r="E105" s="37"/>
      <c r="F105" s="37"/>
      <c r="G105" s="37"/>
      <c r="H105" s="61"/>
      <c r="I105" s="37"/>
      <c r="J105" s="37"/>
      <c r="K105" s="37"/>
      <c r="L105" s="37"/>
      <c r="M105" s="42"/>
    </row>
    <row r="106" spans="2:13" ht="15.75" x14ac:dyDescent="0.3">
      <c r="B106" s="93" t="s">
        <v>10</v>
      </c>
      <c r="C106" s="38" t="s">
        <v>11</v>
      </c>
      <c r="D106" s="38" t="s">
        <v>12</v>
      </c>
      <c r="E106" s="38" t="s">
        <v>13</v>
      </c>
      <c r="F106" s="38" t="s">
        <v>14</v>
      </c>
      <c r="G106" s="38" t="s">
        <v>15</v>
      </c>
      <c r="H106" s="102" t="s">
        <v>16</v>
      </c>
      <c r="I106" s="38" t="s">
        <v>17</v>
      </c>
      <c r="J106" s="38" t="s">
        <v>18</v>
      </c>
      <c r="K106" s="38" t="s">
        <v>19</v>
      </c>
      <c r="L106" s="38" t="s">
        <v>5</v>
      </c>
      <c r="M106" s="27" t="s">
        <v>20</v>
      </c>
    </row>
    <row r="107" spans="2:13" ht="15.75" x14ac:dyDescent="0.25">
      <c r="B107" s="63"/>
      <c r="C107" s="60" t="s">
        <v>4</v>
      </c>
      <c r="D107" s="60" t="s">
        <v>51</v>
      </c>
      <c r="E107" s="60">
        <v>0</v>
      </c>
      <c r="F107" s="60">
        <v>320</v>
      </c>
      <c r="G107" s="60">
        <v>0</v>
      </c>
      <c r="H107" s="61"/>
      <c r="I107" s="60">
        <f>G107-E107</f>
        <v>0</v>
      </c>
      <c r="J107" s="61" t="e">
        <f>F107/H107</f>
        <v>#DIV/0!</v>
      </c>
      <c r="K107" s="61">
        <f>(H107-F107)*100/F107</f>
        <v>-100</v>
      </c>
      <c r="L107" s="60" t="s">
        <v>67</v>
      </c>
      <c r="M107" s="62" t="s">
        <v>223</v>
      </c>
    </row>
    <row r="108" spans="2:13" ht="15.75" x14ac:dyDescent="0.25">
      <c r="B108" s="63"/>
      <c r="C108" s="60" t="s">
        <v>4</v>
      </c>
      <c r="D108" s="60" t="s">
        <v>51</v>
      </c>
      <c r="E108" s="60">
        <v>0</v>
      </c>
      <c r="F108" s="60">
        <v>320</v>
      </c>
      <c r="G108" s="60">
        <v>0</v>
      </c>
      <c r="H108" s="61"/>
      <c r="I108" s="60">
        <f>G108-E108</f>
        <v>0</v>
      </c>
      <c r="J108" s="61" t="e">
        <f>F108/H108</f>
        <v>#DIV/0!</v>
      </c>
      <c r="K108" s="61">
        <f>(H108-F108)*100/F108</f>
        <v>-100</v>
      </c>
      <c r="L108" s="60" t="s">
        <v>67</v>
      </c>
      <c r="M108" s="62" t="s">
        <v>224</v>
      </c>
    </row>
    <row r="109" spans="2:13" ht="15.75" x14ac:dyDescent="0.25">
      <c r="B109" s="63"/>
      <c r="C109" s="60" t="s">
        <v>4</v>
      </c>
      <c r="D109" s="60" t="s">
        <v>51</v>
      </c>
      <c r="E109" s="60">
        <v>0</v>
      </c>
      <c r="F109" s="60">
        <v>320</v>
      </c>
      <c r="G109" s="60">
        <v>0</v>
      </c>
      <c r="H109" s="61"/>
      <c r="I109" s="60">
        <f t="shared" ref="I109:I114" si="8">G109-E109</f>
        <v>0</v>
      </c>
      <c r="J109" s="61" t="e">
        <f t="shared" ref="J109:J114" si="9">F109/H109</f>
        <v>#DIV/0!</v>
      </c>
      <c r="K109" s="61">
        <f t="shared" ref="K109:K114" si="10">(H109-F109)*100/F109</f>
        <v>-100</v>
      </c>
      <c r="L109" s="60" t="s">
        <v>67</v>
      </c>
      <c r="M109" s="62" t="s">
        <v>224</v>
      </c>
    </row>
    <row r="110" spans="2:13" ht="15.75" x14ac:dyDescent="0.25">
      <c r="B110" s="63"/>
      <c r="C110" s="60" t="s">
        <v>4</v>
      </c>
      <c r="D110" s="60" t="s">
        <v>51</v>
      </c>
      <c r="E110" s="60">
        <v>0</v>
      </c>
      <c r="F110" s="60">
        <v>320</v>
      </c>
      <c r="G110" s="60">
        <v>0</v>
      </c>
      <c r="H110" s="61"/>
      <c r="I110" s="60">
        <f t="shared" si="8"/>
        <v>0</v>
      </c>
      <c r="J110" s="61" t="e">
        <f t="shared" si="9"/>
        <v>#DIV/0!</v>
      </c>
      <c r="K110" s="61">
        <f t="shared" si="10"/>
        <v>-100</v>
      </c>
      <c r="L110" s="60" t="s">
        <v>67</v>
      </c>
      <c r="M110" s="62" t="s">
        <v>224</v>
      </c>
    </row>
    <row r="111" spans="2:13" ht="15.75" x14ac:dyDescent="0.25">
      <c r="B111" s="63"/>
      <c r="C111" s="60" t="s">
        <v>4</v>
      </c>
      <c r="D111" s="60" t="s">
        <v>51</v>
      </c>
      <c r="E111" s="60">
        <v>0</v>
      </c>
      <c r="F111" s="60">
        <v>320</v>
      </c>
      <c r="G111" s="60">
        <v>0</v>
      </c>
      <c r="H111" s="61"/>
      <c r="I111" s="60">
        <f t="shared" si="8"/>
        <v>0</v>
      </c>
      <c r="J111" s="61" t="e">
        <f t="shared" si="9"/>
        <v>#DIV/0!</v>
      </c>
      <c r="K111" s="61">
        <f t="shared" si="10"/>
        <v>-100</v>
      </c>
      <c r="L111" s="60" t="s">
        <v>67</v>
      </c>
      <c r="M111" s="62"/>
    </row>
    <row r="112" spans="2:13" ht="15.75" x14ac:dyDescent="0.25">
      <c r="B112" s="63"/>
      <c r="C112" s="60" t="s">
        <v>4</v>
      </c>
      <c r="D112" s="60" t="s">
        <v>51</v>
      </c>
      <c r="E112" s="60">
        <v>0</v>
      </c>
      <c r="F112" s="60">
        <v>320</v>
      </c>
      <c r="G112" s="37">
        <v>0</v>
      </c>
      <c r="H112" s="61"/>
      <c r="I112" s="60">
        <f t="shared" si="8"/>
        <v>0</v>
      </c>
      <c r="J112" s="61" t="e">
        <f t="shared" si="9"/>
        <v>#DIV/0!</v>
      </c>
      <c r="K112" s="61">
        <f t="shared" si="10"/>
        <v>-100</v>
      </c>
      <c r="L112" s="60" t="s">
        <v>67</v>
      </c>
      <c r="M112" s="62"/>
    </row>
    <row r="113" spans="2:13" ht="15.75" x14ac:dyDescent="0.25">
      <c r="B113" s="63"/>
      <c r="C113" s="60" t="s">
        <v>4</v>
      </c>
      <c r="D113" s="60" t="s">
        <v>51</v>
      </c>
      <c r="E113" s="60">
        <v>0</v>
      </c>
      <c r="F113" s="60">
        <v>320</v>
      </c>
      <c r="G113" s="37">
        <v>0</v>
      </c>
      <c r="H113" s="61"/>
      <c r="I113" s="60">
        <f t="shared" si="8"/>
        <v>0</v>
      </c>
      <c r="J113" s="61" t="e">
        <f t="shared" si="9"/>
        <v>#DIV/0!</v>
      </c>
      <c r="K113" s="61">
        <f t="shared" si="10"/>
        <v>-100</v>
      </c>
      <c r="L113" s="60" t="s">
        <v>67</v>
      </c>
      <c r="M113" s="62"/>
    </row>
    <row r="114" spans="2:13" ht="15.75" x14ac:dyDescent="0.25">
      <c r="B114" s="63"/>
      <c r="C114" s="60" t="s">
        <v>4</v>
      </c>
      <c r="D114" s="60" t="s">
        <v>51</v>
      </c>
      <c r="E114" s="60">
        <v>0</v>
      </c>
      <c r="F114" s="60">
        <v>320</v>
      </c>
      <c r="G114" s="37">
        <v>0</v>
      </c>
      <c r="H114" s="61"/>
      <c r="I114" s="60">
        <f t="shared" si="8"/>
        <v>0</v>
      </c>
      <c r="J114" s="61" t="e">
        <f t="shared" si="9"/>
        <v>#DIV/0!</v>
      </c>
      <c r="K114" s="61">
        <f t="shared" si="10"/>
        <v>-100</v>
      </c>
      <c r="L114" s="60" t="s">
        <v>67</v>
      </c>
      <c r="M114" s="62"/>
    </row>
    <row r="115" spans="2:13" ht="15.75" x14ac:dyDescent="0.25">
      <c r="B115" s="63"/>
      <c r="C115" s="60" t="s">
        <v>4</v>
      </c>
      <c r="D115" s="60" t="s">
        <v>51</v>
      </c>
      <c r="E115" s="60">
        <v>0</v>
      </c>
      <c r="F115" s="60">
        <v>320</v>
      </c>
      <c r="G115" s="60">
        <v>0</v>
      </c>
      <c r="H115" s="61"/>
      <c r="I115" s="60">
        <f>G115-E115</f>
        <v>0</v>
      </c>
      <c r="J115" s="61" t="e">
        <f>F115/H115</f>
        <v>#DIV/0!</v>
      </c>
      <c r="K115" s="61">
        <f>(H115-F115)*100/F115</f>
        <v>-100</v>
      </c>
      <c r="L115" s="60" t="s">
        <v>67</v>
      </c>
      <c r="M115" s="62"/>
    </row>
    <row r="116" spans="2:13" ht="15.75" x14ac:dyDescent="0.25">
      <c r="B116" s="59"/>
      <c r="C116" s="60"/>
      <c r="D116" s="60"/>
      <c r="E116" s="60"/>
      <c r="F116" s="60"/>
      <c r="G116" s="37"/>
      <c r="H116" s="61"/>
      <c r="I116" s="60"/>
      <c r="J116" s="61"/>
      <c r="K116" s="61"/>
      <c r="L116" s="60"/>
      <c r="M116" s="62"/>
    </row>
    <row r="117" spans="2:13" ht="15.75" x14ac:dyDescent="0.25">
      <c r="B117" s="59"/>
      <c r="C117" s="60"/>
      <c r="D117" s="60"/>
      <c r="E117" s="60"/>
      <c r="F117" s="60"/>
      <c r="G117" s="37"/>
      <c r="H117" s="61"/>
      <c r="I117" s="60"/>
      <c r="J117" s="61"/>
      <c r="K117" s="61"/>
      <c r="L117" s="60"/>
      <c r="M117" s="62"/>
    </row>
    <row r="118" spans="2:13" ht="15.75" x14ac:dyDescent="0.25">
      <c r="B118" s="43"/>
      <c r="C118" s="60"/>
      <c r="D118" s="60"/>
      <c r="E118" s="60"/>
      <c r="F118" s="60"/>
      <c r="G118" s="37"/>
      <c r="H118" s="61"/>
      <c r="I118" s="60"/>
      <c r="J118" s="61"/>
      <c r="K118" s="61"/>
      <c r="L118" s="60"/>
      <c r="M118" s="62"/>
    </row>
    <row r="119" spans="2:13" ht="15.75" thickBot="1" x14ac:dyDescent="0.3">
      <c r="B119" s="44"/>
      <c r="C119" s="222" t="s">
        <v>69</v>
      </c>
      <c r="D119" s="222"/>
      <c r="E119" s="222"/>
      <c r="F119" s="222"/>
      <c r="G119" s="222"/>
      <c r="H119" s="222"/>
      <c r="I119" s="52">
        <f>COUNT(B107:B118)</f>
        <v>0</v>
      </c>
      <c r="J119" s="46"/>
      <c r="K119" s="46"/>
      <c r="L119" s="47"/>
      <c r="M119" s="48"/>
    </row>
  </sheetData>
  <mergeCells count="15">
    <mergeCell ref="P21:S21"/>
    <mergeCell ref="P40:S40"/>
    <mergeCell ref="D41:I41"/>
    <mergeCell ref="C119:H119"/>
    <mergeCell ref="G64:H64"/>
    <mergeCell ref="D81:I81"/>
    <mergeCell ref="G84:H84"/>
    <mergeCell ref="D101:I101"/>
    <mergeCell ref="G104:H104"/>
    <mergeCell ref="D61:I61"/>
    <mergeCell ref="D1:J1"/>
    <mergeCell ref="G44:H44"/>
    <mergeCell ref="C21:H21"/>
    <mergeCell ref="G5:H5"/>
    <mergeCell ref="G24:H24"/>
  </mergeCells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6"/>
  <sheetViews>
    <sheetView workbookViewId="0">
      <selection activeCell="B3" sqref="B3:C3"/>
    </sheetView>
  </sheetViews>
  <sheetFormatPr defaultRowHeight="15" x14ac:dyDescent="0.25"/>
  <cols>
    <col min="1" max="1" width="9.140625" style="12" customWidth="1"/>
    <col min="2" max="2" width="28.28515625" customWidth="1"/>
    <col min="3" max="3" width="30" customWidth="1"/>
    <col min="4" max="4" width="27.85546875" customWidth="1"/>
  </cols>
  <sheetData>
    <row r="2" spans="1:5" x14ac:dyDescent="0.25">
      <c r="B2" s="225" t="s">
        <v>230</v>
      </c>
      <c r="C2" s="225"/>
      <c r="D2" s="226">
        <v>45017</v>
      </c>
      <c r="E2" s="226"/>
    </row>
    <row r="3" spans="1:5" x14ac:dyDescent="0.25">
      <c r="B3" s="225" t="s">
        <v>21</v>
      </c>
      <c r="C3" s="225"/>
      <c r="D3" s="226"/>
      <c r="E3" s="226"/>
    </row>
    <row r="7" spans="1:5" s="19" customFormat="1" x14ac:dyDescent="0.25">
      <c r="A7" s="53"/>
      <c r="B7" s="30" t="s">
        <v>6</v>
      </c>
      <c r="C7" s="30" t="s">
        <v>7</v>
      </c>
      <c r="D7" s="31" t="s">
        <v>8</v>
      </c>
    </row>
    <row r="8" spans="1:5" s="24" customFormat="1" x14ac:dyDescent="0.25">
      <c r="A8" s="53"/>
      <c r="B8" s="201"/>
      <c r="C8" s="201"/>
      <c r="D8" s="33">
        <f t="shared" ref="D8:D13" si="0">C8-B8</f>
        <v>0</v>
      </c>
    </row>
    <row r="9" spans="1:5" s="24" customFormat="1" x14ac:dyDescent="0.25">
      <c r="A9" s="53"/>
      <c r="B9" s="56"/>
      <c r="C9" s="56"/>
      <c r="D9" s="33">
        <f t="shared" si="0"/>
        <v>0</v>
      </c>
    </row>
    <row r="10" spans="1:5" s="24" customFormat="1" x14ac:dyDescent="0.25">
      <c r="A10" s="53"/>
      <c r="B10" s="32"/>
      <c r="C10" s="32"/>
      <c r="D10" s="33">
        <f t="shared" si="0"/>
        <v>0</v>
      </c>
    </row>
    <row r="11" spans="1:5" s="19" customFormat="1" x14ac:dyDescent="0.25">
      <c r="A11" s="53"/>
      <c r="B11" s="34"/>
      <c r="C11" s="34"/>
      <c r="D11" s="33">
        <f t="shared" si="0"/>
        <v>0</v>
      </c>
    </row>
    <row r="12" spans="1:5" x14ac:dyDescent="0.25">
      <c r="B12" s="34"/>
      <c r="C12" s="34"/>
      <c r="D12" s="33">
        <f t="shared" si="0"/>
        <v>0</v>
      </c>
    </row>
    <row r="13" spans="1:5" x14ac:dyDescent="0.25">
      <c r="B13" s="34"/>
      <c r="C13" s="34"/>
      <c r="D13" s="33">
        <f t="shared" si="0"/>
        <v>0</v>
      </c>
    </row>
    <row r="14" spans="1:5" s="12" customFormat="1" x14ac:dyDescent="0.25">
      <c r="B14" s="34"/>
      <c r="C14" s="34"/>
      <c r="D14" s="33">
        <f t="shared" ref="D14:D23" si="1">C14-B14</f>
        <v>0</v>
      </c>
    </row>
    <row r="15" spans="1:5" s="12" customFormat="1" x14ac:dyDescent="0.25">
      <c r="B15" s="32"/>
      <c r="C15" s="32"/>
      <c r="D15" s="33">
        <f t="shared" si="1"/>
        <v>0</v>
      </c>
    </row>
    <row r="16" spans="1:5" s="12" customFormat="1" x14ac:dyDescent="0.25">
      <c r="B16" s="32"/>
      <c r="C16" s="32"/>
      <c r="D16" s="33">
        <f t="shared" si="1"/>
        <v>0</v>
      </c>
    </row>
    <row r="17" spans="2:4" x14ac:dyDescent="0.25">
      <c r="B17" s="32"/>
      <c r="C17" s="32"/>
      <c r="D17" s="33">
        <f t="shared" si="1"/>
        <v>0</v>
      </c>
    </row>
    <row r="18" spans="2:4" x14ac:dyDescent="0.25">
      <c r="B18" s="32"/>
      <c r="C18" s="32"/>
      <c r="D18" s="33">
        <f t="shared" si="1"/>
        <v>0</v>
      </c>
    </row>
    <row r="19" spans="2:4" x14ac:dyDescent="0.25">
      <c r="B19" s="34"/>
      <c r="C19" s="32"/>
      <c r="D19" s="33">
        <f t="shared" si="1"/>
        <v>0</v>
      </c>
    </row>
    <row r="20" spans="2:4" x14ac:dyDescent="0.25">
      <c r="B20" s="34"/>
      <c r="C20" s="32"/>
      <c r="D20" s="33">
        <f t="shared" si="1"/>
        <v>0</v>
      </c>
    </row>
    <row r="21" spans="2:4" x14ac:dyDescent="0.25">
      <c r="B21" s="34"/>
      <c r="C21" s="32"/>
      <c r="D21" s="33">
        <f t="shared" si="1"/>
        <v>0</v>
      </c>
    </row>
    <row r="22" spans="2:4" s="12" customFormat="1" x14ac:dyDescent="0.25">
      <c r="B22" s="34"/>
      <c r="C22" s="32"/>
      <c r="D22" s="33">
        <f t="shared" si="1"/>
        <v>0</v>
      </c>
    </row>
    <row r="23" spans="2:4" s="12" customFormat="1" x14ac:dyDescent="0.25">
      <c r="B23" s="34"/>
      <c r="C23" s="32"/>
      <c r="D23" s="33">
        <f t="shared" si="1"/>
        <v>0</v>
      </c>
    </row>
    <row r="24" spans="2:4" s="12" customFormat="1" x14ac:dyDescent="0.25">
      <c r="B24" s="36" t="s">
        <v>22</v>
      </c>
      <c r="C24" s="32"/>
      <c r="D24" s="35">
        <f>SUM(D7:D23)</f>
        <v>0</v>
      </c>
    </row>
    <row r="25" spans="2:4" s="12" customFormat="1" x14ac:dyDescent="0.25">
      <c r="B25" s="21"/>
      <c r="C25" s="1"/>
      <c r="D25" s="20"/>
    </row>
    <row r="26" spans="2:4" s="12" customFormat="1" x14ac:dyDescent="0.25">
      <c r="B26" s="21"/>
      <c r="C26" s="1"/>
      <c r="D26" s="20"/>
    </row>
    <row r="27" spans="2:4" s="12" customFormat="1" x14ac:dyDescent="0.25">
      <c r="B27" s="21"/>
      <c r="C27" s="1"/>
      <c r="D27" s="20"/>
    </row>
    <row r="28" spans="2:4" s="12" customFormat="1" x14ac:dyDescent="0.25">
      <c r="B28" s="21"/>
      <c r="C28" s="1"/>
      <c r="D28" s="20"/>
    </row>
    <row r="29" spans="2:4" s="12" customFormat="1" x14ac:dyDescent="0.25">
      <c r="B29" s="21"/>
      <c r="C29" s="1"/>
      <c r="D29" s="20"/>
    </row>
    <row r="30" spans="2:4" s="12" customFormat="1" x14ac:dyDescent="0.25">
      <c r="B30" s="21"/>
      <c r="C30" s="1"/>
      <c r="D30" s="20"/>
    </row>
    <row r="31" spans="2:4" s="12" customFormat="1" x14ac:dyDescent="0.25">
      <c r="B31" s="21"/>
      <c r="C31" s="1"/>
      <c r="D31" s="20"/>
    </row>
    <row r="32" spans="2:4" s="12" customFormat="1" x14ac:dyDescent="0.25">
      <c r="B32" s="21"/>
      <c r="C32" s="1"/>
      <c r="D32" s="20"/>
    </row>
    <row r="33" spans="2:4" s="12" customFormat="1" x14ac:dyDescent="0.25">
      <c r="B33" s="21"/>
      <c r="C33" s="1"/>
      <c r="D33" s="20"/>
    </row>
    <row r="34" spans="2:4" s="12" customFormat="1" x14ac:dyDescent="0.25">
      <c r="B34" s="21"/>
      <c r="C34" s="1"/>
      <c r="D34" s="20"/>
    </row>
    <row r="35" spans="2:4" s="12" customFormat="1" x14ac:dyDescent="0.25">
      <c r="B35" s="21"/>
      <c r="C35" s="1"/>
      <c r="D35" s="20"/>
    </row>
    <row r="36" spans="2:4" s="12" customFormat="1" x14ac:dyDescent="0.25">
      <c r="B36" s="21"/>
      <c r="C36" s="1"/>
      <c r="D36" s="20"/>
    </row>
    <row r="37" spans="2:4" s="12" customFormat="1" x14ac:dyDescent="0.25">
      <c r="B37" s="21"/>
      <c r="C37" s="1"/>
      <c r="D37" s="20"/>
    </row>
    <row r="38" spans="2:4" s="12" customFormat="1" x14ac:dyDescent="0.25">
      <c r="B38" s="21"/>
      <c r="C38" s="1"/>
      <c r="D38" s="20"/>
    </row>
    <row r="39" spans="2:4" s="12" customFormat="1" x14ac:dyDescent="0.25">
      <c r="B39" s="21"/>
      <c r="C39" s="1"/>
      <c r="D39" s="20"/>
    </row>
    <row r="40" spans="2:4" s="12" customFormat="1" x14ac:dyDescent="0.25">
      <c r="B40" s="21"/>
      <c r="C40" s="1"/>
      <c r="D40" s="20"/>
    </row>
    <row r="41" spans="2:4" s="12" customFormat="1" x14ac:dyDescent="0.25">
      <c r="B41" s="21"/>
      <c r="C41" s="1"/>
      <c r="D41" s="20"/>
    </row>
    <row r="42" spans="2:4" s="12" customFormat="1" x14ac:dyDescent="0.25">
      <c r="B42" s="21"/>
      <c r="C42" s="1"/>
      <c r="D42" s="20"/>
    </row>
    <row r="43" spans="2:4" s="12" customFormat="1" x14ac:dyDescent="0.25">
      <c r="B43" s="21"/>
      <c r="C43" s="1"/>
      <c r="D43" s="20"/>
    </row>
    <row r="44" spans="2:4" s="12" customFormat="1" ht="15.75" x14ac:dyDescent="0.25">
      <c r="B44" s="227" t="s">
        <v>22</v>
      </c>
      <c r="C44" s="227"/>
      <c r="D44" s="20">
        <f>SUM(D11:D42)</f>
        <v>0</v>
      </c>
    </row>
    <row r="45" spans="2:4" s="12" customFormat="1" x14ac:dyDescent="0.25">
      <c r="B45" s="21"/>
      <c r="C45" s="1"/>
      <c r="D45" s="20"/>
    </row>
    <row r="46" spans="2:4" s="12" customFormat="1" x14ac:dyDescent="0.25">
      <c r="B46" s="1"/>
      <c r="C46" s="1"/>
      <c r="D46" s="20"/>
    </row>
    <row r="47" spans="2:4" x14ac:dyDescent="0.25">
      <c r="B47" s="1"/>
      <c r="C47" s="1"/>
      <c r="D47" s="20"/>
    </row>
    <row r="48" spans="2:4" x14ac:dyDescent="0.25">
      <c r="B48" s="1"/>
      <c r="C48" s="1"/>
      <c r="D48" s="20"/>
    </row>
    <row r="49" spans="2:4" s="12" customFormat="1" x14ac:dyDescent="0.25">
      <c r="B49" s="1"/>
      <c r="C49" s="1"/>
      <c r="D49" s="20"/>
    </row>
    <row r="50" spans="2:4" s="12" customFormat="1" x14ac:dyDescent="0.25">
      <c r="B50" s="21"/>
      <c r="C50" s="1"/>
      <c r="D50" s="20"/>
    </row>
    <row r="51" spans="2:4" s="12" customFormat="1" x14ac:dyDescent="0.25">
      <c r="B51" s="21"/>
      <c r="C51" s="1"/>
      <c r="D51" s="20"/>
    </row>
    <row r="52" spans="2:4" s="12" customFormat="1" x14ac:dyDescent="0.25">
      <c r="B52" s="21"/>
      <c r="C52" s="1"/>
      <c r="D52" s="20"/>
    </row>
    <row r="53" spans="2:4" s="12" customFormat="1" x14ac:dyDescent="0.25">
      <c r="B53" s="21"/>
      <c r="C53" s="1"/>
      <c r="D53" s="20"/>
    </row>
    <row r="54" spans="2:4" s="12" customFormat="1" x14ac:dyDescent="0.25">
      <c r="B54" s="1"/>
      <c r="C54" s="1"/>
      <c r="D54" s="20"/>
    </row>
    <row r="55" spans="2:4" x14ac:dyDescent="0.25">
      <c r="D55" s="20"/>
    </row>
    <row r="56" spans="2:4" x14ac:dyDescent="0.25">
      <c r="D56" s="20"/>
    </row>
  </sheetData>
  <mergeCells count="4">
    <mergeCell ref="B2:C2"/>
    <mergeCell ref="B3:C3"/>
    <mergeCell ref="D2:E3"/>
    <mergeCell ref="B44:C44"/>
  </mergeCells>
  <pageMargins left="0.7" right="0.7" top="0.75" bottom="0.75" header="0.3" footer="0.3"/>
  <pageSetup paperSize="9" orientation="portrait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86"/>
  <sheetViews>
    <sheetView zoomScaleNormal="100" workbookViewId="0">
      <selection activeCell="C25" sqref="C25:R25"/>
    </sheetView>
  </sheetViews>
  <sheetFormatPr defaultRowHeight="15" x14ac:dyDescent="0.25"/>
  <cols>
    <col min="1" max="1" width="7" style="54" customWidth="1"/>
    <col min="2" max="2" width="13.42578125" style="54" customWidth="1"/>
    <col min="3" max="3" width="14" style="54" customWidth="1"/>
    <col min="4" max="4" width="14.140625" style="54" bestFit="1" customWidth="1"/>
    <col min="5" max="5" width="18" style="54" customWidth="1"/>
    <col min="6" max="6" width="12.5703125" style="54" bestFit="1" customWidth="1"/>
    <col min="7" max="8" width="12" style="54" bestFit="1" customWidth="1"/>
    <col min="9" max="9" width="12.5703125" style="54" bestFit="1" customWidth="1"/>
    <col min="10" max="10" width="12" style="54" bestFit="1" customWidth="1"/>
    <col min="11" max="11" width="13.140625" style="54" bestFit="1" customWidth="1"/>
    <col min="12" max="12" width="12.5703125" style="54" bestFit="1" customWidth="1"/>
    <col min="13" max="13" width="12" style="54" bestFit="1" customWidth="1"/>
    <col min="14" max="14" width="14" style="54" bestFit="1" customWidth="1"/>
    <col min="15" max="15" width="14.5703125" style="54" bestFit="1" customWidth="1"/>
    <col min="16" max="16" width="11.140625" style="54" customWidth="1"/>
    <col min="17" max="17" width="11.7109375" style="54" customWidth="1"/>
    <col min="18" max="18" width="11.85546875" style="54" customWidth="1"/>
    <col min="19" max="19" width="12.5703125" style="54" bestFit="1" customWidth="1"/>
    <col min="20" max="20" width="12" style="54" bestFit="1" customWidth="1"/>
    <col min="21" max="21" width="14" style="54" customWidth="1"/>
    <col min="22" max="22" width="14.5703125" style="54" bestFit="1" customWidth="1"/>
    <col min="23" max="23" width="9.140625" style="54"/>
    <col min="24" max="24" width="12.28515625" style="54" customWidth="1"/>
    <col min="25" max="25" width="11.7109375" style="54" customWidth="1"/>
    <col min="26" max="16384" width="9.140625" style="54"/>
  </cols>
  <sheetData>
    <row r="2" spans="2:24" s="12" customFormat="1" ht="15" customHeight="1" x14ac:dyDescent="0.25">
      <c r="B2" s="228" t="s">
        <v>221</v>
      </c>
      <c r="C2" s="228"/>
      <c r="D2" s="228"/>
      <c r="E2" s="228"/>
      <c r="F2" s="229">
        <v>44713</v>
      </c>
      <c r="G2" s="230"/>
      <c r="H2" s="230"/>
    </row>
    <row r="3" spans="2:24" s="12" customFormat="1" ht="15" customHeight="1" x14ac:dyDescent="0.25">
      <c r="B3" s="228"/>
      <c r="C3" s="228"/>
      <c r="D3" s="228"/>
      <c r="E3" s="228"/>
      <c r="F3" s="230"/>
      <c r="G3" s="230"/>
      <c r="H3" s="230"/>
    </row>
    <row r="8" spans="2:24" x14ac:dyDescent="0.25">
      <c r="J8" s="14"/>
      <c r="K8" s="14"/>
      <c r="L8" s="14"/>
      <c r="U8" s="125"/>
    </row>
    <row r="9" spans="2:24" ht="15.75" x14ac:dyDescent="0.25">
      <c r="J9" s="126"/>
      <c r="K9" s="126"/>
      <c r="L9" s="14"/>
      <c r="U9" s="125"/>
    </row>
    <row r="10" spans="2:24" x14ac:dyDescent="0.25">
      <c r="U10" s="125"/>
    </row>
    <row r="11" spans="2:24" ht="15.75" thickBot="1" x14ac:dyDescent="0.3">
      <c r="U11" s="125"/>
    </row>
    <row r="12" spans="2:24" ht="15.75" customHeight="1" thickBot="1" x14ac:dyDescent="0.3">
      <c r="B12" s="231" t="s">
        <v>4</v>
      </c>
      <c r="C12" s="233" t="s">
        <v>134</v>
      </c>
      <c r="D12" s="234"/>
      <c r="E12" s="234"/>
      <c r="F12" s="234"/>
      <c r="G12" s="234"/>
      <c r="H12" s="234"/>
      <c r="I12" s="234"/>
      <c r="J12" s="234"/>
      <c r="K12" s="234"/>
      <c r="L12" s="234"/>
      <c r="M12" s="234"/>
      <c r="N12" s="234"/>
      <c r="O12" s="234"/>
      <c r="P12" s="234"/>
      <c r="Q12" s="234"/>
      <c r="R12" s="127"/>
      <c r="U12" s="125"/>
    </row>
    <row r="13" spans="2:24" ht="15" customHeight="1" x14ac:dyDescent="0.25">
      <c r="B13" s="232"/>
      <c r="C13" s="128" t="s">
        <v>78</v>
      </c>
      <c r="D13" s="129" t="s">
        <v>83</v>
      </c>
      <c r="E13" s="129" t="s">
        <v>135</v>
      </c>
      <c r="F13" s="129" t="s">
        <v>218</v>
      </c>
      <c r="G13" s="129" t="s">
        <v>137</v>
      </c>
      <c r="H13" s="129" t="s">
        <v>138</v>
      </c>
      <c r="I13" s="129" t="s">
        <v>139</v>
      </c>
      <c r="J13" s="129" t="s">
        <v>140</v>
      </c>
      <c r="K13" s="129" t="s">
        <v>141</v>
      </c>
      <c r="L13" s="129" t="s">
        <v>142</v>
      </c>
      <c r="M13" s="129" t="s">
        <v>143</v>
      </c>
      <c r="N13" s="129" t="s">
        <v>144</v>
      </c>
      <c r="O13" s="129" t="s">
        <v>145</v>
      </c>
      <c r="P13" s="130" t="s">
        <v>146</v>
      </c>
      <c r="Q13" s="129" t="s">
        <v>147</v>
      </c>
      <c r="R13" s="131"/>
      <c r="U13" s="125"/>
    </row>
    <row r="14" spans="2:24" ht="15" customHeight="1" x14ac:dyDescent="0.25">
      <c r="B14" s="232"/>
      <c r="C14" s="124">
        <v>44718</v>
      </c>
      <c r="D14" s="60">
        <v>24.1</v>
      </c>
      <c r="E14" s="60">
        <v>5</v>
      </c>
      <c r="F14" s="60">
        <v>4035.5</v>
      </c>
      <c r="G14" s="60">
        <v>1</v>
      </c>
      <c r="H14" s="60">
        <v>11.9</v>
      </c>
      <c r="I14" s="60">
        <v>5</v>
      </c>
      <c r="J14" s="60">
        <v>3.3</v>
      </c>
      <c r="K14" s="195">
        <v>2423398912</v>
      </c>
      <c r="L14" s="195">
        <v>2513913600</v>
      </c>
      <c r="M14" s="60">
        <v>1498.4</v>
      </c>
      <c r="N14" s="60">
        <v>18.899999999999999</v>
      </c>
      <c r="O14" s="60">
        <v>77.849999999999994</v>
      </c>
      <c r="P14" s="60">
        <v>77.98</v>
      </c>
      <c r="Q14" s="60">
        <v>37.11</v>
      </c>
      <c r="R14" s="60"/>
      <c r="X14" s="11"/>
    </row>
    <row r="15" spans="2:24" ht="15" customHeight="1" x14ac:dyDescent="0.3">
      <c r="B15" s="232"/>
      <c r="C15" s="132" t="s">
        <v>148</v>
      </c>
      <c r="D15" s="133" t="s">
        <v>149</v>
      </c>
      <c r="E15" s="133" t="s">
        <v>150</v>
      </c>
      <c r="F15" s="133" t="s">
        <v>151</v>
      </c>
      <c r="G15" s="133" t="s">
        <v>152</v>
      </c>
      <c r="H15" s="133" t="s">
        <v>153</v>
      </c>
      <c r="I15" s="133" t="s">
        <v>154</v>
      </c>
      <c r="J15" s="133" t="s">
        <v>155</v>
      </c>
      <c r="K15" s="133" t="s">
        <v>156</v>
      </c>
      <c r="L15" s="133" t="s">
        <v>157</v>
      </c>
      <c r="M15" s="133" t="s">
        <v>158</v>
      </c>
      <c r="N15" s="133" t="s">
        <v>159</v>
      </c>
      <c r="O15" s="133" t="s">
        <v>160</v>
      </c>
      <c r="P15" s="134" t="s">
        <v>161</v>
      </c>
      <c r="Q15" s="133" t="s">
        <v>162</v>
      </c>
      <c r="R15" s="135" t="s">
        <v>20</v>
      </c>
      <c r="X15" s="11"/>
    </row>
    <row r="16" spans="2:24" ht="15.75" customHeight="1" x14ac:dyDescent="0.25">
      <c r="B16" s="232"/>
      <c r="C16" s="195">
        <v>2425504512</v>
      </c>
      <c r="D16" s="195">
        <v>2513962496</v>
      </c>
      <c r="E16" s="60">
        <v>1445.7</v>
      </c>
      <c r="F16" s="60" t="s">
        <v>219</v>
      </c>
      <c r="G16" s="60">
        <v>81.489999999999995</v>
      </c>
      <c r="H16" s="60">
        <v>76.53</v>
      </c>
      <c r="I16" s="60">
        <v>943</v>
      </c>
      <c r="J16" s="60">
        <v>0</v>
      </c>
      <c r="K16" s="60" t="s">
        <v>219</v>
      </c>
      <c r="L16" s="60" t="s">
        <v>220</v>
      </c>
      <c r="M16" s="60">
        <v>485</v>
      </c>
      <c r="N16" s="60" t="s">
        <v>220</v>
      </c>
      <c r="O16" s="60">
        <v>30</v>
      </c>
      <c r="P16" s="60">
        <v>49.5</v>
      </c>
      <c r="Q16" s="60">
        <v>50</v>
      </c>
      <c r="R16" s="150" t="s">
        <v>217</v>
      </c>
      <c r="X16" s="11"/>
    </row>
    <row r="17" spans="2:28" ht="15.75" customHeight="1" x14ac:dyDescent="0.25">
      <c r="B17" s="232"/>
      <c r="C17" s="138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40"/>
      <c r="Q17" s="140"/>
      <c r="R17" s="141"/>
      <c r="X17" s="11"/>
    </row>
    <row r="18" spans="2:28" ht="15.75" customHeight="1" x14ac:dyDescent="0.25">
      <c r="B18" s="232"/>
      <c r="C18" s="142" t="s">
        <v>78</v>
      </c>
      <c r="D18" s="142" t="s">
        <v>83</v>
      </c>
      <c r="E18" s="142" t="s">
        <v>135</v>
      </c>
      <c r="F18" s="142" t="s">
        <v>136</v>
      </c>
      <c r="G18" s="142" t="s">
        <v>137</v>
      </c>
      <c r="H18" s="142" t="s">
        <v>138</v>
      </c>
      <c r="I18" s="142" t="s">
        <v>139</v>
      </c>
      <c r="J18" s="142" t="s">
        <v>140</v>
      </c>
      <c r="K18" s="142" t="s">
        <v>141</v>
      </c>
      <c r="L18" s="142" t="s">
        <v>142</v>
      </c>
      <c r="M18" s="142" t="s">
        <v>143</v>
      </c>
      <c r="N18" s="142" t="s">
        <v>144</v>
      </c>
      <c r="O18" s="142" t="s">
        <v>145</v>
      </c>
      <c r="P18" s="143" t="s">
        <v>146</v>
      </c>
      <c r="Q18" s="142" t="s">
        <v>147</v>
      </c>
      <c r="R18" s="141"/>
    </row>
    <row r="19" spans="2:28" ht="15.75" x14ac:dyDescent="0.25">
      <c r="B19" s="144"/>
      <c r="C19" s="124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141"/>
    </row>
    <row r="20" spans="2:28" ht="15.75" x14ac:dyDescent="0.3">
      <c r="B20" s="144"/>
      <c r="C20" s="142" t="s">
        <v>148</v>
      </c>
      <c r="D20" s="133" t="s">
        <v>149</v>
      </c>
      <c r="E20" s="133" t="s">
        <v>150</v>
      </c>
      <c r="F20" s="133" t="s">
        <v>151</v>
      </c>
      <c r="G20" s="133" t="s">
        <v>152</v>
      </c>
      <c r="H20" s="133" t="s">
        <v>153</v>
      </c>
      <c r="I20" s="133" t="s">
        <v>154</v>
      </c>
      <c r="J20" s="133" t="s">
        <v>155</v>
      </c>
      <c r="K20" s="133" t="s">
        <v>156</v>
      </c>
      <c r="L20" s="133" t="s">
        <v>157</v>
      </c>
      <c r="M20" s="133" t="s">
        <v>158</v>
      </c>
      <c r="N20" s="133" t="s">
        <v>159</v>
      </c>
      <c r="O20" s="133" t="s">
        <v>160</v>
      </c>
      <c r="P20" s="134" t="s">
        <v>161</v>
      </c>
      <c r="Q20" s="133" t="s">
        <v>162</v>
      </c>
      <c r="R20" s="145" t="s">
        <v>20</v>
      </c>
    </row>
    <row r="21" spans="2:28" ht="16.5" thickBot="1" x14ac:dyDescent="0.3">
      <c r="B21" s="146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136"/>
      <c r="R21" s="147"/>
      <c r="S21" s="148"/>
    </row>
    <row r="22" spans="2:28" x14ac:dyDescent="0.25">
      <c r="J22" s="14"/>
    </row>
    <row r="23" spans="2:28" s="149" customFormat="1" ht="15.75" customHeight="1" x14ac:dyDescent="0.25">
      <c r="B23" s="54"/>
      <c r="C23" s="54"/>
      <c r="D23" s="54"/>
      <c r="E23" s="54"/>
      <c r="F23" s="54"/>
      <c r="G23" s="54"/>
      <c r="H23" s="54"/>
      <c r="I23" s="54"/>
      <c r="J23" s="14"/>
      <c r="K23" s="54"/>
      <c r="L23" s="54"/>
      <c r="M23" s="54"/>
      <c r="N23" s="54"/>
      <c r="O23" s="54"/>
      <c r="P23" s="54"/>
      <c r="Q23" s="54"/>
      <c r="R23" s="54"/>
      <c r="Z23" s="54"/>
      <c r="AA23" s="54"/>
    </row>
    <row r="24" spans="2:28" ht="15" customHeight="1" x14ac:dyDescent="0.25">
      <c r="J24" s="14"/>
    </row>
    <row r="25" spans="2:28" ht="15" customHeight="1" x14ac:dyDescent="0.25">
      <c r="B25" s="235" t="s">
        <v>2</v>
      </c>
      <c r="C25" s="237" t="s">
        <v>134</v>
      </c>
      <c r="D25" s="238"/>
      <c r="E25" s="238"/>
      <c r="F25" s="238"/>
      <c r="G25" s="238"/>
      <c r="H25" s="238"/>
      <c r="I25" s="238"/>
      <c r="J25" s="238"/>
      <c r="K25" s="238"/>
      <c r="L25" s="238"/>
      <c r="M25" s="238"/>
      <c r="N25" s="238"/>
      <c r="O25" s="238"/>
      <c r="P25" s="238"/>
      <c r="Q25" s="238"/>
      <c r="R25" s="239"/>
      <c r="S25" s="188"/>
      <c r="T25" s="189"/>
    </row>
    <row r="26" spans="2:28" ht="15" customHeight="1" x14ac:dyDescent="0.3">
      <c r="B26" s="235"/>
      <c r="C26" s="190" t="s">
        <v>78</v>
      </c>
      <c r="D26" s="179" t="s">
        <v>87</v>
      </c>
      <c r="E26" s="179" t="s">
        <v>86</v>
      </c>
      <c r="F26" s="179" t="s">
        <v>121</v>
      </c>
      <c r="G26" s="179" t="s">
        <v>122</v>
      </c>
      <c r="H26" s="179" t="s">
        <v>123</v>
      </c>
      <c r="I26" s="179" t="s">
        <v>124</v>
      </c>
      <c r="J26" s="179" t="s">
        <v>125</v>
      </c>
      <c r="K26" s="179" t="s">
        <v>126</v>
      </c>
      <c r="L26" s="179" t="s">
        <v>127</v>
      </c>
      <c r="M26" s="179" t="s">
        <v>128</v>
      </c>
      <c r="N26" s="179" t="s">
        <v>129</v>
      </c>
      <c r="O26" s="179" t="s">
        <v>130</v>
      </c>
      <c r="P26" s="179" t="s">
        <v>131</v>
      </c>
      <c r="Q26" s="179" t="s">
        <v>132</v>
      </c>
      <c r="R26" s="179" t="s">
        <v>214</v>
      </c>
      <c r="S26" s="179" t="s">
        <v>215</v>
      </c>
      <c r="T26" s="170" t="s">
        <v>20</v>
      </c>
      <c r="Z26" s="149"/>
      <c r="AA26" s="149"/>
      <c r="AB26" s="149"/>
    </row>
    <row r="27" spans="2:28" ht="15.75" customHeight="1" x14ac:dyDescent="0.25">
      <c r="B27" s="235"/>
      <c r="C27" s="124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187"/>
    </row>
    <row r="28" spans="2:28" ht="15" customHeight="1" x14ac:dyDescent="0.25">
      <c r="B28" s="235"/>
      <c r="C28" s="191"/>
      <c r="D28" s="192"/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192"/>
      <c r="P28" s="192"/>
      <c r="Q28" s="192"/>
      <c r="R28" s="192"/>
      <c r="S28" s="193"/>
      <c r="T28" s="193"/>
    </row>
    <row r="29" spans="2:28" ht="15.75" customHeight="1" x14ac:dyDescent="0.3">
      <c r="B29" s="236"/>
      <c r="C29" s="194" t="s">
        <v>78</v>
      </c>
      <c r="D29" s="184" t="s">
        <v>87</v>
      </c>
      <c r="E29" s="184" t="s">
        <v>86</v>
      </c>
      <c r="F29" s="184" t="s">
        <v>121</v>
      </c>
      <c r="G29" s="184" t="s">
        <v>122</v>
      </c>
      <c r="H29" s="184" t="s">
        <v>123</v>
      </c>
      <c r="I29" s="184" t="s">
        <v>124</v>
      </c>
      <c r="J29" s="184" t="s">
        <v>125</v>
      </c>
      <c r="K29" s="184" t="s">
        <v>126</v>
      </c>
      <c r="L29" s="184" t="s">
        <v>127</v>
      </c>
      <c r="M29" s="184" t="s">
        <v>128</v>
      </c>
      <c r="N29" s="184" t="s">
        <v>129</v>
      </c>
      <c r="O29" s="184" t="s">
        <v>130</v>
      </c>
      <c r="P29" s="184" t="s">
        <v>131</v>
      </c>
      <c r="Q29" s="184" t="s">
        <v>132</v>
      </c>
      <c r="R29" s="184" t="s">
        <v>214</v>
      </c>
      <c r="S29" s="184" t="s">
        <v>215</v>
      </c>
      <c r="T29" s="175" t="s">
        <v>20</v>
      </c>
    </row>
    <row r="30" spans="2:28" x14ac:dyDescent="0.25">
      <c r="B30" s="176"/>
      <c r="C30" s="124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187"/>
    </row>
    <row r="31" spans="2:28" x14ac:dyDescent="0.25">
      <c r="C31" s="151"/>
    </row>
    <row r="32" spans="2:28" x14ac:dyDescent="0.25">
      <c r="C32" s="151"/>
    </row>
    <row r="33" spans="2:25" ht="15" customHeight="1" x14ac:dyDescent="0.25">
      <c r="C33" s="151"/>
    </row>
    <row r="34" spans="2:25" ht="15.75" customHeight="1" x14ac:dyDescent="0.25"/>
    <row r="35" spans="2:25" ht="15" customHeight="1" thickBot="1" x14ac:dyDescent="0.3"/>
    <row r="36" spans="2:25" ht="15.75" customHeight="1" x14ac:dyDescent="0.25">
      <c r="B36" s="243" t="s">
        <v>3</v>
      </c>
      <c r="C36" s="245" t="s">
        <v>134</v>
      </c>
      <c r="D36" s="245"/>
      <c r="E36" s="245"/>
      <c r="F36" s="245"/>
      <c r="G36" s="245"/>
      <c r="H36" s="245"/>
      <c r="I36" s="245"/>
      <c r="J36" s="245"/>
      <c r="K36" s="245"/>
      <c r="L36" s="245"/>
      <c r="M36" s="245"/>
      <c r="N36" s="245"/>
      <c r="O36" s="246"/>
    </row>
    <row r="37" spans="2:25" ht="15.75" customHeight="1" x14ac:dyDescent="0.25">
      <c r="B37" s="244"/>
      <c r="C37" s="152" t="s">
        <v>78</v>
      </c>
      <c r="D37" s="142" t="s">
        <v>87</v>
      </c>
      <c r="E37" s="142" t="s">
        <v>86</v>
      </c>
      <c r="F37" s="142" t="s">
        <v>88</v>
      </c>
      <c r="G37" s="142" t="s">
        <v>89</v>
      </c>
      <c r="H37" s="142" t="s">
        <v>90</v>
      </c>
      <c r="I37" s="142" t="s">
        <v>91</v>
      </c>
      <c r="J37" s="142" t="s">
        <v>92</v>
      </c>
      <c r="K37" s="142" t="s">
        <v>93</v>
      </c>
      <c r="L37" s="142" t="s">
        <v>94</v>
      </c>
      <c r="M37" s="142" t="s">
        <v>95</v>
      </c>
      <c r="N37" s="142" t="s">
        <v>96</v>
      </c>
      <c r="O37" s="153" t="s">
        <v>97</v>
      </c>
    </row>
    <row r="38" spans="2:25" x14ac:dyDescent="0.25">
      <c r="B38" s="244"/>
      <c r="C38" s="124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W38" s="149"/>
      <c r="X38" s="149"/>
      <c r="Y38" s="149"/>
    </row>
    <row r="39" spans="2:25" ht="15.75" x14ac:dyDescent="0.3">
      <c r="B39" s="244"/>
      <c r="C39" s="152" t="s">
        <v>98</v>
      </c>
      <c r="D39" s="142" t="s">
        <v>99</v>
      </c>
      <c r="E39" s="142" t="s">
        <v>100</v>
      </c>
      <c r="F39" s="142" t="s">
        <v>101</v>
      </c>
      <c r="G39" s="133" t="s">
        <v>102</v>
      </c>
      <c r="H39" s="133" t="s">
        <v>103</v>
      </c>
      <c r="I39" s="133" t="s">
        <v>104</v>
      </c>
      <c r="J39" s="133" t="s">
        <v>105</v>
      </c>
      <c r="K39" s="133" t="s">
        <v>106</v>
      </c>
      <c r="L39" s="133" t="s">
        <v>107</v>
      </c>
      <c r="M39" s="133" t="s">
        <v>108</v>
      </c>
      <c r="N39" s="133" t="s">
        <v>82</v>
      </c>
      <c r="O39" s="29" t="s">
        <v>20</v>
      </c>
      <c r="W39" s="149"/>
      <c r="X39" s="149"/>
      <c r="Y39" s="149"/>
    </row>
    <row r="40" spans="2:25" x14ac:dyDescent="0.25">
      <c r="B40" s="244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187"/>
      <c r="W40" s="149"/>
      <c r="X40" s="149"/>
      <c r="Y40" s="149"/>
    </row>
    <row r="41" spans="2:25" x14ac:dyDescent="0.25">
      <c r="B41" s="154"/>
      <c r="C41" s="155"/>
      <c r="D41" s="139"/>
      <c r="E41" s="139"/>
      <c r="F41" s="139"/>
      <c r="G41" s="139"/>
      <c r="H41" s="139"/>
      <c r="I41" s="139"/>
      <c r="J41" s="156"/>
      <c r="K41" s="139"/>
      <c r="L41" s="139"/>
      <c r="M41" s="139"/>
      <c r="N41" s="139"/>
      <c r="O41" s="157"/>
    </row>
    <row r="42" spans="2:25" ht="15.75" customHeight="1" x14ac:dyDescent="0.25">
      <c r="B42" s="154"/>
      <c r="C42" s="152" t="s">
        <v>78</v>
      </c>
      <c r="D42" s="142" t="s">
        <v>87</v>
      </c>
      <c r="E42" s="142" t="s">
        <v>86</v>
      </c>
      <c r="F42" s="142" t="s">
        <v>88</v>
      </c>
      <c r="G42" s="142" t="s">
        <v>89</v>
      </c>
      <c r="H42" s="142" t="s">
        <v>90</v>
      </c>
      <c r="I42" s="142" t="s">
        <v>91</v>
      </c>
      <c r="J42" s="142" t="s">
        <v>92</v>
      </c>
      <c r="K42" s="142" t="s">
        <v>93</v>
      </c>
      <c r="L42" s="142" t="s">
        <v>94</v>
      </c>
      <c r="M42" s="142" t="s">
        <v>95</v>
      </c>
      <c r="N42" s="142" t="s">
        <v>96</v>
      </c>
      <c r="O42" s="153" t="s">
        <v>97</v>
      </c>
    </row>
    <row r="43" spans="2:25" ht="15" customHeight="1" x14ac:dyDescent="0.25">
      <c r="B43" s="154"/>
      <c r="C43" s="124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</row>
    <row r="44" spans="2:25" ht="15" customHeight="1" x14ac:dyDescent="0.3">
      <c r="B44" s="154"/>
      <c r="C44" s="152" t="s">
        <v>98</v>
      </c>
      <c r="D44" s="142" t="s">
        <v>99</v>
      </c>
      <c r="E44" s="142" t="s">
        <v>100</v>
      </c>
      <c r="F44" s="142" t="s">
        <v>101</v>
      </c>
      <c r="G44" s="133" t="s">
        <v>102</v>
      </c>
      <c r="H44" s="133" t="s">
        <v>103</v>
      </c>
      <c r="I44" s="133" t="s">
        <v>104</v>
      </c>
      <c r="J44" s="133" t="s">
        <v>105</v>
      </c>
      <c r="K44" s="133" t="s">
        <v>106</v>
      </c>
      <c r="L44" s="133" t="s">
        <v>107</v>
      </c>
      <c r="M44" s="133" t="s">
        <v>108</v>
      </c>
      <c r="N44" s="133" t="s">
        <v>82</v>
      </c>
      <c r="O44" s="29" t="s">
        <v>20</v>
      </c>
      <c r="R44" s="158"/>
    </row>
    <row r="45" spans="2:25" ht="15" customHeight="1" thickBot="1" x14ac:dyDescent="0.3">
      <c r="B45" s="159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137"/>
      <c r="R45" s="160"/>
    </row>
    <row r="46" spans="2:25" ht="15.75" customHeight="1" x14ac:dyDescent="0.25">
      <c r="J46" s="161"/>
      <c r="R46" s="162"/>
      <c r="Y46" s="149"/>
    </row>
    <row r="47" spans="2:25" ht="16.5" thickBot="1" x14ac:dyDescent="0.3">
      <c r="J47" s="161"/>
      <c r="R47" s="160"/>
    </row>
    <row r="48" spans="2:25" x14ac:dyDescent="0.25">
      <c r="B48" s="247" t="s">
        <v>1</v>
      </c>
      <c r="C48" s="163" t="s">
        <v>134</v>
      </c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5"/>
      <c r="R48" s="162"/>
    </row>
    <row r="49" spans="2:20" x14ac:dyDescent="0.25">
      <c r="B49" s="248"/>
      <c r="C49" s="152" t="s">
        <v>78</v>
      </c>
      <c r="D49" s="142" t="s">
        <v>155</v>
      </c>
      <c r="E49" s="142" t="s">
        <v>164</v>
      </c>
      <c r="F49" s="142" t="s">
        <v>165</v>
      </c>
      <c r="G49" s="142" t="s">
        <v>166</v>
      </c>
      <c r="H49" s="142" t="s">
        <v>167</v>
      </c>
      <c r="I49" s="142" t="s">
        <v>168</v>
      </c>
      <c r="J49" s="142" t="s">
        <v>140</v>
      </c>
      <c r="K49" s="142" t="s">
        <v>169</v>
      </c>
      <c r="L49" s="142" t="s">
        <v>170</v>
      </c>
      <c r="M49" s="142" t="s">
        <v>171</v>
      </c>
      <c r="N49" s="142" t="s">
        <v>172</v>
      </c>
      <c r="O49" s="142" t="s">
        <v>173</v>
      </c>
      <c r="P49" s="142" t="s">
        <v>79</v>
      </c>
      <c r="Q49" s="153" t="s">
        <v>174</v>
      </c>
    </row>
    <row r="50" spans="2:20" x14ac:dyDescent="0.25">
      <c r="B50" s="248"/>
      <c r="C50" s="124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</row>
    <row r="51" spans="2:20" ht="15.75" x14ac:dyDescent="0.3">
      <c r="B51" s="248"/>
      <c r="C51" s="152" t="s">
        <v>80</v>
      </c>
      <c r="D51" s="142" t="s">
        <v>175</v>
      </c>
      <c r="E51" s="142" t="s">
        <v>176</v>
      </c>
      <c r="F51" s="142" t="s">
        <v>177</v>
      </c>
      <c r="G51" s="142" t="s">
        <v>178</v>
      </c>
      <c r="H51" s="142" t="s">
        <v>179</v>
      </c>
      <c r="I51" s="133" t="s">
        <v>81</v>
      </c>
      <c r="J51" s="133" t="s">
        <v>180</v>
      </c>
      <c r="K51" s="133" t="s">
        <v>181</v>
      </c>
      <c r="L51" s="133" t="s">
        <v>86</v>
      </c>
      <c r="M51" s="133" t="s">
        <v>182</v>
      </c>
      <c r="N51" s="133" t="s">
        <v>161</v>
      </c>
      <c r="O51" s="133" t="s">
        <v>183</v>
      </c>
      <c r="P51" s="133" t="s">
        <v>184</v>
      </c>
      <c r="Q51" s="29" t="s">
        <v>20</v>
      </c>
    </row>
    <row r="52" spans="2:20" ht="15.75" x14ac:dyDescent="0.25">
      <c r="B52" s="248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137"/>
    </row>
    <row r="53" spans="2:20" x14ac:dyDescent="0.25">
      <c r="B53" s="154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57"/>
    </row>
    <row r="54" spans="2:20" x14ac:dyDescent="0.25">
      <c r="B54" s="154"/>
      <c r="C54" s="152" t="s">
        <v>78</v>
      </c>
      <c r="D54" s="142" t="s">
        <v>155</v>
      </c>
      <c r="E54" s="142" t="s">
        <v>164</v>
      </c>
      <c r="F54" s="142" t="s">
        <v>165</v>
      </c>
      <c r="G54" s="142" t="s">
        <v>166</v>
      </c>
      <c r="H54" s="142" t="s">
        <v>167</v>
      </c>
      <c r="I54" s="142" t="s">
        <v>168</v>
      </c>
      <c r="J54" s="142" t="s">
        <v>140</v>
      </c>
      <c r="K54" s="142" t="s">
        <v>169</v>
      </c>
      <c r="L54" s="142" t="s">
        <v>170</v>
      </c>
      <c r="M54" s="142" t="s">
        <v>171</v>
      </c>
      <c r="N54" s="142" t="s">
        <v>172</v>
      </c>
      <c r="O54" s="142" t="s">
        <v>173</v>
      </c>
      <c r="P54" s="142" t="s">
        <v>79</v>
      </c>
      <c r="Q54" s="153" t="s">
        <v>174</v>
      </c>
    </row>
    <row r="55" spans="2:20" x14ac:dyDescent="0.25">
      <c r="B55" s="154"/>
      <c r="C55" s="124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</row>
    <row r="56" spans="2:20" ht="15.75" x14ac:dyDescent="0.3">
      <c r="B56" s="154"/>
      <c r="C56" s="152" t="s">
        <v>80</v>
      </c>
      <c r="D56" s="142" t="s">
        <v>175</v>
      </c>
      <c r="E56" s="142" t="s">
        <v>176</v>
      </c>
      <c r="F56" s="142" t="s">
        <v>177</v>
      </c>
      <c r="G56" s="142" t="s">
        <v>178</v>
      </c>
      <c r="H56" s="142" t="s">
        <v>179</v>
      </c>
      <c r="I56" s="133" t="s">
        <v>81</v>
      </c>
      <c r="J56" s="133" t="s">
        <v>180</v>
      </c>
      <c r="K56" s="133" t="s">
        <v>181</v>
      </c>
      <c r="L56" s="133" t="s">
        <v>86</v>
      </c>
      <c r="M56" s="133" t="s">
        <v>182</v>
      </c>
      <c r="N56" s="133" t="s">
        <v>161</v>
      </c>
      <c r="O56" s="133" t="s">
        <v>183</v>
      </c>
      <c r="P56" s="133" t="s">
        <v>184</v>
      </c>
      <c r="Q56" s="29" t="s">
        <v>20</v>
      </c>
    </row>
    <row r="57" spans="2:20" ht="16.5" thickBot="1" x14ac:dyDescent="0.3">
      <c r="B57" s="146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137"/>
    </row>
    <row r="61" spans="2:20" x14ac:dyDescent="0.25">
      <c r="B61" s="235" t="s">
        <v>185</v>
      </c>
      <c r="C61" s="237" t="s">
        <v>134</v>
      </c>
      <c r="D61" s="238"/>
      <c r="E61" s="238"/>
      <c r="F61" s="238"/>
      <c r="G61" s="238"/>
      <c r="H61" s="238"/>
      <c r="I61" s="238"/>
      <c r="J61" s="238"/>
      <c r="K61" s="238"/>
      <c r="L61" s="238"/>
      <c r="M61" s="238"/>
      <c r="N61" s="238"/>
      <c r="O61" s="238"/>
      <c r="P61" s="238"/>
      <c r="Q61" s="238"/>
      <c r="R61" s="239"/>
      <c r="S61" s="166"/>
      <c r="T61" s="167"/>
    </row>
    <row r="62" spans="2:20" ht="15.75" x14ac:dyDescent="0.3">
      <c r="B62" s="235"/>
      <c r="C62" s="168" t="s">
        <v>78</v>
      </c>
      <c r="D62" s="168" t="s">
        <v>186</v>
      </c>
      <c r="E62" s="168" t="s">
        <v>187</v>
      </c>
      <c r="F62" s="168" t="s">
        <v>188</v>
      </c>
      <c r="G62" s="168" t="s">
        <v>189</v>
      </c>
      <c r="H62" s="168" t="s">
        <v>190</v>
      </c>
      <c r="I62" s="168" t="s">
        <v>191</v>
      </c>
      <c r="J62" s="168" t="s">
        <v>192</v>
      </c>
      <c r="K62" s="168" t="s">
        <v>193</v>
      </c>
      <c r="L62" s="168" t="s">
        <v>194</v>
      </c>
      <c r="M62" s="168" t="s">
        <v>195</v>
      </c>
      <c r="N62" s="168" t="s">
        <v>196</v>
      </c>
      <c r="O62" s="168" t="s">
        <v>197</v>
      </c>
      <c r="P62" s="168" t="s">
        <v>198</v>
      </c>
      <c r="Q62" s="168" t="s">
        <v>199</v>
      </c>
      <c r="R62" s="168" t="s">
        <v>200</v>
      </c>
      <c r="S62" s="169" t="s">
        <v>201</v>
      </c>
      <c r="T62" s="170" t="s">
        <v>20</v>
      </c>
    </row>
    <row r="63" spans="2:20" ht="15.75" x14ac:dyDescent="0.25">
      <c r="B63" s="249"/>
      <c r="C63" s="124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137"/>
    </row>
    <row r="64" spans="2:20" x14ac:dyDescent="0.25">
      <c r="B64" s="249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2"/>
      <c r="T64" s="172"/>
    </row>
    <row r="65" spans="2:20" ht="15.75" x14ac:dyDescent="0.3">
      <c r="B65" s="236"/>
      <c r="C65" s="173" t="s">
        <v>78</v>
      </c>
      <c r="D65" s="173" t="s">
        <v>186</v>
      </c>
      <c r="E65" s="173" t="s">
        <v>187</v>
      </c>
      <c r="F65" s="173" t="s">
        <v>188</v>
      </c>
      <c r="G65" s="173" t="s">
        <v>189</v>
      </c>
      <c r="H65" s="173" t="s">
        <v>190</v>
      </c>
      <c r="I65" s="173" t="s">
        <v>191</v>
      </c>
      <c r="J65" s="173" t="s">
        <v>192</v>
      </c>
      <c r="K65" s="173" t="s">
        <v>193</v>
      </c>
      <c r="L65" s="173" t="s">
        <v>194</v>
      </c>
      <c r="M65" s="173" t="s">
        <v>195</v>
      </c>
      <c r="N65" s="173" t="s">
        <v>196</v>
      </c>
      <c r="O65" s="173" t="s">
        <v>197</v>
      </c>
      <c r="P65" s="173" t="s">
        <v>198</v>
      </c>
      <c r="Q65" s="173" t="s">
        <v>199</v>
      </c>
      <c r="R65" s="173" t="s">
        <v>200</v>
      </c>
      <c r="S65" s="174" t="s">
        <v>201</v>
      </c>
      <c r="T65" s="175" t="s">
        <v>20</v>
      </c>
    </row>
    <row r="66" spans="2:20" ht="15.75" x14ac:dyDescent="0.25">
      <c r="B66" s="176"/>
      <c r="C66" s="124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137"/>
    </row>
    <row r="69" spans="2:20" x14ac:dyDescent="0.25">
      <c r="B69" s="235" t="s">
        <v>202</v>
      </c>
      <c r="C69" s="237" t="s">
        <v>134</v>
      </c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8"/>
      <c r="Q69" s="238"/>
      <c r="R69" s="239"/>
      <c r="S69" s="166"/>
      <c r="T69" s="167"/>
    </row>
    <row r="70" spans="2:20" ht="15.75" x14ac:dyDescent="0.3">
      <c r="B70" s="235"/>
      <c r="C70" s="173" t="s">
        <v>78</v>
      </c>
      <c r="D70" s="173" t="s">
        <v>186</v>
      </c>
      <c r="E70" s="173" t="s">
        <v>187</v>
      </c>
      <c r="F70" s="173" t="s">
        <v>188</v>
      </c>
      <c r="G70" s="173" t="s">
        <v>189</v>
      </c>
      <c r="H70" s="173" t="s">
        <v>190</v>
      </c>
      <c r="I70" s="173" t="s">
        <v>191</v>
      </c>
      <c r="J70" s="173" t="s">
        <v>192</v>
      </c>
      <c r="K70" s="173" t="s">
        <v>193</v>
      </c>
      <c r="L70" s="173" t="s">
        <v>194</v>
      </c>
      <c r="M70" s="173" t="s">
        <v>195</v>
      </c>
      <c r="N70" s="173" t="s">
        <v>196</v>
      </c>
      <c r="O70" s="173" t="s">
        <v>197</v>
      </c>
      <c r="P70" s="173" t="s">
        <v>198</v>
      </c>
      <c r="Q70" s="173" t="s">
        <v>199</v>
      </c>
      <c r="R70" s="173" t="s">
        <v>200</v>
      </c>
      <c r="S70" s="174" t="s">
        <v>201</v>
      </c>
      <c r="T70" s="175" t="s">
        <v>20</v>
      </c>
    </row>
    <row r="71" spans="2:20" ht="15.75" x14ac:dyDescent="0.25">
      <c r="B71" s="235"/>
      <c r="C71" s="124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137"/>
    </row>
    <row r="72" spans="2:20" x14ac:dyDescent="0.25">
      <c r="B72" s="249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2"/>
      <c r="T72" s="172"/>
    </row>
    <row r="73" spans="2:20" ht="15.75" x14ac:dyDescent="0.3">
      <c r="B73" s="236"/>
      <c r="C73" s="173" t="s">
        <v>78</v>
      </c>
      <c r="D73" s="173" t="s">
        <v>186</v>
      </c>
      <c r="E73" s="173" t="s">
        <v>187</v>
      </c>
      <c r="F73" s="173" t="s">
        <v>188</v>
      </c>
      <c r="G73" s="173" t="s">
        <v>189</v>
      </c>
      <c r="H73" s="173" t="s">
        <v>190</v>
      </c>
      <c r="I73" s="173" t="s">
        <v>191</v>
      </c>
      <c r="J73" s="173" t="s">
        <v>192</v>
      </c>
      <c r="K73" s="173" t="s">
        <v>193</v>
      </c>
      <c r="L73" s="173" t="s">
        <v>194</v>
      </c>
      <c r="M73" s="173" t="s">
        <v>195</v>
      </c>
      <c r="N73" s="173" t="s">
        <v>196</v>
      </c>
      <c r="O73" s="173" t="s">
        <v>197</v>
      </c>
      <c r="P73" s="173" t="s">
        <v>198</v>
      </c>
      <c r="Q73" s="173" t="s">
        <v>199</v>
      </c>
      <c r="R73" s="173" t="s">
        <v>200</v>
      </c>
      <c r="S73" s="174" t="s">
        <v>201</v>
      </c>
      <c r="T73" s="175" t="s">
        <v>20</v>
      </c>
    </row>
    <row r="74" spans="2:20" ht="15.75" x14ac:dyDescent="0.25">
      <c r="B74" s="176"/>
      <c r="C74" s="124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137"/>
    </row>
    <row r="77" spans="2:20" x14ac:dyDescent="0.25">
      <c r="B77" s="240" t="s">
        <v>24</v>
      </c>
      <c r="C77" s="239" t="s">
        <v>134</v>
      </c>
      <c r="D77" s="242"/>
      <c r="E77" s="242"/>
      <c r="F77" s="242"/>
      <c r="G77" s="242"/>
      <c r="H77" s="242"/>
      <c r="I77" s="242"/>
      <c r="J77" s="242"/>
      <c r="K77" s="242"/>
      <c r="L77" s="242"/>
      <c r="M77" s="242"/>
      <c r="N77" s="242"/>
      <c r="O77" s="242"/>
      <c r="P77" s="242"/>
      <c r="Q77" s="242"/>
      <c r="R77" s="177"/>
      <c r="S77" s="177"/>
      <c r="T77" s="178"/>
    </row>
    <row r="78" spans="2:20" x14ac:dyDescent="0.25">
      <c r="B78" s="241"/>
      <c r="C78" s="179" t="s">
        <v>78</v>
      </c>
      <c r="D78" s="179" t="s">
        <v>203</v>
      </c>
      <c r="E78" s="179" t="s">
        <v>204</v>
      </c>
      <c r="F78" s="179" t="s">
        <v>109</v>
      </c>
      <c r="G78" s="179" t="s">
        <v>110</v>
      </c>
      <c r="H78" s="180" t="s">
        <v>111</v>
      </c>
      <c r="I78" s="180" t="s">
        <v>112</v>
      </c>
      <c r="J78" s="180" t="s">
        <v>113</v>
      </c>
      <c r="K78" s="180" t="s">
        <v>114</v>
      </c>
      <c r="L78" s="180" t="s">
        <v>87</v>
      </c>
      <c r="M78" s="179" t="s">
        <v>115</v>
      </c>
      <c r="N78" s="180" t="s">
        <v>205</v>
      </c>
      <c r="O78" s="180" t="s">
        <v>204</v>
      </c>
      <c r="P78" s="180" t="s">
        <v>116</v>
      </c>
      <c r="Q78" s="180" t="s">
        <v>206</v>
      </c>
      <c r="R78" s="180" t="s">
        <v>204</v>
      </c>
      <c r="S78" s="180" t="s">
        <v>207</v>
      </c>
      <c r="T78" s="173" t="s">
        <v>204</v>
      </c>
    </row>
    <row r="79" spans="2:20" x14ac:dyDescent="0.25">
      <c r="B79" s="241"/>
      <c r="C79" s="124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</row>
    <row r="80" spans="2:20" ht="15.75" x14ac:dyDescent="0.3">
      <c r="B80" s="241"/>
      <c r="C80" s="173" t="s">
        <v>117</v>
      </c>
      <c r="D80" s="173" t="s">
        <v>118</v>
      </c>
      <c r="E80" s="173" t="s">
        <v>208</v>
      </c>
      <c r="F80" s="173" t="s">
        <v>204</v>
      </c>
      <c r="G80" s="173" t="s">
        <v>116</v>
      </c>
      <c r="H80" s="173" t="s">
        <v>209</v>
      </c>
      <c r="I80" s="173" t="s">
        <v>204</v>
      </c>
      <c r="J80" s="173" t="s">
        <v>119</v>
      </c>
      <c r="K80" s="173" t="s">
        <v>120</v>
      </c>
      <c r="L80" s="173" t="s">
        <v>210</v>
      </c>
      <c r="M80" s="173" t="s">
        <v>204</v>
      </c>
      <c r="N80" s="173" t="s">
        <v>211</v>
      </c>
      <c r="O80" s="174" t="s">
        <v>204</v>
      </c>
      <c r="P80" s="174" t="s">
        <v>212</v>
      </c>
      <c r="Q80" s="174" t="s">
        <v>204</v>
      </c>
      <c r="R80" s="174" t="s">
        <v>213</v>
      </c>
      <c r="S80" s="174" t="s">
        <v>204</v>
      </c>
      <c r="T80" s="175" t="s">
        <v>20</v>
      </c>
    </row>
    <row r="81" spans="2:20" ht="15.75" x14ac:dyDescent="0.25">
      <c r="B81" s="241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137" t="s">
        <v>163</v>
      </c>
    </row>
    <row r="82" spans="2:20" x14ac:dyDescent="0.25">
      <c r="B82" s="241"/>
      <c r="C82" s="181"/>
      <c r="D82" s="172"/>
      <c r="E82" s="172"/>
      <c r="F82" s="172"/>
      <c r="G82" s="172"/>
      <c r="H82" s="172"/>
      <c r="I82" s="172"/>
      <c r="J82" s="172"/>
      <c r="K82" s="172"/>
      <c r="L82" s="172"/>
      <c r="M82" s="172"/>
      <c r="N82" s="172"/>
      <c r="O82" s="172"/>
      <c r="P82" s="171"/>
      <c r="Q82" s="171"/>
      <c r="R82" s="182"/>
      <c r="S82" s="172"/>
      <c r="T82" s="183"/>
    </row>
    <row r="83" spans="2:20" x14ac:dyDescent="0.25">
      <c r="B83" s="241"/>
      <c r="C83" s="184" t="s">
        <v>78</v>
      </c>
      <c r="D83" s="184" t="s">
        <v>203</v>
      </c>
      <c r="E83" s="184" t="s">
        <v>204</v>
      </c>
      <c r="F83" s="184" t="s">
        <v>109</v>
      </c>
      <c r="G83" s="184" t="s">
        <v>110</v>
      </c>
      <c r="H83" s="173" t="s">
        <v>111</v>
      </c>
      <c r="I83" s="173" t="s">
        <v>112</v>
      </c>
      <c r="J83" s="173" t="s">
        <v>113</v>
      </c>
      <c r="K83" s="173" t="s">
        <v>114</v>
      </c>
      <c r="L83" s="173" t="s">
        <v>87</v>
      </c>
      <c r="M83" s="184" t="s">
        <v>115</v>
      </c>
      <c r="N83" s="173" t="s">
        <v>205</v>
      </c>
      <c r="O83" s="173" t="s">
        <v>204</v>
      </c>
      <c r="P83" s="173" t="s">
        <v>116</v>
      </c>
      <c r="Q83" s="173" t="s">
        <v>206</v>
      </c>
      <c r="R83" s="173" t="s">
        <v>204</v>
      </c>
      <c r="S83" s="173" t="s">
        <v>207</v>
      </c>
      <c r="T83" s="173" t="s">
        <v>204</v>
      </c>
    </row>
    <row r="84" spans="2:20" x14ac:dyDescent="0.25">
      <c r="B84" s="185"/>
      <c r="C84" s="124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</row>
    <row r="85" spans="2:20" ht="15.75" x14ac:dyDescent="0.3">
      <c r="B85" s="185"/>
      <c r="C85" s="173" t="s">
        <v>117</v>
      </c>
      <c r="D85" s="173" t="s">
        <v>118</v>
      </c>
      <c r="E85" s="173" t="s">
        <v>208</v>
      </c>
      <c r="F85" s="173" t="s">
        <v>204</v>
      </c>
      <c r="G85" s="173" t="s">
        <v>116</v>
      </c>
      <c r="H85" s="173" t="s">
        <v>209</v>
      </c>
      <c r="I85" s="173" t="s">
        <v>204</v>
      </c>
      <c r="J85" s="173" t="s">
        <v>119</v>
      </c>
      <c r="K85" s="173" t="s">
        <v>120</v>
      </c>
      <c r="L85" s="173" t="s">
        <v>210</v>
      </c>
      <c r="M85" s="173" t="s">
        <v>204</v>
      </c>
      <c r="N85" s="173" t="s">
        <v>211</v>
      </c>
      <c r="O85" s="174" t="s">
        <v>204</v>
      </c>
      <c r="P85" s="174" t="s">
        <v>212</v>
      </c>
      <c r="Q85" s="174" t="s">
        <v>204</v>
      </c>
      <c r="R85" s="174" t="s">
        <v>213</v>
      </c>
      <c r="S85" s="174" t="s">
        <v>204</v>
      </c>
      <c r="T85" s="170" t="s">
        <v>20</v>
      </c>
    </row>
    <row r="86" spans="2:20" ht="15.75" x14ac:dyDescent="0.25">
      <c r="B86" s="186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137"/>
    </row>
  </sheetData>
  <mergeCells count="15">
    <mergeCell ref="B77:B83"/>
    <mergeCell ref="C77:Q77"/>
    <mergeCell ref="B36:B40"/>
    <mergeCell ref="C36:O36"/>
    <mergeCell ref="B48:B52"/>
    <mergeCell ref="B61:B65"/>
    <mergeCell ref="C61:R61"/>
    <mergeCell ref="B69:B73"/>
    <mergeCell ref="C69:R69"/>
    <mergeCell ref="B2:E3"/>
    <mergeCell ref="F2:H3"/>
    <mergeCell ref="B12:B18"/>
    <mergeCell ref="C12:Q12"/>
    <mergeCell ref="B25:B29"/>
    <mergeCell ref="C25:R2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2018-05-18T12:00:47Z</cp:lastPrinted>
  <dcterms:created xsi:type="dcterms:W3CDTF">2013-08-23T16:44:31Z</dcterms:created>
  <dcterms:modified xsi:type="dcterms:W3CDTF">2025-01-09T10:56:13Z</dcterms:modified>
</cp:coreProperties>
</file>