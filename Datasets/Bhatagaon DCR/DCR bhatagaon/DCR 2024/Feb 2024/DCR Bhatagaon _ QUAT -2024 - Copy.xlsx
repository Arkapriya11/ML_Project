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MONTHLY 31" sheetId="39" r:id="rId30"/>
    <sheet name="CALIBRATION REPORT" sheetId="6" r:id="rId31"/>
    <sheet name="POWER OFF" sheetId="5" r:id="rId32"/>
    <sheet name="MUX SIGNALS" sheetId="43" r:id="rId33"/>
  </sheets>
  <calcPr calcId="144525"/>
</workbook>
</file>

<file path=xl/calcChain.xml><?xml version="1.0" encoding="utf-8"?>
<calcChain xmlns="http://schemas.openxmlformats.org/spreadsheetml/2006/main">
  <c r="H110" i="33" l="1"/>
  <c r="G110" i="33"/>
  <c r="G111" i="33" s="1"/>
  <c r="I110" i="33"/>
  <c r="I112" i="33" s="1"/>
  <c r="J110" i="33"/>
  <c r="J112" i="33" s="1"/>
  <c r="I110" i="32"/>
  <c r="Q110" i="32"/>
  <c r="Q111" i="32" s="1"/>
  <c r="Q110" i="31"/>
  <c r="G110" i="31"/>
  <c r="G112" i="31"/>
  <c r="H110" i="31"/>
  <c r="H112" i="31" s="1"/>
  <c r="I110" i="31"/>
  <c r="I111" i="31"/>
  <c r="I110" i="30"/>
  <c r="Q110" i="30"/>
  <c r="Q111" i="30" s="1"/>
  <c r="E110" i="30"/>
  <c r="E111" i="30"/>
  <c r="J110" i="29"/>
  <c r="E110" i="29"/>
  <c r="E111" i="29"/>
  <c r="J110" i="28"/>
  <c r="I110" i="27"/>
  <c r="P110" i="26"/>
  <c r="P111" i="26"/>
  <c r="H110" i="26"/>
  <c r="G110" i="26"/>
  <c r="G111" i="26"/>
  <c r="C110" i="26"/>
  <c r="D110" i="26"/>
  <c r="E110" i="26"/>
  <c r="F110" i="26"/>
  <c r="I110" i="26"/>
  <c r="J110" i="26"/>
  <c r="J111" i="26" s="1"/>
  <c r="K110" i="26"/>
  <c r="L110" i="26"/>
  <c r="M110" i="26"/>
  <c r="N110" i="26"/>
  <c r="O110" i="26"/>
  <c r="Q110" i="26"/>
  <c r="Q111" i="26"/>
  <c r="B110" i="26"/>
  <c r="B112" i="26"/>
  <c r="E110" i="25"/>
  <c r="E111" i="25"/>
  <c r="C110" i="25"/>
  <c r="D110" i="25"/>
  <c r="F110" i="25"/>
  <c r="G110" i="25"/>
  <c r="H110" i="25"/>
  <c r="I110" i="25"/>
  <c r="J110" i="25"/>
  <c r="J112" i="25"/>
  <c r="K110" i="25"/>
  <c r="L110" i="25"/>
  <c r="M110" i="25"/>
  <c r="N110" i="25"/>
  <c r="O110" i="25"/>
  <c r="O111" i="25"/>
  <c r="P110" i="25"/>
  <c r="Q110" i="25"/>
  <c r="B110" i="25"/>
  <c r="B112" i="25" s="1"/>
  <c r="G110" i="22"/>
  <c r="H110" i="22"/>
  <c r="H112" i="22" s="1"/>
  <c r="E110" i="20"/>
  <c r="E111" i="20"/>
  <c r="Q110" i="19"/>
  <c r="H110" i="18"/>
  <c r="I110" i="18"/>
  <c r="J110" i="18"/>
  <c r="Q110" i="17"/>
  <c r="Q112" i="17" s="1"/>
  <c r="P110" i="17"/>
  <c r="P112" i="17" s="1"/>
  <c r="H110" i="17"/>
  <c r="H112" i="17" s="1"/>
  <c r="G110" i="17"/>
  <c r="G112" i="17"/>
  <c r="E110" i="17"/>
  <c r="E111" i="17" s="1"/>
  <c r="C110" i="17"/>
  <c r="D110" i="17"/>
  <c r="B110" i="17"/>
  <c r="B112" i="17" s="1"/>
  <c r="Q110" i="16"/>
  <c r="Q110" i="15"/>
  <c r="Q110" i="14"/>
  <c r="I110" i="14"/>
  <c r="I111" i="14"/>
  <c r="I110" i="13"/>
  <c r="I110" i="12"/>
  <c r="F110" i="12"/>
  <c r="H110" i="11"/>
  <c r="I110" i="11"/>
  <c r="C110" i="11"/>
  <c r="D110" i="11"/>
  <c r="D112" i="11"/>
  <c r="B110" i="11"/>
  <c r="B111" i="11"/>
  <c r="Q110" i="9"/>
  <c r="Q112" i="9" s="1"/>
  <c r="E110" i="9"/>
  <c r="E111" i="9" s="1"/>
  <c r="P110" i="8"/>
  <c r="P112" i="8" s="1"/>
  <c r="H110" i="8"/>
  <c r="G110" i="8"/>
  <c r="G112" i="8" s="1"/>
  <c r="E110" i="8"/>
  <c r="E111" i="8" s="1"/>
  <c r="C110" i="8"/>
  <c r="D110" i="8"/>
  <c r="B110" i="8"/>
  <c r="B111" i="8"/>
  <c r="F110" i="8"/>
  <c r="I110" i="8"/>
  <c r="J110" i="8"/>
  <c r="J111" i="8"/>
  <c r="K110" i="8"/>
  <c r="L110" i="8"/>
  <c r="M110" i="8"/>
  <c r="N110" i="8"/>
  <c r="O110" i="8"/>
  <c r="Q110" i="8"/>
  <c r="Q111" i="8"/>
  <c r="I110" i="3"/>
  <c r="J110" i="3"/>
  <c r="Q110" i="2"/>
  <c r="Q111" i="2" s="1"/>
  <c r="I110" i="2"/>
  <c r="J110" i="40"/>
  <c r="J111" i="40" s="1"/>
  <c r="H110" i="40"/>
  <c r="H111" i="40" s="1"/>
  <c r="I110" i="40"/>
  <c r="I111" i="40" s="1"/>
  <c r="H112" i="33"/>
  <c r="J110" i="32"/>
  <c r="J111" i="32"/>
  <c r="I112" i="32"/>
  <c r="H110" i="32"/>
  <c r="H111" i="32" s="1"/>
  <c r="J110" i="31"/>
  <c r="J111" i="31"/>
  <c r="J110" i="30"/>
  <c r="J112" i="30"/>
  <c r="I112" i="30"/>
  <c r="H110" i="30"/>
  <c r="H112" i="30"/>
  <c r="J112" i="29"/>
  <c r="I110" i="29"/>
  <c r="I112" i="29" s="1"/>
  <c r="H110" i="29"/>
  <c r="H112" i="29"/>
  <c r="J111" i="28"/>
  <c r="I110" i="28"/>
  <c r="I112" i="28" s="1"/>
  <c r="H110" i="28"/>
  <c r="H111" i="28" s="1"/>
  <c r="I112" i="27"/>
  <c r="C110" i="27"/>
  <c r="C111" i="27"/>
  <c r="D110" i="27"/>
  <c r="D111" i="27" s="1"/>
  <c r="E110" i="27"/>
  <c r="F110" i="27"/>
  <c r="F112" i="27"/>
  <c r="G110" i="27"/>
  <c r="G111" i="27" s="1"/>
  <c r="H110" i="27"/>
  <c r="J110" i="27"/>
  <c r="K110" i="27"/>
  <c r="K112" i="27" s="1"/>
  <c r="L110" i="27"/>
  <c r="M110" i="27"/>
  <c r="N110" i="27"/>
  <c r="N112" i="27" s="1"/>
  <c r="O110" i="27"/>
  <c r="P110" i="27"/>
  <c r="Q110" i="27"/>
  <c r="I112" i="26"/>
  <c r="H111" i="26"/>
  <c r="F112" i="26"/>
  <c r="E112" i="26"/>
  <c r="C112" i="26"/>
  <c r="Q111" i="25"/>
  <c r="P111" i="25"/>
  <c r="N111" i="25"/>
  <c r="M112" i="25"/>
  <c r="L112" i="25"/>
  <c r="K111" i="25"/>
  <c r="I111" i="25"/>
  <c r="H111" i="25"/>
  <c r="G111" i="25"/>
  <c r="F112" i="25"/>
  <c r="D112" i="25"/>
  <c r="C111" i="25"/>
  <c r="J110" i="24"/>
  <c r="J111" i="24" s="1"/>
  <c r="I110" i="24"/>
  <c r="I112" i="24" s="1"/>
  <c r="H110" i="24"/>
  <c r="H111" i="24" s="1"/>
  <c r="J110" i="23"/>
  <c r="J112" i="23" s="1"/>
  <c r="I110" i="23"/>
  <c r="I111" i="23" s="1"/>
  <c r="H110" i="23"/>
  <c r="J110" i="22"/>
  <c r="J112" i="22"/>
  <c r="I110" i="22"/>
  <c r="I112" i="22" s="1"/>
  <c r="G111" i="22"/>
  <c r="J110" i="21"/>
  <c r="J111" i="21" s="1"/>
  <c r="I110" i="21"/>
  <c r="I111" i="21" s="1"/>
  <c r="H110" i="21"/>
  <c r="H111" i="21" s="1"/>
  <c r="H110" i="20"/>
  <c r="H112" i="20" s="1"/>
  <c r="I110" i="20"/>
  <c r="I111" i="20" s="1"/>
  <c r="J110" i="20"/>
  <c r="J111" i="20" s="1"/>
  <c r="Q112" i="19"/>
  <c r="J110" i="19"/>
  <c r="J111" i="19" s="1"/>
  <c r="I110" i="19"/>
  <c r="I111" i="19"/>
  <c r="H110" i="19"/>
  <c r="H112" i="19"/>
  <c r="J110" i="17"/>
  <c r="J112" i="17"/>
  <c r="I110" i="17"/>
  <c r="I111" i="17"/>
  <c r="H110" i="16"/>
  <c r="H111" i="16"/>
  <c r="I110" i="16"/>
  <c r="I111" i="16"/>
  <c r="J110" i="16"/>
  <c r="J112" i="16"/>
  <c r="H110" i="15"/>
  <c r="H111" i="15" s="1"/>
  <c r="I110" i="15"/>
  <c r="I112" i="15" s="1"/>
  <c r="J110" i="15"/>
  <c r="J112" i="15" s="1"/>
  <c r="Q111" i="15"/>
  <c r="Q111" i="14"/>
  <c r="J110" i="14"/>
  <c r="J111" i="14"/>
  <c r="H110" i="14"/>
  <c r="H111" i="14"/>
  <c r="C112" i="11"/>
  <c r="J110" i="13"/>
  <c r="J112" i="13" s="1"/>
  <c r="H110" i="13"/>
  <c r="H112" i="13"/>
  <c r="I111" i="13"/>
  <c r="F111" i="12"/>
  <c r="J110" i="12"/>
  <c r="J111" i="12" s="1"/>
  <c r="H110" i="12"/>
  <c r="H111" i="12" s="1"/>
  <c r="I111" i="12"/>
  <c r="J110" i="11"/>
  <c r="J111" i="11"/>
  <c r="I111" i="11"/>
  <c r="H111" i="11"/>
  <c r="G110" i="11"/>
  <c r="G112" i="11"/>
  <c r="J110" i="10"/>
  <c r="J112" i="10" s="1"/>
  <c r="I110" i="10"/>
  <c r="I112" i="10" s="1"/>
  <c r="H110" i="10"/>
  <c r="H112" i="10" s="1"/>
  <c r="J110" i="9"/>
  <c r="J112" i="9" s="1"/>
  <c r="I110" i="9"/>
  <c r="I111" i="9"/>
  <c r="H110" i="9"/>
  <c r="H111" i="9"/>
  <c r="I111" i="8"/>
  <c r="H111" i="8"/>
  <c r="O112" i="8"/>
  <c r="N112" i="8"/>
  <c r="L112" i="8"/>
  <c r="K111" i="8"/>
  <c r="F111" i="8"/>
  <c r="I112" i="3"/>
  <c r="I111" i="2"/>
  <c r="B2" i="23"/>
  <c r="C110" i="2"/>
  <c r="C111" i="2" s="1"/>
  <c r="D110" i="2"/>
  <c r="E110" i="2"/>
  <c r="E111" i="2" s="1"/>
  <c r="F110" i="2"/>
  <c r="F112" i="2" s="1"/>
  <c r="G110" i="2"/>
  <c r="G112" i="2" s="1"/>
  <c r="H110" i="2"/>
  <c r="J110" i="2"/>
  <c r="K110" i="2"/>
  <c r="K111" i="2"/>
  <c r="L110" i="2"/>
  <c r="L112" i="2"/>
  <c r="M110" i="2"/>
  <c r="M112" i="2" s="1"/>
  <c r="N110" i="2"/>
  <c r="N112" i="2" s="1"/>
  <c r="O110" i="2"/>
  <c r="P110" i="2"/>
  <c r="P112" i="2"/>
  <c r="C110" i="3"/>
  <c r="C111" i="3"/>
  <c r="D110" i="3"/>
  <c r="D111" i="3"/>
  <c r="E110" i="3"/>
  <c r="E111" i="3" s="1"/>
  <c r="F110" i="3"/>
  <c r="F111" i="3" s="1"/>
  <c r="G110" i="3"/>
  <c r="G112" i="3" s="1"/>
  <c r="H110" i="3"/>
  <c r="H112" i="3" s="1"/>
  <c r="J111" i="3"/>
  <c r="K110" i="3"/>
  <c r="K111" i="3" s="1"/>
  <c r="L110" i="3"/>
  <c r="L111" i="3" s="1"/>
  <c r="M110" i="3"/>
  <c r="M112" i="3" s="1"/>
  <c r="N110" i="3"/>
  <c r="N111" i="3" s="1"/>
  <c r="O110" i="3"/>
  <c r="P110" i="3"/>
  <c r="Q110" i="3"/>
  <c r="Q110" i="40"/>
  <c r="Q112" i="40" s="1"/>
  <c r="P110" i="40"/>
  <c r="P112" i="40" s="1"/>
  <c r="O110" i="40"/>
  <c r="O112" i="40"/>
  <c r="N110" i="40"/>
  <c r="N112" i="40"/>
  <c r="M110" i="40"/>
  <c r="M112" i="40"/>
  <c r="L110" i="40"/>
  <c r="L112" i="40"/>
  <c r="K110" i="40"/>
  <c r="K112" i="40" s="1"/>
  <c r="G110" i="40"/>
  <c r="G112" i="40" s="1"/>
  <c r="F110" i="40"/>
  <c r="F112" i="40" s="1"/>
  <c r="E110" i="40"/>
  <c r="E112" i="40" s="1"/>
  <c r="D110" i="40"/>
  <c r="D112" i="40"/>
  <c r="C110" i="40"/>
  <c r="C112" i="40"/>
  <c r="B110" i="40"/>
  <c r="B112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J108" i="40"/>
  <c r="I108" i="40"/>
  <c r="H108" i="40"/>
  <c r="H37" i="39" s="1"/>
  <c r="G108" i="40"/>
  <c r="G37" i="39" s="1"/>
  <c r="F108" i="40"/>
  <c r="F37" i="39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/>
  <c r="P110" i="33"/>
  <c r="P112" i="33" s="1"/>
  <c r="O110" i="33"/>
  <c r="O112" i="33" s="1"/>
  <c r="N110" i="33"/>
  <c r="N112" i="33" s="1"/>
  <c r="M110" i="33"/>
  <c r="M112" i="33"/>
  <c r="L110" i="33"/>
  <c r="L112" i="33"/>
  <c r="K110" i="33"/>
  <c r="K111" i="33"/>
  <c r="F110" i="33"/>
  <c r="F112" i="33"/>
  <c r="E110" i="33"/>
  <c r="E112" i="33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/>
  <c r="L108" i="33"/>
  <c r="L36" i="39" s="1"/>
  <c r="K108" i="33"/>
  <c r="J108" i="33"/>
  <c r="I108" i="33"/>
  <c r="I36" i="39" s="1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P110" i="32"/>
  <c r="P112" i="32"/>
  <c r="O110" i="32"/>
  <c r="O112" i="32"/>
  <c r="N110" i="32"/>
  <c r="N111" i="32" s="1"/>
  <c r="M110" i="32"/>
  <c r="M112" i="32"/>
  <c r="L110" i="32"/>
  <c r="L112" i="32" s="1"/>
  <c r="K110" i="32"/>
  <c r="K112" i="32"/>
  <c r="G110" i="32"/>
  <c r="G112" i="32" s="1"/>
  <c r="F110" i="32"/>
  <c r="F112" i="32" s="1"/>
  <c r="E110" i="32"/>
  <c r="E111" i="32"/>
  <c r="D110" i="32"/>
  <c r="D112" i="32"/>
  <c r="C110" i="32"/>
  <c r="C111" i="32" s="1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/>
  <c r="N108" i="32"/>
  <c r="M108" i="32"/>
  <c r="L108" i="32"/>
  <c r="K108" i="32"/>
  <c r="J108" i="32"/>
  <c r="J35" i="39" s="1"/>
  <c r="I108" i="32"/>
  <c r="I35" i="39" s="1"/>
  <c r="H108" i="32"/>
  <c r="G108" i="32"/>
  <c r="F108" i="32"/>
  <c r="F35" i="39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/>
  <c r="O110" i="31"/>
  <c r="O112" i="31"/>
  <c r="N110" i="31"/>
  <c r="N112" i="31" s="1"/>
  <c r="M110" i="31"/>
  <c r="M111" i="31" s="1"/>
  <c r="L110" i="31"/>
  <c r="L112" i="31" s="1"/>
  <c r="K110" i="31"/>
  <c r="K111" i="31"/>
  <c r="F110" i="31"/>
  <c r="F112" i="31" s="1"/>
  <c r="E110" i="31"/>
  <c r="E112" i="31" s="1"/>
  <c r="D110" i="31"/>
  <c r="D112" i="31"/>
  <c r="C110" i="31"/>
  <c r="C112" i="3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/>
  <c r="N108" i="31"/>
  <c r="N34" i="39" s="1"/>
  <c r="M108" i="31"/>
  <c r="L108" i="31"/>
  <c r="K108" i="31"/>
  <c r="J108" i="31"/>
  <c r="I108" i="31"/>
  <c r="H108" i="31"/>
  <c r="G108" i="31"/>
  <c r="F108" i="31"/>
  <c r="F34" i="39"/>
  <c r="E108" i="31"/>
  <c r="D108" i="31"/>
  <c r="D34" i="39" s="1"/>
  <c r="C108" i="31"/>
  <c r="C34" i="39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P110" i="30"/>
  <c r="P112" i="30" s="1"/>
  <c r="O110" i="30"/>
  <c r="O112" i="30"/>
  <c r="N110" i="30"/>
  <c r="N112" i="30"/>
  <c r="M110" i="30"/>
  <c r="M112" i="30" s="1"/>
  <c r="L110" i="30"/>
  <c r="L112" i="30" s="1"/>
  <c r="K110" i="30"/>
  <c r="K112" i="30" s="1"/>
  <c r="G110" i="30"/>
  <c r="G111" i="30"/>
  <c r="F110" i="30"/>
  <c r="F112" i="30" s="1"/>
  <c r="D110" i="30"/>
  <c r="D112" i="30" s="1"/>
  <c r="C110" i="30"/>
  <c r="C111" i="30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/>
  <c r="M108" i="30"/>
  <c r="L108" i="30"/>
  <c r="K108" i="30"/>
  <c r="K33" i="39" s="1"/>
  <c r="J108" i="30"/>
  <c r="I108" i="30"/>
  <c r="H108" i="30"/>
  <c r="G108" i="30"/>
  <c r="F108" i="30"/>
  <c r="E108" i="30"/>
  <c r="E33" i="39"/>
  <c r="D108" i="30"/>
  <c r="D33" i="39" s="1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/>
  <c r="P110" i="29"/>
  <c r="P112" i="29" s="1"/>
  <c r="O110" i="29"/>
  <c r="O112" i="29" s="1"/>
  <c r="N110" i="29"/>
  <c r="N112" i="29" s="1"/>
  <c r="M110" i="29"/>
  <c r="M112" i="29"/>
  <c r="L110" i="29"/>
  <c r="L112" i="29" s="1"/>
  <c r="K110" i="29"/>
  <c r="K112" i="29"/>
  <c r="G110" i="29"/>
  <c r="G111" i="29"/>
  <c r="F110" i="29"/>
  <c r="F111" i="29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/>
  <c r="L108" i="29"/>
  <c r="L32" i="39" s="1"/>
  <c r="K108" i="29"/>
  <c r="J108" i="29"/>
  <c r="I108" i="29"/>
  <c r="H108" i="29"/>
  <c r="G108" i="29"/>
  <c r="F108" i="29"/>
  <c r="E108" i="29"/>
  <c r="E32" i="39" s="1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/>
  <c r="P110" i="28"/>
  <c r="P111" i="28"/>
  <c r="O110" i="28"/>
  <c r="O112" i="28" s="1"/>
  <c r="N110" i="28"/>
  <c r="N112" i="28" s="1"/>
  <c r="M110" i="28"/>
  <c r="M112" i="28" s="1"/>
  <c r="L110" i="28"/>
  <c r="L112" i="28"/>
  <c r="K110" i="28"/>
  <c r="K112" i="28"/>
  <c r="G110" i="28"/>
  <c r="G112" i="28"/>
  <c r="F110" i="28"/>
  <c r="F112" i="28"/>
  <c r="E110" i="28"/>
  <c r="E112" i="28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/>
  <c r="N108" i="28"/>
  <c r="M108" i="28"/>
  <c r="L108" i="28"/>
  <c r="L31" i="39"/>
  <c r="K108" i="28"/>
  <c r="K31" i="39"/>
  <c r="J108" i="28"/>
  <c r="I108" i="28"/>
  <c r="H108" i="28"/>
  <c r="H31" i="39" s="1"/>
  <c r="G108" i="28"/>
  <c r="F108" i="28"/>
  <c r="E108" i="28"/>
  <c r="E31" i="39"/>
  <c r="D108" i="28"/>
  <c r="D31" i="39" s="1"/>
  <c r="C108" i="28"/>
  <c r="C31" i="39"/>
  <c r="B108" i="28"/>
  <c r="B31" i="39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P112" i="27"/>
  <c r="O112" i="27"/>
  <c r="M112" i="27"/>
  <c r="L112" i="27"/>
  <c r="J112" i="27"/>
  <c r="H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L108" i="27"/>
  <c r="K108" i="27"/>
  <c r="K30" i="39"/>
  <c r="J108" i="27"/>
  <c r="J30" i="39"/>
  <c r="I108" i="27"/>
  <c r="H108" i="27"/>
  <c r="H30" i="39" s="1"/>
  <c r="G108" i="27"/>
  <c r="G30" i="39" s="1"/>
  <c r="F108" i="27"/>
  <c r="E108" i="27"/>
  <c r="E30" i="39" s="1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O111" i="26"/>
  <c r="N112" i="26"/>
  <c r="M111" i="26"/>
  <c r="L112" i="26"/>
  <c r="K112" i="26"/>
  <c r="D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/>
  <c r="N108" i="26"/>
  <c r="M108" i="26"/>
  <c r="L108" i="26"/>
  <c r="L29" i="39" s="1"/>
  <c r="K108" i="26"/>
  <c r="J108" i="26"/>
  <c r="I108" i="26"/>
  <c r="H108" i="26"/>
  <c r="G108" i="26"/>
  <c r="F108" i="26"/>
  <c r="E108" i="26"/>
  <c r="D108" i="26"/>
  <c r="C108" i="26"/>
  <c r="C29" i="39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E28" i="39"/>
  <c r="D108" i="25"/>
  <c r="D28" i="39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 s="1"/>
  <c r="P110" i="24"/>
  <c r="P112" i="24" s="1"/>
  <c r="O110" i="24"/>
  <c r="O112" i="24"/>
  <c r="N110" i="24"/>
  <c r="N112" i="24" s="1"/>
  <c r="M110" i="24"/>
  <c r="M112" i="24" s="1"/>
  <c r="L110" i="24"/>
  <c r="L112" i="24"/>
  <c r="K110" i="24"/>
  <c r="K112" i="24"/>
  <c r="G110" i="24"/>
  <c r="G112" i="24"/>
  <c r="F110" i="24"/>
  <c r="F112" i="24" s="1"/>
  <c r="E110" i="24"/>
  <c r="E112" i="24" s="1"/>
  <c r="D110" i="24"/>
  <c r="D112" i="24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O108" i="24"/>
  <c r="N108" i="24"/>
  <c r="N27" i="39"/>
  <c r="M108" i="24"/>
  <c r="M27" i="39" s="1"/>
  <c r="L108" i="24"/>
  <c r="K108" i="24"/>
  <c r="K27" i="39" s="1"/>
  <c r="J108" i="24"/>
  <c r="I108" i="24"/>
  <c r="H108" i="24"/>
  <c r="G108" i="24"/>
  <c r="F108" i="24"/>
  <c r="F27" i="39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Q110" i="23"/>
  <c r="Q112" i="23" s="1"/>
  <c r="P110" i="23"/>
  <c r="P112" i="23" s="1"/>
  <c r="O110" i="23"/>
  <c r="O112" i="23"/>
  <c r="N110" i="23"/>
  <c r="N112" i="23"/>
  <c r="M110" i="23"/>
  <c r="M112" i="23" s="1"/>
  <c r="L110" i="23"/>
  <c r="L112" i="23" s="1"/>
  <c r="K110" i="23"/>
  <c r="K112" i="23" s="1"/>
  <c r="H112" i="23"/>
  <c r="G110" i="23"/>
  <c r="G111" i="23" s="1"/>
  <c r="F110" i="23"/>
  <c r="F111" i="23"/>
  <c r="E110" i="23"/>
  <c r="E112" i="23" s="1"/>
  <c r="D110" i="23"/>
  <c r="D112" i="23" s="1"/>
  <c r="C110" i="23"/>
  <c r="C112" i="23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 s="1"/>
  <c r="M108" i="23"/>
  <c r="M26" i="39" s="1"/>
  <c r="L108" i="23"/>
  <c r="K108" i="23"/>
  <c r="J108" i="23"/>
  <c r="I108" i="23"/>
  <c r="H108" i="23"/>
  <c r="G108" i="23"/>
  <c r="F108" i="23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2" i="22"/>
  <c r="N110" i="22"/>
  <c r="N112" i="22"/>
  <c r="M110" i="22"/>
  <c r="M112" i="22" s="1"/>
  <c r="L110" i="22"/>
  <c r="L111" i="22" s="1"/>
  <c r="K110" i="22"/>
  <c r="K112" i="22" s="1"/>
  <c r="F110" i="22"/>
  <c r="F111" i="22"/>
  <c r="E110" i="22"/>
  <c r="E112" i="22" s="1"/>
  <c r="D110" i="22"/>
  <c r="D112" i="22" s="1"/>
  <c r="C110" i="22"/>
  <c r="C111" i="22"/>
  <c r="B110" i="22"/>
  <c r="B112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M108" i="22"/>
  <c r="M25" i="39" s="1"/>
  <c r="L108" i="22"/>
  <c r="K108" i="22"/>
  <c r="J108" i="22"/>
  <c r="I108" i="22"/>
  <c r="I25" i="39"/>
  <c r="H108" i="22"/>
  <c r="H25" i="39"/>
  <c r="G108" i="22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/>
  <c r="P110" i="21"/>
  <c r="P111" i="21" s="1"/>
  <c r="O110" i="21"/>
  <c r="O112" i="21" s="1"/>
  <c r="N110" i="21"/>
  <c r="N112" i="21"/>
  <c r="M110" i="21"/>
  <c r="M112" i="21"/>
  <c r="L110" i="21"/>
  <c r="L112" i="21"/>
  <c r="K110" i="21"/>
  <c r="K112" i="21" s="1"/>
  <c r="G110" i="21"/>
  <c r="G112" i="21" s="1"/>
  <c r="F110" i="21"/>
  <c r="F112" i="21"/>
  <c r="E110" i="21"/>
  <c r="E112" i="21" s="1"/>
  <c r="D110" i="21"/>
  <c r="D111" i="21" s="1"/>
  <c r="C110" i="21"/>
  <c r="C112" i="21"/>
  <c r="B110" i="21"/>
  <c r="B112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/>
  <c r="L108" i="21"/>
  <c r="L24" i="39" s="1"/>
  <c r="K108" i="21"/>
  <c r="K24" i="39" s="1"/>
  <c r="J108" i="21"/>
  <c r="J24" i="39"/>
  <c r="I108" i="21"/>
  <c r="I24" i="39"/>
  <c r="H108" i="21"/>
  <c r="G108" i="21"/>
  <c r="F108" i="21"/>
  <c r="E108" i="21"/>
  <c r="D108" i="21"/>
  <c r="D24" i="39" s="1"/>
  <c r="C108" i="21"/>
  <c r="C24" i="39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/>
  <c r="P110" i="20"/>
  <c r="P111" i="20" s="1"/>
  <c r="O110" i="20"/>
  <c r="O112" i="20" s="1"/>
  <c r="N110" i="20"/>
  <c r="N111" i="20" s="1"/>
  <c r="M110" i="20"/>
  <c r="M112" i="20"/>
  <c r="L110" i="20"/>
  <c r="L112" i="20" s="1"/>
  <c r="K110" i="20"/>
  <c r="K112" i="20"/>
  <c r="G110" i="20"/>
  <c r="G112" i="20"/>
  <c r="F110" i="20"/>
  <c r="F112" i="20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H108" i="20"/>
  <c r="G108" i="20"/>
  <c r="G23" i="39"/>
  <c r="F108" i="20"/>
  <c r="F23" i="39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0" i="19"/>
  <c r="P112" i="19"/>
  <c r="O110" i="19"/>
  <c r="O112" i="19"/>
  <c r="N110" i="19"/>
  <c r="N112" i="19" s="1"/>
  <c r="M110" i="19"/>
  <c r="M111" i="19" s="1"/>
  <c r="L110" i="19"/>
  <c r="L112" i="19" s="1"/>
  <c r="K110" i="19"/>
  <c r="K111" i="19"/>
  <c r="G110" i="19"/>
  <c r="G112" i="19"/>
  <c r="F110" i="19"/>
  <c r="F112" i="19"/>
  <c r="E110" i="19"/>
  <c r="E111" i="19"/>
  <c r="D110" i="19"/>
  <c r="D112" i="19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N22" i="39" s="1"/>
  <c r="M108" i="19"/>
  <c r="L108" i="19"/>
  <c r="K108" i="19"/>
  <c r="K22" i="39"/>
  <c r="J108" i="19"/>
  <c r="I108" i="19"/>
  <c r="I22" i="39"/>
  <c r="H108" i="19"/>
  <c r="G108" i="19"/>
  <c r="F108" i="19"/>
  <c r="F22" i="39"/>
  <c r="E108" i="19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/>
  <c r="P110" i="18"/>
  <c r="P112" i="18" s="1"/>
  <c r="O110" i="18"/>
  <c r="O112" i="18" s="1"/>
  <c r="N110" i="18"/>
  <c r="N112" i="18" s="1"/>
  <c r="M110" i="18"/>
  <c r="M111" i="18"/>
  <c r="L110" i="18"/>
  <c r="L112" i="18"/>
  <c r="K110" i="18"/>
  <c r="K112" i="18" s="1"/>
  <c r="J111" i="18"/>
  <c r="I112" i="18"/>
  <c r="H112" i="18"/>
  <c r="G110" i="18"/>
  <c r="G112" i="18" s="1"/>
  <c r="F110" i="18"/>
  <c r="F112" i="18"/>
  <c r="E110" i="18"/>
  <c r="E112" i="18"/>
  <c r="D110" i="18"/>
  <c r="D112" i="18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K108" i="18"/>
  <c r="J108" i="18"/>
  <c r="I108" i="18"/>
  <c r="I21" i="39"/>
  <c r="H108" i="18"/>
  <c r="H21" i="39"/>
  <c r="G108" i="18"/>
  <c r="F108" i="18"/>
  <c r="E108" i="18"/>
  <c r="E21" i="39" s="1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O110" i="17"/>
  <c r="O112" i="17" s="1"/>
  <c r="N110" i="17"/>
  <c r="N111" i="17"/>
  <c r="M110" i="17"/>
  <c r="M112" i="17"/>
  <c r="L110" i="17"/>
  <c r="L111" i="17" s="1"/>
  <c r="K110" i="17"/>
  <c r="K111" i="17" s="1"/>
  <c r="F110" i="17"/>
  <c r="F111" i="17" s="1"/>
  <c r="D111" i="17"/>
  <c r="C111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 s="1"/>
  <c r="M108" i="17"/>
  <c r="L108" i="17"/>
  <c r="K108" i="17"/>
  <c r="K20" i="39"/>
  <c r="J108" i="17"/>
  <c r="J20" i="39"/>
  <c r="I108" i="17"/>
  <c r="I20" i="39" s="1"/>
  <c r="H108" i="17"/>
  <c r="H20" i="39"/>
  <c r="G108" i="17"/>
  <c r="G20" i="39"/>
  <c r="F108" i="17"/>
  <c r="E108" i="17"/>
  <c r="E20" i="39"/>
  <c r="D108" i="17"/>
  <c r="D20" i="39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/>
  <c r="O110" i="16"/>
  <c r="O112" i="16" s="1"/>
  <c r="N110" i="16"/>
  <c r="N112" i="16" s="1"/>
  <c r="M110" i="16"/>
  <c r="M112" i="16"/>
  <c r="L110" i="16"/>
  <c r="L112" i="16"/>
  <c r="K110" i="16"/>
  <c r="K112" i="16" s="1"/>
  <c r="G110" i="16"/>
  <c r="G112" i="16" s="1"/>
  <c r="F110" i="16"/>
  <c r="F112" i="16" s="1"/>
  <c r="E110" i="16"/>
  <c r="E112" i="16"/>
  <c r="D110" i="16"/>
  <c r="D112" i="16" s="1"/>
  <c r="C110" i="16"/>
  <c r="C112" i="16" s="1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 s="1"/>
  <c r="N108" i="16"/>
  <c r="M108" i="16"/>
  <c r="M19" i="39"/>
  <c r="L108" i="16"/>
  <c r="K108" i="16"/>
  <c r="J108" i="16"/>
  <c r="J19" i="39"/>
  <c r="I108" i="16"/>
  <c r="I19" i="39"/>
  <c r="H108" i="16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/>
  <c r="O110" i="15"/>
  <c r="O112" i="15"/>
  <c r="N110" i="15"/>
  <c r="N112" i="15" s="1"/>
  <c r="M110" i="15"/>
  <c r="M112" i="15"/>
  <c r="L110" i="15"/>
  <c r="L111" i="15"/>
  <c r="K110" i="15"/>
  <c r="K112" i="15"/>
  <c r="G110" i="15"/>
  <c r="G111" i="15"/>
  <c r="F110" i="15"/>
  <c r="F112" i="15"/>
  <c r="E110" i="15"/>
  <c r="E112" i="15"/>
  <c r="D110" i="15"/>
  <c r="D112" i="15"/>
  <c r="C110" i="15"/>
  <c r="C112" i="15" s="1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O108" i="15"/>
  <c r="N108" i="15"/>
  <c r="N18" i="39"/>
  <c r="M108" i="15"/>
  <c r="L108" i="15"/>
  <c r="K108" i="15"/>
  <c r="K18" i="39"/>
  <c r="J108" i="15"/>
  <c r="I108" i="15"/>
  <c r="I18" i="39"/>
  <c r="H108" i="15"/>
  <c r="H18" i="39"/>
  <c r="G108" i="15"/>
  <c r="F108" i="15"/>
  <c r="E108" i="15"/>
  <c r="D108" i="15"/>
  <c r="C108" i="15"/>
  <c r="C18" i="39" s="1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/>
  <c r="M110" i="14"/>
  <c r="M112" i="14" s="1"/>
  <c r="L110" i="14"/>
  <c r="L112" i="14" s="1"/>
  <c r="K110" i="14"/>
  <c r="K112" i="14" s="1"/>
  <c r="G110" i="14"/>
  <c r="G112" i="14"/>
  <c r="F110" i="14"/>
  <c r="F111" i="14" s="1"/>
  <c r="E110" i="14"/>
  <c r="E112" i="14" s="1"/>
  <c r="D110" i="14"/>
  <c r="D112" i="14" s="1"/>
  <c r="C110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 s="1"/>
  <c r="J108" i="14"/>
  <c r="I108" i="14"/>
  <c r="H108" i="14"/>
  <c r="G108" i="14"/>
  <c r="G17" i="39" s="1"/>
  <c r="F108" i="14"/>
  <c r="F17" i="39"/>
  <c r="E108" i="14"/>
  <c r="D108" i="14"/>
  <c r="D17" i="39" s="1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1" i="13"/>
  <c r="O110" i="13"/>
  <c r="O111" i="13"/>
  <c r="N110" i="13"/>
  <c r="N112" i="13" s="1"/>
  <c r="M110" i="13"/>
  <c r="M111" i="13"/>
  <c r="L110" i="13"/>
  <c r="L112" i="13"/>
  <c r="K110" i="13"/>
  <c r="K112" i="13"/>
  <c r="G110" i="13"/>
  <c r="G112" i="13"/>
  <c r="F110" i="13"/>
  <c r="F112" i="13"/>
  <c r="E110" i="13"/>
  <c r="E112" i="13"/>
  <c r="D110" i="13"/>
  <c r="D111" i="13"/>
  <c r="C110" i="13"/>
  <c r="C112" i="13" s="1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/>
  <c r="P108" i="13"/>
  <c r="O108" i="13"/>
  <c r="O16" i="39" s="1"/>
  <c r="N108" i="13"/>
  <c r="M108" i="13"/>
  <c r="L108" i="13"/>
  <c r="K108" i="13"/>
  <c r="J108" i="13"/>
  <c r="J16" i="39" s="1"/>
  <c r="I108" i="13"/>
  <c r="I16" i="39" s="1"/>
  <c r="H108" i="13"/>
  <c r="H16" i="39"/>
  <c r="G108" i="13"/>
  <c r="G16" i="39" s="1"/>
  <c r="F108" i="13"/>
  <c r="E108" i="13"/>
  <c r="D108" i="13"/>
  <c r="D16" i="39" s="1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/>
  <c r="N110" i="12"/>
  <c r="N112" i="12" s="1"/>
  <c r="M110" i="12"/>
  <c r="M111" i="12" s="1"/>
  <c r="L110" i="12"/>
  <c r="L112" i="12" s="1"/>
  <c r="K110" i="12"/>
  <c r="K111" i="12"/>
  <c r="G110" i="12"/>
  <c r="G112" i="12" s="1"/>
  <c r="E110" i="12"/>
  <c r="E112" i="12" s="1"/>
  <c r="D110" i="12"/>
  <c r="D112" i="12" s="1"/>
  <c r="C110" i="12"/>
  <c r="C112" i="12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/>
  <c r="N108" i="12"/>
  <c r="M108" i="12"/>
  <c r="L108" i="12"/>
  <c r="K108" i="12"/>
  <c r="J108" i="12"/>
  <c r="I108" i="12"/>
  <c r="I15" i="39" s="1"/>
  <c r="H108" i="12"/>
  <c r="G108" i="12"/>
  <c r="F108" i="12"/>
  <c r="E108" i="12"/>
  <c r="E15" i="39"/>
  <c r="D108" i="12"/>
  <c r="D15" i="39"/>
  <c r="C108" i="12"/>
  <c r="C15" i="39"/>
  <c r="B108" i="12"/>
  <c r="B15" i="39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/>
  <c r="Q110" i="11"/>
  <c r="Q111" i="11"/>
  <c r="P110" i="11"/>
  <c r="P112" i="11" s="1"/>
  <c r="O110" i="11"/>
  <c r="O112" i="11"/>
  <c r="N110" i="11"/>
  <c r="N112" i="11"/>
  <c r="M110" i="11"/>
  <c r="M112" i="11"/>
  <c r="L110" i="11"/>
  <c r="L112" i="11"/>
  <c r="K110" i="11"/>
  <c r="K112" i="11"/>
  <c r="F110" i="11"/>
  <c r="F112" i="11"/>
  <c r="E110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/>
  <c r="O108" i="11"/>
  <c r="O14" i="39"/>
  <c r="N108" i="11"/>
  <c r="N14" i="39"/>
  <c r="M108" i="11"/>
  <c r="M14" i="39" s="1"/>
  <c r="L108" i="11"/>
  <c r="K108" i="11"/>
  <c r="K14" i="39" s="1"/>
  <c r="J108" i="11"/>
  <c r="J14" i="39" s="1"/>
  <c r="I108" i="11"/>
  <c r="I14" i="39" s="1"/>
  <c r="H108" i="11"/>
  <c r="G108" i="11"/>
  <c r="G14" i="39"/>
  <c r="F108" i="11"/>
  <c r="E108" i="11"/>
  <c r="E14" i="39" s="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2" i="10"/>
  <c r="P110" i="10"/>
  <c r="P112" i="10" s="1"/>
  <c r="O110" i="10"/>
  <c r="O111" i="10"/>
  <c r="N110" i="10"/>
  <c r="N112" i="10"/>
  <c r="M110" i="10"/>
  <c r="M111" i="10"/>
  <c r="L110" i="10"/>
  <c r="L111" i="10" s="1"/>
  <c r="K110" i="10"/>
  <c r="K112" i="10" s="1"/>
  <c r="G110" i="10"/>
  <c r="G112" i="10"/>
  <c r="F110" i="10"/>
  <c r="F112" i="10"/>
  <c r="E110" i="10"/>
  <c r="E112" i="10" s="1"/>
  <c r="D110" i="10"/>
  <c r="D112" i="10"/>
  <c r="C110" i="10"/>
  <c r="C112" i="10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M108" i="10"/>
  <c r="M13" i="39"/>
  <c r="L108" i="10"/>
  <c r="L13" i="39" s="1"/>
  <c r="K108" i="10"/>
  <c r="K13" i="39"/>
  <c r="J108" i="10"/>
  <c r="I108" i="10"/>
  <c r="I13" i="39" s="1"/>
  <c r="H108" i="10"/>
  <c r="H13" i="39" s="1"/>
  <c r="G108" i="10"/>
  <c r="G13" i="39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/>
  <c r="P110" i="9"/>
  <c r="P112" i="9"/>
  <c r="O110" i="9"/>
  <c r="O112" i="9" s="1"/>
  <c r="N110" i="9"/>
  <c r="N112" i="9"/>
  <c r="M110" i="9"/>
  <c r="M111" i="9"/>
  <c r="L110" i="9"/>
  <c r="L112" i="9"/>
  <c r="K110" i="9"/>
  <c r="K112" i="9" s="1"/>
  <c r="G110" i="9"/>
  <c r="G112" i="9" s="1"/>
  <c r="F110" i="9"/>
  <c r="F111" i="9"/>
  <c r="D110" i="9"/>
  <c r="D111" i="9"/>
  <c r="C110" i="9"/>
  <c r="C112" i="9" s="1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/>
  <c r="P108" i="9"/>
  <c r="P12" i="39"/>
  <c r="O108" i="9"/>
  <c r="N108" i="9"/>
  <c r="N12" i="39"/>
  <c r="M108" i="9"/>
  <c r="M12" i="39" s="1"/>
  <c r="L108" i="9"/>
  <c r="K108" i="9"/>
  <c r="J108" i="9"/>
  <c r="J12" i="39" s="1"/>
  <c r="I108" i="9"/>
  <c r="H108" i="9"/>
  <c r="H12" i="39" s="1"/>
  <c r="G108" i="9"/>
  <c r="G12" i="39"/>
  <c r="F108" i="9"/>
  <c r="E108" i="9"/>
  <c r="E12" i="39" s="1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/>
  <c r="P108" i="8"/>
  <c r="P11" i="39" s="1"/>
  <c r="O108" i="8"/>
  <c r="O11" i="39" s="1"/>
  <c r="N108" i="8"/>
  <c r="M108" i="8"/>
  <c r="M11" i="39" s="1"/>
  <c r="L108" i="8"/>
  <c r="L11" i="39" s="1"/>
  <c r="K108" i="8"/>
  <c r="K11" i="39"/>
  <c r="J108" i="8"/>
  <c r="I108" i="8"/>
  <c r="I11" i="39" s="1"/>
  <c r="H108" i="8"/>
  <c r="H11" i="39"/>
  <c r="G108" i="8"/>
  <c r="G11" i="39" s="1"/>
  <c r="F108" i="8"/>
  <c r="F11" i="39" s="1"/>
  <c r="E108" i="8"/>
  <c r="E11" i="39" s="1"/>
  <c r="D108" i="8"/>
  <c r="D11" i="39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K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O10" i="39" s="1"/>
  <c r="N108" i="3"/>
  <c r="N10" i="39" s="1"/>
  <c r="M108" i="3"/>
  <c r="M10" i="39" s="1"/>
  <c r="L108" i="3"/>
  <c r="L10" i="39" s="1"/>
  <c r="K108" i="3"/>
  <c r="K10" i="39"/>
  <c r="J108" i="3"/>
  <c r="J10" i="39" s="1"/>
  <c r="I108" i="3"/>
  <c r="I10" i="39" s="1"/>
  <c r="H108" i="3"/>
  <c r="H10" i="39" s="1"/>
  <c r="G108" i="3"/>
  <c r="G10" i="39"/>
  <c r="F108" i="3"/>
  <c r="F10" i="39" s="1"/>
  <c r="E108" i="3"/>
  <c r="E10" i="39" s="1"/>
  <c r="D108" i="3"/>
  <c r="D10" i="39" s="1"/>
  <c r="C108" i="3"/>
  <c r="C10" i="39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C27" i="39"/>
  <c r="N109" i="2"/>
  <c r="O109" i="2"/>
  <c r="P109" i="2"/>
  <c r="N108" i="2"/>
  <c r="N9" i="39"/>
  <c r="O108" i="2"/>
  <c r="O9" i="39"/>
  <c r="P108" i="2"/>
  <c r="P9" i="39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21" i="39"/>
  <c r="N17" i="39"/>
  <c r="Q35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T40" i="6"/>
  <c r="T21" i="6"/>
  <c r="K88" i="6"/>
  <c r="J88" i="6"/>
  <c r="K115" i="6"/>
  <c r="J115" i="6"/>
  <c r="I115" i="6"/>
  <c r="L12" i="39"/>
  <c r="I12" i="39"/>
  <c r="F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D26" i="39"/>
  <c r="H26" i="39"/>
  <c r="I26" i="39"/>
  <c r="J26" i="39"/>
  <c r="K26" i="39"/>
  <c r="L26" i="39"/>
  <c r="N25" i="39"/>
  <c r="L25" i="39"/>
  <c r="K25" i="39"/>
  <c r="J25" i="39"/>
  <c r="G25" i="39"/>
  <c r="F25" i="39"/>
  <c r="E25" i="39"/>
  <c r="D25" i="39"/>
  <c r="C25" i="39"/>
  <c r="Q24" i="39"/>
  <c r="G24" i="39"/>
  <c r="E24" i="39"/>
  <c r="A24" i="39"/>
  <c r="Q23" i="39"/>
  <c r="M23" i="39"/>
  <c r="L23" i="39"/>
  <c r="K23" i="39"/>
  <c r="I23" i="39"/>
  <c r="H23" i="39"/>
  <c r="E23" i="39"/>
  <c r="B23" i="39"/>
  <c r="Q22" i="39"/>
  <c r="M22" i="39"/>
  <c r="L22" i="39"/>
  <c r="G22" i="39"/>
  <c r="C22" i="39"/>
  <c r="Q21" i="39"/>
  <c r="P21" i="39"/>
  <c r="M21" i="39"/>
  <c r="L21" i="39"/>
  <c r="K21" i="39"/>
  <c r="J21" i="39"/>
  <c r="G21" i="39"/>
  <c r="F21" i="39"/>
  <c r="D21" i="39"/>
  <c r="C21" i="39"/>
  <c r="B21" i="39"/>
  <c r="A21" i="39"/>
  <c r="M20" i="39"/>
  <c r="A20" i="39"/>
  <c r="L19" i="39"/>
  <c r="K19" i="39"/>
  <c r="H19" i="39"/>
  <c r="G19" i="39"/>
  <c r="B19" i="39"/>
  <c r="M18" i="39"/>
  <c r="L18" i="39"/>
  <c r="J18" i="39"/>
  <c r="G18" i="39"/>
  <c r="E18" i="39"/>
  <c r="D18" i="39"/>
  <c r="P17" i="39"/>
  <c r="M17" i="39"/>
  <c r="L17" i="39"/>
  <c r="I17" i="39"/>
  <c r="C17" i="39"/>
  <c r="A17" i="39"/>
  <c r="P16" i="39"/>
  <c r="L16" i="39"/>
  <c r="F16" i="39"/>
  <c r="E16" i="39"/>
  <c r="C16" i="39"/>
  <c r="B16" i="39"/>
  <c r="N15" i="39"/>
  <c r="M15" i="39"/>
  <c r="L15" i="39"/>
  <c r="H15" i="39"/>
  <c r="G15" i="39"/>
  <c r="F15" i="39"/>
  <c r="L14" i="39"/>
  <c r="H14" i="39"/>
  <c r="F14" i="39"/>
  <c r="D14" i="39"/>
  <c r="P13" i="39"/>
  <c r="D13" i="39"/>
  <c r="K12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/>
  <c r="F108" i="2"/>
  <c r="F9" i="39" s="1"/>
  <c r="G108" i="2"/>
  <c r="G9" i="39" s="1"/>
  <c r="H108" i="2"/>
  <c r="H9" i="39" s="1"/>
  <c r="I108" i="2"/>
  <c r="I9" i="39"/>
  <c r="J108" i="2"/>
  <c r="J9" i="39" s="1"/>
  <c r="K108" i="2"/>
  <c r="K9" i="39" s="1"/>
  <c r="L108" i="2"/>
  <c r="L9" i="39" s="1"/>
  <c r="M108" i="2"/>
  <c r="M9" i="39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G36" i="39"/>
  <c r="E36" i="39"/>
  <c r="D36" i="39"/>
  <c r="C36" i="39"/>
  <c r="P35" i="39"/>
  <c r="G35" i="39"/>
  <c r="E35" i="39"/>
  <c r="C35" i="39"/>
  <c r="M34" i="39"/>
  <c r="L34" i="39"/>
  <c r="K34" i="39"/>
  <c r="J34" i="39"/>
  <c r="I34" i="39"/>
  <c r="H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C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J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F28" i="39"/>
  <c r="B28" i="39"/>
  <c r="P27" i="39"/>
  <c r="O27" i="39"/>
  <c r="L27" i="39"/>
  <c r="H27" i="39"/>
  <c r="G27" i="39"/>
  <c r="B27" i="39"/>
  <c r="O26" i="39"/>
  <c r="G26" i="39"/>
  <c r="P24" i="39"/>
  <c r="H24" i="39"/>
  <c r="N23" i="39"/>
  <c r="C23" i="39"/>
  <c r="O22" i="39"/>
  <c r="D22" i="39"/>
  <c r="O21" i="39"/>
  <c r="P20" i="39"/>
  <c r="F20" i="39"/>
  <c r="F18" i="39"/>
  <c r="E17" i="39"/>
  <c r="M16" i="39"/>
  <c r="K16" i="39"/>
  <c r="K15" i="39"/>
  <c r="J15" i="39"/>
  <c r="O12" i="39"/>
  <c r="B12" i="39"/>
  <c r="N11" i="39"/>
  <c r="P10" i="39"/>
  <c r="P36" i="39"/>
  <c r="E34" i="39"/>
  <c r="E26" i="39"/>
  <c r="P23" i="39"/>
  <c r="P18" i="39"/>
  <c r="Q17" i="39"/>
  <c r="P15" i="39"/>
  <c r="B2" i="2"/>
  <c r="A9" i="39"/>
  <c r="B2" i="39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H32" i="39"/>
  <c r="D32" i="39"/>
  <c r="N29" i="39"/>
  <c r="B29" i="39"/>
  <c r="J28" i="39"/>
  <c r="O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L20" i="39"/>
  <c r="N19" i="39"/>
  <c r="F19" i="39"/>
  <c r="O18" i="39"/>
  <c r="O17" i="39"/>
  <c r="J17" i="39"/>
  <c r="H17" i="39"/>
  <c r="B17" i="39"/>
  <c r="N16" i="39"/>
  <c r="K28" i="6"/>
  <c r="J28" i="6"/>
  <c r="N13" i="39"/>
  <c r="J13" i="39"/>
  <c r="D9" i="5"/>
  <c r="D10" i="5"/>
  <c r="I119" i="6"/>
  <c r="J101" i="6"/>
  <c r="J81" i="6"/>
  <c r="J61" i="6"/>
  <c r="I21" i="6"/>
  <c r="D8" i="5"/>
  <c r="D20" i="5"/>
  <c r="D21" i="5"/>
  <c r="D22" i="5"/>
  <c r="D23" i="5"/>
  <c r="D11" i="5"/>
  <c r="D44" i="5" s="1"/>
  <c r="D12" i="5"/>
  <c r="D13" i="5"/>
  <c r="D24" i="5" s="1"/>
  <c r="D14" i="5"/>
  <c r="D15" i="5"/>
  <c r="D16" i="5"/>
  <c r="D17" i="5"/>
  <c r="D18" i="5"/>
  <c r="D19" i="5"/>
  <c r="H111" i="2"/>
  <c r="H22" i="39"/>
  <c r="O111" i="2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O111" i="32"/>
  <c r="M111" i="32"/>
  <c r="L111" i="32"/>
  <c r="K111" i="32"/>
  <c r="G111" i="32"/>
  <c r="F111" i="32"/>
  <c r="D111" i="32"/>
  <c r="O111" i="31"/>
  <c r="N111" i="31"/>
  <c r="L111" i="31"/>
  <c r="F111" i="31"/>
  <c r="E111" i="31"/>
  <c r="D111" i="31"/>
  <c r="C111" i="31"/>
  <c r="B111" i="31"/>
  <c r="P111" i="30"/>
  <c r="O111" i="30"/>
  <c r="N111" i="30"/>
  <c r="M111" i="30"/>
  <c r="L111" i="30"/>
  <c r="D111" i="30"/>
  <c r="B111" i="30"/>
  <c r="P111" i="29"/>
  <c r="N111" i="29"/>
  <c r="M111" i="29"/>
  <c r="L111" i="29"/>
  <c r="K111" i="29"/>
  <c r="D111" i="29"/>
  <c r="C111" i="29"/>
  <c r="B111" i="29"/>
  <c r="Q111" i="28"/>
  <c r="O111" i="28"/>
  <c r="N111" i="28"/>
  <c r="M111" i="28"/>
  <c r="L111" i="28"/>
  <c r="K111" i="28"/>
  <c r="G111" i="28"/>
  <c r="F111" i="28"/>
  <c r="E111" i="28"/>
  <c r="D111" i="28"/>
  <c r="C111" i="28"/>
  <c r="P111" i="27"/>
  <c r="N111" i="27"/>
  <c r="M111" i="27"/>
  <c r="L111" i="27"/>
  <c r="E111" i="27"/>
  <c r="B111" i="27"/>
  <c r="N111" i="26"/>
  <c r="L111" i="26"/>
  <c r="K111" i="26"/>
  <c r="D111" i="26"/>
  <c r="P111" i="24"/>
  <c r="O111" i="24"/>
  <c r="N111" i="24"/>
  <c r="M111" i="24"/>
  <c r="L111" i="24"/>
  <c r="K111" i="24"/>
  <c r="Q111" i="24"/>
  <c r="F111" i="24"/>
  <c r="E111" i="24"/>
  <c r="D111" i="24"/>
  <c r="C111" i="24"/>
  <c r="B111" i="24"/>
  <c r="P111" i="23"/>
  <c r="N111" i="23"/>
  <c r="M111" i="23"/>
  <c r="L111" i="23"/>
  <c r="K111" i="23"/>
  <c r="H111" i="23"/>
  <c r="E111" i="23"/>
  <c r="D111" i="23"/>
  <c r="C111" i="23"/>
  <c r="B111" i="23"/>
  <c r="P111" i="22"/>
  <c r="N111" i="22"/>
  <c r="M111" i="22"/>
  <c r="K111" i="22"/>
  <c r="E111" i="22"/>
  <c r="D111" i="22"/>
  <c r="B111" i="22"/>
  <c r="Q111" i="21"/>
  <c r="N111" i="21"/>
  <c r="M111" i="21"/>
  <c r="L111" i="21"/>
  <c r="K111" i="21"/>
  <c r="G111" i="21"/>
  <c r="E111" i="21"/>
  <c r="C111" i="21"/>
  <c r="B111" i="21"/>
  <c r="O111" i="20"/>
  <c r="Q112" i="20"/>
  <c r="M111" i="20"/>
  <c r="L111" i="20"/>
  <c r="K111" i="20"/>
  <c r="G111" i="20"/>
  <c r="F111" i="20"/>
  <c r="D111" i="20"/>
  <c r="B111" i="20"/>
  <c r="P111" i="19"/>
  <c r="O111" i="19"/>
  <c r="N111" i="19"/>
  <c r="L111" i="19"/>
  <c r="H111" i="19"/>
  <c r="G111" i="19"/>
  <c r="F111" i="19"/>
  <c r="D111" i="19"/>
  <c r="B111" i="19"/>
  <c r="Q111" i="18"/>
  <c r="P111" i="18"/>
  <c r="O111" i="18"/>
  <c r="N111" i="18"/>
  <c r="L111" i="18"/>
  <c r="I111" i="18"/>
  <c r="H111" i="18"/>
  <c r="G111" i="18"/>
  <c r="F111" i="18"/>
  <c r="E111" i="18"/>
  <c r="D111" i="18"/>
  <c r="P111" i="17"/>
  <c r="O111" i="17"/>
  <c r="O111" i="16"/>
  <c r="N111" i="16"/>
  <c r="L111" i="16"/>
  <c r="G111" i="16"/>
  <c r="F111" i="16"/>
  <c r="E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M111" i="14"/>
  <c r="L111" i="14"/>
  <c r="K111" i="14"/>
  <c r="G111" i="14"/>
  <c r="E111" i="14"/>
  <c r="C111" i="14"/>
  <c r="Q111" i="13"/>
  <c r="N111" i="13"/>
  <c r="L111" i="13"/>
  <c r="K111" i="13"/>
  <c r="G111" i="13"/>
  <c r="F111" i="13"/>
  <c r="E111" i="13"/>
  <c r="C111" i="13"/>
  <c r="Q111" i="12"/>
  <c r="P111" i="12"/>
  <c r="N111" i="12"/>
  <c r="L111" i="12"/>
  <c r="E111" i="12"/>
  <c r="D111" i="12"/>
  <c r="C111" i="12"/>
  <c r="B111" i="12"/>
  <c r="O111" i="11"/>
  <c r="N111" i="11"/>
  <c r="M111" i="11"/>
  <c r="L111" i="11"/>
  <c r="K111" i="11"/>
  <c r="E111" i="11"/>
  <c r="Q111" i="10"/>
  <c r="P111" i="10"/>
  <c r="N111" i="10"/>
  <c r="K111" i="10"/>
  <c r="G111" i="10"/>
  <c r="F111" i="10"/>
  <c r="C111" i="10"/>
  <c r="B111" i="10"/>
  <c r="P111" i="9"/>
  <c r="N111" i="9"/>
  <c r="K111" i="9"/>
  <c r="C111" i="9"/>
  <c r="M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G111" i="2"/>
  <c r="J112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1" i="10"/>
  <c r="I112" i="9"/>
  <c r="H112" i="9"/>
  <c r="B111" i="9"/>
  <c r="J112" i="8"/>
  <c r="L111" i="8"/>
  <c r="O111" i="8"/>
  <c r="I112" i="8"/>
  <c r="H112" i="8"/>
  <c r="F112" i="8"/>
  <c r="N111" i="8"/>
  <c r="J111" i="13"/>
  <c r="I112" i="13"/>
  <c r="P112" i="13"/>
  <c r="F112" i="12"/>
  <c r="J112" i="12"/>
  <c r="H112" i="12"/>
  <c r="I112" i="12"/>
  <c r="G111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Q112" i="16"/>
  <c r="I111" i="15"/>
  <c r="Q112" i="15"/>
  <c r="Q112" i="14"/>
  <c r="H112" i="14"/>
  <c r="B112" i="14"/>
  <c r="J112" i="14"/>
  <c r="B112" i="18"/>
  <c r="J112" i="18"/>
  <c r="J111" i="17"/>
  <c r="I112" i="17"/>
  <c r="H111" i="17"/>
  <c r="N112" i="17"/>
  <c r="L112" i="17"/>
  <c r="M111" i="17"/>
  <c r="K112" i="17"/>
  <c r="F112" i="17"/>
  <c r="D112" i="17"/>
  <c r="I112" i="20"/>
  <c r="J112" i="20"/>
  <c r="Q111" i="19"/>
  <c r="J112" i="19"/>
  <c r="I112" i="19"/>
  <c r="E112" i="19"/>
  <c r="M112" i="19"/>
  <c r="C112" i="19"/>
  <c r="P112" i="25"/>
  <c r="O112" i="25"/>
  <c r="N112" i="25"/>
  <c r="L111" i="25"/>
  <c r="J111" i="25"/>
  <c r="H112" i="25"/>
  <c r="G112" i="25"/>
  <c r="F111" i="25"/>
  <c r="B111" i="25"/>
  <c r="Q112" i="25"/>
  <c r="D111" i="25"/>
  <c r="K112" i="25"/>
  <c r="C112" i="25"/>
  <c r="I112" i="25"/>
  <c r="J112" i="24"/>
  <c r="I111" i="24"/>
  <c r="H112" i="24"/>
  <c r="J111" i="23"/>
  <c r="Q111" i="23"/>
  <c r="O111" i="23"/>
  <c r="I112" i="23"/>
  <c r="G112" i="23"/>
  <c r="J111" i="22"/>
  <c r="H111" i="22"/>
  <c r="Q112" i="22"/>
  <c r="J112" i="21"/>
  <c r="H112" i="21"/>
  <c r="P112" i="21"/>
  <c r="D112" i="27"/>
  <c r="C112" i="27"/>
  <c r="H111" i="27"/>
  <c r="Q111" i="27"/>
  <c r="Q112" i="26"/>
  <c r="J112" i="26"/>
  <c r="I111" i="26"/>
  <c r="F111" i="26"/>
  <c r="E111" i="26"/>
  <c r="C111" i="26"/>
  <c r="H112" i="26"/>
  <c r="P112" i="26"/>
  <c r="O111" i="27"/>
  <c r="K111" i="27"/>
  <c r="J111" i="27"/>
  <c r="I111" i="32"/>
  <c r="B112" i="32"/>
  <c r="J112" i="32"/>
  <c r="H112" i="32"/>
  <c r="I112" i="31"/>
  <c r="Q112" i="31"/>
  <c r="G111" i="31"/>
  <c r="P111" i="31"/>
  <c r="J111" i="30"/>
  <c r="H111" i="30"/>
  <c r="I111" i="30"/>
  <c r="G112" i="30"/>
  <c r="J111" i="29"/>
  <c r="I111" i="29"/>
  <c r="H111" i="29"/>
  <c r="O111" i="29"/>
  <c r="G112" i="29"/>
  <c r="I111" i="28"/>
  <c r="H112" i="28"/>
  <c r="B111" i="28"/>
  <c r="J112" i="40"/>
  <c r="H112" i="40"/>
  <c r="I112" i="40"/>
  <c r="D111" i="40"/>
  <c r="J111" i="33"/>
  <c r="H111" i="33"/>
  <c r="P111" i="2"/>
  <c r="F111" i="2"/>
  <c r="J112" i="3"/>
  <c r="L112" i="3"/>
  <c r="C112" i="3"/>
  <c r="K112" i="8"/>
  <c r="Q112" i="8"/>
  <c r="F112" i="9"/>
  <c r="J111" i="9"/>
  <c r="D112" i="9"/>
  <c r="O111" i="9"/>
  <c r="D111" i="10"/>
  <c r="O112" i="10"/>
  <c r="H111" i="10"/>
  <c r="F111" i="11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C112" i="18"/>
  <c r="K111" i="18"/>
  <c r="K112" i="19"/>
  <c r="P112" i="20"/>
  <c r="C111" i="20"/>
  <c r="H111" i="20"/>
  <c r="N112" i="20"/>
  <c r="F111" i="21"/>
  <c r="D112" i="21"/>
  <c r="O111" i="21"/>
  <c r="I112" i="21"/>
  <c r="I111" i="22"/>
  <c r="L112" i="22"/>
  <c r="F112" i="22"/>
  <c r="G112" i="22"/>
  <c r="F112" i="23"/>
  <c r="G111" i="24"/>
  <c r="M111" i="25"/>
  <c r="O112" i="26"/>
  <c r="M112" i="26"/>
  <c r="F111" i="27"/>
  <c r="G112" i="27"/>
  <c r="P112" i="28"/>
  <c r="F112" i="29"/>
  <c r="Q112" i="29"/>
  <c r="K111" i="30"/>
  <c r="F111" i="30"/>
  <c r="M112" i="31"/>
  <c r="H111" i="31"/>
  <c r="K112" i="31"/>
  <c r="J112" i="31"/>
  <c r="E112" i="32"/>
  <c r="P111" i="32"/>
  <c r="C112" i="32"/>
  <c r="N112" i="32"/>
  <c r="K112" i="33"/>
  <c r="E111" i="33"/>
  <c r="Q112" i="33"/>
  <c r="L111" i="40"/>
  <c r="E112" i="20"/>
  <c r="Q111" i="17"/>
  <c r="G111" i="17"/>
  <c r="E112" i="17"/>
  <c r="B111" i="17"/>
  <c r="I112" i="14"/>
  <c r="B112" i="11"/>
  <c r="Q111" i="9"/>
  <c r="E112" i="9"/>
  <c r="M112" i="9"/>
  <c r="P111" i="8"/>
  <c r="G111" i="8"/>
  <c r="E112" i="8"/>
  <c r="B112" i="8"/>
  <c r="Q112" i="2"/>
  <c r="B111" i="2"/>
  <c r="G112" i="26"/>
  <c r="B111" i="26"/>
  <c r="E112" i="25"/>
  <c r="C112" i="22"/>
  <c r="O111" i="22"/>
  <c r="G112" i="33"/>
  <c r="Q112" i="32"/>
  <c r="Q112" i="30"/>
  <c r="E112" i="30"/>
  <c r="E112" i="29"/>
  <c r="J112" i="28"/>
  <c r="H41" i="39" l="1"/>
  <c r="H42" i="39"/>
  <c r="H40" i="39"/>
  <c r="H43" i="39"/>
  <c r="H39" i="39"/>
  <c r="G39" i="39"/>
  <c r="G40" i="39"/>
  <c r="G43" i="39"/>
  <c r="G41" i="39"/>
  <c r="G42" i="39"/>
  <c r="M40" i="39"/>
  <c r="M42" i="39"/>
  <c r="M43" i="39"/>
  <c r="M39" i="39"/>
  <c r="M41" i="39"/>
  <c r="F43" i="39"/>
  <c r="F40" i="39"/>
  <c r="F42" i="39"/>
  <c r="F39" i="39"/>
  <c r="F41" i="39"/>
  <c r="N41" i="39"/>
  <c r="N42" i="39"/>
  <c r="N40" i="39"/>
  <c r="N39" i="39"/>
  <c r="N43" i="39"/>
  <c r="D41" i="39"/>
  <c r="D42" i="39"/>
  <c r="D43" i="39"/>
  <c r="D40" i="39"/>
  <c r="D39" i="39"/>
  <c r="C43" i="39"/>
  <c r="C39" i="39"/>
  <c r="C41" i="39"/>
  <c r="C40" i="39"/>
  <c r="C42" i="39"/>
  <c r="E39" i="39"/>
  <c r="E43" i="39"/>
  <c r="E40" i="39"/>
  <c r="E41" i="39"/>
  <c r="E42" i="39"/>
  <c r="O40" i="39"/>
  <c r="O41" i="39"/>
  <c r="O42" i="39"/>
  <c r="O43" i="39"/>
  <c r="O39" i="39"/>
  <c r="B43" i="39"/>
  <c r="B41" i="39"/>
  <c r="B40" i="39"/>
  <c r="B39" i="39"/>
  <c r="B42" i="39"/>
  <c r="Q43" i="39"/>
  <c r="Q40" i="39"/>
  <c r="Q41" i="39"/>
  <c r="Q42" i="39"/>
  <c r="Q39" i="39"/>
  <c r="L41" i="39"/>
  <c r="L42" i="39"/>
  <c r="L39" i="39"/>
  <c r="L43" i="39"/>
  <c r="L40" i="39"/>
  <c r="I40" i="39"/>
  <c r="I41" i="39"/>
  <c r="I43" i="39"/>
  <c r="I42" i="39"/>
  <c r="I39" i="39"/>
  <c r="K42" i="39"/>
  <c r="K40" i="39"/>
  <c r="K39" i="39"/>
  <c r="K43" i="39"/>
  <c r="K41" i="39"/>
  <c r="J43" i="39"/>
  <c r="J40" i="39"/>
  <c r="J39" i="39"/>
  <c r="J41" i="39"/>
  <c r="J42" i="39"/>
  <c r="P41" i="39"/>
  <c r="P43" i="39"/>
  <c r="P40" i="39"/>
  <c r="P39" i="39"/>
  <c r="P42" i="39"/>
  <c r="F44" i="39" l="1"/>
  <c r="F45" i="39"/>
  <c r="B45" i="39"/>
  <c r="B44" i="39"/>
  <c r="P45" i="39"/>
  <c r="P44" i="39"/>
  <c r="M45" i="39"/>
  <c r="M44" i="39"/>
  <c r="O44" i="39"/>
  <c r="O45" i="39"/>
  <c r="D45" i="39"/>
  <c r="D44" i="39"/>
  <c r="Q45" i="39"/>
  <c r="Q44" i="39"/>
  <c r="N44" i="39"/>
  <c r="N45" i="39"/>
  <c r="C44" i="39"/>
  <c r="C45" i="39"/>
  <c r="G44" i="39"/>
  <c r="G45" i="39"/>
  <c r="K45" i="39"/>
  <c r="K44" i="39"/>
  <c r="E45" i="39"/>
  <c r="E44" i="39"/>
  <c r="I45" i="39"/>
  <c r="I44" i="39"/>
  <c r="L44" i="39"/>
  <c r="L45" i="39"/>
  <c r="J44" i="39"/>
  <c r="J45" i="39"/>
  <c r="H44" i="39"/>
  <c r="H45" i="39"/>
</calcChain>
</file>

<file path=xl/sharedStrings.xml><?xml version="1.0" encoding="utf-8"?>
<sst xmlns="http://schemas.openxmlformats.org/spreadsheetml/2006/main" count="5561" uniqueCount="3031">
  <si>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</si>
  <si>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</si>
  <si>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</si>
  <si>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</si>
  <si>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</si>
  <si>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</si>
  <si>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</si>
  <si>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</si>
  <si>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</si>
  <si>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</si>
  <si>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</si>
  <si>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</si>
  <si>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</si>
  <si>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</si>
  <si>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</si>
  <si>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</si>
  <si>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</si>
  <si>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</si>
  <si>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</si>
  <si>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</si>
  <si>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</si>
  <si>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</si>
  <si>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</si>
  <si>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</si>
  <si>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</si>
  <si>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</si>
  <si>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</si>
  <si>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</si>
  <si>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</si>
  <si>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</si>
  <si>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</si>
  <si>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</si>
  <si>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</si>
  <si>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</si>
  <si>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</si>
  <si>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</si>
  <si>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</si>
  <si>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</si>
  <si>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</si>
  <si>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</si>
  <si>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</si>
  <si>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</si>
  <si>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</si>
  <si>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</si>
  <si>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</si>
  <si>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</si>
  <si>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</si>
  <si>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</si>
  <si>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</si>
  <si>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</si>
  <si>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</si>
  <si>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</si>
  <si>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</si>
  <si>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</si>
  <si>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</si>
  <si>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</si>
  <si>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</si>
  <si>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</si>
  <si>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</si>
  <si>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</si>
  <si>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</si>
  <si>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</si>
  <si>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</si>
  <si>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</si>
  <si>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</si>
  <si>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</si>
  <si>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</si>
  <si>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</si>
  <si>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</si>
  <si>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</si>
  <si>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</si>
  <si>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</si>
  <si>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</si>
  <si>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</si>
  <si>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</si>
  <si>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</si>
  <si>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</si>
  <si>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</si>
  <si>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</si>
  <si>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</si>
  <si>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</si>
  <si>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</si>
  <si>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</si>
  <si>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</si>
  <si>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</si>
  <si>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</si>
  <si>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</si>
  <si>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</si>
  <si>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</si>
  <si>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</si>
  <si>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</si>
  <si>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</si>
  <si>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</si>
  <si>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</si>
  <si>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</si>
  <si>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</si>
  <si>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</si>
  <si>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</si>
  <si>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</si>
  <si>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</si>
  <si>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</si>
  <si>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</si>
  <si>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</si>
  <si>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</si>
  <si>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</si>
  <si>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</si>
  <si>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</si>
  <si>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</si>
  <si>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</si>
  <si>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</si>
  <si>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</si>
  <si>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</si>
  <si>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</si>
  <si>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</si>
  <si>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</si>
  <si>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</si>
  <si>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</si>
  <si>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</si>
  <si>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</si>
  <si>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</si>
  <si>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</si>
  <si>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</si>
  <si>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</si>
  <si>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</si>
  <si>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</si>
  <si>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</si>
  <si>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</si>
  <si>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</si>
  <si>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</si>
  <si>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</si>
  <si>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</si>
  <si>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</si>
  <si>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</si>
  <si>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</si>
  <si>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</si>
  <si>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</si>
  <si>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</si>
  <si>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</si>
  <si>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</si>
  <si>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</si>
  <si>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</si>
  <si>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</si>
  <si>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</si>
  <si>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</si>
  <si>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</si>
  <si>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</si>
  <si>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</si>
  <si>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</si>
  <si>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</si>
  <si>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</si>
  <si>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</si>
  <si>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</si>
  <si>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</si>
  <si>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</si>
  <si>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</si>
  <si>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</si>
  <si>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</si>
  <si>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</si>
  <si>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</si>
  <si>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</si>
  <si>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</si>
  <si>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</si>
  <si>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</si>
  <si>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</si>
  <si>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</si>
  <si>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</si>
  <si>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</si>
  <si>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</si>
  <si>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</si>
  <si>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</si>
  <si>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</si>
  <si>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</si>
  <si>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</si>
  <si>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</si>
  <si>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</si>
  <si>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</si>
  <si>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</si>
  <si>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</si>
  <si>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</si>
  <si>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</si>
  <si>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</si>
  <si>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</si>
  <si>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</si>
  <si>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</si>
  <si>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</si>
  <si>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</si>
  <si>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</si>
  <si>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</si>
  <si>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</si>
  <si>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</si>
  <si>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</si>
  <si>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</si>
  <si>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</si>
  <si>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</si>
  <si>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</si>
  <si>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</si>
  <si>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</si>
  <si>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</si>
  <si>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</si>
  <si>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</si>
  <si>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</si>
  <si>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</si>
  <si>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</si>
  <si>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</si>
  <si>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</si>
  <si>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</si>
  <si>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</si>
  <si>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</si>
  <si>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</si>
  <si>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</si>
  <si>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</si>
  <si>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</si>
  <si>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</si>
  <si>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</si>
  <si>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</si>
  <si>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</si>
  <si>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</si>
  <si>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</si>
  <si>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</si>
  <si>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</si>
  <si>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</si>
  <si>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</si>
  <si>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</si>
  <si>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</si>
  <si>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</si>
  <si>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</si>
  <si>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</si>
  <si>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</si>
  <si>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</si>
  <si>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</si>
  <si>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</si>
  <si>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</si>
  <si>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</si>
  <si>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</si>
  <si>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</si>
  <si>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</si>
  <si>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</si>
  <si>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</si>
  <si>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</si>
  <si>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</si>
  <si>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</si>
  <si>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</si>
  <si>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</si>
  <si>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</si>
  <si>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835 ug/cm2</t>
  </si>
  <si>
    <t>01/04/2023 - 30/04/2023</t>
  </si>
  <si>
    <t>ppb</t>
  </si>
  <si>
    <t>01-02-2024 00:15</t>
  </si>
  <si>
    <t>01-02-2024 00:30</t>
  </si>
  <si>
    <t>01-02-2024 00:45</t>
  </si>
  <si>
    <t>01-02-2024 01:00</t>
  </si>
  <si>
    <t>01-02-2024 01:15</t>
  </si>
  <si>
    <t>01-02-2024 01:30</t>
  </si>
  <si>
    <t>01-02-2024 01:45</t>
  </si>
  <si>
    <t>01-02-2024 02:00</t>
  </si>
  <si>
    <t>01-02-2024 02:15</t>
  </si>
  <si>
    <t>01-02-2024 02:30</t>
  </si>
  <si>
    <t>01-02-2024 02:45</t>
  </si>
  <si>
    <t>01-02-2024 03:00</t>
  </si>
  <si>
    <t>01-02-2024 03:15</t>
  </si>
  <si>
    <t>01-02-2024 03:30</t>
  </si>
  <si>
    <t>01-02-2024 03:45</t>
  </si>
  <si>
    <t>01-02-2024 04:00</t>
  </si>
  <si>
    <t>01-02-2024 04:15</t>
  </si>
  <si>
    <t>01-02-2024 04:30</t>
  </si>
  <si>
    <t>01-02-2024 04:45</t>
  </si>
  <si>
    <t>01-02-2024 05:00</t>
  </si>
  <si>
    <t>01-02-2024 05:15</t>
  </si>
  <si>
    <t>01-02-2024 05:30</t>
  </si>
  <si>
    <t>01-02-2024 05:45</t>
  </si>
  <si>
    <t>01-02-2024 06:00</t>
  </si>
  <si>
    <t>01-02-2024 06:15</t>
  </si>
  <si>
    <t>01-02-2024 06:30</t>
  </si>
  <si>
    <t>01-02-2024 06:45</t>
  </si>
  <si>
    <t>01-02-2024 07:00</t>
  </si>
  <si>
    <t>01-02-2024 07:15</t>
  </si>
  <si>
    <t>01-02-2024 07:30</t>
  </si>
  <si>
    <t>01-02-2024 07:45</t>
  </si>
  <si>
    <t>01-02-2024 08:00</t>
  </si>
  <si>
    <t>01-02-2024 08:15</t>
  </si>
  <si>
    <t>01-02-2024 08:30</t>
  </si>
  <si>
    <t>01-02-2024 08:45</t>
  </si>
  <si>
    <t>01-02-2024 09:00</t>
  </si>
  <si>
    <t>01-02-2024 09:15</t>
  </si>
  <si>
    <t>01-02-2024 09:30</t>
  </si>
  <si>
    <t>01-02-2024 09:45</t>
  </si>
  <si>
    <t>01-02-2024 10:00</t>
  </si>
  <si>
    <t>01-02-2024 10:15</t>
  </si>
  <si>
    <t>01-02-2024 10:30</t>
  </si>
  <si>
    <t>01-02-2024 10:45</t>
  </si>
  <si>
    <t>01-02-2024 11:00</t>
  </si>
  <si>
    <t>01-02-2024 11:15</t>
  </si>
  <si>
    <t>01-02-2024 11:30</t>
  </si>
  <si>
    <t>01-02-2024 11:45</t>
  </si>
  <si>
    <t>01-02-2024 12:00</t>
  </si>
  <si>
    <t>01-02-2024 12:15</t>
  </si>
  <si>
    <t>01-02-2024 12:30</t>
  </si>
  <si>
    <t>01-02-2024 12:45</t>
  </si>
  <si>
    <t>01-02-2024 13:00</t>
  </si>
  <si>
    <t>01-02-2024 13:15</t>
  </si>
  <si>
    <t>01-02-2024 13:30</t>
  </si>
  <si>
    <t>01-02-2024 13:45</t>
  </si>
  <si>
    <t>01-02-2024 14:00</t>
  </si>
  <si>
    <t>01-02-2024 14:15</t>
  </si>
  <si>
    <t>01-02-2024 14:30</t>
  </si>
  <si>
    <t>01-02-2024 14:45</t>
  </si>
  <si>
    <t>01-02-2024 15:00</t>
  </si>
  <si>
    <t>01-02-2024 15:15</t>
  </si>
  <si>
    <t>01-02-2024 15:30</t>
  </si>
  <si>
    <t>01-02-2024 15:45</t>
  </si>
  <si>
    <t>01-02-2024 16:00</t>
  </si>
  <si>
    <t>01-02-2024 16:15</t>
  </si>
  <si>
    <t>01-02-2024 16:30</t>
  </si>
  <si>
    <t>01-02-2024 16:45</t>
  </si>
  <si>
    <t>01-02-2024 17:00</t>
  </si>
  <si>
    <t>01-02-2024 17:15</t>
  </si>
  <si>
    <t>01-02-2024 17:30</t>
  </si>
  <si>
    <t>01-02-2024 17:45</t>
  </si>
  <si>
    <t>01-02-2024 18:00</t>
  </si>
  <si>
    <t>01-02-2024 18:15</t>
  </si>
  <si>
    <t>01-02-2024 18:30</t>
  </si>
  <si>
    <t>01-02-2024 18:45</t>
  </si>
  <si>
    <t>01-02-2024 19:00</t>
  </si>
  <si>
    <t>01-02-2024 19:15</t>
  </si>
  <si>
    <t>01-02-2024 19:30</t>
  </si>
  <si>
    <t>01-02-2024 19:45</t>
  </si>
  <si>
    <t>01-02-2024 20:00</t>
  </si>
  <si>
    <t>01-02-2024 20:15</t>
  </si>
  <si>
    <t>01-02-2024 20:30</t>
  </si>
  <si>
    <t>01-02-2024 20:45</t>
  </si>
  <si>
    <t>01-02-2024 21:00</t>
  </si>
  <si>
    <t>01-02-2024 21:15</t>
  </si>
  <si>
    <t>01-02-2024 21:30</t>
  </si>
  <si>
    <t>01-02-2024 21:45</t>
  </si>
  <si>
    <t>01-02-2024 22:00</t>
  </si>
  <si>
    <t>01-02-2024 22:15</t>
  </si>
  <si>
    <t>01-02-2024 22:30</t>
  </si>
  <si>
    <t>01-02-2024 22:45</t>
  </si>
  <si>
    <t>01-02-2024 23:00</t>
  </si>
  <si>
    <t>01-02-2024 23:15</t>
  </si>
  <si>
    <t>01-02-2024 23:30</t>
  </si>
  <si>
    <t>01-02-2024 23:45</t>
  </si>
  <si>
    <t>01-02-2024 24:00</t>
  </si>
  <si>
    <t>02-02-2024 00:15</t>
  </si>
  <si>
    <t>02-02-2024 00:30</t>
  </si>
  <si>
    <t>02-02-2024 00:45</t>
  </si>
  <si>
    <t>02-02-2024 01:00</t>
  </si>
  <si>
    <t>02-02-2024 01:15</t>
  </si>
  <si>
    <t>02-02-2024 01:30</t>
  </si>
  <si>
    <t>02-02-2024 01:45</t>
  </si>
  <si>
    <t>02-02-2024 02:00</t>
  </si>
  <si>
    <t>02-02-2024 02:15</t>
  </si>
  <si>
    <t>02-02-2024 02:30</t>
  </si>
  <si>
    <t>02-02-2024 02:45</t>
  </si>
  <si>
    <t>02-02-2024 03:00</t>
  </si>
  <si>
    <t>02-02-2024 03:15</t>
  </si>
  <si>
    <t>02-02-2024 03:30</t>
  </si>
  <si>
    <t>02-02-2024 03:45</t>
  </si>
  <si>
    <t>02-02-2024 04:00</t>
  </si>
  <si>
    <t>02-02-2024 04:15</t>
  </si>
  <si>
    <t>02-02-2024 04:30</t>
  </si>
  <si>
    <t>02-02-2024 04:45</t>
  </si>
  <si>
    <t>02-02-2024 05:00</t>
  </si>
  <si>
    <t>02-02-2024 05:15</t>
  </si>
  <si>
    <t>02-02-2024 05:30</t>
  </si>
  <si>
    <t>02-02-2024 05:45</t>
  </si>
  <si>
    <t>02-02-2024 06:00</t>
  </si>
  <si>
    <t>02-02-2024 06:15</t>
  </si>
  <si>
    <t>02-02-2024 06:30</t>
  </si>
  <si>
    <t>02-02-2024 06:45</t>
  </si>
  <si>
    <t>02-02-2024 07:00</t>
  </si>
  <si>
    <t>02-02-2024 07:15</t>
  </si>
  <si>
    <t>02-02-2024 07:30</t>
  </si>
  <si>
    <t>02-02-2024 07:45</t>
  </si>
  <si>
    <t>02-02-2024 08:00</t>
  </si>
  <si>
    <t>02-02-2024 08:15</t>
  </si>
  <si>
    <t>02-02-2024 08:30</t>
  </si>
  <si>
    <t>02-02-2024 08:45</t>
  </si>
  <si>
    <t>02-02-2024 09:00</t>
  </si>
  <si>
    <t>02-02-2024 09:15</t>
  </si>
  <si>
    <t>02-02-2024 09:30</t>
  </si>
  <si>
    <t>02-02-2024 09:45</t>
  </si>
  <si>
    <t>02-02-2024 10:00</t>
  </si>
  <si>
    <t>02-02-2024 10:15</t>
  </si>
  <si>
    <t>02-02-2024 10:30</t>
  </si>
  <si>
    <t>02-02-2024 10:45</t>
  </si>
  <si>
    <t>02-02-2024 11:00</t>
  </si>
  <si>
    <t>02-02-2024 11:15</t>
  </si>
  <si>
    <t>02-02-2024 11:30</t>
  </si>
  <si>
    <t>02-02-2024 11:45</t>
  </si>
  <si>
    <t>02-02-2024 12:00</t>
  </si>
  <si>
    <t>02-02-2024 12:15</t>
  </si>
  <si>
    <t>02-02-2024 12:30</t>
  </si>
  <si>
    <t>02-02-2024 12:45</t>
  </si>
  <si>
    <t>02-02-2024 13:00</t>
  </si>
  <si>
    <t>02-02-2024 13:15</t>
  </si>
  <si>
    <t>02-02-2024 13:30</t>
  </si>
  <si>
    <t>02-02-2024 13:45</t>
  </si>
  <si>
    <t>02-02-2024 14:00</t>
  </si>
  <si>
    <t>02-02-2024 14:15</t>
  </si>
  <si>
    <t>02-02-2024 14:30</t>
  </si>
  <si>
    <t>02-02-2024 14:45</t>
  </si>
  <si>
    <t>02-02-2024 15:00</t>
  </si>
  <si>
    <t>02-02-2024 15:15</t>
  </si>
  <si>
    <t>02-02-2024 15:30</t>
  </si>
  <si>
    <t>02-02-2024 15:45</t>
  </si>
  <si>
    <t>02-02-2024 16:00</t>
  </si>
  <si>
    <t>02-02-2024 16:15</t>
  </si>
  <si>
    <t>02-02-2024 16:30</t>
  </si>
  <si>
    <t>02-02-2024 16:45</t>
  </si>
  <si>
    <t>02-02-2024 17:00</t>
  </si>
  <si>
    <t>02-02-2024 17:15</t>
  </si>
  <si>
    <t>02-02-2024 17:30</t>
  </si>
  <si>
    <t>02-02-2024 17:45</t>
  </si>
  <si>
    <t>02-02-2024 18:00</t>
  </si>
  <si>
    <t>02-02-2024 18:15</t>
  </si>
  <si>
    <t>02-02-2024 18:30</t>
  </si>
  <si>
    <t>02-02-2024 18:45</t>
  </si>
  <si>
    <t>02-02-2024 19:00</t>
  </si>
  <si>
    <t>02-02-2024 19:15</t>
  </si>
  <si>
    <t>02-02-2024 19:30</t>
  </si>
  <si>
    <t>02-02-2024 19:45</t>
  </si>
  <si>
    <t>02-02-2024 20:00</t>
  </si>
  <si>
    <t>02-02-2024 20:15</t>
  </si>
  <si>
    <t>02-02-2024 20:30</t>
  </si>
  <si>
    <t>02-02-2024 20:45</t>
  </si>
  <si>
    <t>02-02-2024 21:00</t>
  </si>
  <si>
    <t>02-02-2024 21:15</t>
  </si>
  <si>
    <t>02-02-2024 21:30</t>
  </si>
  <si>
    <t>02-02-2024 21:45</t>
  </si>
  <si>
    <t>02-02-2024 22:00</t>
  </si>
  <si>
    <t>02-02-2024 22:15</t>
  </si>
  <si>
    <t>02-02-2024 22:30</t>
  </si>
  <si>
    <t>02-02-2024 22:45</t>
  </si>
  <si>
    <t>02-02-2024 23:00</t>
  </si>
  <si>
    <t>02-02-2024 23:15</t>
  </si>
  <si>
    <t>02-02-2024 23:30</t>
  </si>
  <si>
    <t>02-02-2024 23:45</t>
  </si>
  <si>
    <t>02-02-2024 24:00</t>
  </si>
  <si>
    <t>03-02-2024 00:15</t>
  </si>
  <si>
    <t>03-02-2024 00:30</t>
  </si>
  <si>
    <t>03-02-2024 00:45</t>
  </si>
  <si>
    <t>03-02-2024 01:00</t>
  </si>
  <si>
    <t>03-02-2024 01:15</t>
  </si>
  <si>
    <t>03-02-2024 01:30</t>
  </si>
  <si>
    <t>03-02-2024 01:45</t>
  </si>
  <si>
    <t>03-02-2024 02:00</t>
  </si>
  <si>
    <t>03-02-2024 02:15</t>
  </si>
  <si>
    <t>03-02-2024 02:30</t>
  </si>
  <si>
    <t>03-02-2024 02:45</t>
  </si>
  <si>
    <t>03-02-2024 03:00</t>
  </si>
  <si>
    <t>03-02-2024 03:15</t>
  </si>
  <si>
    <t>03-02-2024 03:30</t>
  </si>
  <si>
    <t>03-02-2024 03:45</t>
  </si>
  <si>
    <t>03-02-2024 04:00</t>
  </si>
  <si>
    <t>03-02-2024 04:15</t>
  </si>
  <si>
    <t>03-02-2024 04:30</t>
  </si>
  <si>
    <t>03-02-2024 04:45</t>
  </si>
  <si>
    <t>03-02-2024 05:00</t>
  </si>
  <si>
    <t>03-02-2024 05:15</t>
  </si>
  <si>
    <t>03-02-2024 05:30</t>
  </si>
  <si>
    <t>03-02-2024 05:45</t>
  </si>
  <si>
    <t>03-02-2024 06:00</t>
  </si>
  <si>
    <t>03-02-2024 06:15</t>
  </si>
  <si>
    <t>03-02-2024 06:30</t>
  </si>
  <si>
    <t>03-02-2024 06:45</t>
  </si>
  <si>
    <t>03-02-2024 07:00</t>
  </si>
  <si>
    <t>03-02-2024 07:15</t>
  </si>
  <si>
    <t>03-02-2024 07:30</t>
  </si>
  <si>
    <t>03-02-2024 07:45</t>
  </si>
  <si>
    <t>03-02-2024 08:00</t>
  </si>
  <si>
    <t>03-02-2024 08:15</t>
  </si>
  <si>
    <t>03-02-2024 08:30</t>
  </si>
  <si>
    <t>03-02-2024 08:45</t>
  </si>
  <si>
    <t>03-02-2024 09:00</t>
  </si>
  <si>
    <t>03-02-2024 09:15</t>
  </si>
  <si>
    <t>03-02-2024 09:30</t>
  </si>
  <si>
    <t>03-02-2024 09:45</t>
  </si>
  <si>
    <t>03-02-2024 10:00</t>
  </si>
  <si>
    <t>03-02-2024 10:15</t>
  </si>
  <si>
    <t>03-02-2024 10:30</t>
  </si>
  <si>
    <t>03-02-2024 10:45</t>
  </si>
  <si>
    <t>03-02-2024 11:00</t>
  </si>
  <si>
    <t>03-02-2024 11:15</t>
  </si>
  <si>
    <t>03-02-2024 11:30</t>
  </si>
  <si>
    <t>03-02-2024 11:45</t>
  </si>
  <si>
    <t>03-02-2024 12:00</t>
  </si>
  <si>
    <t>03-02-2024 12:15</t>
  </si>
  <si>
    <t>03-02-2024 12:30</t>
  </si>
  <si>
    <t>03-02-2024 12:45</t>
  </si>
  <si>
    <t>03-02-2024 13:00</t>
  </si>
  <si>
    <t>03-02-2024 13:15</t>
  </si>
  <si>
    <t>03-02-2024 13:30</t>
  </si>
  <si>
    <t>03-02-2024 13:45</t>
  </si>
  <si>
    <t>03-02-2024 14:00</t>
  </si>
  <si>
    <t>03-02-2024 14:15</t>
  </si>
  <si>
    <t>03-02-2024 14:30</t>
  </si>
  <si>
    <t>03-02-2024 14:45</t>
  </si>
  <si>
    <t>03-02-2024 15:00</t>
  </si>
  <si>
    <t>03-02-2024 15:15</t>
  </si>
  <si>
    <t>03-02-2024 15:30</t>
  </si>
  <si>
    <t>03-02-2024 15:45</t>
  </si>
  <si>
    <t>03-02-2024 16:00</t>
  </si>
  <si>
    <t>03-02-2024 16:15</t>
  </si>
  <si>
    <t>03-02-2024 16:30</t>
  </si>
  <si>
    <t>03-02-2024 16:45</t>
  </si>
  <si>
    <t>03-02-2024 17:00</t>
  </si>
  <si>
    <t>03-02-2024 17:15</t>
  </si>
  <si>
    <t>03-02-2024 17:30</t>
  </si>
  <si>
    <t>03-02-2024 17:45</t>
  </si>
  <si>
    <t>03-02-2024 18:00</t>
  </si>
  <si>
    <t>03-02-2024 18:15</t>
  </si>
  <si>
    <t>03-02-2024 18:30</t>
  </si>
  <si>
    <t>03-02-2024 18:45</t>
  </si>
  <si>
    <t>03-02-2024 19:00</t>
  </si>
  <si>
    <t>03-02-2024 19:15</t>
  </si>
  <si>
    <t>03-02-2024 19:30</t>
  </si>
  <si>
    <t>03-02-2024 19:45</t>
  </si>
  <si>
    <t>03-02-2024 20:00</t>
  </si>
  <si>
    <t>03-02-2024 20:15</t>
  </si>
  <si>
    <t>03-02-2024 20:30</t>
  </si>
  <si>
    <t>03-02-2024 20:45</t>
  </si>
  <si>
    <t>03-02-2024 21:00</t>
  </si>
  <si>
    <t>03-02-2024 21:15</t>
  </si>
  <si>
    <t>03-02-2024 21:30</t>
  </si>
  <si>
    <t>03-02-2024 21:45</t>
  </si>
  <si>
    <t>03-02-2024 22:00</t>
  </si>
  <si>
    <t>03-02-2024 22:15</t>
  </si>
  <si>
    <t>03-02-2024 22:30</t>
  </si>
  <si>
    <t>03-02-2024 22:45</t>
  </si>
  <si>
    <t>03-02-2024 23:00</t>
  </si>
  <si>
    <t>03-02-2024 23:15</t>
  </si>
  <si>
    <t>03-02-2024 23:30</t>
  </si>
  <si>
    <t>03-02-2024 23:45</t>
  </si>
  <si>
    <t>03-02-2024 24:00</t>
  </si>
  <si>
    <t>04-02-2024 00:15</t>
  </si>
  <si>
    <t>04-02-2024 00:30</t>
  </si>
  <si>
    <t>04-02-2024 00:45</t>
  </si>
  <si>
    <t>04-02-2024 01:00</t>
  </si>
  <si>
    <t>04-02-2024 01:15</t>
  </si>
  <si>
    <t>04-02-2024 01:30</t>
  </si>
  <si>
    <t>04-02-2024 01:45</t>
  </si>
  <si>
    <t>04-02-2024 02:00</t>
  </si>
  <si>
    <t>04-02-2024 02:15</t>
  </si>
  <si>
    <t>04-02-2024 02:30</t>
  </si>
  <si>
    <t>04-02-2024 02:45</t>
  </si>
  <si>
    <t>04-02-2024 03:00</t>
  </si>
  <si>
    <t>04-02-2024 03:15</t>
  </si>
  <si>
    <t>04-02-2024 03:30</t>
  </si>
  <si>
    <t>04-02-2024 03:45</t>
  </si>
  <si>
    <t>04-02-2024 04:00</t>
  </si>
  <si>
    <t>04-02-2024 04:15</t>
  </si>
  <si>
    <t>04-02-2024 04:30</t>
  </si>
  <si>
    <t>04-02-2024 04:45</t>
  </si>
  <si>
    <t>04-02-2024 05:00</t>
  </si>
  <si>
    <t>04-02-2024 05:15</t>
  </si>
  <si>
    <t>04-02-2024 05:30</t>
  </si>
  <si>
    <t>04-02-2024 05:45</t>
  </si>
  <si>
    <t>04-02-2024 06:00</t>
  </si>
  <si>
    <t>04-02-2024 06:15</t>
  </si>
  <si>
    <t>04-02-2024 06:30</t>
  </si>
  <si>
    <t>04-02-2024 06:45</t>
  </si>
  <si>
    <t>04-02-2024 07:00</t>
  </si>
  <si>
    <t>04-02-2024 07:15</t>
  </si>
  <si>
    <t>04-02-2024 07:30</t>
  </si>
  <si>
    <t>04-02-2024 07:45</t>
  </si>
  <si>
    <t>04-02-2024 08:00</t>
  </si>
  <si>
    <t>04-02-2024 08:15</t>
  </si>
  <si>
    <t>04-02-2024 08:30</t>
  </si>
  <si>
    <t>04-02-2024 08:45</t>
  </si>
  <si>
    <t>04-02-2024 09:00</t>
  </si>
  <si>
    <t>04-02-2024 09:15</t>
  </si>
  <si>
    <t>04-02-2024 09:30</t>
  </si>
  <si>
    <t>04-02-2024 09:45</t>
  </si>
  <si>
    <t>04-02-2024 10:00</t>
  </si>
  <si>
    <t>04-02-2024 10:15</t>
  </si>
  <si>
    <t>04-02-2024 10:30</t>
  </si>
  <si>
    <t>04-02-2024 10:45</t>
  </si>
  <si>
    <t>04-02-2024 11:00</t>
  </si>
  <si>
    <t>04-02-2024 11:15</t>
  </si>
  <si>
    <t>04-02-2024 11:30</t>
  </si>
  <si>
    <t>04-02-2024 11:45</t>
  </si>
  <si>
    <t>04-02-2024 12:00</t>
  </si>
  <si>
    <t>04-02-2024 12:15</t>
  </si>
  <si>
    <t>04-02-2024 12:30</t>
  </si>
  <si>
    <t>04-02-2024 12:45</t>
  </si>
  <si>
    <t>04-02-2024 13:00</t>
  </si>
  <si>
    <t>04-02-2024 13:15</t>
  </si>
  <si>
    <t>04-02-2024 13:30</t>
  </si>
  <si>
    <t>04-02-2024 13:45</t>
  </si>
  <si>
    <t>04-02-2024 14:00</t>
  </si>
  <si>
    <t>04-02-2024 14:15</t>
  </si>
  <si>
    <t>04-02-2024 14:30</t>
  </si>
  <si>
    <t>04-02-2024 14:45</t>
  </si>
  <si>
    <t>04-02-2024 15:00</t>
  </si>
  <si>
    <t>04-02-2024 15:15</t>
  </si>
  <si>
    <t>04-02-2024 15:30</t>
  </si>
  <si>
    <t>04-02-2024 15:45</t>
  </si>
  <si>
    <t>04-02-2024 16:00</t>
  </si>
  <si>
    <t>04-02-2024 16:15</t>
  </si>
  <si>
    <t>04-02-2024 16:30</t>
  </si>
  <si>
    <t>04-02-2024 16:45</t>
  </si>
  <si>
    <t>04-02-2024 17:00</t>
  </si>
  <si>
    <t>04-02-2024 17:15</t>
  </si>
  <si>
    <t>04-02-2024 17:30</t>
  </si>
  <si>
    <t>04-02-2024 17:45</t>
  </si>
  <si>
    <t>04-02-2024 18:00</t>
  </si>
  <si>
    <t>04-02-2024 18:15</t>
  </si>
  <si>
    <t>04-02-2024 18:30</t>
  </si>
  <si>
    <t>04-02-2024 18:45</t>
  </si>
  <si>
    <t>04-02-2024 19:00</t>
  </si>
  <si>
    <t>04-02-2024 19:15</t>
  </si>
  <si>
    <t>04-02-2024 19:30</t>
  </si>
  <si>
    <t>04-02-2024 19:45</t>
  </si>
  <si>
    <t>04-02-2024 20:00</t>
  </si>
  <si>
    <t>04-02-2024 20:15</t>
  </si>
  <si>
    <t>04-02-2024 20:30</t>
  </si>
  <si>
    <t>04-02-2024 20:45</t>
  </si>
  <si>
    <t>04-02-2024 21:00</t>
  </si>
  <si>
    <t>04-02-2024 21:15</t>
  </si>
  <si>
    <t>04-02-2024 21:30</t>
  </si>
  <si>
    <t>04-02-2024 21:45</t>
  </si>
  <si>
    <t>04-02-2024 22:00</t>
  </si>
  <si>
    <t>04-02-2024 22:15</t>
  </si>
  <si>
    <t>04-02-2024 22:30</t>
  </si>
  <si>
    <t>04-02-2024 22:45</t>
  </si>
  <si>
    <t>04-02-2024 23:00</t>
  </si>
  <si>
    <t>04-02-2024 23:15</t>
  </si>
  <si>
    <t>04-02-2024 23:30</t>
  </si>
  <si>
    <t>04-02-2024 23:45</t>
  </si>
  <si>
    <t>04-02-2024 24:00</t>
  </si>
  <si>
    <t>05-02-2024 00:15</t>
  </si>
  <si>
    <t>05-02-2024 00:30</t>
  </si>
  <si>
    <t>05-02-2024 00:45</t>
  </si>
  <si>
    <t>05-02-2024 01:00</t>
  </si>
  <si>
    <t>05-02-2024 01:15</t>
  </si>
  <si>
    <t>05-02-2024 01:30</t>
  </si>
  <si>
    <t>05-02-2024 01:45</t>
  </si>
  <si>
    <t>05-02-2024 02:00</t>
  </si>
  <si>
    <t>05-02-2024 02:15</t>
  </si>
  <si>
    <t>05-02-2024 02:30</t>
  </si>
  <si>
    <t>05-02-2024 02:45</t>
  </si>
  <si>
    <t>05-02-2024 03:00</t>
  </si>
  <si>
    <t>05-02-2024 03:15</t>
  </si>
  <si>
    <t>05-02-2024 03:30</t>
  </si>
  <si>
    <t>05-02-2024 03:45</t>
  </si>
  <si>
    <t>05-02-2024 04:00</t>
  </si>
  <si>
    <t>05-02-2024 04:15</t>
  </si>
  <si>
    <t>05-02-2024 04:30</t>
  </si>
  <si>
    <t>05-02-2024 04:45</t>
  </si>
  <si>
    <t>05-02-2024 05:00</t>
  </si>
  <si>
    <t>05-02-2024 05:15</t>
  </si>
  <si>
    <t>05-02-2024 05:30</t>
  </si>
  <si>
    <t>05-02-2024 05:45</t>
  </si>
  <si>
    <t>05-02-2024 06:00</t>
  </si>
  <si>
    <t>05-02-2024 06:15</t>
  </si>
  <si>
    <t>05-02-2024 06:30</t>
  </si>
  <si>
    <t>05-02-2024 06:45</t>
  </si>
  <si>
    <t>05-02-2024 07:00</t>
  </si>
  <si>
    <t>05-02-2024 07:15</t>
  </si>
  <si>
    <t>05-02-2024 07:30</t>
  </si>
  <si>
    <t>05-02-2024 07:45</t>
  </si>
  <si>
    <t>05-02-2024 08:00</t>
  </si>
  <si>
    <t>05-02-2024 08:15</t>
  </si>
  <si>
    <t>05-02-2024 08:30</t>
  </si>
  <si>
    <t>05-02-2024 08:45</t>
  </si>
  <si>
    <t>05-02-2024 09:00</t>
  </si>
  <si>
    <t>05-02-2024 09:15</t>
  </si>
  <si>
    <t>05-02-2024 09:30</t>
  </si>
  <si>
    <t>05-02-2024 09:45</t>
  </si>
  <si>
    <t>05-02-2024 10:00</t>
  </si>
  <si>
    <t>05-02-2024 10:15</t>
  </si>
  <si>
    <t>05-02-2024 10:30</t>
  </si>
  <si>
    <t>05-02-2024 10:45</t>
  </si>
  <si>
    <t>05-02-2024 11:00</t>
  </si>
  <si>
    <t>05-02-2024 11:15</t>
  </si>
  <si>
    <t>05-02-2024 11:30</t>
  </si>
  <si>
    <t>05-02-2024 11:45</t>
  </si>
  <si>
    <t>05-02-2024 12:00</t>
  </si>
  <si>
    <t>05-02-2024 12:15</t>
  </si>
  <si>
    <t>05-02-2024 12:30</t>
  </si>
  <si>
    <t>05-02-2024 12:45</t>
  </si>
  <si>
    <t>05-02-2024 13:00</t>
  </si>
  <si>
    <t>05-02-2024 13:15</t>
  </si>
  <si>
    <t>05-02-2024 13:30</t>
  </si>
  <si>
    <t>05-02-2024 13:45</t>
  </si>
  <si>
    <t>05-02-2024 14:00</t>
  </si>
  <si>
    <t>05-02-2024 14:15</t>
  </si>
  <si>
    <t>05-02-2024 14:30</t>
  </si>
  <si>
    <t>05-02-2024 14:45</t>
  </si>
  <si>
    <t>05-02-2024 15:00</t>
  </si>
  <si>
    <t>05-02-2024 15:15</t>
  </si>
  <si>
    <t>05-02-2024 15:30</t>
  </si>
  <si>
    <t>05-02-2024 15:45</t>
  </si>
  <si>
    <t>05-02-2024 16:00</t>
  </si>
  <si>
    <t>05-02-2024 16:15</t>
  </si>
  <si>
    <t>05-02-2024 16:30</t>
  </si>
  <si>
    <t>05-02-2024 16:45</t>
  </si>
  <si>
    <t>05-02-2024 17:00</t>
  </si>
  <si>
    <t>05-02-2024 17:15</t>
  </si>
  <si>
    <t>05-02-2024 17:30</t>
  </si>
  <si>
    <t>05-02-2024 17:45</t>
  </si>
  <si>
    <t>05-02-2024 18:00</t>
  </si>
  <si>
    <t>05-02-2024 18:15</t>
  </si>
  <si>
    <t>05-02-2024 18:30</t>
  </si>
  <si>
    <t>05-02-2024 18:45</t>
  </si>
  <si>
    <t>05-02-2024 19:00</t>
  </si>
  <si>
    <t>05-02-2024 19:15</t>
  </si>
  <si>
    <t>05-02-2024 19:30</t>
  </si>
  <si>
    <t>05-02-2024 19:45</t>
  </si>
  <si>
    <t>05-02-2024 20:00</t>
  </si>
  <si>
    <t>05-02-2024 20:15</t>
  </si>
  <si>
    <t>05-02-2024 20:30</t>
  </si>
  <si>
    <t>05-02-2024 20:45</t>
  </si>
  <si>
    <t>05-02-2024 21:00</t>
  </si>
  <si>
    <t>05-02-2024 21:15</t>
  </si>
  <si>
    <t>05-02-2024 21:30</t>
  </si>
  <si>
    <t>05-02-2024 21:45</t>
  </si>
  <si>
    <t>05-02-2024 22:00</t>
  </si>
  <si>
    <t>05-02-2024 22:15</t>
  </si>
  <si>
    <t>05-02-2024 22:30</t>
  </si>
  <si>
    <t>05-02-2024 22:45</t>
  </si>
  <si>
    <t>05-02-2024 23:00</t>
  </si>
  <si>
    <t>05-02-2024 23:15</t>
  </si>
  <si>
    <t>05-02-2024 23:30</t>
  </si>
  <si>
    <t>05-02-2024 23:45</t>
  </si>
  <si>
    <t>05-02-2024 24:00</t>
  </si>
  <si>
    <t>06-02-2024 00:15</t>
  </si>
  <si>
    <t>06-02-2024 00:30</t>
  </si>
  <si>
    <t>06-02-2024 00:45</t>
  </si>
  <si>
    <t>06-02-2024 01:00</t>
  </si>
  <si>
    <t>06-02-2024 01:15</t>
  </si>
  <si>
    <t>06-02-2024 01:30</t>
  </si>
  <si>
    <t>06-02-2024 01:45</t>
  </si>
  <si>
    <t>06-02-2024 02:00</t>
  </si>
  <si>
    <t>06-02-2024 02:15</t>
  </si>
  <si>
    <t>06-02-2024 02:30</t>
  </si>
  <si>
    <t>06-02-2024 02:45</t>
  </si>
  <si>
    <t>06-02-2024 03:00</t>
  </si>
  <si>
    <t>06-02-2024 03:15</t>
  </si>
  <si>
    <t>06-02-2024 03:30</t>
  </si>
  <si>
    <t>06-02-2024 03:45</t>
  </si>
  <si>
    <t>06-02-2024 04:00</t>
  </si>
  <si>
    <t>06-02-2024 04:15</t>
  </si>
  <si>
    <t>06-02-2024 04:30</t>
  </si>
  <si>
    <t>06-02-2024 04:45</t>
  </si>
  <si>
    <t>06-02-2024 05:00</t>
  </si>
  <si>
    <t>06-02-2024 05:15</t>
  </si>
  <si>
    <t>06-02-2024 05:30</t>
  </si>
  <si>
    <t>06-02-2024 05:45</t>
  </si>
  <si>
    <t>06-02-2024 06:00</t>
  </si>
  <si>
    <t>06-02-2024 06:15</t>
  </si>
  <si>
    <t>06-02-2024 06:30</t>
  </si>
  <si>
    <t>06-02-2024 06:45</t>
  </si>
  <si>
    <t>06-02-2024 07:00</t>
  </si>
  <si>
    <t>06-02-2024 07:15</t>
  </si>
  <si>
    <t>06-02-2024 07:30</t>
  </si>
  <si>
    <t>06-02-2024 07:45</t>
  </si>
  <si>
    <t>06-02-2024 08:00</t>
  </si>
  <si>
    <t>06-02-2024 08:15</t>
  </si>
  <si>
    <t>06-02-2024 08:30</t>
  </si>
  <si>
    <t>06-02-2024 08:45</t>
  </si>
  <si>
    <t>06-02-2024 09:00</t>
  </si>
  <si>
    <t>06-02-2024 09:15</t>
  </si>
  <si>
    <t>06-02-2024 09:30</t>
  </si>
  <si>
    <t>06-02-2024 09:45</t>
  </si>
  <si>
    <t>06-02-2024 10:00</t>
  </si>
  <si>
    <t>06-02-2024 10:15</t>
  </si>
  <si>
    <t>06-02-2024 10:30</t>
  </si>
  <si>
    <t>06-02-2024 10:45</t>
  </si>
  <si>
    <t>06-02-2024 11:00</t>
  </si>
  <si>
    <t>06-02-2024 11:15</t>
  </si>
  <si>
    <t>06-02-2024 11:30</t>
  </si>
  <si>
    <t>06-02-2024 11:45</t>
  </si>
  <si>
    <t>06-02-2024 12:00</t>
  </si>
  <si>
    <t>06-02-2024 12:15</t>
  </si>
  <si>
    <t>06-02-2024 12:30</t>
  </si>
  <si>
    <t>06-02-2024 12:45</t>
  </si>
  <si>
    <t>06-02-2024 13:00</t>
  </si>
  <si>
    <t>06-02-2024 13:15</t>
  </si>
  <si>
    <t>06-02-2024 13:30</t>
  </si>
  <si>
    <t>06-02-2024 13:45</t>
  </si>
  <si>
    <t>06-02-2024 14:00</t>
  </si>
  <si>
    <t>06-02-2024 14:15</t>
  </si>
  <si>
    <t>06-02-2024 14:30</t>
  </si>
  <si>
    <t>06-02-2024 14:45</t>
  </si>
  <si>
    <t>06-02-2024 15:00</t>
  </si>
  <si>
    <t>06-02-2024 15:15</t>
  </si>
  <si>
    <t>06-02-2024 15:30</t>
  </si>
  <si>
    <t>06-02-2024 15:45</t>
  </si>
  <si>
    <t>06-02-2024 16:00</t>
  </si>
  <si>
    <t>06-02-2024 16:15</t>
  </si>
  <si>
    <t>06-02-2024 16:30</t>
  </si>
  <si>
    <t>06-02-2024 16:45</t>
  </si>
  <si>
    <t>06-02-2024 17:00</t>
  </si>
  <si>
    <t>06-02-2024 17:15</t>
  </si>
  <si>
    <t>06-02-2024 17:30</t>
  </si>
  <si>
    <t>06-02-2024 17:45</t>
  </si>
  <si>
    <t>06-02-2024 18:00</t>
  </si>
  <si>
    <t>06-02-2024 18:15</t>
  </si>
  <si>
    <t>06-02-2024 18:30</t>
  </si>
  <si>
    <t>06-02-2024 18:45</t>
  </si>
  <si>
    <t>06-02-2024 19:00</t>
  </si>
  <si>
    <t>06-02-2024 19:15</t>
  </si>
  <si>
    <t>06-02-2024 19:30</t>
  </si>
  <si>
    <t>06-02-2024 19:45</t>
  </si>
  <si>
    <t>06-02-2024 20:00</t>
  </si>
  <si>
    <t>06-02-2024 20:15</t>
  </si>
  <si>
    <t>06-02-2024 20:30</t>
  </si>
  <si>
    <t>06-02-2024 20:45</t>
  </si>
  <si>
    <t>06-02-2024 21:00</t>
  </si>
  <si>
    <t>06-02-2024 21:15</t>
  </si>
  <si>
    <t>06-02-2024 21:30</t>
  </si>
  <si>
    <t>06-02-2024 21:45</t>
  </si>
  <si>
    <t>06-02-2024 22:00</t>
  </si>
  <si>
    <t>06-02-2024 22:15</t>
  </si>
  <si>
    <t>06-02-2024 22:30</t>
  </si>
  <si>
    <t>06-02-2024 22:45</t>
  </si>
  <si>
    <t>06-02-2024 23:00</t>
  </si>
  <si>
    <t>06-02-2024 23:15</t>
  </si>
  <si>
    <t>06-02-2024 23:30</t>
  </si>
  <si>
    <t>06-02-2024 23:45</t>
  </si>
  <si>
    <t>06-02-2024 24:00</t>
  </si>
  <si>
    <t>07-02-2024 00:15</t>
  </si>
  <si>
    <t>07-02-2024 00:30</t>
  </si>
  <si>
    <t>07-02-2024 00:45</t>
  </si>
  <si>
    <t>07-02-2024 01:00</t>
  </si>
  <si>
    <t>07-02-2024 01:15</t>
  </si>
  <si>
    <t>07-02-2024 01:30</t>
  </si>
  <si>
    <t>07-02-2024 01:45</t>
  </si>
  <si>
    <t>07-02-2024 02:00</t>
  </si>
  <si>
    <t>07-02-2024 02:15</t>
  </si>
  <si>
    <t>07-02-2024 02:30</t>
  </si>
  <si>
    <t>07-02-2024 02:45</t>
  </si>
  <si>
    <t>07-02-2024 03:00</t>
  </si>
  <si>
    <t>07-02-2024 03:15</t>
  </si>
  <si>
    <t>07-02-2024 03:30</t>
  </si>
  <si>
    <t>07-02-2024 03:45</t>
  </si>
  <si>
    <t>07-02-2024 04:00</t>
  </si>
  <si>
    <t>07-02-2024 04:15</t>
  </si>
  <si>
    <t>07-02-2024 04:30</t>
  </si>
  <si>
    <t>07-02-2024 04:45</t>
  </si>
  <si>
    <t>07-02-2024 05:00</t>
  </si>
  <si>
    <t>07-02-2024 05:15</t>
  </si>
  <si>
    <t>07-02-2024 05:30</t>
  </si>
  <si>
    <t>07-02-2024 05:45</t>
  </si>
  <si>
    <t>07-02-2024 06:00</t>
  </si>
  <si>
    <t>07-02-2024 06:15</t>
  </si>
  <si>
    <t>07-02-2024 06:30</t>
  </si>
  <si>
    <t>07-02-2024 06:45</t>
  </si>
  <si>
    <t>07-02-2024 07:00</t>
  </si>
  <si>
    <t>07-02-2024 07:15</t>
  </si>
  <si>
    <t>07-02-2024 07:30</t>
  </si>
  <si>
    <t>07-02-2024 07:45</t>
  </si>
  <si>
    <t>07-02-2024 08:00</t>
  </si>
  <si>
    <t>07-02-2024 08:15</t>
  </si>
  <si>
    <t>07-02-2024 08:30</t>
  </si>
  <si>
    <t>07-02-2024 08:45</t>
  </si>
  <si>
    <t>07-02-2024 09:00</t>
  </si>
  <si>
    <t>07-02-2024 09:15</t>
  </si>
  <si>
    <t>07-02-2024 09:30</t>
  </si>
  <si>
    <t>07-02-2024 09:45</t>
  </si>
  <si>
    <t>07-02-2024 10:00</t>
  </si>
  <si>
    <t>07-02-2024 10:15</t>
  </si>
  <si>
    <t>07-02-2024 10:30</t>
  </si>
  <si>
    <t>07-02-2024 10:45</t>
  </si>
  <si>
    <t>07-02-2024 11:00</t>
  </si>
  <si>
    <t>07-02-2024 11:15</t>
  </si>
  <si>
    <t>07-02-2024 11:30</t>
  </si>
  <si>
    <t>07-02-2024 11:45</t>
  </si>
  <si>
    <t>07-02-2024 12:00</t>
  </si>
  <si>
    <t>07-02-2024 12:15</t>
  </si>
  <si>
    <t>07-02-2024 12:30</t>
  </si>
  <si>
    <t>07-02-2024 12:45</t>
  </si>
  <si>
    <t>07-02-2024 13:00</t>
  </si>
  <si>
    <t>07-02-2024 13:15</t>
  </si>
  <si>
    <t>07-02-2024 13:30</t>
  </si>
  <si>
    <t>07-02-2024 13:45</t>
  </si>
  <si>
    <t>07-02-2024 14:00</t>
  </si>
  <si>
    <t>07-02-2024 14:15</t>
  </si>
  <si>
    <t>07-02-2024 14:30</t>
  </si>
  <si>
    <t>07-02-2024 14:45</t>
  </si>
  <si>
    <t>07-02-2024 15:00</t>
  </si>
  <si>
    <t>07-02-2024 15:15</t>
  </si>
  <si>
    <t>07-02-2024 15:30</t>
  </si>
  <si>
    <t>07-02-2024 15:45</t>
  </si>
  <si>
    <t>07-02-2024 16:00</t>
  </si>
  <si>
    <t>07-02-2024 16:15</t>
  </si>
  <si>
    <t>07-02-2024 16:30</t>
  </si>
  <si>
    <t>07-02-2024 16:45</t>
  </si>
  <si>
    <t>07-02-2024 17:00</t>
  </si>
  <si>
    <t>07-02-2024 17:15</t>
  </si>
  <si>
    <t>07-02-2024 17:30</t>
  </si>
  <si>
    <t>07-02-2024 17:45</t>
  </si>
  <si>
    <t>07-02-2024 18:00</t>
  </si>
  <si>
    <t>07-02-2024 18:15</t>
  </si>
  <si>
    <t>07-02-2024 18:30</t>
  </si>
  <si>
    <t>07-02-2024 18:45</t>
  </si>
  <si>
    <t>07-02-2024 19:00</t>
  </si>
  <si>
    <t>07-02-2024 19:15</t>
  </si>
  <si>
    <t>07-02-2024 19:30</t>
  </si>
  <si>
    <t>07-02-2024 19:45</t>
  </si>
  <si>
    <t>07-02-2024 20:00</t>
  </si>
  <si>
    <t>07-02-2024 20:15</t>
  </si>
  <si>
    <t>07-02-2024 20:30</t>
  </si>
  <si>
    <t>07-02-2024 20:45</t>
  </si>
  <si>
    <t>07-02-2024 21:00</t>
  </si>
  <si>
    <t>07-02-2024 21:15</t>
  </si>
  <si>
    <t>07-02-2024 21:30</t>
  </si>
  <si>
    <t>07-02-2024 21:45</t>
  </si>
  <si>
    <t>07-02-2024 22:00</t>
  </si>
  <si>
    <t>07-02-2024 22:15</t>
  </si>
  <si>
    <t>07-02-2024 22:30</t>
  </si>
  <si>
    <t>07-02-2024 22:45</t>
  </si>
  <si>
    <t>07-02-2024 23:00</t>
  </si>
  <si>
    <t>07-02-2024 23:15</t>
  </si>
  <si>
    <t>07-02-2024 23:30</t>
  </si>
  <si>
    <t>07-02-2024 23:45</t>
  </si>
  <si>
    <t>07-02-2024 24:00</t>
  </si>
  <si>
    <t>08-02-2024 00:15</t>
  </si>
  <si>
    <t>08-02-2024 00:30</t>
  </si>
  <si>
    <t>08-02-2024 00:45</t>
  </si>
  <si>
    <t>08-02-2024 01:00</t>
  </si>
  <si>
    <t>08-02-2024 01:15</t>
  </si>
  <si>
    <t>08-02-2024 01:30</t>
  </si>
  <si>
    <t>08-02-2024 01:45</t>
  </si>
  <si>
    <t>08-02-2024 02:00</t>
  </si>
  <si>
    <t>08-02-2024 02:15</t>
  </si>
  <si>
    <t>08-02-2024 02:30</t>
  </si>
  <si>
    <t>08-02-2024 02:45</t>
  </si>
  <si>
    <t>08-02-2024 03:00</t>
  </si>
  <si>
    <t>08-02-2024 03:15</t>
  </si>
  <si>
    <t>08-02-2024 03:30</t>
  </si>
  <si>
    <t>08-02-2024 03:45</t>
  </si>
  <si>
    <t>08-02-2024 04:00</t>
  </si>
  <si>
    <t>08-02-2024 04:15</t>
  </si>
  <si>
    <t>08-02-2024 04:30</t>
  </si>
  <si>
    <t>08-02-2024 04:45</t>
  </si>
  <si>
    <t>08-02-2024 05:00</t>
  </si>
  <si>
    <t>08-02-2024 05:15</t>
  </si>
  <si>
    <t>08-02-2024 05:30</t>
  </si>
  <si>
    <t>08-02-2024 05:45</t>
  </si>
  <si>
    <t>08-02-2024 06:00</t>
  </si>
  <si>
    <t>08-02-2024 06:15</t>
  </si>
  <si>
    <t>08-02-2024 06:30</t>
  </si>
  <si>
    <t>08-02-2024 06:45</t>
  </si>
  <si>
    <t>08-02-2024 07:00</t>
  </si>
  <si>
    <t>08-02-2024 07:15</t>
  </si>
  <si>
    <t>08-02-2024 07:30</t>
  </si>
  <si>
    <t>08-02-2024 07:45</t>
  </si>
  <si>
    <t>08-02-2024 08:00</t>
  </si>
  <si>
    <t>08-02-2024 08:15</t>
  </si>
  <si>
    <t>08-02-2024 08:30</t>
  </si>
  <si>
    <t>08-02-2024 08:45</t>
  </si>
  <si>
    <t>08-02-2024 09:00</t>
  </si>
  <si>
    <t>08-02-2024 09:15</t>
  </si>
  <si>
    <t>08-02-2024 09:30</t>
  </si>
  <si>
    <t>08-02-2024 09:45</t>
  </si>
  <si>
    <t>08-02-2024 10:00</t>
  </si>
  <si>
    <t>08-02-2024 10:15</t>
  </si>
  <si>
    <t>08-02-2024 10:30</t>
  </si>
  <si>
    <t>08-02-2024 10:45</t>
  </si>
  <si>
    <t>08-02-2024 11:00</t>
  </si>
  <si>
    <t>08-02-2024 11:15</t>
  </si>
  <si>
    <t>08-02-2024 11:30</t>
  </si>
  <si>
    <t>08-02-2024 11:45</t>
  </si>
  <si>
    <t>08-02-2024 12:00</t>
  </si>
  <si>
    <t>08-02-2024 12:15</t>
  </si>
  <si>
    <t>08-02-2024 12:30</t>
  </si>
  <si>
    <t>08-02-2024 12:45</t>
  </si>
  <si>
    <t>08-02-2024 13:00</t>
  </si>
  <si>
    <t>08-02-2024 13:15</t>
  </si>
  <si>
    <t>08-02-2024 13:30</t>
  </si>
  <si>
    <t>08-02-2024 13:45</t>
  </si>
  <si>
    <t>08-02-2024 14:00</t>
  </si>
  <si>
    <t>08-02-2024 14:15</t>
  </si>
  <si>
    <t>08-02-2024 14:30</t>
  </si>
  <si>
    <t>08-02-2024 14:45</t>
  </si>
  <si>
    <t>08-02-2024 15:00</t>
  </si>
  <si>
    <t>08-02-2024 15:15</t>
  </si>
  <si>
    <t>08-02-2024 15:30</t>
  </si>
  <si>
    <t>08-02-2024 15:45</t>
  </si>
  <si>
    <t>08-02-2024 16:00</t>
  </si>
  <si>
    <t>08-02-2024 16:15</t>
  </si>
  <si>
    <t>08-02-2024 16:30</t>
  </si>
  <si>
    <t>08-02-2024 16:45</t>
  </si>
  <si>
    <t>08-02-2024 17:00</t>
  </si>
  <si>
    <t>08-02-2024 17:15</t>
  </si>
  <si>
    <t>08-02-2024 17:30</t>
  </si>
  <si>
    <t>08-02-2024 17:45</t>
  </si>
  <si>
    <t>08-02-2024 18:00</t>
  </si>
  <si>
    <t>08-02-2024 18:15</t>
  </si>
  <si>
    <t>08-02-2024 18:30</t>
  </si>
  <si>
    <t>08-02-2024 18:45</t>
  </si>
  <si>
    <t>08-02-2024 19:00</t>
  </si>
  <si>
    <t>08-02-2024 19:15</t>
  </si>
  <si>
    <t>08-02-2024 19:30</t>
  </si>
  <si>
    <t>08-02-2024 19:45</t>
  </si>
  <si>
    <t>08-02-2024 20:00</t>
  </si>
  <si>
    <t>08-02-2024 20:15</t>
  </si>
  <si>
    <t>08-02-2024 20:30</t>
  </si>
  <si>
    <t>08-02-2024 20:45</t>
  </si>
  <si>
    <t>08-02-2024 21:00</t>
  </si>
  <si>
    <t>08-02-2024 21:15</t>
  </si>
  <si>
    <t>08-02-2024 21:30</t>
  </si>
  <si>
    <t>08-02-2024 21:45</t>
  </si>
  <si>
    <t>08-02-2024 22:00</t>
  </si>
  <si>
    <t>08-02-2024 22:15</t>
  </si>
  <si>
    <t>08-02-2024 22:30</t>
  </si>
  <si>
    <t>08-02-2024 22:45</t>
  </si>
  <si>
    <t>08-02-2024 23:00</t>
  </si>
  <si>
    <t>08-02-2024 23:15</t>
  </si>
  <si>
    <t>08-02-2024 23:30</t>
  </si>
  <si>
    <t>08-02-2024 23:45</t>
  </si>
  <si>
    <t>08-02-2024 24:00</t>
  </si>
  <si>
    <t>09-02-2024 00:15</t>
  </si>
  <si>
    <t>09-02-2024 00:30</t>
  </si>
  <si>
    <t>09-02-2024 00:45</t>
  </si>
  <si>
    <t>09-02-2024 01:00</t>
  </si>
  <si>
    <t>09-02-2024 01:15</t>
  </si>
  <si>
    <t>09-02-2024 01:30</t>
  </si>
  <si>
    <t>09-02-2024 01:45</t>
  </si>
  <si>
    <t>09-02-2024 02:00</t>
  </si>
  <si>
    <t>09-02-2024 02:15</t>
  </si>
  <si>
    <t>09-02-2024 02:30</t>
  </si>
  <si>
    <t>09-02-2024 02:45</t>
  </si>
  <si>
    <t>09-02-2024 03:00</t>
  </si>
  <si>
    <t>09-02-2024 03:15</t>
  </si>
  <si>
    <t>09-02-2024 03:30</t>
  </si>
  <si>
    <t>09-02-2024 03:45</t>
  </si>
  <si>
    <t>09-02-2024 04:00</t>
  </si>
  <si>
    <t>09-02-2024 04:15</t>
  </si>
  <si>
    <t>09-02-2024 04:30</t>
  </si>
  <si>
    <t>09-02-2024 04:45</t>
  </si>
  <si>
    <t>09-02-2024 05:00</t>
  </si>
  <si>
    <t>09-02-2024 05:15</t>
  </si>
  <si>
    <t>09-02-2024 05:30</t>
  </si>
  <si>
    <t>09-02-2024 05:45</t>
  </si>
  <si>
    <t>09-02-2024 06:00</t>
  </si>
  <si>
    <t>09-02-2024 06:15</t>
  </si>
  <si>
    <t>09-02-2024 06:30</t>
  </si>
  <si>
    <t>09-02-2024 06:45</t>
  </si>
  <si>
    <t>09-02-2024 07:00</t>
  </si>
  <si>
    <t>09-02-2024 07:15</t>
  </si>
  <si>
    <t>09-02-2024 07:30</t>
  </si>
  <si>
    <t>09-02-2024 07:45</t>
  </si>
  <si>
    <t>09-02-2024 08:00</t>
  </si>
  <si>
    <t>09-02-2024 08:15</t>
  </si>
  <si>
    <t>09-02-2024 08:30</t>
  </si>
  <si>
    <t>09-02-2024 08:45</t>
  </si>
  <si>
    <t>09-02-2024 09:00</t>
  </si>
  <si>
    <t>09-02-2024 09:15</t>
  </si>
  <si>
    <t>09-02-2024 09:30</t>
  </si>
  <si>
    <t>09-02-2024 09:45</t>
  </si>
  <si>
    <t>09-02-2024 10:00</t>
  </si>
  <si>
    <t>09-02-2024 10:15</t>
  </si>
  <si>
    <t>09-02-2024 10:30</t>
  </si>
  <si>
    <t>09-02-2024 10:45</t>
  </si>
  <si>
    <t>09-02-2024 11:00</t>
  </si>
  <si>
    <t>09-02-2024 11:15</t>
  </si>
  <si>
    <t>09-02-2024 11:30</t>
  </si>
  <si>
    <t>09-02-2024 11:45</t>
  </si>
  <si>
    <t>09-02-2024 12:00</t>
  </si>
  <si>
    <t>09-02-2024 12:15</t>
  </si>
  <si>
    <t>09-02-2024 12:30</t>
  </si>
  <si>
    <t>09-02-2024 12:45</t>
  </si>
  <si>
    <t>09-02-2024 13:00</t>
  </si>
  <si>
    <t>09-02-2024 13:15</t>
  </si>
  <si>
    <t>09-02-2024 13:30</t>
  </si>
  <si>
    <t>09-02-2024 13:45</t>
  </si>
  <si>
    <t>09-02-2024 14:00</t>
  </si>
  <si>
    <t>09-02-2024 14:15</t>
  </si>
  <si>
    <t>09-02-2024 14:30</t>
  </si>
  <si>
    <t>09-02-2024 14:45</t>
  </si>
  <si>
    <t>09-02-2024 15:00</t>
  </si>
  <si>
    <t>09-02-2024 15:15</t>
  </si>
  <si>
    <t>09-02-2024 15:30</t>
  </si>
  <si>
    <t>09-02-2024 15:45</t>
  </si>
  <si>
    <t>09-02-2024 16:00</t>
  </si>
  <si>
    <t>09-02-2024 16:15</t>
  </si>
  <si>
    <t>09-02-2024 16:30</t>
  </si>
  <si>
    <t>09-02-2024 16:45</t>
  </si>
  <si>
    <t>09-02-2024 17:00</t>
  </si>
  <si>
    <t>09-02-2024 17:15</t>
  </si>
  <si>
    <t>09-02-2024 17:30</t>
  </si>
  <si>
    <t>09-02-2024 17:45</t>
  </si>
  <si>
    <t>09-02-2024 18:00</t>
  </si>
  <si>
    <t>09-02-2024 18:15</t>
  </si>
  <si>
    <t>09-02-2024 18:30</t>
  </si>
  <si>
    <t>09-02-2024 18:45</t>
  </si>
  <si>
    <t>09-02-2024 19:00</t>
  </si>
  <si>
    <t>09-02-2024 19:15</t>
  </si>
  <si>
    <t>09-02-2024 19:30</t>
  </si>
  <si>
    <t>09-02-2024 19:45</t>
  </si>
  <si>
    <t>09-02-2024 20:00</t>
  </si>
  <si>
    <t>09-02-2024 20:15</t>
  </si>
  <si>
    <t>09-02-2024 20:30</t>
  </si>
  <si>
    <t>09-02-2024 20:45</t>
  </si>
  <si>
    <t>09-02-2024 21:00</t>
  </si>
  <si>
    <t>09-02-2024 21:15</t>
  </si>
  <si>
    <t>09-02-2024 21:30</t>
  </si>
  <si>
    <t>09-02-2024 21:45</t>
  </si>
  <si>
    <t>09-02-2024 22:00</t>
  </si>
  <si>
    <t>09-02-2024 22:15</t>
  </si>
  <si>
    <t>09-02-2024 22:30</t>
  </si>
  <si>
    <t>09-02-2024 22:45</t>
  </si>
  <si>
    <t>09-02-2024 23:00</t>
  </si>
  <si>
    <t>09-02-2024 23:15</t>
  </si>
  <si>
    <t>09-02-2024 23:30</t>
  </si>
  <si>
    <t>09-02-2024 23:45</t>
  </si>
  <si>
    <t>09-02-2024 24:00</t>
  </si>
  <si>
    <t>10-02-2024 00:15</t>
  </si>
  <si>
    <t>10-02-2024 00:30</t>
  </si>
  <si>
    <t>10-02-2024 00:45</t>
  </si>
  <si>
    <t>10-02-2024 01:00</t>
  </si>
  <si>
    <t>10-02-2024 01:15</t>
  </si>
  <si>
    <t>10-02-2024 01:30</t>
  </si>
  <si>
    <t>10-02-2024 01:45</t>
  </si>
  <si>
    <t>10-02-2024 02:00</t>
  </si>
  <si>
    <t>10-02-2024 02:15</t>
  </si>
  <si>
    <t>10-02-2024 02:30</t>
  </si>
  <si>
    <t>10-02-2024 02:45</t>
  </si>
  <si>
    <t>10-02-2024 03:00</t>
  </si>
  <si>
    <t>10-02-2024 03:15</t>
  </si>
  <si>
    <t>10-02-2024 03:30</t>
  </si>
  <si>
    <t>10-02-2024 03:45</t>
  </si>
  <si>
    <t>10-02-2024 04:00</t>
  </si>
  <si>
    <t>10-02-2024 04:15</t>
  </si>
  <si>
    <t>10-02-2024 04:30</t>
  </si>
  <si>
    <t>10-02-2024 04:45</t>
  </si>
  <si>
    <t>10-02-2024 05:00</t>
  </si>
  <si>
    <t>10-02-2024 05:15</t>
  </si>
  <si>
    <t>10-02-2024 05:30</t>
  </si>
  <si>
    <t>10-02-2024 05:45</t>
  </si>
  <si>
    <t>10-02-2024 06:00</t>
  </si>
  <si>
    <t>10-02-2024 06:15</t>
  </si>
  <si>
    <t>10-02-2024 06:30</t>
  </si>
  <si>
    <t>10-02-2024 06:45</t>
  </si>
  <si>
    <t>10-02-2024 07:00</t>
  </si>
  <si>
    <t>10-02-2024 07:15</t>
  </si>
  <si>
    <t>10-02-2024 07:30</t>
  </si>
  <si>
    <t>10-02-2024 07:45</t>
  </si>
  <si>
    <t>10-02-2024 08:00</t>
  </si>
  <si>
    <t>10-02-2024 08:15</t>
  </si>
  <si>
    <t>10-02-2024 08:30</t>
  </si>
  <si>
    <t>10-02-2024 08:45</t>
  </si>
  <si>
    <t>10-02-2024 09:00</t>
  </si>
  <si>
    <t>10-02-2024 09:15</t>
  </si>
  <si>
    <t>10-02-2024 09:30</t>
  </si>
  <si>
    <t>10-02-2024 09:45</t>
  </si>
  <si>
    <t>10-02-2024 10:00</t>
  </si>
  <si>
    <t>10-02-2024 10:15</t>
  </si>
  <si>
    <t>10-02-2024 10:30</t>
  </si>
  <si>
    <t>10-02-2024 10:45</t>
  </si>
  <si>
    <t>10-02-2024 11:00</t>
  </si>
  <si>
    <t>10-02-2024 11:15</t>
  </si>
  <si>
    <t>10-02-2024 11:30</t>
  </si>
  <si>
    <t>10-02-2024 11:45</t>
  </si>
  <si>
    <t>10-02-2024 12:00</t>
  </si>
  <si>
    <t>10-02-2024 12:15</t>
  </si>
  <si>
    <t>10-02-2024 12:30</t>
  </si>
  <si>
    <t>10-02-2024 12:45</t>
  </si>
  <si>
    <t>10-02-2024 13:00</t>
  </si>
  <si>
    <t>10-02-2024 13:15</t>
  </si>
  <si>
    <t>10-02-2024 13:30</t>
  </si>
  <si>
    <t>10-02-2024 13:45</t>
  </si>
  <si>
    <t>10-02-2024 14:00</t>
  </si>
  <si>
    <t>10-02-2024 14:15</t>
  </si>
  <si>
    <t>10-02-2024 14:30</t>
  </si>
  <si>
    <t>10-02-2024 14:45</t>
  </si>
  <si>
    <t>10-02-2024 15:00</t>
  </si>
  <si>
    <t>10-02-2024 15:15</t>
  </si>
  <si>
    <t>10-02-2024 15:30</t>
  </si>
  <si>
    <t>10-02-2024 15:45</t>
  </si>
  <si>
    <t>10-02-2024 16:00</t>
  </si>
  <si>
    <t>10-02-2024 16:15</t>
  </si>
  <si>
    <t>10-02-2024 16:30</t>
  </si>
  <si>
    <t>10-02-2024 16:45</t>
  </si>
  <si>
    <t>10-02-2024 17:00</t>
  </si>
  <si>
    <t>10-02-2024 17:15</t>
  </si>
  <si>
    <t>10-02-2024 17:30</t>
  </si>
  <si>
    <t>10-02-2024 17:45</t>
  </si>
  <si>
    <t>10-02-2024 18:00</t>
  </si>
  <si>
    <t>10-02-2024 18:15</t>
  </si>
  <si>
    <t>10-02-2024 18:30</t>
  </si>
  <si>
    <t>10-02-2024 18:45</t>
  </si>
  <si>
    <t>10-02-2024 19:00</t>
  </si>
  <si>
    <t>10-02-2024 19:15</t>
  </si>
  <si>
    <t>10-02-2024 19:30</t>
  </si>
  <si>
    <t>10-02-2024 19:45</t>
  </si>
  <si>
    <t>10-02-2024 20:00</t>
  </si>
  <si>
    <t>10-02-2024 20:15</t>
  </si>
  <si>
    <t>10-02-2024 20:30</t>
  </si>
  <si>
    <t>10-02-2024 20:45</t>
  </si>
  <si>
    <t>10-02-2024 21:00</t>
  </si>
  <si>
    <t>10-02-2024 21:15</t>
  </si>
  <si>
    <t>10-02-2024 21:30</t>
  </si>
  <si>
    <t>10-02-2024 21:45</t>
  </si>
  <si>
    <t>10-02-2024 22:00</t>
  </si>
  <si>
    <t>10-02-2024 22:15</t>
  </si>
  <si>
    <t>10-02-2024 22:30</t>
  </si>
  <si>
    <t>10-02-2024 22:45</t>
  </si>
  <si>
    <t>10-02-2024 23:00</t>
  </si>
  <si>
    <t>10-02-2024 23:15</t>
  </si>
  <si>
    <t>10-02-2024 23:30</t>
  </si>
  <si>
    <t>10-02-2024 23:45</t>
  </si>
  <si>
    <t>10-02-2024 24:00</t>
  </si>
  <si>
    <t>11-02-2024 00:15</t>
  </si>
  <si>
    <t>11-02-2024 00:30</t>
  </si>
  <si>
    <t>11-02-2024 00:45</t>
  </si>
  <si>
    <t>11-02-2024 01:00</t>
  </si>
  <si>
    <t>11-02-2024 01:15</t>
  </si>
  <si>
    <t>11-02-2024 01:30</t>
  </si>
  <si>
    <t>11-02-2024 01:45</t>
  </si>
  <si>
    <t>11-02-2024 02:00</t>
  </si>
  <si>
    <t>11-02-2024 02:15</t>
  </si>
  <si>
    <t>11-02-2024 02:30</t>
  </si>
  <si>
    <t>11-02-2024 02:45</t>
  </si>
  <si>
    <t>11-02-2024 03:00</t>
  </si>
  <si>
    <t>11-02-2024 03:15</t>
  </si>
  <si>
    <t>11-02-2024 03:30</t>
  </si>
  <si>
    <t>11-02-2024 03:45</t>
  </si>
  <si>
    <t>11-02-2024 04:00</t>
  </si>
  <si>
    <t>11-02-2024 04:15</t>
  </si>
  <si>
    <t>11-02-2024 04:30</t>
  </si>
  <si>
    <t>11-02-2024 04:45</t>
  </si>
  <si>
    <t>11-02-2024 05:00</t>
  </si>
  <si>
    <t>11-02-2024 05:15</t>
  </si>
  <si>
    <t>11-02-2024 05:30</t>
  </si>
  <si>
    <t>11-02-2024 05:45</t>
  </si>
  <si>
    <t>11-02-2024 06:00</t>
  </si>
  <si>
    <t>11-02-2024 06:15</t>
  </si>
  <si>
    <t>11-02-2024 06:30</t>
  </si>
  <si>
    <t>11-02-2024 06:45</t>
  </si>
  <si>
    <t>11-02-2024 07:00</t>
  </si>
  <si>
    <t>11-02-2024 07:15</t>
  </si>
  <si>
    <t>11-02-2024 07:30</t>
  </si>
  <si>
    <t>11-02-2024 07:45</t>
  </si>
  <si>
    <t>11-02-2024 08:00</t>
  </si>
  <si>
    <t>11-02-2024 08:15</t>
  </si>
  <si>
    <t>11-02-2024 08:30</t>
  </si>
  <si>
    <t>11-02-2024 08:45</t>
  </si>
  <si>
    <t>11-02-2024 09:00</t>
  </si>
  <si>
    <t>11-02-2024 09:15</t>
  </si>
  <si>
    <t>11-02-2024 09:30</t>
  </si>
  <si>
    <t>11-02-2024 09:45</t>
  </si>
  <si>
    <t>11-02-2024 10:00</t>
  </si>
  <si>
    <t>11-02-2024 10:15</t>
  </si>
  <si>
    <t>11-02-2024 10:30</t>
  </si>
  <si>
    <t>11-02-2024 10:45</t>
  </si>
  <si>
    <t>11-02-2024 11:00</t>
  </si>
  <si>
    <t>11-02-2024 11:15</t>
  </si>
  <si>
    <t>11-02-2024 11:30</t>
  </si>
  <si>
    <t>11-02-2024 11:45</t>
  </si>
  <si>
    <t>11-02-2024 12:00</t>
  </si>
  <si>
    <t>11-02-2024 12:15</t>
  </si>
  <si>
    <t>11-02-2024 12:30</t>
  </si>
  <si>
    <t>11-02-2024 12:45</t>
  </si>
  <si>
    <t>11-02-2024 13:00</t>
  </si>
  <si>
    <t>11-02-2024 13:15</t>
  </si>
  <si>
    <t>11-02-2024 13:30</t>
  </si>
  <si>
    <t>11-02-2024 13:45</t>
  </si>
  <si>
    <t>11-02-2024 14:00</t>
  </si>
  <si>
    <t>11-02-2024 14:15</t>
  </si>
  <si>
    <t>11-02-2024 14:30</t>
  </si>
  <si>
    <t>11-02-2024 14:45</t>
  </si>
  <si>
    <t>11-02-2024 15:00</t>
  </si>
  <si>
    <t>11-02-2024 15:15</t>
  </si>
  <si>
    <t>11-02-2024 15:30</t>
  </si>
  <si>
    <t>11-02-2024 15:45</t>
  </si>
  <si>
    <t>11-02-2024 16:00</t>
  </si>
  <si>
    <t>11-02-2024 16:15</t>
  </si>
  <si>
    <t>11-02-2024 16:30</t>
  </si>
  <si>
    <t>11-02-2024 16:45</t>
  </si>
  <si>
    <t>11-02-2024 17:00</t>
  </si>
  <si>
    <t>11-02-2024 17:15</t>
  </si>
  <si>
    <t>11-02-2024 17:30</t>
  </si>
  <si>
    <t>11-02-2024 17:45</t>
  </si>
  <si>
    <t>11-02-2024 18:00</t>
  </si>
  <si>
    <t>11-02-2024 18:15</t>
  </si>
  <si>
    <t>11-02-2024 18:30</t>
  </si>
  <si>
    <t>11-02-2024 18:45</t>
  </si>
  <si>
    <t>11-02-2024 19:00</t>
  </si>
  <si>
    <t>11-02-2024 19:15</t>
  </si>
  <si>
    <t>11-02-2024 19:30</t>
  </si>
  <si>
    <t>11-02-2024 19:45</t>
  </si>
  <si>
    <t>11-02-2024 20:00</t>
  </si>
  <si>
    <t>11-02-2024 20:15</t>
  </si>
  <si>
    <t>11-02-2024 20:30</t>
  </si>
  <si>
    <t>11-02-2024 20:45</t>
  </si>
  <si>
    <t>11-02-2024 21:00</t>
  </si>
  <si>
    <t>11-02-2024 21:15</t>
  </si>
  <si>
    <t>11-02-2024 21:30</t>
  </si>
  <si>
    <t>11-02-2024 21:45</t>
  </si>
  <si>
    <t>11-02-2024 22:00</t>
  </si>
  <si>
    <t>11-02-2024 22:15</t>
  </si>
  <si>
    <t>11-02-2024 22:30</t>
  </si>
  <si>
    <t>11-02-2024 22:45</t>
  </si>
  <si>
    <t>11-02-2024 23:00</t>
  </si>
  <si>
    <t>11-02-2024 23:15</t>
  </si>
  <si>
    <t>11-02-2024 23:30</t>
  </si>
  <si>
    <t>11-02-2024 23:45</t>
  </si>
  <si>
    <t>11-02-2024 24:00</t>
  </si>
  <si>
    <t>12-02-2024 00:15</t>
  </si>
  <si>
    <t>12-02-2024 00:30</t>
  </si>
  <si>
    <t>12-02-2024 00:45</t>
  </si>
  <si>
    <t>12-02-2024 01:00</t>
  </si>
  <si>
    <t>12-02-2024 01:15</t>
  </si>
  <si>
    <t>12-02-2024 01:30</t>
  </si>
  <si>
    <t>12-02-2024 01:45</t>
  </si>
  <si>
    <t>12-02-2024 02:00</t>
  </si>
  <si>
    <t>12-02-2024 02:15</t>
  </si>
  <si>
    <t>12-02-2024 02:30</t>
  </si>
  <si>
    <t>12-02-2024 02:45</t>
  </si>
  <si>
    <t>12-02-2024 03:00</t>
  </si>
  <si>
    <t>12-02-2024 03:15</t>
  </si>
  <si>
    <t>12-02-2024 03:30</t>
  </si>
  <si>
    <t>12-02-2024 03:45</t>
  </si>
  <si>
    <t>12-02-2024 04:00</t>
  </si>
  <si>
    <t>12-02-2024 04:15</t>
  </si>
  <si>
    <t>12-02-2024 04:30</t>
  </si>
  <si>
    <t>12-02-2024 04:45</t>
  </si>
  <si>
    <t>12-02-2024 05:00</t>
  </si>
  <si>
    <t>12-02-2024 05:15</t>
  </si>
  <si>
    <t>12-02-2024 05:30</t>
  </si>
  <si>
    <t>12-02-2024 05:45</t>
  </si>
  <si>
    <t>12-02-2024 06:00</t>
  </si>
  <si>
    <t>12-02-2024 06:15</t>
  </si>
  <si>
    <t>12-02-2024 06:30</t>
  </si>
  <si>
    <t>12-02-2024 06:45</t>
  </si>
  <si>
    <t>12-02-2024 07:00</t>
  </si>
  <si>
    <t>12-02-2024 07:15</t>
  </si>
  <si>
    <t>12-02-2024 07:30</t>
  </si>
  <si>
    <t>12-02-2024 07:45</t>
  </si>
  <si>
    <t>12-02-2024 08:00</t>
  </si>
  <si>
    <t>12-02-2024 08:15</t>
  </si>
  <si>
    <t>12-02-2024 08:30</t>
  </si>
  <si>
    <t>12-02-2024 08:45</t>
  </si>
  <si>
    <t>12-02-2024 09:00</t>
  </si>
  <si>
    <t>12-02-2024 09:15</t>
  </si>
  <si>
    <t>12-02-2024 09:30</t>
  </si>
  <si>
    <t>12-02-2024 09:45</t>
  </si>
  <si>
    <t>12-02-2024 10:00</t>
  </si>
  <si>
    <t>12-02-2024 10:15</t>
  </si>
  <si>
    <t>12-02-2024 10:30</t>
  </si>
  <si>
    <t>12-02-2024 10:45</t>
  </si>
  <si>
    <t>12-02-2024 11:00</t>
  </si>
  <si>
    <t>12-02-2024 11:15</t>
  </si>
  <si>
    <t>12-02-2024 11:30</t>
  </si>
  <si>
    <t>12-02-2024 11:45</t>
  </si>
  <si>
    <t>12-02-2024 12:00</t>
  </si>
  <si>
    <t>12-02-2024 12:15</t>
  </si>
  <si>
    <t>12-02-2024 12:30</t>
  </si>
  <si>
    <t>12-02-2024 12:45</t>
  </si>
  <si>
    <t>12-02-2024 13:00</t>
  </si>
  <si>
    <t>12-02-2024 13:15</t>
  </si>
  <si>
    <t>12-02-2024 13:30</t>
  </si>
  <si>
    <t>12-02-2024 13:45</t>
  </si>
  <si>
    <t>12-02-2024 14:00</t>
  </si>
  <si>
    <t>12-02-2024 14:15</t>
  </si>
  <si>
    <t>12-02-2024 14:30</t>
  </si>
  <si>
    <t>12-02-2024 14:45</t>
  </si>
  <si>
    <t>12-02-2024 15:00</t>
  </si>
  <si>
    <t>12-02-2024 15:15</t>
  </si>
  <si>
    <t>12-02-2024 15:30</t>
  </si>
  <si>
    <t>12-02-2024 15:45</t>
  </si>
  <si>
    <t>12-02-2024 16:00</t>
  </si>
  <si>
    <t>12-02-2024 16:15</t>
  </si>
  <si>
    <t>12-02-2024 16:30</t>
  </si>
  <si>
    <t>12-02-2024 16:45</t>
  </si>
  <si>
    <t>12-02-2024 17:00</t>
  </si>
  <si>
    <t>12-02-2024 17:15</t>
  </si>
  <si>
    <t>12-02-2024 17:30</t>
  </si>
  <si>
    <t>12-02-2024 17:45</t>
  </si>
  <si>
    <t>12-02-2024 18:00</t>
  </si>
  <si>
    <t>12-02-2024 18:15</t>
  </si>
  <si>
    <t>12-02-2024 18:30</t>
  </si>
  <si>
    <t>12-02-2024 18:45</t>
  </si>
  <si>
    <t>12-02-2024 19:00</t>
  </si>
  <si>
    <t>12-02-2024 19:15</t>
  </si>
  <si>
    <t>12-02-2024 19:30</t>
  </si>
  <si>
    <t>12-02-2024 19:45</t>
  </si>
  <si>
    <t>12-02-2024 20:00</t>
  </si>
  <si>
    <t>12-02-2024 20:15</t>
  </si>
  <si>
    <t>12-02-2024 20:30</t>
  </si>
  <si>
    <t>12-02-2024 20:45</t>
  </si>
  <si>
    <t>12-02-2024 21:00</t>
  </si>
  <si>
    <t>12-02-2024 21:15</t>
  </si>
  <si>
    <t>12-02-2024 21:30</t>
  </si>
  <si>
    <t>12-02-2024 21:45</t>
  </si>
  <si>
    <t>12-02-2024 22:00</t>
  </si>
  <si>
    <t>12-02-2024 22:15</t>
  </si>
  <si>
    <t>12-02-2024 22:30</t>
  </si>
  <si>
    <t>12-02-2024 22:45</t>
  </si>
  <si>
    <t>12-02-2024 23:00</t>
  </si>
  <si>
    <t>12-02-2024 23:15</t>
  </si>
  <si>
    <t>12-02-2024 23:30</t>
  </si>
  <si>
    <t>12-02-2024 23:45</t>
  </si>
  <si>
    <t>12-02-2024 24:00</t>
  </si>
  <si>
    <t>13-02-2024 00:15</t>
  </si>
  <si>
    <t>13-02-2024 00:30</t>
  </si>
  <si>
    <t>13-02-2024 00:45</t>
  </si>
  <si>
    <t>13-02-2024 01:00</t>
  </si>
  <si>
    <t>13-02-2024 01:15</t>
  </si>
  <si>
    <t>13-02-2024 01:30</t>
  </si>
  <si>
    <t>13-02-2024 01:45</t>
  </si>
  <si>
    <t>13-02-2024 02:00</t>
  </si>
  <si>
    <t>13-02-2024 02:15</t>
  </si>
  <si>
    <t>13-02-2024 02:30</t>
  </si>
  <si>
    <t>13-02-2024 02:45</t>
  </si>
  <si>
    <t>13-02-2024 03:00</t>
  </si>
  <si>
    <t>13-02-2024 03:15</t>
  </si>
  <si>
    <t>13-02-2024 03:30</t>
  </si>
  <si>
    <t>13-02-2024 03:45</t>
  </si>
  <si>
    <t>13-02-2024 04:00</t>
  </si>
  <si>
    <t>13-02-2024 04:15</t>
  </si>
  <si>
    <t>13-02-2024 04:30</t>
  </si>
  <si>
    <t>13-02-2024 04:45</t>
  </si>
  <si>
    <t>13-02-2024 05:00</t>
  </si>
  <si>
    <t>13-02-2024 05:15</t>
  </si>
  <si>
    <t>13-02-2024 05:30</t>
  </si>
  <si>
    <t>13-02-2024 05:45</t>
  </si>
  <si>
    <t>13-02-2024 06:00</t>
  </si>
  <si>
    <t>13-02-2024 06:15</t>
  </si>
  <si>
    <t>13-02-2024 06:30</t>
  </si>
  <si>
    <t>13-02-2024 06:45</t>
  </si>
  <si>
    <t>13-02-2024 07:00</t>
  </si>
  <si>
    <t>13-02-2024 07:15</t>
  </si>
  <si>
    <t>13-02-2024 07:30</t>
  </si>
  <si>
    <t>13-02-2024 07:45</t>
  </si>
  <si>
    <t>13-02-2024 08:00</t>
  </si>
  <si>
    <t>13-02-2024 08:15</t>
  </si>
  <si>
    <t>13-02-2024 08:30</t>
  </si>
  <si>
    <t>13-02-2024 08:45</t>
  </si>
  <si>
    <t>13-02-2024 09:00</t>
  </si>
  <si>
    <t>13-02-2024 09:15</t>
  </si>
  <si>
    <t>13-02-2024 09:30</t>
  </si>
  <si>
    <t>13-02-2024 09:45</t>
  </si>
  <si>
    <t>13-02-2024 10:00</t>
  </si>
  <si>
    <t>13-02-2024 10:15</t>
  </si>
  <si>
    <t>13-02-2024 10:30</t>
  </si>
  <si>
    <t>13-02-2024 10:45</t>
  </si>
  <si>
    <t>13-02-2024 11:00</t>
  </si>
  <si>
    <t>13-02-2024 11:15</t>
  </si>
  <si>
    <t>13-02-2024 11:30</t>
  </si>
  <si>
    <t>13-02-2024 11:45</t>
  </si>
  <si>
    <t>13-02-2024 12:00</t>
  </si>
  <si>
    <t>13-02-2024 12:15</t>
  </si>
  <si>
    <t>13-02-2024 12:30</t>
  </si>
  <si>
    <t>13-02-2024 12:45</t>
  </si>
  <si>
    <t>13-02-2024 13:00</t>
  </si>
  <si>
    <t>13-02-2024 13:15</t>
  </si>
  <si>
    <t>13-02-2024 13:30</t>
  </si>
  <si>
    <t>13-02-2024 13:45</t>
  </si>
  <si>
    <t>13-02-2024 14:00</t>
  </si>
  <si>
    <t>13-02-2024 14:15</t>
  </si>
  <si>
    <t>13-02-2024 14:30</t>
  </si>
  <si>
    <t>13-02-2024 14:45</t>
  </si>
  <si>
    <t>13-02-2024 15:00</t>
  </si>
  <si>
    <t>13-02-2024 15:15</t>
  </si>
  <si>
    <t>13-02-2024 15:30</t>
  </si>
  <si>
    <t>13-02-2024 15:45</t>
  </si>
  <si>
    <t>13-02-2024 16:00</t>
  </si>
  <si>
    <t>13-02-2024 16:15</t>
  </si>
  <si>
    <t>13-02-2024 16:30</t>
  </si>
  <si>
    <t>13-02-2024 16:45</t>
  </si>
  <si>
    <t>13-02-2024 17:00</t>
  </si>
  <si>
    <t>13-02-2024 17:15</t>
  </si>
  <si>
    <t>13-02-2024 17:30</t>
  </si>
  <si>
    <t>13-02-2024 17:45</t>
  </si>
  <si>
    <t>13-02-2024 18:00</t>
  </si>
  <si>
    <t>13-02-2024 18:15</t>
  </si>
  <si>
    <t>13-02-2024 18:30</t>
  </si>
  <si>
    <t>13-02-2024 18:45</t>
  </si>
  <si>
    <t>13-02-2024 19:00</t>
  </si>
  <si>
    <t>13-02-2024 19:15</t>
  </si>
  <si>
    <t>13-02-2024 19:30</t>
  </si>
  <si>
    <t>13-02-2024 19:45</t>
  </si>
  <si>
    <t>13-02-2024 20:00</t>
  </si>
  <si>
    <t>13-02-2024 20:15</t>
  </si>
  <si>
    <t>13-02-2024 20:30</t>
  </si>
  <si>
    <t>13-02-2024 20:45</t>
  </si>
  <si>
    <t>13-02-2024 21:00</t>
  </si>
  <si>
    <t>13-02-2024 21:15</t>
  </si>
  <si>
    <t>13-02-2024 21:30</t>
  </si>
  <si>
    <t>13-02-2024 21:45</t>
  </si>
  <si>
    <t>13-02-2024 22:00</t>
  </si>
  <si>
    <t>13-02-2024 22:15</t>
  </si>
  <si>
    <t>13-02-2024 22:30</t>
  </si>
  <si>
    <t>13-02-2024 22:45</t>
  </si>
  <si>
    <t>13-02-2024 23:00</t>
  </si>
  <si>
    <t>13-02-2024 23:15</t>
  </si>
  <si>
    <t>13-02-2024 23:30</t>
  </si>
  <si>
    <t>13-02-2024 23:45</t>
  </si>
  <si>
    <t>13-02-2024 24:00</t>
  </si>
  <si>
    <t>14-02-2024 00:15</t>
  </si>
  <si>
    <t>14-02-2024 00:30</t>
  </si>
  <si>
    <t>14-02-2024 00:45</t>
  </si>
  <si>
    <t>14-02-2024 01:00</t>
  </si>
  <si>
    <t>14-02-2024 01:15</t>
  </si>
  <si>
    <t>14-02-2024 01:30</t>
  </si>
  <si>
    <t>14-02-2024 01:45</t>
  </si>
  <si>
    <t>14-02-2024 02:00</t>
  </si>
  <si>
    <t>14-02-2024 02:15</t>
  </si>
  <si>
    <t>14-02-2024 02:30</t>
  </si>
  <si>
    <t>14-02-2024 02:45</t>
  </si>
  <si>
    <t>14-02-2024 03:00</t>
  </si>
  <si>
    <t>14-02-2024 03:15</t>
  </si>
  <si>
    <t>14-02-2024 03:30</t>
  </si>
  <si>
    <t>14-02-2024 03:45</t>
  </si>
  <si>
    <t>14-02-2024 04:00</t>
  </si>
  <si>
    <t>14-02-2024 04:15</t>
  </si>
  <si>
    <t>14-02-2024 04:30</t>
  </si>
  <si>
    <t>14-02-2024 04:45</t>
  </si>
  <si>
    <t>14-02-2024 05:00</t>
  </si>
  <si>
    <t>14-02-2024 05:15</t>
  </si>
  <si>
    <t>14-02-2024 05:30</t>
  </si>
  <si>
    <t>14-02-2024 05:45</t>
  </si>
  <si>
    <t>14-02-2024 06:00</t>
  </si>
  <si>
    <t>14-02-2024 06:15</t>
  </si>
  <si>
    <t>14-02-2024 06:30</t>
  </si>
  <si>
    <t>14-02-2024 06:45</t>
  </si>
  <si>
    <t>14-02-2024 07:00</t>
  </si>
  <si>
    <t>14-02-2024 07:15</t>
  </si>
  <si>
    <t>14-02-2024 07:30</t>
  </si>
  <si>
    <t>14-02-2024 07:45</t>
  </si>
  <si>
    <t>14-02-2024 08:00</t>
  </si>
  <si>
    <t>14-02-2024 08:15</t>
  </si>
  <si>
    <t>14-02-2024 08:30</t>
  </si>
  <si>
    <t>14-02-2024 08:45</t>
  </si>
  <si>
    <t>14-02-2024 09:00</t>
  </si>
  <si>
    <t>14-02-2024 09:15</t>
  </si>
  <si>
    <t>14-02-2024 09:30</t>
  </si>
  <si>
    <t>14-02-2024 09:45</t>
  </si>
  <si>
    <t>14-02-2024 10:00</t>
  </si>
  <si>
    <t>14-02-2024 10:15</t>
  </si>
  <si>
    <t>14-02-2024 10:30</t>
  </si>
  <si>
    <t>14-02-2024 10:45</t>
  </si>
  <si>
    <t>14-02-2024 11:00</t>
  </si>
  <si>
    <t>14-02-2024 11:15</t>
  </si>
  <si>
    <t>14-02-2024 11:30</t>
  </si>
  <si>
    <t>14-02-2024 11:45</t>
  </si>
  <si>
    <t>14-02-2024 12:00</t>
  </si>
  <si>
    <t>14-02-2024 12:15</t>
  </si>
  <si>
    <t>14-02-2024 12:30</t>
  </si>
  <si>
    <t>14-02-2024 12:45</t>
  </si>
  <si>
    <t>14-02-2024 13:00</t>
  </si>
  <si>
    <t>14-02-2024 13:15</t>
  </si>
  <si>
    <t>14-02-2024 13:30</t>
  </si>
  <si>
    <t>14-02-2024 13:45</t>
  </si>
  <si>
    <t>14-02-2024 14:00</t>
  </si>
  <si>
    <t>14-02-2024 14:15</t>
  </si>
  <si>
    <t>14-02-2024 14:30</t>
  </si>
  <si>
    <t>14-02-2024 14:45</t>
  </si>
  <si>
    <t>14-02-2024 15:00</t>
  </si>
  <si>
    <t>14-02-2024 15:15</t>
  </si>
  <si>
    <t>14-02-2024 15:30</t>
  </si>
  <si>
    <t>14-02-2024 15:45</t>
  </si>
  <si>
    <t>14-02-2024 16:00</t>
  </si>
  <si>
    <t>14-02-2024 16:15</t>
  </si>
  <si>
    <t>14-02-2024 16:30</t>
  </si>
  <si>
    <t>14-02-2024 16:45</t>
  </si>
  <si>
    <t>14-02-2024 17:00</t>
  </si>
  <si>
    <t>14-02-2024 17:15</t>
  </si>
  <si>
    <t>14-02-2024 17:30</t>
  </si>
  <si>
    <t>14-02-2024 17:45</t>
  </si>
  <si>
    <t>14-02-2024 18:00</t>
  </si>
  <si>
    <t>14-02-2024 18:15</t>
  </si>
  <si>
    <t>14-02-2024 18:30</t>
  </si>
  <si>
    <t>14-02-2024 18:45</t>
  </si>
  <si>
    <t>14-02-2024 19:00</t>
  </si>
  <si>
    <t>14-02-2024 19:15</t>
  </si>
  <si>
    <t>14-02-2024 19:30</t>
  </si>
  <si>
    <t>14-02-2024 19:45</t>
  </si>
  <si>
    <t>14-02-2024 20:00</t>
  </si>
  <si>
    <t>14-02-2024 20:15</t>
  </si>
  <si>
    <t>14-02-2024 20:30</t>
  </si>
  <si>
    <t>14-02-2024 20:45</t>
  </si>
  <si>
    <t>14-02-2024 21:00</t>
  </si>
  <si>
    <t>14-02-2024 21:15</t>
  </si>
  <si>
    <t>14-02-2024 21:30</t>
  </si>
  <si>
    <t>14-02-2024 21:45</t>
  </si>
  <si>
    <t>14-02-2024 22:00</t>
  </si>
  <si>
    <t>14-02-2024 22:15</t>
  </si>
  <si>
    <t>14-02-2024 22:30</t>
  </si>
  <si>
    <t>14-02-2024 22:45</t>
  </si>
  <si>
    <t>14-02-2024 23:00</t>
  </si>
  <si>
    <t>14-02-2024 23:15</t>
  </si>
  <si>
    <t>14-02-2024 23:30</t>
  </si>
  <si>
    <t>14-02-2024 23:45</t>
  </si>
  <si>
    <t>14-02-2024 24:00</t>
  </si>
  <si>
    <t>15-02-2024 00:15</t>
  </si>
  <si>
    <t>15-02-2024 00:30</t>
  </si>
  <si>
    <t>15-02-2024 00:45</t>
  </si>
  <si>
    <t>15-02-2024 01:00</t>
  </si>
  <si>
    <t>15-02-2024 01:15</t>
  </si>
  <si>
    <t>15-02-2024 01:30</t>
  </si>
  <si>
    <t>15-02-2024 01:45</t>
  </si>
  <si>
    <t>15-02-2024 02:00</t>
  </si>
  <si>
    <t>15-02-2024 02:15</t>
  </si>
  <si>
    <t>15-02-2024 02:30</t>
  </si>
  <si>
    <t>15-02-2024 02:45</t>
  </si>
  <si>
    <t>15-02-2024 03:00</t>
  </si>
  <si>
    <t>15-02-2024 03:15</t>
  </si>
  <si>
    <t>15-02-2024 03:30</t>
  </si>
  <si>
    <t>15-02-2024 03:45</t>
  </si>
  <si>
    <t>15-02-2024 04:00</t>
  </si>
  <si>
    <t>15-02-2024 04:15</t>
  </si>
  <si>
    <t>15-02-2024 04:30</t>
  </si>
  <si>
    <t>15-02-2024 04:45</t>
  </si>
  <si>
    <t>15-02-2024 05:00</t>
  </si>
  <si>
    <t>15-02-2024 05:15</t>
  </si>
  <si>
    <t>15-02-2024 05:30</t>
  </si>
  <si>
    <t>15-02-2024 05:45</t>
  </si>
  <si>
    <t>15-02-2024 06:00</t>
  </si>
  <si>
    <t>15-02-2024 06:15</t>
  </si>
  <si>
    <t>15-02-2024 06:30</t>
  </si>
  <si>
    <t>15-02-2024 06:45</t>
  </si>
  <si>
    <t>15-02-2024 07:00</t>
  </si>
  <si>
    <t>15-02-2024 07:15</t>
  </si>
  <si>
    <t>15-02-2024 07:30</t>
  </si>
  <si>
    <t>15-02-2024 07:45</t>
  </si>
  <si>
    <t>15-02-2024 08:00</t>
  </si>
  <si>
    <t>15-02-2024 08:15</t>
  </si>
  <si>
    <t>15-02-2024 08:30</t>
  </si>
  <si>
    <t>15-02-2024 08:45</t>
  </si>
  <si>
    <t>15-02-2024 09:00</t>
  </si>
  <si>
    <t>15-02-2024 09:15</t>
  </si>
  <si>
    <t>15-02-2024 09:30</t>
  </si>
  <si>
    <t>15-02-2024 09:45</t>
  </si>
  <si>
    <t>15-02-2024 10:00</t>
  </si>
  <si>
    <t>15-02-2024 10:15</t>
  </si>
  <si>
    <t>15-02-2024 10:30</t>
  </si>
  <si>
    <t>15-02-2024 10:45</t>
  </si>
  <si>
    <t>15-02-2024 11:00</t>
  </si>
  <si>
    <t>15-02-2024 11:15</t>
  </si>
  <si>
    <t>15-02-2024 11:30</t>
  </si>
  <si>
    <t>15-02-2024 11:45</t>
  </si>
  <si>
    <t>15-02-2024 12:00</t>
  </si>
  <si>
    <t>15-02-2024 12:15</t>
  </si>
  <si>
    <t>15-02-2024 12:30</t>
  </si>
  <si>
    <t>15-02-2024 12:45</t>
  </si>
  <si>
    <t>15-02-2024 13:00</t>
  </si>
  <si>
    <t>15-02-2024 13:15</t>
  </si>
  <si>
    <t>15-02-2024 13:30</t>
  </si>
  <si>
    <t>15-02-2024 13:45</t>
  </si>
  <si>
    <t>15-02-2024 14:00</t>
  </si>
  <si>
    <t>15-02-2024 14:15</t>
  </si>
  <si>
    <t>15-02-2024 14:30</t>
  </si>
  <si>
    <t>15-02-2024 14:45</t>
  </si>
  <si>
    <t>15-02-2024 15:00</t>
  </si>
  <si>
    <t>15-02-2024 15:15</t>
  </si>
  <si>
    <t>15-02-2024 15:30</t>
  </si>
  <si>
    <t>15-02-2024 15:45</t>
  </si>
  <si>
    <t>15-02-2024 16:00</t>
  </si>
  <si>
    <t>15-02-2024 16:15</t>
  </si>
  <si>
    <t>15-02-2024 16:30</t>
  </si>
  <si>
    <t>15-02-2024 16:45</t>
  </si>
  <si>
    <t>15-02-2024 17:00</t>
  </si>
  <si>
    <t>15-02-2024 17:15</t>
  </si>
  <si>
    <t>15-02-2024 17:30</t>
  </si>
  <si>
    <t>15-02-2024 17:45</t>
  </si>
  <si>
    <t>15-02-2024 18:00</t>
  </si>
  <si>
    <t>15-02-2024 18:15</t>
  </si>
  <si>
    <t>15-02-2024 18:30</t>
  </si>
  <si>
    <t>15-02-2024 18:45</t>
  </si>
  <si>
    <t>15-02-2024 19:00</t>
  </si>
  <si>
    <t>15-02-2024 19:15</t>
  </si>
  <si>
    <t>15-02-2024 19:30</t>
  </si>
  <si>
    <t>15-02-2024 19:45</t>
  </si>
  <si>
    <t>15-02-2024 20:00</t>
  </si>
  <si>
    <t>15-02-2024 20:15</t>
  </si>
  <si>
    <t>15-02-2024 20:30</t>
  </si>
  <si>
    <t>15-02-2024 20:45</t>
  </si>
  <si>
    <t>15-02-2024 21:00</t>
  </si>
  <si>
    <t>15-02-2024 21:15</t>
  </si>
  <si>
    <t>15-02-2024 21:30</t>
  </si>
  <si>
    <t>15-02-2024 21:45</t>
  </si>
  <si>
    <t>15-02-2024 22:00</t>
  </si>
  <si>
    <t>15-02-2024 22:15</t>
  </si>
  <si>
    <t>15-02-2024 22:30</t>
  </si>
  <si>
    <t>15-02-2024 22:45</t>
  </si>
  <si>
    <t>15-02-2024 23:00</t>
  </si>
  <si>
    <t>15-02-2024 23:15</t>
  </si>
  <si>
    <t>15-02-2024 23:30</t>
  </si>
  <si>
    <t>15-02-2024 23:45</t>
  </si>
  <si>
    <t>15-02-2024 24:00</t>
  </si>
  <si>
    <t>16-02-2024 00:15</t>
  </si>
  <si>
    <t>16-02-2024 00:30</t>
  </si>
  <si>
    <t>16-02-2024 00:45</t>
  </si>
  <si>
    <t>16-02-2024 01:00</t>
  </si>
  <si>
    <t>16-02-2024 01:15</t>
  </si>
  <si>
    <t>16-02-2024 01:30</t>
  </si>
  <si>
    <t>16-02-2024 01:45</t>
  </si>
  <si>
    <t>16-02-2024 02:00</t>
  </si>
  <si>
    <t>16-02-2024 02:15</t>
  </si>
  <si>
    <t>16-02-2024 02:30</t>
  </si>
  <si>
    <t>16-02-2024 02:45</t>
  </si>
  <si>
    <t>16-02-2024 03:00</t>
  </si>
  <si>
    <t>16-02-2024 03:15</t>
  </si>
  <si>
    <t>16-02-2024 03:30</t>
  </si>
  <si>
    <t>16-02-2024 03:45</t>
  </si>
  <si>
    <t>16-02-2024 04:00</t>
  </si>
  <si>
    <t>16-02-2024 04:15</t>
  </si>
  <si>
    <t>16-02-2024 04:30</t>
  </si>
  <si>
    <t>16-02-2024 04:45</t>
  </si>
  <si>
    <t>16-02-2024 05:00</t>
  </si>
  <si>
    <t>16-02-2024 05:15</t>
  </si>
  <si>
    <t>16-02-2024 05:30</t>
  </si>
  <si>
    <t>16-02-2024 05:45</t>
  </si>
  <si>
    <t>16-02-2024 06:00</t>
  </si>
  <si>
    <t>16-02-2024 06:15</t>
  </si>
  <si>
    <t>16-02-2024 06:30</t>
  </si>
  <si>
    <t>16-02-2024 06:45</t>
  </si>
  <si>
    <t>16-02-2024 07:00</t>
  </si>
  <si>
    <t>16-02-2024 07:15</t>
  </si>
  <si>
    <t>16-02-2024 07:30</t>
  </si>
  <si>
    <t>16-02-2024 07:45</t>
  </si>
  <si>
    <t>16-02-2024 08:00</t>
  </si>
  <si>
    <t>16-02-2024 08:15</t>
  </si>
  <si>
    <t>16-02-2024 08:30</t>
  </si>
  <si>
    <t>16-02-2024 08:45</t>
  </si>
  <si>
    <t>16-02-2024 09:00</t>
  </si>
  <si>
    <t>16-02-2024 09:15</t>
  </si>
  <si>
    <t>16-02-2024 09:30</t>
  </si>
  <si>
    <t>16-02-2024 09:45</t>
  </si>
  <si>
    <t>16-02-2024 10:00</t>
  </si>
  <si>
    <t>16-02-2024 10:15</t>
  </si>
  <si>
    <t>16-02-2024 10:30</t>
  </si>
  <si>
    <t>16-02-2024 10:45</t>
  </si>
  <si>
    <t>16-02-2024 11:00</t>
  </si>
  <si>
    <t>16-02-2024 11:15</t>
  </si>
  <si>
    <t>16-02-2024 11:30</t>
  </si>
  <si>
    <t>16-02-2024 11:45</t>
  </si>
  <si>
    <t>16-02-2024 12:00</t>
  </si>
  <si>
    <t>16-02-2024 12:15</t>
  </si>
  <si>
    <t>16-02-2024 12:30</t>
  </si>
  <si>
    <t>16-02-2024 12:45</t>
  </si>
  <si>
    <t>16-02-2024 13:00</t>
  </si>
  <si>
    <t>16-02-2024 13:15</t>
  </si>
  <si>
    <t>16-02-2024 13:30</t>
  </si>
  <si>
    <t>16-02-2024 13:45</t>
  </si>
  <si>
    <t>16-02-2024 14:00</t>
  </si>
  <si>
    <t>16-02-2024 14:15</t>
  </si>
  <si>
    <t>16-02-2024 14:30</t>
  </si>
  <si>
    <t>16-02-2024 14:45</t>
  </si>
  <si>
    <t>16-02-2024 15:00</t>
  </si>
  <si>
    <t>16-02-2024 15:15</t>
  </si>
  <si>
    <t>16-02-2024 15:30</t>
  </si>
  <si>
    <t>16-02-2024 15:45</t>
  </si>
  <si>
    <t>16-02-2024 16:00</t>
  </si>
  <si>
    <t>16-02-2024 16:15</t>
  </si>
  <si>
    <t>16-02-2024 16:30</t>
  </si>
  <si>
    <t>16-02-2024 16:45</t>
  </si>
  <si>
    <t>16-02-2024 17:00</t>
  </si>
  <si>
    <t>16-02-2024 17:15</t>
  </si>
  <si>
    <t>16-02-2024 17:30</t>
  </si>
  <si>
    <t>16-02-2024 17:45</t>
  </si>
  <si>
    <t>16-02-2024 18:00</t>
  </si>
  <si>
    <t>16-02-2024 18:15</t>
  </si>
  <si>
    <t>16-02-2024 18:30</t>
  </si>
  <si>
    <t>16-02-2024 18:45</t>
  </si>
  <si>
    <t>16-02-2024 19:00</t>
  </si>
  <si>
    <t>16-02-2024 19:15</t>
  </si>
  <si>
    <t>16-02-2024 19:30</t>
  </si>
  <si>
    <t>16-02-2024 19:45</t>
  </si>
  <si>
    <t>16-02-2024 20:00</t>
  </si>
  <si>
    <t>16-02-2024 20:15</t>
  </si>
  <si>
    <t>16-02-2024 20:30</t>
  </si>
  <si>
    <t>16-02-2024 20:45</t>
  </si>
  <si>
    <t>16-02-2024 21:00</t>
  </si>
  <si>
    <t>16-02-2024 21:15</t>
  </si>
  <si>
    <t>16-02-2024 21:30</t>
  </si>
  <si>
    <t>16-02-2024 21:45</t>
  </si>
  <si>
    <t>16-02-2024 22:00</t>
  </si>
  <si>
    <t>16-02-2024 22:15</t>
  </si>
  <si>
    <t>16-02-2024 22:30</t>
  </si>
  <si>
    <t>16-02-2024 22:45</t>
  </si>
  <si>
    <t>16-02-2024 23:00</t>
  </si>
  <si>
    <t>16-02-2024 23:15</t>
  </si>
  <si>
    <t>16-02-2024 23:30</t>
  </si>
  <si>
    <t>16-02-2024 23:45</t>
  </si>
  <si>
    <t>16-02-2024 24:00</t>
  </si>
  <si>
    <t>17-02-2024 00:15</t>
  </si>
  <si>
    <t>17-02-2024 00:30</t>
  </si>
  <si>
    <t>17-02-2024 00:45</t>
  </si>
  <si>
    <t>17-02-2024 01:00</t>
  </si>
  <si>
    <t>17-02-2024 01:15</t>
  </si>
  <si>
    <t>17-02-2024 01:30</t>
  </si>
  <si>
    <t>17-02-2024 01:45</t>
  </si>
  <si>
    <t>17-02-2024 02:00</t>
  </si>
  <si>
    <t>17-02-2024 02:15</t>
  </si>
  <si>
    <t>17-02-2024 02:30</t>
  </si>
  <si>
    <t>17-02-2024 02:45</t>
  </si>
  <si>
    <t>17-02-2024 03:00</t>
  </si>
  <si>
    <t>17-02-2024 03:15</t>
  </si>
  <si>
    <t>17-02-2024 03:30</t>
  </si>
  <si>
    <t>17-02-2024 03:45</t>
  </si>
  <si>
    <t>17-02-2024 04:00</t>
  </si>
  <si>
    <t>17-02-2024 04:15</t>
  </si>
  <si>
    <t>17-02-2024 04:30</t>
  </si>
  <si>
    <t>17-02-2024 04:45</t>
  </si>
  <si>
    <t>17-02-2024 05:00</t>
  </si>
  <si>
    <t>17-02-2024 05:15</t>
  </si>
  <si>
    <t>17-02-2024 05:30</t>
  </si>
  <si>
    <t>17-02-2024 05:45</t>
  </si>
  <si>
    <t>17-02-2024 06:00</t>
  </si>
  <si>
    <t>17-02-2024 06:15</t>
  </si>
  <si>
    <t>17-02-2024 06:30</t>
  </si>
  <si>
    <t>17-02-2024 06:45</t>
  </si>
  <si>
    <t>17-02-2024 07:00</t>
  </si>
  <si>
    <t>17-02-2024 07:15</t>
  </si>
  <si>
    <t>17-02-2024 07:30</t>
  </si>
  <si>
    <t>17-02-2024 07:45</t>
  </si>
  <si>
    <t>17-02-2024 08:00</t>
  </si>
  <si>
    <t>17-02-2024 08:15</t>
  </si>
  <si>
    <t>17-02-2024 08:30</t>
  </si>
  <si>
    <t>17-02-2024 08:45</t>
  </si>
  <si>
    <t>17-02-2024 09:00</t>
  </si>
  <si>
    <t>17-02-2024 09:15</t>
  </si>
  <si>
    <t>17-02-2024 09:30</t>
  </si>
  <si>
    <t>17-02-2024 09:45</t>
  </si>
  <si>
    <t>17-02-2024 10:00</t>
  </si>
  <si>
    <t>17-02-2024 10:15</t>
  </si>
  <si>
    <t>17-02-2024 10:30</t>
  </si>
  <si>
    <t>17-02-2024 10:45</t>
  </si>
  <si>
    <t>17-02-2024 11:00</t>
  </si>
  <si>
    <t>17-02-2024 11:15</t>
  </si>
  <si>
    <t>17-02-2024 11:30</t>
  </si>
  <si>
    <t>17-02-2024 11:45</t>
  </si>
  <si>
    <t>17-02-2024 12:00</t>
  </si>
  <si>
    <t>17-02-2024 12:15</t>
  </si>
  <si>
    <t>17-02-2024 12:30</t>
  </si>
  <si>
    <t>17-02-2024 12:45</t>
  </si>
  <si>
    <t>17-02-2024 13:00</t>
  </si>
  <si>
    <t>17-02-2024 13:15</t>
  </si>
  <si>
    <t>17-02-2024 13:30</t>
  </si>
  <si>
    <t>17-02-2024 13:45</t>
  </si>
  <si>
    <t>17-02-2024 14:00</t>
  </si>
  <si>
    <t>17-02-2024 14:15</t>
  </si>
  <si>
    <t>17-02-2024 14:30</t>
  </si>
  <si>
    <t>17-02-2024 14:45</t>
  </si>
  <si>
    <t>17-02-2024 15:00</t>
  </si>
  <si>
    <t>17-02-2024 15:15</t>
  </si>
  <si>
    <t>17-02-2024 15:30</t>
  </si>
  <si>
    <t>17-02-2024 15:45</t>
  </si>
  <si>
    <t>17-02-2024 16:00</t>
  </si>
  <si>
    <t>17-02-2024 16:15</t>
  </si>
  <si>
    <t>17-02-2024 16:30</t>
  </si>
  <si>
    <t>17-02-2024 16:45</t>
  </si>
  <si>
    <t>17-02-2024 17:00</t>
  </si>
  <si>
    <t>17-02-2024 17:15</t>
  </si>
  <si>
    <t>17-02-2024 17:30</t>
  </si>
  <si>
    <t>17-02-2024 17:45</t>
  </si>
  <si>
    <t>17-02-2024 18:00</t>
  </si>
  <si>
    <t>17-02-2024 18:15</t>
  </si>
  <si>
    <t>17-02-2024 18:30</t>
  </si>
  <si>
    <t>17-02-2024 18:45</t>
  </si>
  <si>
    <t>17-02-2024 19:00</t>
  </si>
  <si>
    <t>17-02-2024 19:15</t>
  </si>
  <si>
    <t>17-02-2024 19:30</t>
  </si>
  <si>
    <t>17-02-2024 19:45</t>
  </si>
  <si>
    <t>17-02-2024 20:00</t>
  </si>
  <si>
    <t>17-02-2024 20:15</t>
  </si>
  <si>
    <t>17-02-2024 20:30</t>
  </si>
  <si>
    <t>17-02-2024 20:45</t>
  </si>
  <si>
    <t>17-02-2024 21:00</t>
  </si>
  <si>
    <t>17-02-2024 21:15</t>
  </si>
  <si>
    <t>17-02-2024 21:30</t>
  </si>
  <si>
    <t>17-02-2024 21:45</t>
  </si>
  <si>
    <t>17-02-2024 22:00</t>
  </si>
  <si>
    <t>17-02-2024 22:15</t>
  </si>
  <si>
    <t>17-02-2024 22:30</t>
  </si>
  <si>
    <t>17-02-2024 22:45</t>
  </si>
  <si>
    <t>17-02-2024 23:00</t>
  </si>
  <si>
    <t>17-02-2024 23:15</t>
  </si>
  <si>
    <t>17-02-2024 23:30</t>
  </si>
  <si>
    <t>17-02-2024 23:45</t>
  </si>
  <si>
    <t>17-02-2024 24:00</t>
  </si>
  <si>
    <t>18-02-2024 00:15</t>
  </si>
  <si>
    <t>18-02-2024 00:30</t>
  </si>
  <si>
    <t>18-02-2024 00:45</t>
  </si>
  <si>
    <t>18-02-2024 01:00</t>
  </si>
  <si>
    <t>18-02-2024 01:15</t>
  </si>
  <si>
    <t>18-02-2024 01:30</t>
  </si>
  <si>
    <t>18-02-2024 01:45</t>
  </si>
  <si>
    <t>18-02-2024 02:00</t>
  </si>
  <si>
    <t>18-02-2024 02:15</t>
  </si>
  <si>
    <t>18-02-2024 02:30</t>
  </si>
  <si>
    <t>18-02-2024 02:45</t>
  </si>
  <si>
    <t>18-02-2024 03:00</t>
  </si>
  <si>
    <t>18-02-2024 03:15</t>
  </si>
  <si>
    <t>18-02-2024 03:30</t>
  </si>
  <si>
    <t>18-02-2024 03:45</t>
  </si>
  <si>
    <t>18-02-2024 04:00</t>
  </si>
  <si>
    <t>18-02-2024 04:15</t>
  </si>
  <si>
    <t>18-02-2024 04:30</t>
  </si>
  <si>
    <t>18-02-2024 04:45</t>
  </si>
  <si>
    <t>18-02-2024 05:00</t>
  </si>
  <si>
    <t>18-02-2024 05:15</t>
  </si>
  <si>
    <t>18-02-2024 05:30</t>
  </si>
  <si>
    <t>18-02-2024 05:45</t>
  </si>
  <si>
    <t>18-02-2024 06:00</t>
  </si>
  <si>
    <t>18-02-2024 06:15</t>
  </si>
  <si>
    <t>18-02-2024 06:30</t>
  </si>
  <si>
    <t>18-02-2024 06:45</t>
  </si>
  <si>
    <t>18-02-2024 07:00</t>
  </si>
  <si>
    <t>18-02-2024 07:15</t>
  </si>
  <si>
    <t>18-02-2024 07:30</t>
  </si>
  <si>
    <t>18-02-2024 07:45</t>
  </si>
  <si>
    <t>18-02-2024 08:00</t>
  </si>
  <si>
    <t>18-02-2024 08:15</t>
  </si>
  <si>
    <t>18-02-2024 08:30</t>
  </si>
  <si>
    <t>18-02-2024 08:45</t>
  </si>
  <si>
    <t>18-02-2024 09:00</t>
  </si>
  <si>
    <t>18-02-2024 09:15</t>
  </si>
  <si>
    <t>18-02-2024 09:30</t>
  </si>
  <si>
    <t>18-02-2024 09:45</t>
  </si>
  <si>
    <t>18-02-2024 10:00</t>
  </si>
  <si>
    <t>18-02-2024 10:15</t>
  </si>
  <si>
    <t>18-02-2024 10:30</t>
  </si>
  <si>
    <t>18-02-2024 10:45</t>
  </si>
  <si>
    <t>18-02-2024 11:00</t>
  </si>
  <si>
    <t>18-02-2024 11:15</t>
  </si>
  <si>
    <t>18-02-2024 11:30</t>
  </si>
  <si>
    <t>18-02-2024 11:45</t>
  </si>
  <si>
    <t>18-02-2024 12:00</t>
  </si>
  <si>
    <t>18-02-2024 12:15</t>
  </si>
  <si>
    <t>18-02-2024 12:30</t>
  </si>
  <si>
    <t>18-02-2024 12:45</t>
  </si>
  <si>
    <t>18-02-2024 13:00</t>
  </si>
  <si>
    <t>18-02-2024 13:15</t>
  </si>
  <si>
    <t>18-02-2024 13:30</t>
  </si>
  <si>
    <t>18-02-2024 13:45</t>
  </si>
  <si>
    <t>18-02-2024 14:00</t>
  </si>
  <si>
    <t>18-02-2024 14:15</t>
  </si>
  <si>
    <t>18-02-2024 14:30</t>
  </si>
  <si>
    <t>18-02-2024 14:45</t>
  </si>
  <si>
    <t>18-02-2024 15:00</t>
  </si>
  <si>
    <t>18-02-2024 15:15</t>
  </si>
  <si>
    <t>18-02-2024 15:30</t>
  </si>
  <si>
    <t>18-02-2024 15:45</t>
  </si>
  <si>
    <t>18-02-2024 16:00</t>
  </si>
  <si>
    <t>18-02-2024 16:15</t>
  </si>
  <si>
    <t>18-02-2024 16:30</t>
  </si>
  <si>
    <t>18-02-2024 16:45</t>
  </si>
  <si>
    <t>18-02-2024 17:00</t>
  </si>
  <si>
    <t>18-02-2024 17:15</t>
  </si>
  <si>
    <t>18-02-2024 17:30</t>
  </si>
  <si>
    <t>18-02-2024 17:45</t>
  </si>
  <si>
    <t>18-02-2024 18:00</t>
  </si>
  <si>
    <t>18-02-2024 18:15</t>
  </si>
  <si>
    <t>18-02-2024 18:30</t>
  </si>
  <si>
    <t>18-02-2024 18:45</t>
  </si>
  <si>
    <t>18-02-2024 19:00</t>
  </si>
  <si>
    <t>18-02-2024 19:15</t>
  </si>
  <si>
    <t>18-02-2024 19:30</t>
  </si>
  <si>
    <t>18-02-2024 19:45</t>
  </si>
  <si>
    <t>18-02-2024 20:00</t>
  </si>
  <si>
    <t>18-02-2024 20:15</t>
  </si>
  <si>
    <t>18-02-2024 20:30</t>
  </si>
  <si>
    <t>18-02-2024 20:45</t>
  </si>
  <si>
    <t>18-02-2024 21:00</t>
  </si>
  <si>
    <t>18-02-2024 21:15</t>
  </si>
  <si>
    <t>18-02-2024 21:30</t>
  </si>
  <si>
    <t>18-02-2024 21:45</t>
  </si>
  <si>
    <t>18-02-2024 22:00</t>
  </si>
  <si>
    <t>18-02-2024 22:15</t>
  </si>
  <si>
    <t>18-02-2024 22:30</t>
  </si>
  <si>
    <t>18-02-2024 22:45</t>
  </si>
  <si>
    <t>18-02-2024 23:00</t>
  </si>
  <si>
    <t>18-02-2024 23:15</t>
  </si>
  <si>
    <t>18-02-2024 23:30</t>
  </si>
  <si>
    <t>18-02-2024 23:45</t>
  </si>
  <si>
    <t>18-02-2024 24:00</t>
  </si>
  <si>
    <t>19-02-2024 00:15</t>
  </si>
  <si>
    <t>19-02-2024 00:30</t>
  </si>
  <si>
    <t>19-02-2024 00:45</t>
  </si>
  <si>
    <t>19-02-2024 01:00</t>
  </si>
  <si>
    <t>19-02-2024 01:15</t>
  </si>
  <si>
    <t>19-02-2024 01:30</t>
  </si>
  <si>
    <t>19-02-2024 01:45</t>
  </si>
  <si>
    <t>19-02-2024 02:00</t>
  </si>
  <si>
    <t>19-02-2024 02:15</t>
  </si>
  <si>
    <t>19-02-2024 02:30</t>
  </si>
  <si>
    <t>19-02-2024 02:45</t>
  </si>
  <si>
    <t>19-02-2024 03:00</t>
  </si>
  <si>
    <t>19-02-2024 03:15</t>
  </si>
  <si>
    <t>19-02-2024 03:30</t>
  </si>
  <si>
    <t>19-02-2024 03:45</t>
  </si>
  <si>
    <t>19-02-2024 04:00</t>
  </si>
  <si>
    <t>19-02-2024 04:15</t>
  </si>
  <si>
    <t>19-02-2024 04:30</t>
  </si>
  <si>
    <t>19-02-2024 04:45</t>
  </si>
  <si>
    <t>19-02-2024 05:00</t>
  </si>
  <si>
    <t>19-02-2024 05:15</t>
  </si>
  <si>
    <t>19-02-2024 05:30</t>
  </si>
  <si>
    <t>19-02-2024 05:45</t>
  </si>
  <si>
    <t>19-02-2024 06:00</t>
  </si>
  <si>
    <t>19-02-2024 06:15</t>
  </si>
  <si>
    <t>19-02-2024 06:30</t>
  </si>
  <si>
    <t>19-02-2024 06:45</t>
  </si>
  <si>
    <t>19-02-2024 07:00</t>
  </si>
  <si>
    <t>19-02-2024 07:15</t>
  </si>
  <si>
    <t>19-02-2024 07:30</t>
  </si>
  <si>
    <t>19-02-2024 07:45</t>
  </si>
  <si>
    <t>19-02-2024 08:00</t>
  </si>
  <si>
    <t>19-02-2024 08:15</t>
  </si>
  <si>
    <t>19-02-2024 08:30</t>
  </si>
  <si>
    <t>19-02-2024 08:45</t>
  </si>
  <si>
    <t>19-02-2024 09:00</t>
  </si>
  <si>
    <t>19-02-2024 09:15</t>
  </si>
  <si>
    <t>19-02-2024 09:30</t>
  </si>
  <si>
    <t>19-02-2024 09:45</t>
  </si>
  <si>
    <t>19-02-2024 10:00</t>
  </si>
  <si>
    <t>19-02-2024 10:15</t>
  </si>
  <si>
    <t>19-02-2024 10:30</t>
  </si>
  <si>
    <t>19-02-2024 10:45</t>
  </si>
  <si>
    <t>19-02-2024 11:00</t>
  </si>
  <si>
    <t>19-02-2024 11:15</t>
  </si>
  <si>
    <t>19-02-2024 11:30</t>
  </si>
  <si>
    <t>19-02-2024 11:45</t>
  </si>
  <si>
    <t>19-02-2024 12:00</t>
  </si>
  <si>
    <t>19-02-2024 12:15</t>
  </si>
  <si>
    <t>19-02-2024 12:30</t>
  </si>
  <si>
    <t>19-02-2024 12:45</t>
  </si>
  <si>
    <t>19-02-2024 13:00</t>
  </si>
  <si>
    <t>19-02-2024 13:15</t>
  </si>
  <si>
    <t>19-02-2024 13:30</t>
  </si>
  <si>
    <t>19-02-2024 13:45</t>
  </si>
  <si>
    <t>19-02-2024 14:00</t>
  </si>
  <si>
    <t>19-02-2024 14:15</t>
  </si>
  <si>
    <t>19-02-2024 14:30</t>
  </si>
  <si>
    <t>19-02-2024 14:45</t>
  </si>
  <si>
    <t>19-02-2024 15:00</t>
  </si>
  <si>
    <t>19-02-2024 15:15</t>
  </si>
  <si>
    <t>19-02-2024 15:30</t>
  </si>
  <si>
    <t>19-02-2024 15:45</t>
  </si>
  <si>
    <t>19-02-2024 16:00</t>
  </si>
  <si>
    <t>19-02-2024 16:15</t>
  </si>
  <si>
    <t>19-02-2024 16:30</t>
  </si>
  <si>
    <t>19-02-2024 16:45</t>
  </si>
  <si>
    <t>19-02-2024 17:00</t>
  </si>
  <si>
    <t>19-02-2024 17:15</t>
  </si>
  <si>
    <t>19-02-2024 17:30</t>
  </si>
  <si>
    <t>19-02-2024 17:45</t>
  </si>
  <si>
    <t>19-02-2024 18:00</t>
  </si>
  <si>
    <t>19-02-2024 18:15</t>
  </si>
  <si>
    <t>19-02-2024 18:30</t>
  </si>
  <si>
    <t>19-02-2024 18:45</t>
  </si>
  <si>
    <t>19-02-2024 19:00</t>
  </si>
  <si>
    <t>19-02-2024 19:15</t>
  </si>
  <si>
    <t>19-02-2024 19:30</t>
  </si>
  <si>
    <t>19-02-2024 19:45</t>
  </si>
  <si>
    <t>19-02-2024 20:00</t>
  </si>
  <si>
    <t>19-02-2024 20:15</t>
  </si>
  <si>
    <t>19-02-2024 20:30</t>
  </si>
  <si>
    <t>19-02-2024 20:45</t>
  </si>
  <si>
    <t>19-02-2024 21:00</t>
  </si>
  <si>
    <t>19-02-2024 21:15</t>
  </si>
  <si>
    <t>19-02-2024 21:30</t>
  </si>
  <si>
    <t>19-02-2024 21:45</t>
  </si>
  <si>
    <t>19-02-2024 22:00</t>
  </si>
  <si>
    <t>19-02-2024 22:15</t>
  </si>
  <si>
    <t>19-02-2024 22:30</t>
  </si>
  <si>
    <t>19-02-2024 22:45</t>
  </si>
  <si>
    <t>19-02-2024 23:00</t>
  </si>
  <si>
    <t>19-02-2024 23:15</t>
  </si>
  <si>
    <t>19-02-2024 23:30</t>
  </si>
  <si>
    <t>19-02-2024 23:45</t>
  </si>
  <si>
    <t>19-02-2024 24:00</t>
  </si>
  <si>
    <t>20-02-2024 00:15</t>
  </si>
  <si>
    <t>20-02-2024 00:30</t>
  </si>
  <si>
    <t>20-02-2024 00:45</t>
  </si>
  <si>
    <t>20-02-2024 01:00</t>
  </si>
  <si>
    <t>20-02-2024 01:15</t>
  </si>
  <si>
    <t>20-02-2024 01:30</t>
  </si>
  <si>
    <t>20-02-2024 01:45</t>
  </si>
  <si>
    <t>20-02-2024 02:00</t>
  </si>
  <si>
    <t>20-02-2024 02:15</t>
  </si>
  <si>
    <t>20-02-2024 02:30</t>
  </si>
  <si>
    <t>20-02-2024 02:45</t>
  </si>
  <si>
    <t>20-02-2024 03:00</t>
  </si>
  <si>
    <t>20-02-2024 03:15</t>
  </si>
  <si>
    <t>20-02-2024 03:30</t>
  </si>
  <si>
    <t>20-02-2024 03:45</t>
  </si>
  <si>
    <t>20-02-2024 04:00</t>
  </si>
  <si>
    <t>20-02-2024 04:15</t>
  </si>
  <si>
    <t>20-02-2024 04:30</t>
  </si>
  <si>
    <t>20-02-2024 04:45</t>
  </si>
  <si>
    <t>20-02-2024 05:00</t>
  </si>
  <si>
    <t>20-02-2024 05:15</t>
  </si>
  <si>
    <t>20-02-2024 05:30</t>
  </si>
  <si>
    <t>20-02-2024 05:45</t>
  </si>
  <si>
    <t>20-02-2024 06:00</t>
  </si>
  <si>
    <t>20-02-2024 06:15</t>
  </si>
  <si>
    <t>20-02-2024 06:30</t>
  </si>
  <si>
    <t>20-02-2024 06:45</t>
  </si>
  <si>
    <t>20-02-2024 07:00</t>
  </si>
  <si>
    <t>20-02-2024 07:15</t>
  </si>
  <si>
    <t>20-02-2024 07:30</t>
  </si>
  <si>
    <t>20-02-2024 07:45</t>
  </si>
  <si>
    <t>20-02-2024 08:00</t>
  </si>
  <si>
    <t>20-02-2024 08:15</t>
  </si>
  <si>
    <t>20-02-2024 08:30</t>
  </si>
  <si>
    <t>20-02-2024 08:45</t>
  </si>
  <si>
    <t>20-02-2024 09:00</t>
  </si>
  <si>
    <t>20-02-2024 09:15</t>
  </si>
  <si>
    <t>20-02-2024 09:30</t>
  </si>
  <si>
    <t>20-02-2024 09:45</t>
  </si>
  <si>
    <t>20-02-2024 10:00</t>
  </si>
  <si>
    <t>20-02-2024 10:15</t>
  </si>
  <si>
    <t>20-02-2024 10:30</t>
  </si>
  <si>
    <t>20-02-2024 10:45</t>
  </si>
  <si>
    <t>20-02-2024 11:00</t>
  </si>
  <si>
    <t>20-02-2024 11:15</t>
  </si>
  <si>
    <t>20-02-2024 11:30</t>
  </si>
  <si>
    <t>20-02-2024 11:45</t>
  </si>
  <si>
    <t>20-02-2024 12:00</t>
  </si>
  <si>
    <t>20-02-2024 12:15</t>
  </si>
  <si>
    <t>20-02-2024 12:30</t>
  </si>
  <si>
    <t>20-02-2024 12:45</t>
  </si>
  <si>
    <t>20-02-2024 13:00</t>
  </si>
  <si>
    <t>20-02-2024 13:15</t>
  </si>
  <si>
    <t>20-02-2024 13:30</t>
  </si>
  <si>
    <t>20-02-2024 13:45</t>
  </si>
  <si>
    <t>20-02-2024 14:00</t>
  </si>
  <si>
    <t>20-02-2024 14:15</t>
  </si>
  <si>
    <t>20-02-2024 14:30</t>
  </si>
  <si>
    <t>20-02-2024 14:45</t>
  </si>
  <si>
    <t>20-02-2024 15:00</t>
  </si>
  <si>
    <t>20-02-2024 15:15</t>
  </si>
  <si>
    <t>20-02-2024 15:30</t>
  </si>
  <si>
    <t>20-02-2024 15:45</t>
  </si>
  <si>
    <t>20-02-2024 16:00</t>
  </si>
  <si>
    <t>20-02-2024 16:15</t>
  </si>
  <si>
    <t>20-02-2024 16:30</t>
  </si>
  <si>
    <t>20-02-2024 16:45</t>
  </si>
  <si>
    <t>20-02-2024 17:00</t>
  </si>
  <si>
    <t>20-02-2024 17:15</t>
  </si>
  <si>
    <t>20-02-2024 17:30</t>
  </si>
  <si>
    <t>20-02-2024 17:45</t>
  </si>
  <si>
    <t>20-02-2024 18:00</t>
  </si>
  <si>
    <t>20-02-2024 18:15</t>
  </si>
  <si>
    <t>20-02-2024 18:30</t>
  </si>
  <si>
    <t>20-02-2024 18:45</t>
  </si>
  <si>
    <t>20-02-2024 19:00</t>
  </si>
  <si>
    <t>20-02-2024 19:15</t>
  </si>
  <si>
    <t>20-02-2024 19:30</t>
  </si>
  <si>
    <t>20-02-2024 19:45</t>
  </si>
  <si>
    <t>20-02-2024 20:00</t>
  </si>
  <si>
    <t>20-02-2024 20:15</t>
  </si>
  <si>
    <t>20-02-2024 20:30</t>
  </si>
  <si>
    <t>20-02-2024 20:45</t>
  </si>
  <si>
    <t>20-02-2024 21:00</t>
  </si>
  <si>
    <t>20-02-2024 21:15</t>
  </si>
  <si>
    <t>20-02-2024 21:30</t>
  </si>
  <si>
    <t>20-02-2024 21:45</t>
  </si>
  <si>
    <t>20-02-2024 22:00</t>
  </si>
  <si>
    <t>20-02-2024 22:15</t>
  </si>
  <si>
    <t>20-02-2024 22:30</t>
  </si>
  <si>
    <t>20-02-2024 22:45</t>
  </si>
  <si>
    <t>20-02-2024 23:00</t>
  </si>
  <si>
    <t>20-02-2024 23:15</t>
  </si>
  <si>
    <t>20-02-2024 23:30</t>
  </si>
  <si>
    <t>20-02-2024 23:45</t>
  </si>
  <si>
    <t>20-02-2024 24:00</t>
  </si>
  <si>
    <t>21-02-2024 00:15</t>
  </si>
  <si>
    <t>21-02-2024 00:30</t>
  </si>
  <si>
    <t>21-02-2024 00:45</t>
  </si>
  <si>
    <t>21-02-2024 01:00</t>
  </si>
  <si>
    <t>21-02-2024 01:15</t>
  </si>
  <si>
    <t>21-02-2024 01:30</t>
  </si>
  <si>
    <t>21-02-2024 01:45</t>
  </si>
  <si>
    <t>21-02-2024 02:00</t>
  </si>
  <si>
    <t>21-02-2024 02:15</t>
  </si>
  <si>
    <t>21-02-2024 02:30</t>
  </si>
  <si>
    <t>21-02-2024 02:45</t>
  </si>
  <si>
    <t>21-02-2024 03:00</t>
  </si>
  <si>
    <t>21-02-2024 03:15</t>
  </si>
  <si>
    <t>21-02-2024 03:30</t>
  </si>
  <si>
    <t>21-02-2024 03:45</t>
  </si>
  <si>
    <t>21-02-2024 04:00</t>
  </si>
  <si>
    <t>21-02-2024 04:15</t>
  </si>
  <si>
    <t>21-02-2024 04:30</t>
  </si>
  <si>
    <t>21-02-2024 04:45</t>
  </si>
  <si>
    <t>21-02-2024 05:00</t>
  </si>
  <si>
    <t>21-02-2024 05:15</t>
  </si>
  <si>
    <t>21-02-2024 05:30</t>
  </si>
  <si>
    <t>21-02-2024 05:45</t>
  </si>
  <si>
    <t>21-02-2024 06:00</t>
  </si>
  <si>
    <t>21-02-2024 06:15</t>
  </si>
  <si>
    <t>21-02-2024 06:30</t>
  </si>
  <si>
    <t>21-02-2024 06:45</t>
  </si>
  <si>
    <t>21-02-2024 07:00</t>
  </si>
  <si>
    <t>21-02-2024 07:15</t>
  </si>
  <si>
    <t>21-02-2024 07:30</t>
  </si>
  <si>
    <t>21-02-2024 07:45</t>
  </si>
  <si>
    <t>21-02-2024 08:00</t>
  </si>
  <si>
    <t>21-02-2024 08:15</t>
  </si>
  <si>
    <t>21-02-2024 08:30</t>
  </si>
  <si>
    <t>21-02-2024 08:45</t>
  </si>
  <si>
    <t>21-02-2024 09:00</t>
  </si>
  <si>
    <t>21-02-2024 09:15</t>
  </si>
  <si>
    <t>21-02-2024 09:30</t>
  </si>
  <si>
    <t>21-02-2024 09:45</t>
  </si>
  <si>
    <t>21-02-2024 10:00</t>
  </si>
  <si>
    <t>21-02-2024 10:15</t>
  </si>
  <si>
    <t>21-02-2024 10:30</t>
  </si>
  <si>
    <t>21-02-2024 10:45</t>
  </si>
  <si>
    <t>21-02-2024 11:00</t>
  </si>
  <si>
    <t>21-02-2024 11:15</t>
  </si>
  <si>
    <t>21-02-2024 11:30</t>
  </si>
  <si>
    <t>21-02-2024 11:45</t>
  </si>
  <si>
    <t>21-02-2024 12:00</t>
  </si>
  <si>
    <t>21-02-2024 12:15</t>
  </si>
  <si>
    <t>21-02-2024 12:30</t>
  </si>
  <si>
    <t>21-02-2024 12:45</t>
  </si>
  <si>
    <t>21-02-2024 13:00</t>
  </si>
  <si>
    <t>21-02-2024 13:15</t>
  </si>
  <si>
    <t>21-02-2024 13:30</t>
  </si>
  <si>
    <t>21-02-2024 13:45</t>
  </si>
  <si>
    <t>21-02-2024 14:00</t>
  </si>
  <si>
    <t>21-02-2024 14:15</t>
  </si>
  <si>
    <t>21-02-2024 14:30</t>
  </si>
  <si>
    <t>21-02-2024 14:45</t>
  </si>
  <si>
    <t>21-02-2024 15:00</t>
  </si>
  <si>
    <t>21-02-2024 15:15</t>
  </si>
  <si>
    <t>21-02-2024 15:30</t>
  </si>
  <si>
    <t>21-02-2024 15:45</t>
  </si>
  <si>
    <t>21-02-2024 16:00</t>
  </si>
  <si>
    <t>21-02-2024 16:15</t>
  </si>
  <si>
    <t>21-02-2024 16:30</t>
  </si>
  <si>
    <t>21-02-2024 16:45</t>
  </si>
  <si>
    <t>21-02-2024 17:00</t>
  </si>
  <si>
    <t>21-02-2024 17:15</t>
  </si>
  <si>
    <t>21-02-2024 17:30</t>
  </si>
  <si>
    <t>21-02-2024 17:45</t>
  </si>
  <si>
    <t>21-02-2024 18:00</t>
  </si>
  <si>
    <t>21-02-2024 18:15</t>
  </si>
  <si>
    <t>21-02-2024 18:30</t>
  </si>
  <si>
    <t>21-02-2024 18:45</t>
  </si>
  <si>
    <t>21-02-2024 19:00</t>
  </si>
  <si>
    <t>21-02-2024 19:15</t>
  </si>
  <si>
    <t>21-02-2024 19:30</t>
  </si>
  <si>
    <t>21-02-2024 19:45</t>
  </si>
  <si>
    <t>21-02-2024 20:00</t>
  </si>
  <si>
    <t>21-02-2024 20:15</t>
  </si>
  <si>
    <t>21-02-2024 20:30</t>
  </si>
  <si>
    <t>21-02-2024 20:45</t>
  </si>
  <si>
    <t>21-02-2024 21:00</t>
  </si>
  <si>
    <t>21-02-2024 21:15</t>
  </si>
  <si>
    <t>21-02-2024 21:30</t>
  </si>
  <si>
    <t>21-02-2024 21:45</t>
  </si>
  <si>
    <t>21-02-2024 22:00</t>
  </si>
  <si>
    <t>21-02-2024 22:15</t>
  </si>
  <si>
    <t>21-02-2024 22:30</t>
  </si>
  <si>
    <t>21-02-2024 22:45</t>
  </si>
  <si>
    <t>21-02-2024 23:00</t>
  </si>
  <si>
    <t>21-02-2024 23:15</t>
  </si>
  <si>
    <t>21-02-2024 23:30</t>
  </si>
  <si>
    <t>21-02-2024 23:45</t>
  </si>
  <si>
    <t>21-02-2024 24:00</t>
  </si>
  <si>
    <t>22-02-2024 00:15</t>
  </si>
  <si>
    <t>22-02-2024 00:30</t>
  </si>
  <si>
    <t>22-02-2024 00:45</t>
  </si>
  <si>
    <t>22-02-2024 01:00</t>
  </si>
  <si>
    <t>22-02-2024 01:15</t>
  </si>
  <si>
    <t>22-02-2024 01:30</t>
  </si>
  <si>
    <t>22-02-2024 01:45</t>
  </si>
  <si>
    <t>22-02-2024 02:00</t>
  </si>
  <si>
    <t>22-02-2024 02:15</t>
  </si>
  <si>
    <t>22-02-2024 02:30</t>
  </si>
  <si>
    <t>22-02-2024 02:45</t>
  </si>
  <si>
    <t>22-02-2024 03:00</t>
  </si>
  <si>
    <t>22-02-2024 03:15</t>
  </si>
  <si>
    <t>22-02-2024 03:30</t>
  </si>
  <si>
    <t>22-02-2024 03:45</t>
  </si>
  <si>
    <t>22-02-2024 04:00</t>
  </si>
  <si>
    <t>22-02-2024 04:15</t>
  </si>
  <si>
    <t>22-02-2024 04:30</t>
  </si>
  <si>
    <t>22-02-2024 04:45</t>
  </si>
  <si>
    <t>22-02-2024 05:00</t>
  </si>
  <si>
    <t>22-02-2024 05:15</t>
  </si>
  <si>
    <t>22-02-2024 05:30</t>
  </si>
  <si>
    <t>22-02-2024 05:45</t>
  </si>
  <si>
    <t>22-02-2024 06:00</t>
  </si>
  <si>
    <t>22-02-2024 06:15</t>
  </si>
  <si>
    <t>22-02-2024 06:30</t>
  </si>
  <si>
    <t>22-02-2024 06:45</t>
  </si>
  <si>
    <t>22-02-2024 07:00</t>
  </si>
  <si>
    <t>22-02-2024 07:15</t>
  </si>
  <si>
    <t>22-02-2024 07:30</t>
  </si>
  <si>
    <t>22-02-2024 07:45</t>
  </si>
  <si>
    <t>22-02-2024 08:00</t>
  </si>
  <si>
    <t>22-02-2024 08:15</t>
  </si>
  <si>
    <t>22-02-2024 08:30</t>
  </si>
  <si>
    <t>22-02-2024 08:45</t>
  </si>
  <si>
    <t>22-02-2024 09:00</t>
  </si>
  <si>
    <t>22-02-2024 09:15</t>
  </si>
  <si>
    <t>22-02-2024 09:30</t>
  </si>
  <si>
    <t>22-02-2024 09:45</t>
  </si>
  <si>
    <t>22-02-2024 10:00</t>
  </si>
  <si>
    <t>22-02-2024 10:15</t>
  </si>
  <si>
    <t>22-02-2024 10:30</t>
  </si>
  <si>
    <t>22-02-2024 10:45</t>
  </si>
  <si>
    <t>22-02-2024 11:00</t>
  </si>
  <si>
    <t>22-02-2024 11:15</t>
  </si>
  <si>
    <t>22-02-2024 11:30</t>
  </si>
  <si>
    <t>22-02-2024 11:45</t>
  </si>
  <si>
    <t>22-02-2024 12:00</t>
  </si>
  <si>
    <t>22-02-2024 12:15</t>
  </si>
  <si>
    <t>22-02-2024 12:30</t>
  </si>
  <si>
    <t>22-02-2024 12:45</t>
  </si>
  <si>
    <t>22-02-2024 13:00</t>
  </si>
  <si>
    <t>22-02-2024 13:15</t>
  </si>
  <si>
    <t>22-02-2024 13:30</t>
  </si>
  <si>
    <t>22-02-2024 13:45</t>
  </si>
  <si>
    <t>22-02-2024 14:00</t>
  </si>
  <si>
    <t>22-02-2024 14:15</t>
  </si>
  <si>
    <t>22-02-2024 14:30</t>
  </si>
  <si>
    <t>22-02-2024 14:45</t>
  </si>
  <si>
    <t>22-02-2024 15:00</t>
  </si>
  <si>
    <t>22-02-2024 15:15</t>
  </si>
  <si>
    <t>22-02-2024 15:30</t>
  </si>
  <si>
    <t>22-02-2024 15:45</t>
  </si>
  <si>
    <t>22-02-2024 16:00</t>
  </si>
  <si>
    <t>22-02-2024 16:15</t>
  </si>
  <si>
    <t>22-02-2024 16:30</t>
  </si>
  <si>
    <t>22-02-2024 16:45</t>
  </si>
  <si>
    <t>22-02-2024 17:00</t>
  </si>
  <si>
    <t>22-02-2024 17:15</t>
  </si>
  <si>
    <t>22-02-2024 17:30</t>
  </si>
  <si>
    <t>22-02-2024 17:45</t>
  </si>
  <si>
    <t>22-02-2024 18:00</t>
  </si>
  <si>
    <t>22-02-2024 18:15</t>
  </si>
  <si>
    <t>22-02-2024 18:30</t>
  </si>
  <si>
    <t>22-02-2024 18:45</t>
  </si>
  <si>
    <t>22-02-2024 19:00</t>
  </si>
  <si>
    <t>22-02-2024 19:15</t>
  </si>
  <si>
    <t>22-02-2024 19:30</t>
  </si>
  <si>
    <t>22-02-2024 19:45</t>
  </si>
  <si>
    <t>22-02-2024 20:00</t>
  </si>
  <si>
    <t>22-02-2024 20:15</t>
  </si>
  <si>
    <t>22-02-2024 20:30</t>
  </si>
  <si>
    <t>22-02-2024 20:45</t>
  </si>
  <si>
    <t>22-02-2024 21:00</t>
  </si>
  <si>
    <t>22-02-2024 21:15</t>
  </si>
  <si>
    <t>22-02-2024 21:30</t>
  </si>
  <si>
    <t>22-02-2024 21:45</t>
  </si>
  <si>
    <t>22-02-2024 22:00</t>
  </si>
  <si>
    <t>22-02-2024 22:15</t>
  </si>
  <si>
    <t>22-02-2024 22:30</t>
  </si>
  <si>
    <t>22-02-2024 22:45</t>
  </si>
  <si>
    <t>22-02-2024 23:00</t>
  </si>
  <si>
    <t>22-02-2024 23:15</t>
  </si>
  <si>
    <t>22-02-2024 23:30</t>
  </si>
  <si>
    <t>22-02-2024 23:45</t>
  </si>
  <si>
    <t>22-02-2024 24:00</t>
  </si>
  <si>
    <t>23-02-2024 00:15</t>
  </si>
  <si>
    <t>23-02-2024 00:30</t>
  </si>
  <si>
    <t>23-02-2024 00:45</t>
  </si>
  <si>
    <t>23-02-2024 01:00</t>
  </si>
  <si>
    <t>23-02-2024 01:15</t>
  </si>
  <si>
    <t>23-02-2024 01:30</t>
  </si>
  <si>
    <t>23-02-2024 01:45</t>
  </si>
  <si>
    <t>23-02-2024 02:00</t>
  </si>
  <si>
    <t>23-02-2024 02:15</t>
  </si>
  <si>
    <t>23-02-2024 02:30</t>
  </si>
  <si>
    <t>23-02-2024 02:45</t>
  </si>
  <si>
    <t>23-02-2024 03:00</t>
  </si>
  <si>
    <t>23-02-2024 03:15</t>
  </si>
  <si>
    <t>23-02-2024 03:30</t>
  </si>
  <si>
    <t>23-02-2024 03:45</t>
  </si>
  <si>
    <t>23-02-2024 04:00</t>
  </si>
  <si>
    <t>23-02-2024 04:15</t>
  </si>
  <si>
    <t>23-02-2024 04:30</t>
  </si>
  <si>
    <t>23-02-2024 04:45</t>
  </si>
  <si>
    <t>23-02-2024 05:00</t>
  </si>
  <si>
    <t>23-02-2024 05:15</t>
  </si>
  <si>
    <t>23-02-2024 05:30</t>
  </si>
  <si>
    <t>23-02-2024 05:45</t>
  </si>
  <si>
    <t>23-02-2024 06:00</t>
  </si>
  <si>
    <t>23-02-2024 06:15</t>
  </si>
  <si>
    <t>23-02-2024 06:30</t>
  </si>
  <si>
    <t>23-02-2024 06:45</t>
  </si>
  <si>
    <t>23-02-2024 07:00</t>
  </si>
  <si>
    <t>23-02-2024 07:15</t>
  </si>
  <si>
    <t>23-02-2024 07:30</t>
  </si>
  <si>
    <t>23-02-2024 07:45</t>
  </si>
  <si>
    <t>23-02-2024 08:00</t>
  </si>
  <si>
    <t>23-02-2024 08:15</t>
  </si>
  <si>
    <t>23-02-2024 08:30</t>
  </si>
  <si>
    <t>23-02-2024 08:45</t>
  </si>
  <si>
    <t>23-02-2024 09:00</t>
  </si>
  <si>
    <t>23-02-2024 09:15</t>
  </si>
  <si>
    <t>23-02-2024 09:30</t>
  </si>
  <si>
    <t>23-02-2024 09:45</t>
  </si>
  <si>
    <t>23-02-2024 10:00</t>
  </si>
  <si>
    <t>23-02-2024 10:15</t>
  </si>
  <si>
    <t>23-02-2024 10:30</t>
  </si>
  <si>
    <t>23-02-2024 10:45</t>
  </si>
  <si>
    <t>23-02-2024 11:00</t>
  </si>
  <si>
    <t>23-02-2024 11:15</t>
  </si>
  <si>
    <t>23-02-2024 11:30</t>
  </si>
  <si>
    <t>23-02-2024 11:45</t>
  </si>
  <si>
    <t>23-02-2024 12:00</t>
  </si>
  <si>
    <t>23-02-2024 12:15</t>
  </si>
  <si>
    <t>23-02-2024 12:30</t>
  </si>
  <si>
    <t>23-02-2024 12:45</t>
  </si>
  <si>
    <t>23-02-2024 13:00</t>
  </si>
  <si>
    <t>23-02-2024 13:15</t>
  </si>
  <si>
    <t>23-02-2024 13:30</t>
  </si>
  <si>
    <t>23-02-2024 13:45</t>
  </si>
  <si>
    <t>23-02-2024 14:00</t>
  </si>
  <si>
    <t>23-02-2024 14:15</t>
  </si>
  <si>
    <t>23-02-2024 14:30</t>
  </si>
  <si>
    <t>23-02-2024 14:45</t>
  </si>
  <si>
    <t>23-02-2024 15:00</t>
  </si>
  <si>
    <t>23-02-2024 15:15</t>
  </si>
  <si>
    <t>23-02-2024 15:30</t>
  </si>
  <si>
    <t>23-02-2024 15:45</t>
  </si>
  <si>
    <t>23-02-2024 16:00</t>
  </si>
  <si>
    <t>23-02-2024 16:15</t>
  </si>
  <si>
    <t>23-02-2024 16:30</t>
  </si>
  <si>
    <t>23-02-2024 16:45</t>
  </si>
  <si>
    <t>23-02-2024 17:00</t>
  </si>
  <si>
    <t>23-02-2024 17:15</t>
  </si>
  <si>
    <t>23-02-2024 17:30</t>
  </si>
  <si>
    <t>23-02-2024 17:45</t>
  </si>
  <si>
    <t>23-02-2024 18:00</t>
  </si>
  <si>
    <t>23-02-2024 18:15</t>
  </si>
  <si>
    <t>23-02-2024 18:30</t>
  </si>
  <si>
    <t>23-02-2024 18:45</t>
  </si>
  <si>
    <t>23-02-2024 19:00</t>
  </si>
  <si>
    <t>23-02-2024 19:15</t>
  </si>
  <si>
    <t>23-02-2024 19:30</t>
  </si>
  <si>
    <t>23-02-2024 19:45</t>
  </si>
  <si>
    <t>23-02-2024 20:00</t>
  </si>
  <si>
    <t>23-02-2024 20:15</t>
  </si>
  <si>
    <t>23-02-2024 20:30</t>
  </si>
  <si>
    <t>23-02-2024 20:45</t>
  </si>
  <si>
    <t>23-02-2024 21:00</t>
  </si>
  <si>
    <t>23-02-2024 21:15</t>
  </si>
  <si>
    <t>23-02-2024 21:30</t>
  </si>
  <si>
    <t>23-02-2024 21:45</t>
  </si>
  <si>
    <t>23-02-2024 22:00</t>
  </si>
  <si>
    <t>23-02-2024 22:15</t>
  </si>
  <si>
    <t>23-02-2024 22:30</t>
  </si>
  <si>
    <t>23-02-2024 22:45</t>
  </si>
  <si>
    <t>23-02-2024 23:00</t>
  </si>
  <si>
    <t>23-02-2024 23:15</t>
  </si>
  <si>
    <t>23-02-2024 23:30</t>
  </si>
  <si>
    <t>23-02-2024 23:45</t>
  </si>
  <si>
    <t>23-02-2024 24:00</t>
  </si>
  <si>
    <t>24-02-2024 00:15</t>
  </si>
  <si>
    <t>24-02-2024 00:30</t>
  </si>
  <si>
    <t>24-02-2024 00:45</t>
  </si>
  <si>
    <t>24-02-2024 01:00</t>
  </si>
  <si>
    <t>24-02-2024 01:15</t>
  </si>
  <si>
    <t>24-02-2024 01:30</t>
  </si>
  <si>
    <t>24-02-2024 01:45</t>
  </si>
  <si>
    <t>24-02-2024 02:00</t>
  </si>
  <si>
    <t>24-02-2024 02:15</t>
  </si>
  <si>
    <t>24-02-2024 02:30</t>
  </si>
  <si>
    <t>24-02-2024 02:45</t>
  </si>
  <si>
    <t>24-02-2024 03:00</t>
  </si>
  <si>
    <t>24-02-2024 03:15</t>
  </si>
  <si>
    <t>24-02-2024 03:30</t>
  </si>
  <si>
    <t>24-02-2024 03:45</t>
  </si>
  <si>
    <t>24-02-2024 04:00</t>
  </si>
  <si>
    <t>24-02-2024 04:15</t>
  </si>
  <si>
    <t>24-02-2024 04:30</t>
  </si>
  <si>
    <t>24-02-2024 04:45</t>
  </si>
  <si>
    <t>24-02-2024 05:00</t>
  </si>
  <si>
    <t>24-02-2024 05:15</t>
  </si>
  <si>
    <t>24-02-2024 05:30</t>
  </si>
  <si>
    <t>24-02-2024 05:45</t>
  </si>
  <si>
    <t>24-02-2024 06:00</t>
  </si>
  <si>
    <t>24-02-2024 06:15</t>
  </si>
  <si>
    <t>24-02-2024 06:30</t>
  </si>
  <si>
    <t>24-02-2024 06:45</t>
  </si>
  <si>
    <t>24-02-2024 07:00</t>
  </si>
  <si>
    <t>24-02-2024 07:15</t>
  </si>
  <si>
    <t>24-02-2024 07:30</t>
  </si>
  <si>
    <t>24-02-2024 07:45</t>
  </si>
  <si>
    <t>24-02-2024 08:00</t>
  </si>
  <si>
    <t>24-02-2024 08:15</t>
  </si>
  <si>
    <t>24-02-2024 08:30</t>
  </si>
  <si>
    <t>24-02-2024 08:45</t>
  </si>
  <si>
    <t>24-02-2024 09:00</t>
  </si>
  <si>
    <t>24-02-2024 09:15</t>
  </si>
  <si>
    <t>24-02-2024 09:30</t>
  </si>
  <si>
    <t>24-02-2024 09:45</t>
  </si>
  <si>
    <t>24-02-2024 10:00</t>
  </si>
  <si>
    <t>24-02-2024 10:15</t>
  </si>
  <si>
    <t>24-02-2024 10:30</t>
  </si>
  <si>
    <t>24-02-2024 10:45</t>
  </si>
  <si>
    <t>24-02-2024 11:00</t>
  </si>
  <si>
    <t>24-02-2024 11:15</t>
  </si>
  <si>
    <t>24-02-2024 11:30</t>
  </si>
  <si>
    <t>24-02-2024 11:45</t>
  </si>
  <si>
    <t>24-02-2024 12:00</t>
  </si>
  <si>
    <t>24-02-2024 12:15</t>
  </si>
  <si>
    <t>24-02-2024 12:30</t>
  </si>
  <si>
    <t>24-02-2024 12:45</t>
  </si>
  <si>
    <t>24-02-2024 13:00</t>
  </si>
  <si>
    <t>24-02-2024 13:15</t>
  </si>
  <si>
    <t>24-02-2024 13:30</t>
  </si>
  <si>
    <t>24-02-2024 13:45</t>
  </si>
  <si>
    <t>24-02-2024 14:00</t>
  </si>
  <si>
    <t>24-02-2024 14:15</t>
  </si>
  <si>
    <t>24-02-2024 14:30</t>
  </si>
  <si>
    <t>24-02-2024 14:45</t>
  </si>
  <si>
    <t>24-02-2024 15:00</t>
  </si>
  <si>
    <t>24-02-2024 15:15</t>
  </si>
  <si>
    <t>24-02-2024 15:30</t>
  </si>
  <si>
    <t>24-02-2024 15:45</t>
  </si>
  <si>
    <t>24-02-2024 16:00</t>
  </si>
  <si>
    <t>24-02-2024 16:15</t>
  </si>
  <si>
    <t>24-02-2024 16:30</t>
  </si>
  <si>
    <t>24-02-2024 16:45</t>
  </si>
  <si>
    <t>24-02-2024 17:00</t>
  </si>
  <si>
    <t>24-02-2024 17:15</t>
  </si>
  <si>
    <t>24-02-2024 17:30</t>
  </si>
  <si>
    <t>24-02-2024 17:45</t>
  </si>
  <si>
    <t>24-02-2024 18:00</t>
  </si>
  <si>
    <t>24-02-2024 18:15</t>
  </si>
  <si>
    <t>24-02-2024 18:30</t>
  </si>
  <si>
    <t>24-02-2024 18:45</t>
  </si>
  <si>
    <t>24-02-2024 19:00</t>
  </si>
  <si>
    <t>24-02-2024 19:15</t>
  </si>
  <si>
    <t>24-02-2024 19:30</t>
  </si>
  <si>
    <t>24-02-2024 19:45</t>
  </si>
  <si>
    <t>24-02-2024 20:00</t>
  </si>
  <si>
    <t>24-02-2024 20:15</t>
  </si>
  <si>
    <t>24-02-2024 20:30</t>
  </si>
  <si>
    <t>24-02-2024 20:45</t>
  </si>
  <si>
    <t>24-02-2024 21:00</t>
  </si>
  <si>
    <t>24-02-2024 21:15</t>
  </si>
  <si>
    <t>24-02-2024 21:30</t>
  </si>
  <si>
    <t>24-02-2024 21:45</t>
  </si>
  <si>
    <t>24-02-2024 22:00</t>
  </si>
  <si>
    <t>24-02-2024 22:15</t>
  </si>
  <si>
    <t>24-02-2024 22:30</t>
  </si>
  <si>
    <t>24-02-2024 22:45</t>
  </si>
  <si>
    <t>24-02-2024 23:00</t>
  </si>
  <si>
    <t>24-02-2024 23:15</t>
  </si>
  <si>
    <t>24-02-2024 23:30</t>
  </si>
  <si>
    <t>24-02-2024 23:45</t>
  </si>
  <si>
    <t>24-02-2024 24:00</t>
  </si>
  <si>
    <t>25-02-2024 00:15</t>
  </si>
  <si>
    <t>25-02-2024 00:30</t>
  </si>
  <si>
    <t>25-02-2024 00:45</t>
  </si>
  <si>
    <t>25-02-2024 01:00</t>
  </si>
  <si>
    <t>25-02-2024 01:15</t>
  </si>
  <si>
    <t>25-02-2024 01:30</t>
  </si>
  <si>
    <t>25-02-2024 01:45</t>
  </si>
  <si>
    <t>25-02-2024 02:00</t>
  </si>
  <si>
    <t>25-02-2024 02:15</t>
  </si>
  <si>
    <t>25-02-2024 02:30</t>
  </si>
  <si>
    <t>25-02-2024 02:45</t>
  </si>
  <si>
    <t>25-02-2024 03:00</t>
  </si>
  <si>
    <t>25-02-2024 03:15</t>
  </si>
  <si>
    <t>25-02-2024 03:30</t>
  </si>
  <si>
    <t>25-02-2024 03:45</t>
  </si>
  <si>
    <t>25-02-2024 04:00</t>
  </si>
  <si>
    <t>25-02-2024 04:15</t>
  </si>
  <si>
    <t>25-02-2024 04:30</t>
  </si>
  <si>
    <t>25-02-2024 04:45</t>
  </si>
  <si>
    <t>25-02-2024 05:00</t>
  </si>
  <si>
    <t>25-02-2024 05:15</t>
  </si>
  <si>
    <t>25-02-2024 05:30</t>
  </si>
  <si>
    <t>25-02-2024 05:45</t>
  </si>
  <si>
    <t>25-02-2024 06:00</t>
  </si>
  <si>
    <t>25-02-2024 06:15</t>
  </si>
  <si>
    <t>25-02-2024 06:30</t>
  </si>
  <si>
    <t>25-02-2024 06:45</t>
  </si>
  <si>
    <t>25-02-2024 07:00</t>
  </si>
  <si>
    <t>25-02-2024 07:15</t>
  </si>
  <si>
    <t>25-02-2024 07:30</t>
  </si>
  <si>
    <t>25-02-2024 07:45</t>
  </si>
  <si>
    <t>25-02-2024 08:00</t>
  </si>
  <si>
    <t>25-02-2024 08:15</t>
  </si>
  <si>
    <t>25-02-2024 08:30</t>
  </si>
  <si>
    <t>25-02-2024 08:45</t>
  </si>
  <si>
    <t>25-02-2024 09:00</t>
  </si>
  <si>
    <t>25-02-2024 09:15</t>
  </si>
  <si>
    <t>25-02-2024 09:30</t>
  </si>
  <si>
    <t>25-02-2024 09:45</t>
  </si>
  <si>
    <t>25-02-2024 10:00</t>
  </si>
  <si>
    <t>25-02-2024 10:15</t>
  </si>
  <si>
    <t>25-02-2024 10:30</t>
  </si>
  <si>
    <t>25-02-2024 10:45</t>
  </si>
  <si>
    <t>25-02-2024 11:00</t>
  </si>
  <si>
    <t>25-02-2024 11:15</t>
  </si>
  <si>
    <t>25-02-2024 11:30</t>
  </si>
  <si>
    <t>25-02-2024 11:45</t>
  </si>
  <si>
    <t>25-02-2024 12:00</t>
  </si>
  <si>
    <t>25-02-2024 12:15</t>
  </si>
  <si>
    <t>25-02-2024 12:30</t>
  </si>
  <si>
    <t>25-02-2024 12:45</t>
  </si>
  <si>
    <t>25-02-2024 13:00</t>
  </si>
  <si>
    <t>25-02-2024 13:15</t>
  </si>
  <si>
    <t>25-02-2024 13:30</t>
  </si>
  <si>
    <t>25-02-2024 13:45</t>
  </si>
  <si>
    <t>25-02-2024 14:00</t>
  </si>
  <si>
    <t>25-02-2024 14:15</t>
  </si>
  <si>
    <t>25-02-2024 14:30</t>
  </si>
  <si>
    <t>25-02-2024 14:45</t>
  </si>
  <si>
    <t>25-02-2024 15:00</t>
  </si>
  <si>
    <t>25-02-2024 15:15</t>
  </si>
  <si>
    <t>25-02-2024 15:30</t>
  </si>
  <si>
    <t>25-02-2024 15:45</t>
  </si>
  <si>
    <t>25-02-2024 16:00</t>
  </si>
  <si>
    <t>25-02-2024 16:15</t>
  </si>
  <si>
    <t>25-02-2024 16:30</t>
  </si>
  <si>
    <t>25-02-2024 16:45</t>
  </si>
  <si>
    <t>25-02-2024 17:00</t>
  </si>
  <si>
    <t>25-02-2024 17:15</t>
  </si>
  <si>
    <t>25-02-2024 17:30</t>
  </si>
  <si>
    <t>25-02-2024 17:45</t>
  </si>
  <si>
    <t>25-02-2024 18:00</t>
  </si>
  <si>
    <t>25-02-2024 18:15</t>
  </si>
  <si>
    <t>25-02-2024 18:30</t>
  </si>
  <si>
    <t>25-02-2024 18:45</t>
  </si>
  <si>
    <t>25-02-2024 19:00</t>
  </si>
  <si>
    <t>25-02-2024 19:15</t>
  </si>
  <si>
    <t>25-02-2024 19:30</t>
  </si>
  <si>
    <t>25-02-2024 19:45</t>
  </si>
  <si>
    <t>25-02-2024 20:00</t>
  </si>
  <si>
    <t>25-02-2024 20:15</t>
  </si>
  <si>
    <t>25-02-2024 20:30</t>
  </si>
  <si>
    <t>25-02-2024 20:45</t>
  </si>
  <si>
    <t>25-02-2024 21:00</t>
  </si>
  <si>
    <t>25-02-2024 21:15</t>
  </si>
  <si>
    <t>25-02-2024 21:30</t>
  </si>
  <si>
    <t>25-02-2024 21:45</t>
  </si>
  <si>
    <t>25-02-2024 22:00</t>
  </si>
  <si>
    <t>25-02-2024 22:15</t>
  </si>
  <si>
    <t>25-02-2024 22:30</t>
  </si>
  <si>
    <t>25-02-2024 22:45</t>
  </si>
  <si>
    <t>25-02-2024 23:00</t>
  </si>
  <si>
    <t>25-02-2024 23:15</t>
  </si>
  <si>
    <t>25-02-2024 23:30</t>
  </si>
  <si>
    <t>25-02-2024 23:45</t>
  </si>
  <si>
    <t>25-02-2024 24:00</t>
  </si>
  <si>
    <t>26-02-2024 00:15</t>
  </si>
  <si>
    <t>26-02-2024 00:30</t>
  </si>
  <si>
    <t>26-02-2024 00:45</t>
  </si>
  <si>
    <t>26-02-2024 01:00</t>
  </si>
  <si>
    <t>26-02-2024 01:15</t>
  </si>
  <si>
    <t>26-02-2024 01:30</t>
  </si>
  <si>
    <t>26-02-2024 01:45</t>
  </si>
  <si>
    <t>26-02-2024 02:00</t>
  </si>
  <si>
    <t>26-02-2024 02:15</t>
  </si>
  <si>
    <t>26-02-2024 02:30</t>
  </si>
  <si>
    <t>26-02-2024 02:45</t>
  </si>
  <si>
    <t>26-02-2024 03:00</t>
  </si>
  <si>
    <t>26-02-2024 03:15</t>
  </si>
  <si>
    <t>26-02-2024 03:30</t>
  </si>
  <si>
    <t>26-02-2024 03:45</t>
  </si>
  <si>
    <t>26-02-2024 04:00</t>
  </si>
  <si>
    <t>26-02-2024 04:15</t>
  </si>
  <si>
    <t>26-02-2024 04:30</t>
  </si>
  <si>
    <t>26-02-2024 04:45</t>
  </si>
  <si>
    <t>26-02-2024 05:00</t>
  </si>
  <si>
    <t>26-02-2024 05:15</t>
  </si>
  <si>
    <t>26-02-2024 05:30</t>
  </si>
  <si>
    <t>26-02-2024 05:45</t>
  </si>
  <si>
    <t>26-02-2024 06:00</t>
  </si>
  <si>
    <t>26-02-2024 06:15</t>
  </si>
  <si>
    <t>26-02-2024 06:30</t>
  </si>
  <si>
    <t>26-02-2024 06:45</t>
  </si>
  <si>
    <t>26-02-2024 07:00</t>
  </si>
  <si>
    <t>26-02-2024 07:15</t>
  </si>
  <si>
    <t>26-02-2024 07:30</t>
  </si>
  <si>
    <t>26-02-2024 07:45</t>
  </si>
  <si>
    <t>26-02-2024 08:00</t>
  </si>
  <si>
    <t>26-02-2024 08:15</t>
  </si>
  <si>
    <t>26-02-2024 08:30</t>
  </si>
  <si>
    <t>26-02-2024 08:45</t>
  </si>
  <si>
    <t>26-02-2024 09:00</t>
  </si>
  <si>
    <t>26-02-2024 09:15</t>
  </si>
  <si>
    <t>26-02-2024 09:30</t>
  </si>
  <si>
    <t>26-02-2024 09:45</t>
  </si>
  <si>
    <t>26-02-2024 10:00</t>
  </si>
  <si>
    <t>26-02-2024 10:15</t>
  </si>
  <si>
    <t>26-02-2024 10:30</t>
  </si>
  <si>
    <t>26-02-2024 10:45</t>
  </si>
  <si>
    <t>26-02-2024 11:00</t>
  </si>
  <si>
    <t>26-02-2024 11:15</t>
  </si>
  <si>
    <t>26-02-2024 11:30</t>
  </si>
  <si>
    <t>26-02-2024 11:45</t>
  </si>
  <si>
    <t>26-02-2024 12:00</t>
  </si>
  <si>
    <t>26-02-2024 12:15</t>
  </si>
  <si>
    <t>26-02-2024 12:30</t>
  </si>
  <si>
    <t>26-02-2024 12:45</t>
  </si>
  <si>
    <t>26-02-2024 13:00</t>
  </si>
  <si>
    <t>26-02-2024 13:15</t>
  </si>
  <si>
    <t>26-02-2024 13:30</t>
  </si>
  <si>
    <t>26-02-2024 13:45</t>
  </si>
  <si>
    <t>26-02-2024 14:00</t>
  </si>
  <si>
    <t>26-02-2024 14:15</t>
  </si>
  <si>
    <t>26-02-2024 14:30</t>
  </si>
  <si>
    <t>26-02-2024 14:45</t>
  </si>
  <si>
    <t>26-02-2024 15:00</t>
  </si>
  <si>
    <t>26-02-2024 15:15</t>
  </si>
  <si>
    <t>26-02-2024 15:30</t>
  </si>
  <si>
    <t>26-02-2024 15:45</t>
  </si>
  <si>
    <t>26-02-2024 16:00</t>
  </si>
  <si>
    <t>26-02-2024 16:15</t>
  </si>
  <si>
    <t>26-02-2024 16:30</t>
  </si>
  <si>
    <t>26-02-2024 16:45</t>
  </si>
  <si>
    <t>26-02-2024 17:00</t>
  </si>
  <si>
    <t>26-02-2024 17:15</t>
  </si>
  <si>
    <t>26-02-2024 17:30</t>
  </si>
  <si>
    <t>26-02-2024 17:45</t>
  </si>
  <si>
    <t>26-02-2024 18:00</t>
  </si>
  <si>
    <t>26-02-2024 18:15</t>
  </si>
  <si>
    <t>26-02-2024 18:30</t>
  </si>
  <si>
    <t>26-02-2024 18:45</t>
  </si>
  <si>
    <t>26-02-2024 19:00</t>
  </si>
  <si>
    <t>26-02-2024 19:15</t>
  </si>
  <si>
    <t>26-02-2024 19:30</t>
  </si>
  <si>
    <t>26-02-2024 19:45</t>
  </si>
  <si>
    <t>26-02-2024 20:00</t>
  </si>
  <si>
    <t>26-02-2024 20:15</t>
  </si>
  <si>
    <t>26-02-2024 20:30</t>
  </si>
  <si>
    <t>26-02-2024 20:45</t>
  </si>
  <si>
    <t>26-02-2024 21:00</t>
  </si>
  <si>
    <t>26-02-2024 21:15</t>
  </si>
  <si>
    <t>26-02-2024 21:30</t>
  </si>
  <si>
    <t>26-02-2024 21:45</t>
  </si>
  <si>
    <t>26-02-2024 22:00</t>
  </si>
  <si>
    <t>26-02-2024 22:15</t>
  </si>
  <si>
    <t>26-02-2024 22:30</t>
  </si>
  <si>
    <t>26-02-2024 22:45</t>
  </si>
  <si>
    <t>26-02-2024 23:00</t>
  </si>
  <si>
    <t>26-02-2024 23:15</t>
  </si>
  <si>
    <t>26-02-2024 23:30</t>
  </si>
  <si>
    <t>26-02-2024 23:45</t>
  </si>
  <si>
    <t>26-02-2024 24:00</t>
  </si>
  <si>
    <t>27-02-2024 00:15</t>
  </si>
  <si>
    <t>27-02-2024 00:30</t>
  </si>
  <si>
    <t>27-02-2024 00:45</t>
  </si>
  <si>
    <t>27-02-2024 01:00</t>
  </si>
  <si>
    <t>27-02-2024 01:15</t>
  </si>
  <si>
    <t>27-02-2024 01:30</t>
  </si>
  <si>
    <t>27-02-2024 01:45</t>
  </si>
  <si>
    <t>27-02-2024 02:00</t>
  </si>
  <si>
    <t>27-02-2024 02:15</t>
  </si>
  <si>
    <t>27-02-2024 02:30</t>
  </si>
  <si>
    <t>27-02-2024 02:45</t>
  </si>
  <si>
    <t>27-02-2024 03:00</t>
  </si>
  <si>
    <t>27-02-2024 03:15</t>
  </si>
  <si>
    <t>27-02-2024 03:30</t>
  </si>
  <si>
    <t>27-02-2024 03:45</t>
  </si>
  <si>
    <t>27-02-2024 04:00</t>
  </si>
  <si>
    <t>27-02-2024 04:15</t>
  </si>
  <si>
    <t>27-02-2024 04:30</t>
  </si>
  <si>
    <t>27-02-2024 04:45</t>
  </si>
  <si>
    <t>27-02-2024 05:00</t>
  </si>
  <si>
    <t>27-02-2024 05:15</t>
  </si>
  <si>
    <t>27-02-2024 05:30</t>
  </si>
  <si>
    <t>27-02-2024 05:45</t>
  </si>
  <si>
    <t>27-02-2024 06:00</t>
  </si>
  <si>
    <t>27-02-2024 06:15</t>
  </si>
  <si>
    <t>27-02-2024 06:30</t>
  </si>
  <si>
    <t>27-02-2024 06:45</t>
  </si>
  <si>
    <t>27-02-2024 07:00</t>
  </si>
  <si>
    <t>27-02-2024 07:15</t>
  </si>
  <si>
    <t>27-02-2024 07:30</t>
  </si>
  <si>
    <t>27-02-2024 07:45</t>
  </si>
  <si>
    <t>27-02-2024 08:00</t>
  </si>
  <si>
    <t>27-02-2024 08:15</t>
  </si>
  <si>
    <t>27-02-2024 08:30</t>
  </si>
  <si>
    <t>27-02-2024 08:45</t>
  </si>
  <si>
    <t>27-02-2024 09:00</t>
  </si>
  <si>
    <t>27-02-2024 09:15</t>
  </si>
  <si>
    <t>27-02-2024 09:30</t>
  </si>
  <si>
    <t>27-02-2024 09:45</t>
  </si>
  <si>
    <t>27-02-2024 10:00</t>
  </si>
  <si>
    <t>27-02-2024 10:15</t>
  </si>
  <si>
    <t>27-02-2024 10:30</t>
  </si>
  <si>
    <t>27-02-2024 10:45</t>
  </si>
  <si>
    <t>27-02-2024 11:00</t>
  </si>
  <si>
    <t>27-02-2024 11:15</t>
  </si>
  <si>
    <t>27-02-2024 11:30</t>
  </si>
  <si>
    <t>27-02-2024 11:45</t>
  </si>
  <si>
    <t>27-02-2024 12:00</t>
  </si>
  <si>
    <t>27-02-2024 12:15</t>
  </si>
  <si>
    <t>27-02-2024 12:30</t>
  </si>
  <si>
    <t>27-02-2024 12:45</t>
  </si>
  <si>
    <t>27-02-2024 13:00</t>
  </si>
  <si>
    <t>27-02-2024 13:15</t>
  </si>
  <si>
    <t>27-02-2024 13:30</t>
  </si>
  <si>
    <t>27-02-2024 13:45</t>
  </si>
  <si>
    <t>27-02-2024 14:00</t>
  </si>
  <si>
    <t>27-02-2024 14:15</t>
  </si>
  <si>
    <t>27-02-2024 14:30</t>
  </si>
  <si>
    <t>27-02-2024 14:45</t>
  </si>
  <si>
    <t>27-02-2024 15:00</t>
  </si>
  <si>
    <t>27-02-2024 15:15</t>
  </si>
  <si>
    <t>27-02-2024 15:30</t>
  </si>
  <si>
    <t>27-02-2024 15:45</t>
  </si>
  <si>
    <t>27-02-2024 16:00</t>
  </si>
  <si>
    <t>27-02-2024 16:15</t>
  </si>
  <si>
    <t>27-02-2024 16:30</t>
  </si>
  <si>
    <t>27-02-2024 16:45</t>
  </si>
  <si>
    <t>27-02-2024 17:00</t>
  </si>
  <si>
    <t>27-02-2024 17:15</t>
  </si>
  <si>
    <t>27-02-2024 17:30</t>
  </si>
  <si>
    <t>27-02-2024 17:45</t>
  </si>
  <si>
    <t>27-02-2024 18:00</t>
  </si>
  <si>
    <t>27-02-2024 18:15</t>
  </si>
  <si>
    <t>27-02-2024 18:30</t>
  </si>
  <si>
    <t>27-02-2024 18:45</t>
  </si>
  <si>
    <t>27-02-2024 19:00</t>
  </si>
  <si>
    <t>27-02-2024 19:15</t>
  </si>
  <si>
    <t>27-02-2024 19:30</t>
  </si>
  <si>
    <t>27-02-2024 19:45</t>
  </si>
  <si>
    <t>27-02-2024 20:00</t>
  </si>
  <si>
    <t>27-02-2024 20:15</t>
  </si>
  <si>
    <t>27-02-2024 20:30</t>
  </si>
  <si>
    <t>27-02-2024 20:45</t>
  </si>
  <si>
    <t>27-02-2024 21:00</t>
  </si>
  <si>
    <t>27-02-2024 21:15</t>
  </si>
  <si>
    <t>27-02-2024 21:30</t>
  </si>
  <si>
    <t>27-02-2024 21:45</t>
  </si>
  <si>
    <t>27-02-2024 22:00</t>
  </si>
  <si>
    <t>27-02-2024 22:15</t>
  </si>
  <si>
    <t>27-02-2024 22:30</t>
  </si>
  <si>
    <t>27-02-2024 22:45</t>
  </si>
  <si>
    <t>27-02-2024 23:00</t>
  </si>
  <si>
    <t>27-02-2024 23:15</t>
  </si>
  <si>
    <t>27-02-2024 23:30</t>
  </si>
  <si>
    <t>27-02-2024 23:45</t>
  </si>
  <si>
    <t>27-02-2024 24:00</t>
  </si>
  <si>
    <t>28-02-2024 00:15</t>
  </si>
  <si>
    <t>28-02-2024 00:30</t>
  </si>
  <si>
    <t>28-02-2024 00:45</t>
  </si>
  <si>
    <t>28-02-2024 01:00</t>
  </si>
  <si>
    <t>28-02-2024 01:15</t>
  </si>
  <si>
    <t>28-02-2024 01:30</t>
  </si>
  <si>
    <t>28-02-2024 01:45</t>
  </si>
  <si>
    <t>28-02-2024 02:00</t>
  </si>
  <si>
    <t>28-02-2024 02:15</t>
  </si>
  <si>
    <t>28-02-2024 02:30</t>
  </si>
  <si>
    <t>28-02-2024 02:45</t>
  </si>
  <si>
    <t>28-02-2024 03:00</t>
  </si>
  <si>
    <t>28-02-2024 03:15</t>
  </si>
  <si>
    <t>28-02-2024 03:30</t>
  </si>
  <si>
    <t>28-02-2024 03:45</t>
  </si>
  <si>
    <t>28-02-2024 04:00</t>
  </si>
  <si>
    <t>28-02-2024 04:15</t>
  </si>
  <si>
    <t>28-02-2024 04:30</t>
  </si>
  <si>
    <t>28-02-2024 04:45</t>
  </si>
  <si>
    <t>28-02-2024 05:00</t>
  </si>
  <si>
    <t>28-02-2024 05:15</t>
  </si>
  <si>
    <t>28-02-2024 05:30</t>
  </si>
  <si>
    <t>28-02-2024 05:45</t>
  </si>
  <si>
    <t>28-02-2024 06:00</t>
  </si>
  <si>
    <t>28-02-2024 06:15</t>
  </si>
  <si>
    <t>28-02-2024 06:30</t>
  </si>
  <si>
    <t>28-02-2024 06:45</t>
  </si>
  <si>
    <t>28-02-2024 07:00</t>
  </si>
  <si>
    <t>28-02-2024 07:15</t>
  </si>
  <si>
    <t>28-02-2024 07:30</t>
  </si>
  <si>
    <t>28-02-2024 07:45</t>
  </si>
  <si>
    <t>28-02-2024 08:00</t>
  </si>
  <si>
    <t>28-02-2024 08:15</t>
  </si>
  <si>
    <t>28-02-2024 08:30</t>
  </si>
  <si>
    <t>28-02-2024 08:45</t>
  </si>
  <si>
    <t>28-02-2024 09:00</t>
  </si>
  <si>
    <t>28-02-2024 09:15</t>
  </si>
  <si>
    <t>28-02-2024 09:30</t>
  </si>
  <si>
    <t>28-02-2024 09:45</t>
  </si>
  <si>
    <t>28-02-2024 10:00</t>
  </si>
  <si>
    <t>28-02-2024 10:15</t>
  </si>
  <si>
    <t>28-02-2024 10:30</t>
  </si>
  <si>
    <t>28-02-2024 10:45</t>
  </si>
  <si>
    <t>28-02-2024 11:00</t>
  </si>
  <si>
    <t>28-02-2024 11:15</t>
  </si>
  <si>
    <t>28-02-2024 11:30</t>
  </si>
  <si>
    <t>28-02-2024 11:45</t>
  </si>
  <si>
    <t>28-02-2024 12:00</t>
  </si>
  <si>
    <t>28-02-2024 12:15</t>
  </si>
  <si>
    <t>28-02-2024 12:30</t>
  </si>
  <si>
    <t>28-02-2024 12:45</t>
  </si>
  <si>
    <t>28-02-2024 13:00</t>
  </si>
  <si>
    <t>28-02-2024 13:15</t>
  </si>
  <si>
    <t>28-02-2024 13:30</t>
  </si>
  <si>
    <t>28-02-2024 13:45</t>
  </si>
  <si>
    <t>28-02-2024 14:00</t>
  </si>
  <si>
    <t>28-02-2024 14:15</t>
  </si>
  <si>
    <t>28-02-2024 14:30</t>
  </si>
  <si>
    <t>28-02-2024 14:45</t>
  </si>
  <si>
    <t>28-02-2024 15:00</t>
  </si>
  <si>
    <t>28-02-2024 15:15</t>
  </si>
  <si>
    <t>28-02-2024 15:30</t>
  </si>
  <si>
    <t>28-02-2024 15:45</t>
  </si>
  <si>
    <t>28-02-2024 16:00</t>
  </si>
  <si>
    <t>28-02-2024 16:15</t>
  </si>
  <si>
    <t>28-02-2024 16:30</t>
  </si>
  <si>
    <t>28-02-2024 16:45</t>
  </si>
  <si>
    <t>28-02-2024 17:00</t>
  </si>
  <si>
    <t>28-02-2024 17:15</t>
  </si>
  <si>
    <t>28-02-2024 17:30</t>
  </si>
  <si>
    <t>28-02-2024 17:45</t>
  </si>
  <si>
    <t>28-02-2024 18:00</t>
  </si>
  <si>
    <t>28-02-2024 18:15</t>
  </si>
  <si>
    <t>28-02-2024 18:30</t>
  </si>
  <si>
    <t>28-02-2024 18:45</t>
  </si>
  <si>
    <t>28-02-2024 19:00</t>
  </si>
  <si>
    <t>28-02-2024 19:15</t>
  </si>
  <si>
    <t>28-02-2024 19:30</t>
  </si>
  <si>
    <t>28-02-2024 19:45</t>
  </si>
  <si>
    <t>28-02-2024 20:00</t>
  </si>
  <si>
    <t>28-02-2024 20:15</t>
  </si>
  <si>
    <t>28-02-2024 20:30</t>
  </si>
  <si>
    <t>28-02-2024 20:45</t>
  </si>
  <si>
    <t>28-02-2024 21:00</t>
  </si>
  <si>
    <t>28-02-2024 21:15</t>
  </si>
  <si>
    <t>28-02-2024 21:30</t>
  </si>
  <si>
    <t>28-02-2024 21:45</t>
  </si>
  <si>
    <t>28-02-2024 22:00</t>
  </si>
  <si>
    <t>28-02-2024 22:15</t>
  </si>
  <si>
    <t>28-02-2024 22:30</t>
  </si>
  <si>
    <t>28-02-2024 22:45</t>
  </si>
  <si>
    <t>28-02-2024 23:00</t>
  </si>
  <si>
    <t>28-02-2024 23:15</t>
  </si>
  <si>
    <t>28-02-2024 23:30</t>
  </si>
  <si>
    <t>28-02-2024 23:45</t>
  </si>
  <si>
    <t>28-02-2024 24:00</t>
  </si>
  <si>
    <t>29-02-2024 00:15</t>
  </si>
  <si>
    <t>29-02-2024 00:30</t>
  </si>
  <si>
    <t>29-02-2024 00:45</t>
  </si>
  <si>
    <t>29-02-2024 01:00</t>
  </si>
  <si>
    <t>29-02-2024 01:15</t>
  </si>
  <si>
    <t>29-02-2024 01:30</t>
  </si>
  <si>
    <t>29-02-2024 01:45</t>
  </si>
  <si>
    <t>29-02-2024 02:00</t>
  </si>
  <si>
    <t>29-02-2024 02:15</t>
  </si>
  <si>
    <t>29-02-2024 02:30</t>
  </si>
  <si>
    <t>29-02-2024 02:45</t>
  </si>
  <si>
    <t>29-02-2024 03:00</t>
  </si>
  <si>
    <t>29-02-2024 03:15</t>
  </si>
  <si>
    <t>29-02-2024 03:30</t>
  </si>
  <si>
    <t>29-02-2024 03:45</t>
  </si>
  <si>
    <t>29-02-2024 04:00</t>
  </si>
  <si>
    <t>29-02-2024 04:15</t>
  </si>
  <si>
    <t>29-02-2024 04:30</t>
  </si>
  <si>
    <t>29-02-2024 04:45</t>
  </si>
  <si>
    <t>29-02-2024 05:00</t>
  </si>
  <si>
    <t>29-02-2024 05:15</t>
  </si>
  <si>
    <t>29-02-2024 05:30</t>
  </si>
  <si>
    <t>29-02-2024 05:45</t>
  </si>
  <si>
    <t>29-02-2024 06:00</t>
  </si>
  <si>
    <t>29-02-2024 06:15</t>
  </si>
  <si>
    <t>29-02-2024 06:30</t>
  </si>
  <si>
    <t>29-02-2024 06:45</t>
  </si>
  <si>
    <t>29-02-2024 07:00</t>
  </si>
  <si>
    <t>29-02-2024 07:15</t>
  </si>
  <si>
    <t>29-02-2024 07:30</t>
  </si>
  <si>
    <t>29-02-2024 07:45</t>
  </si>
  <si>
    <t>29-02-2024 08:00</t>
  </si>
  <si>
    <t>29-02-2024 08:15</t>
  </si>
  <si>
    <t>29-02-2024 08:30</t>
  </si>
  <si>
    <t>29-02-2024 08:45</t>
  </si>
  <si>
    <t>29-02-2024 09:00</t>
  </si>
  <si>
    <t>29-02-2024 09:15</t>
  </si>
  <si>
    <t>29-02-2024 09:30</t>
  </si>
  <si>
    <t>29-02-2024 09:45</t>
  </si>
  <si>
    <t>29-02-2024 10:00</t>
  </si>
  <si>
    <t>29-02-2024 10:15</t>
  </si>
  <si>
    <t>29-02-2024 10:30</t>
  </si>
  <si>
    <t>29-02-2024 10:45</t>
  </si>
  <si>
    <t>29-02-2024 11:00</t>
  </si>
  <si>
    <t>29-02-2024 11:15</t>
  </si>
  <si>
    <t>29-02-2024 11:30</t>
  </si>
  <si>
    <t>29-02-2024 11:45</t>
  </si>
  <si>
    <t>29-02-2024 12:00</t>
  </si>
  <si>
    <t>29-02-2024 12:15</t>
  </si>
  <si>
    <t>29-02-2024 12:30</t>
  </si>
  <si>
    <t>29-02-2024 12:45</t>
  </si>
  <si>
    <t>29-02-2024 13:00</t>
  </si>
  <si>
    <t>29-02-2024 13:15</t>
  </si>
  <si>
    <t>29-02-2024 13:30</t>
  </si>
  <si>
    <t>29-02-2024 13:45</t>
  </si>
  <si>
    <t>29-02-2024 14:00</t>
  </si>
  <si>
    <t>29-02-2024 14:15</t>
  </si>
  <si>
    <t>29-02-2024 14:30</t>
  </si>
  <si>
    <t>29-02-2024 14:45</t>
  </si>
  <si>
    <t>29-02-2024 15:00</t>
  </si>
  <si>
    <t>29-02-2024 15:15</t>
  </si>
  <si>
    <t>29-02-2024 15:30</t>
  </si>
  <si>
    <t>29-02-2024 15:45</t>
  </si>
  <si>
    <t>29-02-2024 16:00</t>
  </si>
  <si>
    <t>29-02-2024 16:15</t>
  </si>
  <si>
    <t>29-02-2024 16:30</t>
  </si>
  <si>
    <t>29-02-2024 16:45</t>
  </si>
  <si>
    <t>29-02-2024 17:00</t>
  </si>
  <si>
    <t>29-02-2024 17:15</t>
  </si>
  <si>
    <t>29-02-2024 17:30</t>
  </si>
  <si>
    <t>29-02-2024 17:45</t>
  </si>
  <si>
    <t>29-02-2024 18:00</t>
  </si>
  <si>
    <t>29-02-2024 18:15</t>
  </si>
  <si>
    <t>29-02-2024 18:30</t>
  </si>
  <si>
    <t>29-02-2024 18:45</t>
  </si>
  <si>
    <t>29-02-2024 19:00</t>
  </si>
  <si>
    <t>29-02-2024 19:15</t>
  </si>
  <si>
    <t>29-02-2024 19:30</t>
  </si>
  <si>
    <t>29-02-2024 19:45</t>
  </si>
  <si>
    <t>29-02-2024 20:00</t>
  </si>
  <si>
    <t>29-02-2024 20:15</t>
  </si>
  <si>
    <t>29-02-2024 20:30</t>
  </si>
  <si>
    <t>29-02-2024 20:45</t>
  </si>
  <si>
    <t>29-02-2024 21:00</t>
  </si>
  <si>
    <t>29-02-2024 21:15</t>
  </si>
  <si>
    <t>29-02-2024 21:30</t>
  </si>
  <si>
    <t>29-02-2024 21:45</t>
  </si>
  <si>
    <t>29-02-2024 22:00</t>
  </si>
  <si>
    <t>29-02-2024 22:15</t>
  </si>
  <si>
    <t>29-02-2024 22:30</t>
  </si>
  <si>
    <t>29-02-2024 22:45</t>
  </si>
  <si>
    <t>29-02-2024 23:00</t>
  </si>
  <si>
    <t>29-02-2024 23:15</t>
  </si>
  <si>
    <t>29-02-2024 23:30</t>
  </si>
  <si>
    <t>29-02-2024 23:45</t>
  </si>
  <si>
    <t>29-02-2024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</si>
</sst>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247</v>
      </c>
      <c r="B9" s="64">
        <v>16.07</v>
      </c>
      <c r="C9" s="64">
        <v>61.42</v>
      </c>
      <c r="D9" s="64">
        <v>47.43</v>
      </c>
      <c r="E9" s="64">
        <v>0.26</v>
      </c>
      <c r="F9" s="64">
        <v>3.15</v>
      </c>
      <c r="G9" s="64">
        <v>88.12</v>
      </c>
      <c r="H9" s="64">
        <v>37.770000000000003</v>
      </c>
      <c r="I9" s="64">
        <v>1.55</v>
      </c>
      <c r="J9" s="64">
        <v>0.09</v>
      </c>
      <c r="K9" s="64">
        <v>289.86</v>
      </c>
      <c r="L9" s="64">
        <v>17.559999999999999</v>
      </c>
      <c r="M9" s="64">
        <v>82.79</v>
      </c>
      <c r="N9" s="64">
        <v>59.3</v>
      </c>
      <c r="O9" s="64">
        <v>0</v>
      </c>
      <c r="P9" s="64">
        <v>1.04</v>
      </c>
      <c r="Q9" s="64">
        <v>7.93</v>
      </c>
      <c r="R9" s="198"/>
      <c r="S9" s="198"/>
      <c r="T9" s="198"/>
      <c r="U9" s="198"/>
    </row>
    <row r="10" spans="1:21" s="12" customFormat="1" x14ac:dyDescent="0.25">
      <c r="A10" s="213" t="s">
        <v>248</v>
      </c>
      <c r="B10" s="64">
        <v>18.71</v>
      </c>
      <c r="C10" s="64">
        <v>60.7</v>
      </c>
      <c r="D10" s="64">
        <v>49.15</v>
      </c>
      <c r="E10" s="64">
        <v>0.27</v>
      </c>
      <c r="F10" s="64">
        <v>3.16</v>
      </c>
      <c r="G10" s="64">
        <v>90.56</v>
      </c>
      <c r="H10" s="64">
        <v>39.22</v>
      </c>
      <c r="I10" s="64">
        <v>1.53</v>
      </c>
      <c r="J10" s="64">
        <v>0.08</v>
      </c>
      <c r="K10" s="64">
        <v>305.32</v>
      </c>
      <c r="L10" s="64">
        <v>17.68</v>
      </c>
      <c r="M10" s="64">
        <v>82.68</v>
      </c>
      <c r="N10" s="64">
        <v>59</v>
      </c>
      <c r="O10" s="64">
        <v>0</v>
      </c>
      <c r="P10" s="64">
        <v>1.06</v>
      </c>
      <c r="Q10" s="64">
        <v>8.07</v>
      </c>
      <c r="R10" s="198"/>
      <c r="S10" s="198"/>
      <c r="T10" s="198"/>
      <c r="U10" s="198"/>
    </row>
    <row r="11" spans="1:21" s="12" customFormat="1" x14ac:dyDescent="0.25">
      <c r="A11" s="213" t="s">
        <v>249</v>
      </c>
      <c r="B11" s="64">
        <v>20.8</v>
      </c>
      <c r="C11" s="64">
        <v>57.48</v>
      </c>
      <c r="D11" s="64">
        <v>49.05</v>
      </c>
      <c r="E11" s="64">
        <v>0.24</v>
      </c>
      <c r="F11" s="64">
        <v>2.91</v>
      </c>
      <c r="G11" s="64">
        <v>101.84</v>
      </c>
      <c r="H11" s="64">
        <v>44.16</v>
      </c>
      <c r="I11" s="64">
        <v>1.51</v>
      </c>
      <c r="J11" s="64">
        <v>0.17</v>
      </c>
      <c r="K11" s="64">
        <v>183.77</v>
      </c>
      <c r="L11" s="64">
        <v>17.86</v>
      </c>
      <c r="M11" s="64">
        <v>79.28</v>
      </c>
      <c r="N11" s="64">
        <v>58.7</v>
      </c>
      <c r="O11" s="64">
        <v>0</v>
      </c>
      <c r="P11" s="64">
        <v>1.05</v>
      </c>
      <c r="Q11" s="64">
        <v>8.19</v>
      </c>
      <c r="R11" s="198"/>
      <c r="S11" s="198"/>
      <c r="T11" s="198"/>
      <c r="U11" s="198"/>
    </row>
    <row r="12" spans="1:21" s="12" customFormat="1" x14ac:dyDescent="0.25">
      <c r="A12" s="213" t="s">
        <v>250</v>
      </c>
      <c r="B12" s="64">
        <v>20.329999999999998</v>
      </c>
      <c r="C12" s="64">
        <v>58.5</v>
      </c>
      <c r="D12" s="64">
        <v>49.23</v>
      </c>
      <c r="E12" s="64">
        <v>0.3</v>
      </c>
      <c r="F12" s="64">
        <v>2.97</v>
      </c>
      <c r="G12" s="64">
        <v>101.84</v>
      </c>
      <c r="H12" s="64">
        <v>44.16</v>
      </c>
      <c r="I12" s="64">
        <v>1.56</v>
      </c>
      <c r="J12" s="64">
        <v>0.51</v>
      </c>
      <c r="K12" s="64">
        <v>182.44</v>
      </c>
      <c r="L12" s="64">
        <v>18.239999999999998</v>
      </c>
      <c r="M12" s="64">
        <v>75.430000000000007</v>
      </c>
      <c r="N12" s="64">
        <v>58.1</v>
      </c>
      <c r="O12" s="64">
        <v>0</v>
      </c>
      <c r="P12" s="64">
        <v>1.03</v>
      </c>
      <c r="Q12" s="64">
        <v>8.18</v>
      </c>
      <c r="R12" s="198"/>
      <c r="S12" s="198"/>
      <c r="T12" s="198"/>
      <c r="U12" s="198"/>
    </row>
    <row r="13" spans="1:21" s="12" customFormat="1" x14ac:dyDescent="0.25">
      <c r="A13" s="213" t="s">
        <v>251</v>
      </c>
      <c r="B13" s="64">
        <v>18.13</v>
      </c>
      <c r="C13" s="64">
        <v>59.97</v>
      </c>
      <c r="D13" s="64">
        <v>48.28</v>
      </c>
      <c r="E13" s="64">
        <v>0.27</v>
      </c>
      <c r="F13" s="64">
        <v>3.26</v>
      </c>
      <c r="G13" s="64">
        <v>101.84</v>
      </c>
      <c r="H13" s="64">
        <v>44.16</v>
      </c>
      <c r="I13" s="64">
        <v>1.55</v>
      </c>
      <c r="J13" s="64">
        <v>0.62</v>
      </c>
      <c r="K13" s="64">
        <v>160.46</v>
      </c>
      <c r="L13" s="64">
        <v>18.18</v>
      </c>
      <c r="M13" s="64">
        <v>76.34</v>
      </c>
      <c r="N13" s="64">
        <v>58.6</v>
      </c>
      <c r="O13" s="64">
        <v>0</v>
      </c>
      <c r="P13" s="64">
        <v>0.96</v>
      </c>
      <c r="Q13" s="64">
        <v>8.14</v>
      </c>
      <c r="R13" s="198"/>
      <c r="S13" s="198"/>
      <c r="T13" s="198"/>
      <c r="U13" s="198"/>
    </row>
    <row r="14" spans="1:21" s="12" customFormat="1" x14ac:dyDescent="0.25">
      <c r="A14" s="213" t="s">
        <v>252</v>
      </c>
      <c r="B14" s="64">
        <v>16.23</v>
      </c>
      <c r="C14" s="64">
        <v>59.57</v>
      </c>
      <c r="D14" s="64">
        <v>46.54</v>
      </c>
      <c r="E14" s="64">
        <v>0.28000000000000003</v>
      </c>
      <c r="F14" s="64">
        <v>3.01</v>
      </c>
      <c r="G14" s="64">
        <v>99.55</v>
      </c>
      <c r="H14" s="64">
        <v>43.18</v>
      </c>
      <c r="I14" s="64">
        <v>1.5</v>
      </c>
      <c r="J14" s="64">
        <v>0.68</v>
      </c>
      <c r="K14" s="64">
        <v>164.05</v>
      </c>
      <c r="L14" s="64">
        <v>18.190000000000001</v>
      </c>
      <c r="M14" s="64">
        <v>75.2</v>
      </c>
      <c r="N14" s="64">
        <v>58.5</v>
      </c>
      <c r="O14" s="64">
        <v>0</v>
      </c>
      <c r="P14" s="64">
        <v>0.95</v>
      </c>
      <c r="Q14" s="64">
        <v>8</v>
      </c>
      <c r="R14" s="198"/>
      <c r="S14" s="198"/>
      <c r="T14" s="198"/>
      <c r="U14" s="198"/>
    </row>
    <row r="15" spans="1:21" s="12" customFormat="1" x14ac:dyDescent="0.25">
      <c r="A15" s="213" t="s">
        <v>253</v>
      </c>
      <c r="B15" s="64">
        <v>14.57</v>
      </c>
      <c r="C15" s="64">
        <v>59.51</v>
      </c>
      <c r="D15" s="64">
        <v>45.17</v>
      </c>
      <c r="E15" s="64">
        <v>0.24</v>
      </c>
      <c r="F15" s="64">
        <v>3.17</v>
      </c>
      <c r="G15" s="64">
        <v>88.97</v>
      </c>
      <c r="H15" s="64">
        <v>39.86</v>
      </c>
      <c r="I15" s="64">
        <v>1.47</v>
      </c>
      <c r="J15" s="64">
        <v>0.13</v>
      </c>
      <c r="K15" s="64">
        <v>169.13</v>
      </c>
      <c r="L15" s="64">
        <v>18.04</v>
      </c>
      <c r="M15" s="64">
        <v>76.400000000000006</v>
      </c>
      <c r="N15" s="64">
        <v>59</v>
      </c>
      <c r="O15" s="64">
        <v>0</v>
      </c>
      <c r="P15" s="64">
        <v>0.92</v>
      </c>
      <c r="Q15" s="64">
        <v>7.91</v>
      </c>
      <c r="R15" s="198"/>
      <c r="S15" s="198"/>
      <c r="T15" s="198"/>
      <c r="U15" s="198"/>
    </row>
    <row r="16" spans="1:21" s="12" customFormat="1" x14ac:dyDescent="0.25">
      <c r="A16" s="213" t="s">
        <v>254</v>
      </c>
      <c r="B16" s="64">
        <v>13.07</v>
      </c>
      <c r="C16" s="64">
        <v>58.93</v>
      </c>
      <c r="D16" s="64">
        <v>43.65</v>
      </c>
      <c r="E16" s="64">
        <v>0.28000000000000003</v>
      </c>
      <c r="F16" s="64">
        <v>3.22</v>
      </c>
      <c r="G16" s="64">
        <v>88.97</v>
      </c>
      <c r="H16" s="64">
        <v>39.86</v>
      </c>
      <c r="I16" s="64">
        <v>1.47</v>
      </c>
      <c r="J16" s="64">
        <v>0.06</v>
      </c>
      <c r="K16" s="64">
        <v>275.33</v>
      </c>
      <c r="L16" s="64">
        <v>17.760000000000002</v>
      </c>
      <c r="M16" s="64">
        <v>78.510000000000005</v>
      </c>
      <c r="N16" s="64">
        <v>59</v>
      </c>
      <c r="O16" s="64">
        <v>0</v>
      </c>
      <c r="P16" s="64">
        <v>0.9</v>
      </c>
      <c r="Q16" s="64">
        <v>7.75</v>
      </c>
      <c r="R16" s="198"/>
      <c r="S16" s="198"/>
      <c r="T16" s="198"/>
      <c r="U16" s="198"/>
    </row>
    <row r="17" spans="1:21" s="12" customFormat="1" x14ac:dyDescent="0.25">
      <c r="A17" s="213" t="s">
        <v>255</v>
      </c>
      <c r="B17" s="64">
        <v>11.71</v>
      </c>
      <c r="C17" s="64">
        <v>58.38</v>
      </c>
      <c r="D17" s="64">
        <v>42.25</v>
      </c>
      <c r="E17" s="64">
        <v>0.25</v>
      </c>
      <c r="F17" s="64">
        <v>3.26</v>
      </c>
      <c r="G17" s="64">
        <v>88.97</v>
      </c>
      <c r="H17" s="64">
        <v>39.86</v>
      </c>
      <c r="I17" s="64">
        <v>1.52</v>
      </c>
      <c r="J17" s="64">
        <v>0.34</v>
      </c>
      <c r="K17" s="64">
        <v>183.33</v>
      </c>
      <c r="L17" s="64">
        <v>17.829999999999998</v>
      </c>
      <c r="M17" s="64">
        <v>77.31</v>
      </c>
      <c r="N17" s="64">
        <v>58.3</v>
      </c>
      <c r="O17" s="64">
        <v>0</v>
      </c>
      <c r="P17" s="64">
        <v>0.86</v>
      </c>
      <c r="Q17" s="64">
        <v>7.61</v>
      </c>
      <c r="R17" s="198"/>
      <c r="S17" s="198"/>
      <c r="T17" s="198"/>
      <c r="U17" s="198"/>
    </row>
    <row r="18" spans="1:21" s="12" customFormat="1" x14ac:dyDescent="0.25">
      <c r="A18" s="213" t="s">
        <v>256</v>
      </c>
      <c r="B18" s="64">
        <v>10.46</v>
      </c>
      <c r="C18" s="64">
        <v>57.3</v>
      </c>
      <c r="D18" s="64">
        <v>40.659999999999997</v>
      </c>
      <c r="E18" s="64">
        <v>0.28000000000000003</v>
      </c>
      <c r="F18" s="64">
        <v>3.18</v>
      </c>
      <c r="G18" s="64">
        <v>86.37</v>
      </c>
      <c r="H18" s="64">
        <v>39.51</v>
      </c>
      <c r="I18" s="64">
        <v>1.44</v>
      </c>
      <c r="J18" s="64">
        <v>0.17</v>
      </c>
      <c r="K18" s="64">
        <v>89.71</v>
      </c>
      <c r="L18" s="64">
        <v>17.829999999999998</v>
      </c>
      <c r="M18" s="64">
        <v>77.069999999999993</v>
      </c>
      <c r="N18" s="64">
        <v>58.7</v>
      </c>
      <c r="O18" s="64">
        <v>0</v>
      </c>
      <c r="P18" s="64">
        <v>0.84</v>
      </c>
      <c r="Q18" s="64">
        <v>7.45</v>
      </c>
      <c r="R18" s="198"/>
      <c r="S18" s="198"/>
      <c r="T18" s="198"/>
      <c r="U18" s="198"/>
    </row>
    <row r="19" spans="1:21" s="12" customFormat="1" x14ac:dyDescent="0.25">
      <c r="A19" s="213" t="s">
        <v>257</v>
      </c>
      <c r="B19" s="64">
        <v>9.4700000000000006</v>
      </c>
      <c r="C19" s="64">
        <v>56.76</v>
      </c>
      <c r="D19" s="64">
        <v>39.56</v>
      </c>
      <c r="E19" s="64">
        <v>0.23</v>
      </c>
      <c r="F19" s="64">
        <v>3.02</v>
      </c>
      <c r="G19" s="64">
        <v>74.36</v>
      </c>
      <c r="H19" s="64">
        <v>38.31</v>
      </c>
      <c r="I19" s="64">
        <v>1.5</v>
      </c>
      <c r="J19" s="64">
        <v>0.03</v>
      </c>
      <c r="K19" s="64">
        <v>181.31</v>
      </c>
      <c r="L19" s="64">
        <v>17.75</v>
      </c>
      <c r="M19" s="64">
        <v>77.599999999999994</v>
      </c>
      <c r="N19" s="64">
        <v>58.6</v>
      </c>
      <c r="O19" s="64">
        <v>0</v>
      </c>
      <c r="P19" s="64">
        <v>0.81</v>
      </c>
      <c r="Q19" s="64">
        <v>7.33</v>
      </c>
      <c r="R19" s="198"/>
      <c r="S19" s="198"/>
      <c r="T19" s="198"/>
      <c r="U19" s="198"/>
    </row>
    <row r="20" spans="1:21" s="12" customFormat="1" x14ac:dyDescent="0.25">
      <c r="A20" s="213" t="s">
        <v>258</v>
      </c>
      <c r="B20" s="64">
        <v>8.69</v>
      </c>
      <c r="C20" s="64">
        <v>55.98</v>
      </c>
      <c r="D20" s="64">
        <v>38.51</v>
      </c>
      <c r="E20" s="64">
        <v>0.25</v>
      </c>
      <c r="F20" s="64">
        <v>3.07</v>
      </c>
      <c r="G20" s="64">
        <v>74.36</v>
      </c>
      <c r="H20" s="64">
        <v>38.31</v>
      </c>
      <c r="I20" s="64">
        <v>1.55</v>
      </c>
      <c r="J20" s="64">
        <v>0.12</v>
      </c>
      <c r="K20" s="64">
        <v>306.2</v>
      </c>
      <c r="L20" s="64">
        <v>17.48</v>
      </c>
      <c r="M20" s="64">
        <v>81.5</v>
      </c>
      <c r="N20" s="64">
        <v>59</v>
      </c>
      <c r="O20" s="64">
        <v>0</v>
      </c>
      <c r="P20" s="64">
        <v>0.79</v>
      </c>
      <c r="Q20" s="64">
        <v>7.25</v>
      </c>
      <c r="R20" s="198"/>
      <c r="S20" s="198"/>
      <c r="T20" s="198"/>
      <c r="U20" s="198"/>
    </row>
    <row r="21" spans="1:21" s="12" customFormat="1" x14ac:dyDescent="0.25">
      <c r="A21" s="213" t="s">
        <v>259</v>
      </c>
      <c r="B21" s="64">
        <v>8.49</v>
      </c>
      <c r="C21" s="64">
        <v>55.3</v>
      </c>
      <c r="D21" s="64">
        <v>37.97</v>
      </c>
      <c r="E21" s="64">
        <v>0.2</v>
      </c>
      <c r="F21" s="64">
        <v>3.23</v>
      </c>
      <c r="G21" s="64">
        <v>74.36</v>
      </c>
      <c r="H21" s="64">
        <v>38.31</v>
      </c>
      <c r="I21" s="64">
        <v>1.54</v>
      </c>
      <c r="J21" s="64">
        <v>0.13</v>
      </c>
      <c r="K21" s="64">
        <v>335.14</v>
      </c>
      <c r="L21" s="64">
        <v>16.89</v>
      </c>
      <c r="M21" s="64">
        <v>86.43</v>
      </c>
      <c r="N21" s="64">
        <v>59</v>
      </c>
      <c r="O21" s="64">
        <v>0</v>
      </c>
      <c r="P21" s="64">
        <v>0.76</v>
      </c>
      <c r="Q21" s="64">
        <v>7.17</v>
      </c>
      <c r="R21" s="198"/>
      <c r="S21" s="198"/>
      <c r="T21" s="198"/>
      <c r="U21" s="198"/>
    </row>
    <row r="22" spans="1:21" s="12" customFormat="1" x14ac:dyDescent="0.25">
      <c r="A22" s="213" t="s">
        <v>260</v>
      </c>
      <c r="B22" s="64">
        <v>8.1999999999999993</v>
      </c>
      <c r="C22" s="64">
        <v>54.27</v>
      </c>
      <c r="D22" s="64">
        <v>37.17</v>
      </c>
      <c r="E22" s="64">
        <v>0.16</v>
      </c>
      <c r="F22" s="64">
        <v>3.36</v>
      </c>
      <c r="G22" s="64">
        <v>73.27</v>
      </c>
      <c r="H22" s="64">
        <v>37.79</v>
      </c>
      <c r="I22" s="64">
        <v>1.47</v>
      </c>
      <c r="J22" s="64">
        <v>7.0000000000000007E-2</v>
      </c>
      <c r="K22" s="64">
        <v>240.27</v>
      </c>
      <c r="L22" s="64">
        <v>16.75</v>
      </c>
      <c r="M22" s="64">
        <v>85.8</v>
      </c>
      <c r="N22" s="64">
        <v>58.7</v>
      </c>
      <c r="O22" s="64">
        <v>0</v>
      </c>
      <c r="P22" s="64">
        <v>0.75</v>
      </c>
      <c r="Q22" s="64">
        <v>7.07</v>
      </c>
      <c r="R22" s="198"/>
      <c r="S22" s="198"/>
      <c r="T22" s="198"/>
      <c r="U22" s="198"/>
    </row>
    <row r="23" spans="1:21" s="12" customFormat="1" x14ac:dyDescent="0.25">
      <c r="A23" s="213" t="s">
        <v>261</v>
      </c>
      <c r="B23" s="64">
        <v>7.96</v>
      </c>
      <c r="C23" s="64">
        <v>54.1</v>
      </c>
      <c r="D23" s="64">
        <v>36.89</v>
      </c>
      <c r="E23" s="64">
        <v>0.21</v>
      </c>
      <c r="F23" s="64">
        <v>3.2</v>
      </c>
      <c r="G23" s="64">
        <v>68.28</v>
      </c>
      <c r="H23" s="64">
        <v>35.11</v>
      </c>
      <c r="I23" s="64">
        <v>1.52</v>
      </c>
      <c r="J23" s="64">
        <v>0.45</v>
      </c>
      <c r="K23" s="64">
        <v>320.76</v>
      </c>
      <c r="L23" s="64">
        <v>16.59</v>
      </c>
      <c r="M23" s="64">
        <v>89.63</v>
      </c>
      <c r="N23" s="64">
        <v>58.6</v>
      </c>
      <c r="O23" s="64">
        <v>0</v>
      </c>
      <c r="P23" s="64">
        <v>0.73</v>
      </c>
      <c r="Q23" s="64">
        <v>7.05</v>
      </c>
      <c r="R23" s="198"/>
      <c r="S23" s="198"/>
      <c r="T23" s="198"/>
      <c r="U23" s="198"/>
    </row>
    <row r="24" spans="1:21" s="12" customFormat="1" x14ac:dyDescent="0.25">
      <c r="A24" s="213" t="s">
        <v>262</v>
      </c>
      <c r="B24" s="64">
        <v>8.0299999999999994</v>
      </c>
      <c r="C24" s="64">
        <v>53.27</v>
      </c>
      <c r="D24" s="64">
        <v>36.49</v>
      </c>
      <c r="E24" s="64">
        <v>0.08</v>
      </c>
      <c r="F24" s="64">
        <v>3.08</v>
      </c>
      <c r="G24" s="64">
        <v>68.28</v>
      </c>
      <c r="H24" s="64">
        <v>35.11</v>
      </c>
      <c r="I24" s="64">
        <v>1.56</v>
      </c>
      <c r="J24" s="64">
        <v>0.67</v>
      </c>
      <c r="K24" s="64">
        <v>328.27</v>
      </c>
      <c r="L24" s="64">
        <v>16.63</v>
      </c>
      <c r="M24" s="64">
        <v>88.18</v>
      </c>
      <c r="N24" s="64">
        <v>57.8</v>
      </c>
      <c r="O24" s="64">
        <v>0</v>
      </c>
      <c r="P24" s="64">
        <v>0.72</v>
      </c>
      <c r="Q24" s="64">
        <v>7.08</v>
      </c>
      <c r="R24" s="198"/>
      <c r="S24" s="198"/>
      <c r="T24" s="198"/>
      <c r="U24" s="198"/>
    </row>
    <row r="25" spans="1:21" s="12" customFormat="1" x14ac:dyDescent="0.25">
      <c r="A25" s="213" t="s">
        <v>263</v>
      </c>
      <c r="B25" s="64">
        <v>8.07</v>
      </c>
      <c r="C25" s="64">
        <v>53.6</v>
      </c>
      <c r="D25" s="64">
        <v>36.700000000000003</v>
      </c>
      <c r="E25" s="64">
        <v>0.1</v>
      </c>
      <c r="F25" s="64">
        <v>3.07</v>
      </c>
      <c r="G25" s="64">
        <v>68.28</v>
      </c>
      <c r="H25" s="64">
        <v>35.11</v>
      </c>
      <c r="I25" s="64">
        <v>1.53</v>
      </c>
      <c r="J25" s="64">
        <v>0.3</v>
      </c>
      <c r="K25" s="64">
        <v>329.68</v>
      </c>
      <c r="L25" s="64">
        <v>16.54</v>
      </c>
      <c r="M25" s="64">
        <v>89.18</v>
      </c>
      <c r="N25" s="64">
        <v>58.9</v>
      </c>
      <c r="O25" s="64">
        <v>0</v>
      </c>
      <c r="P25" s="64">
        <v>0.73</v>
      </c>
      <c r="Q25" s="212" t="s">
        <v>42</v>
      </c>
      <c r="R25" s="198"/>
      <c r="S25" s="198"/>
      <c r="T25" s="198"/>
      <c r="U25" s="198"/>
    </row>
    <row r="26" spans="1:21" s="12" customFormat="1" x14ac:dyDescent="0.25">
      <c r="A26" s="213" t="s">
        <v>264</v>
      </c>
      <c r="B26" s="64">
        <v>9.52</v>
      </c>
      <c r="C26" s="64">
        <v>54.5</v>
      </c>
      <c r="D26" s="64">
        <v>38.36</v>
      </c>
      <c r="E26" s="64">
        <v>0.19</v>
      </c>
      <c r="F26" s="64">
        <v>3.05</v>
      </c>
      <c r="G26" s="64">
        <v>69.53</v>
      </c>
      <c r="H26" s="64">
        <v>35.32</v>
      </c>
      <c r="I26" s="64">
        <v>1.5</v>
      </c>
      <c r="J26" s="64">
        <v>0.09</v>
      </c>
      <c r="K26" s="64">
        <v>275.5</v>
      </c>
      <c r="L26" s="64">
        <v>16.260000000000002</v>
      </c>
      <c r="M26" s="64">
        <v>91.77</v>
      </c>
      <c r="N26" s="64">
        <v>59</v>
      </c>
      <c r="O26" s="64">
        <v>0</v>
      </c>
      <c r="P26" s="64">
        <v>0.76</v>
      </c>
      <c r="Q26" s="212" t="s">
        <v>42</v>
      </c>
      <c r="R26" s="198"/>
      <c r="S26" s="198"/>
      <c r="T26" s="198"/>
      <c r="U26" s="198"/>
    </row>
    <row r="27" spans="1:21" s="12" customFormat="1" x14ac:dyDescent="0.25">
      <c r="A27" s="213" t="s">
        <v>265</v>
      </c>
      <c r="B27" s="64">
        <v>9.52</v>
      </c>
      <c r="C27" s="64">
        <v>54.5</v>
      </c>
      <c r="D27" s="64">
        <v>38.36</v>
      </c>
      <c r="E27" s="64">
        <v>0.19</v>
      </c>
      <c r="F27" s="64">
        <v>3.05</v>
      </c>
      <c r="G27" s="64">
        <v>69.53</v>
      </c>
      <c r="H27" s="64">
        <v>35.32</v>
      </c>
      <c r="I27" s="64">
        <v>1.5</v>
      </c>
      <c r="J27" s="64">
        <v>0.09</v>
      </c>
      <c r="K27" s="64">
        <v>275.5</v>
      </c>
      <c r="L27" s="64">
        <v>16.260000000000002</v>
      </c>
      <c r="M27" s="64">
        <v>91.77</v>
      </c>
      <c r="N27" s="64">
        <v>59</v>
      </c>
      <c r="O27" s="64">
        <v>0</v>
      </c>
      <c r="P27" s="64">
        <v>0.76</v>
      </c>
      <c r="Q27" s="212" t="s">
        <v>42</v>
      </c>
      <c r="R27" s="198"/>
      <c r="S27" s="198"/>
      <c r="T27" s="198"/>
      <c r="U27" s="198"/>
    </row>
    <row r="28" spans="1:21" s="12" customFormat="1" x14ac:dyDescent="0.25">
      <c r="A28" s="213" t="s">
        <v>266</v>
      </c>
      <c r="B28" s="64">
        <v>9.52</v>
      </c>
      <c r="C28" s="64">
        <v>54.5</v>
      </c>
      <c r="D28" s="64">
        <v>38.36</v>
      </c>
      <c r="E28" s="64">
        <v>0.19</v>
      </c>
      <c r="F28" s="64">
        <v>3.05</v>
      </c>
      <c r="G28" s="64">
        <v>69.53</v>
      </c>
      <c r="H28" s="64">
        <v>35.32</v>
      </c>
      <c r="I28" s="64">
        <v>1.5</v>
      </c>
      <c r="J28" s="64">
        <v>0.09</v>
      </c>
      <c r="K28" s="64">
        <v>275.5</v>
      </c>
      <c r="L28" s="64">
        <v>16.260000000000002</v>
      </c>
      <c r="M28" s="64">
        <v>91.77</v>
      </c>
      <c r="N28" s="64">
        <v>59</v>
      </c>
      <c r="O28" s="64">
        <v>0</v>
      </c>
      <c r="P28" s="64">
        <v>0.76</v>
      </c>
      <c r="Q28" s="212" t="s">
        <v>42</v>
      </c>
      <c r="R28" s="198"/>
      <c r="S28" s="198"/>
      <c r="T28" s="198"/>
      <c r="U28" s="198"/>
    </row>
    <row r="29" spans="1:21" s="12" customFormat="1" x14ac:dyDescent="0.25">
      <c r="A29" s="213" t="s">
        <v>267</v>
      </c>
      <c r="B29" s="64">
        <v>14.32</v>
      </c>
      <c r="C29" s="64">
        <v>53.41</v>
      </c>
      <c r="D29" s="64">
        <v>41.6</v>
      </c>
      <c r="E29" s="64">
        <v>0.16</v>
      </c>
      <c r="F29" s="64">
        <v>3.17</v>
      </c>
      <c r="G29" s="64">
        <v>87.91</v>
      </c>
      <c r="H29" s="64">
        <v>38.04</v>
      </c>
      <c r="I29" s="64">
        <v>1.46</v>
      </c>
      <c r="J29" s="64">
        <v>0.24</v>
      </c>
      <c r="K29" s="64">
        <v>315.83999999999997</v>
      </c>
      <c r="L29" s="64">
        <v>15.85</v>
      </c>
      <c r="M29" s="64">
        <v>93.76</v>
      </c>
      <c r="N29" s="64">
        <v>58.8</v>
      </c>
      <c r="O29" s="64">
        <v>0</v>
      </c>
      <c r="P29" s="64">
        <v>0.82</v>
      </c>
      <c r="Q29" s="64">
        <v>7.5</v>
      </c>
      <c r="R29" s="198"/>
      <c r="S29" s="198"/>
      <c r="T29" s="198"/>
      <c r="U29" s="198"/>
    </row>
    <row r="30" spans="1:21" s="12" customFormat="1" x14ac:dyDescent="0.25">
      <c r="A30" s="213" t="s">
        <v>268</v>
      </c>
      <c r="B30" s="64">
        <v>16.8</v>
      </c>
      <c r="C30" s="64">
        <v>53.55</v>
      </c>
      <c r="D30" s="64">
        <v>43.67</v>
      </c>
      <c r="E30" s="64">
        <v>0.18</v>
      </c>
      <c r="F30" s="64">
        <v>3.23</v>
      </c>
      <c r="G30" s="64">
        <v>94.16</v>
      </c>
      <c r="H30" s="64">
        <v>40.35</v>
      </c>
      <c r="I30" s="64">
        <v>1.51</v>
      </c>
      <c r="J30" s="64">
        <v>0.2</v>
      </c>
      <c r="K30" s="64">
        <v>322.75</v>
      </c>
      <c r="L30" s="64">
        <v>15.53</v>
      </c>
      <c r="M30" s="64">
        <v>96.08</v>
      </c>
      <c r="N30" s="64">
        <v>58.8</v>
      </c>
      <c r="O30" s="64">
        <v>0</v>
      </c>
      <c r="P30" s="64">
        <v>0.86</v>
      </c>
      <c r="Q30" s="64">
        <v>7.75</v>
      </c>
      <c r="R30" s="198"/>
      <c r="S30" s="198"/>
      <c r="T30" s="198"/>
      <c r="U30" s="198"/>
    </row>
    <row r="31" spans="1:21" s="12" customFormat="1" x14ac:dyDescent="0.25">
      <c r="A31" s="213" t="s">
        <v>269</v>
      </c>
      <c r="B31" s="64">
        <v>19.13</v>
      </c>
      <c r="C31" s="64">
        <v>53.57</v>
      </c>
      <c r="D31" s="64">
        <v>45.55</v>
      </c>
      <c r="E31" s="64">
        <v>0.11</v>
      </c>
      <c r="F31" s="64">
        <v>3.08</v>
      </c>
      <c r="G31" s="64">
        <v>123.09</v>
      </c>
      <c r="H31" s="64">
        <v>48.34</v>
      </c>
      <c r="I31" s="64">
        <v>1.52</v>
      </c>
      <c r="J31" s="64">
        <v>0.12</v>
      </c>
      <c r="K31" s="64">
        <v>76.569999999999993</v>
      </c>
      <c r="L31" s="64">
        <v>15.58</v>
      </c>
      <c r="M31" s="64">
        <v>95.94</v>
      </c>
      <c r="N31" s="64">
        <v>58.9</v>
      </c>
      <c r="O31" s="64">
        <v>0</v>
      </c>
      <c r="P31" s="64">
        <v>0.88</v>
      </c>
      <c r="Q31" s="64">
        <v>7.86</v>
      </c>
      <c r="R31" s="198"/>
      <c r="S31" s="198"/>
      <c r="T31" s="198"/>
      <c r="U31" s="198"/>
    </row>
    <row r="32" spans="1:21" s="12" customFormat="1" x14ac:dyDescent="0.25">
      <c r="A32" s="213" t="s">
        <v>270</v>
      </c>
      <c r="B32" s="64">
        <v>21.33</v>
      </c>
      <c r="C32" s="64">
        <v>53.41</v>
      </c>
      <c r="D32" s="64">
        <v>47.22</v>
      </c>
      <c r="E32" s="64">
        <v>0.25</v>
      </c>
      <c r="F32" s="64">
        <v>3.18</v>
      </c>
      <c r="G32" s="64">
        <v>123.09</v>
      </c>
      <c r="H32" s="64">
        <v>48.34</v>
      </c>
      <c r="I32" s="64">
        <v>1.49</v>
      </c>
      <c r="J32" s="64">
        <v>0.08</v>
      </c>
      <c r="K32" s="64">
        <v>305.07</v>
      </c>
      <c r="L32" s="64">
        <v>15.56</v>
      </c>
      <c r="M32" s="64">
        <v>96.58</v>
      </c>
      <c r="N32" s="64">
        <v>59</v>
      </c>
      <c r="O32" s="64">
        <v>0</v>
      </c>
      <c r="P32" s="64">
        <v>0.9</v>
      </c>
      <c r="Q32" s="64">
        <v>8.07</v>
      </c>
      <c r="R32" s="198"/>
      <c r="S32" s="198"/>
      <c r="T32" s="198"/>
      <c r="U32" s="198"/>
    </row>
    <row r="33" spans="1:21" s="12" customFormat="1" x14ac:dyDescent="0.25">
      <c r="A33" s="213" t="s">
        <v>271</v>
      </c>
      <c r="B33" s="64">
        <v>24.03</v>
      </c>
      <c r="C33" s="64">
        <v>53.15</v>
      </c>
      <c r="D33" s="64">
        <v>49.25</v>
      </c>
      <c r="E33" s="64">
        <v>0.16</v>
      </c>
      <c r="F33" s="64">
        <v>3.11</v>
      </c>
      <c r="G33" s="64">
        <v>123.09</v>
      </c>
      <c r="H33" s="64">
        <v>48.34</v>
      </c>
      <c r="I33" s="64">
        <v>1.51</v>
      </c>
      <c r="J33" s="64">
        <v>0.05</v>
      </c>
      <c r="K33" s="64">
        <v>136.94999999999999</v>
      </c>
      <c r="L33" s="64">
        <v>15.42</v>
      </c>
      <c r="M33" s="64">
        <v>98.29</v>
      </c>
      <c r="N33" s="64">
        <v>59</v>
      </c>
      <c r="O33" s="64">
        <v>0</v>
      </c>
      <c r="P33" s="64">
        <v>0.94</v>
      </c>
      <c r="Q33" s="64">
        <v>8.25</v>
      </c>
      <c r="R33" s="198"/>
      <c r="S33" s="198"/>
      <c r="T33" s="198"/>
      <c r="U33" s="198"/>
    </row>
    <row r="34" spans="1:21" s="12" customFormat="1" x14ac:dyDescent="0.25">
      <c r="A34" s="213" t="s">
        <v>272</v>
      </c>
      <c r="B34" s="64">
        <v>27.98</v>
      </c>
      <c r="C34" s="64">
        <v>53.22</v>
      </c>
      <c r="D34" s="64">
        <v>52.45</v>
      </c>
      <c r="E34" s="64">
        <v>0.19</v>
      </c>
      <c r="F34" s="64">
        <v>3.11</v>
      </c>
      <c r="G34" s="64">
        <v>127.54</v>
      </c>
      <c r="H34" s="64">
        <v>52.05</v>
      </c>
      <c r="I34" s="64">
        <v>1.43</v>
      </c>
      <c r="J34" s="64">
        <v>0.02</v>
      </c>
      <c r="K34" s="64">
        <v>248.72</v>
      </c>
      <c r="L34" s="64">
        <v>15.48</v>
      </c>
      <c r="M34" s="64">
        <v>98.51</v>
      </c>
      <c r="N34" s="64">
        <v>59.7</v>
      </c>
      <c r="O34" s="64">
        <v>0</v>
      </c>
      <c r="P34" s="64">
        <v>0.97</v>
      </c>
      <c r="Q34" s="64">
        <v>8.4600000000000009</v>
      </c>
      <c r="R34" s="198"/>
      <c r="S34" s="198"/>
      <c r="T34" s="198"/>
      <c r="U34" s="198"/>
    </row>
    <row r="35" spans="1:21" s="12" customFormat="1" x14ac:dyDescent="0.25">
      <c r="A35" s="213" t="s">
        <v>273</v>
      </c>
      <c r="B35" s="64">
        <v>31.8</v>
      </c>
      <c r="C35" s="64">
        <v>53.32</v>
      </c>
      <c r="D35" s="64">
        <v>55.57</v>
      </c>
      <c r="E35" s="64">
        <v>0.24</v>
      </c>
      <c r="F35" s="64">
        <v>3.22</v>
      </c>
      <c r="G35" s="64">
        <v>148.13</v>
      </c>
      <c r="H35" s="64">
        <v>64.67</v>
      </c>
      <c r="I35" s="64">
        <v>1.51</v>
      </c>
      <c r="J35" s="64">
        <v>0.01</v>
      </c>
      <c r="K35" s="64">
        <v>213.63</v>
      </c>
      <c r="L35" s="64">
        <v>15.51</v>
      </c>
      <c r="M35" s="64">
        <v>98.56</v>
      </c>
      <c r="N35" s="64">
        <v>64.7</v>
      </c>
      <c r="O35" s="64">
        <v>0</v>
      </c>
      <c r="P35" s="64">
        <v>1</v>
      </c>
      <c r="Q35" s="64">
        <v>8.7200000000000006</v>
      </c>
      <c r="R35" s="198"/>
      <c r="S35" s="198"/>
      <c r="T35" s="198"/>
      <c r="U35" s="198"/>
    </row>
    <row r="36" spans="1:21" s="12" customFormat="1" x14ac:dyDescent="0.25">
      <c r="A36" s="213" t="s">
        <v>274</v>
      </c>
      <c r="B36" s="64">
        <v>36.15</v>
      </c>
      <c r="C36" s="64">
        <v>53.13</v>
      </c>
      <c r="D36" s="64">
        <v>58.96</v>
      </c>
      <c r="E36" s="64">
        <v>0.25</v>
      </c>
      <c r="F36" s="64">
        <v>3.15</v>
      </c>
      <c r="G36" s="64">
        <v>148.13</v>
      </c>
      <c r="H36" s="64">
        <v>64.67</v>
      </c>
      <c r="I36" s="64">
        <v>1.4</v>
      </c>
      <c r="J36" s="64">
        <v>0.02</v>
      </c>
      <c r="K36" s="64">
        <v>100.93</v>
      </c>
      <c r="L36" s="64">
        <v>15.65</v>
      </c>
      <c r="M36" s="64">
        <v>98.14</v>
      </c>
      <c r="N36" s="64">
        <v>78.3</v>
      </c>
      <c r="O36" s="64">
        <v>0</v>
      </c>
      <c r="P36" s="64">
        <v>1.04</v>
      </c>
      <c r="Q36" s="64">
        <v>8.99</v>
      </c>
      <c r="R36" s="198"/>
      <c r="S36" s="198"/>
      <c r="T36" s="198"/>
      <c r="U36" s="198"/>
    </row>
    <row r="37" spans="1:21" s="12" customFormat="1" x14ac:dyDescent="0.25">
      <c r="A37" s="213" t="s">
        <v>275</v>
      </c>
      <c r="B37" s="64">
        <v>40.54</v>
      </c>
      <c r="C37" s="64">
        <v>53.19</v>
      </c>
      <c r="D37" s="64">
        <v>62.51</v>
      </c>
      <c r="E37" s="64">
        <v>0.26</v>
      </c>
      <c r="F37" s="64">
        <v>2.71</v>
      </c>
      <c r="G37" s="64">
        <v>148.13</v>
      </c>
      <c r="H37" s="64">
        <v>64.67</v>
      </c>
      <c r="I37" s="64">
        <v>1.43</v>
      </c>
      <c r="J37" s="64">
        <v>0.01</v>
      </c>
      <c r="K37" s="64">
        <v>251.99</v>
      </c>
      <c r="L37" s="64">
        <v>16</v>
      </c>
      <c r="M37" s="64">
        <v>95.81</v>
      </c>
      <c r="N37" s="64">
        <v>96.9</v>
      </c>
      <c r="O37" s="64">
        <v>0</v>
      </c>
      <c r="P37" s="64">
        <v>1.05</v>
      </c>
      <c r="Q37" s="64">
        <v>9.2899999999999991</v>
      </c>
      <c r="R37" s="198"/>
      <c r="S37" s="198"/>
      <c r="T37" s="198"/>
      <c r="U37" s="198"/>
    </row>
    <row r="38" spans="1:21" s="12" customFormat="1" x14ac:dyDescent="0.25">
      <c r="A38" s="213" t="s">
        <v>276</v>
      </c>
      <c r="B38" s="64">
        <v>43.97</v>
      </c>
      <c r="C38" s="64">
        <v>53.29</v>
      </c>
      <c r="D38" s="64">
        <v>65.319999999999993</v>
      </c>
      <c r="E38" s="64">
        <v>0.26</v>
      </c>
      <c r="F38" s="64">
        <v>3.03</v>
      </c>
      <c r="G38" s="64">
        <v>153.74</v>
      </c>
      <c r="H38" s="64">
        <v>65.959999999999994</v>
      </c>
      <c r="I38" s="64">
        <v>1.54</v>
      </c>
      <c r="J38" s="64">
        <v>0.31</v>
      </c>
      <c r="K38" s="64">
        <v>126.71</v>
      </c>
      <c r="L38" s="64">
        <v>16.760000000000002</v>
      </c>
      <c r="M38" s="64">
        <v>92.12</v>
      </c>
      <c r="N38" s="64">
        <v>133.30000000000001</v>
      </c>
      <c r="O38" s="64">
        <v>0</v>
      </c>
      <c r="P38" s="64">
        <v>1.1200000000000001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3" t="s">
        <v>277</v>
      </c>
      <c r="B39" s="64">
        <v>46.42</v>
      </c>
      <c r="C39" s="64">
        <v>51.87</v>
      </c>
      <c r="D39" s="64">
        <v>66.5</v>
      </c>
      <c r="E39" s="64">
        <v>0.28999999999999998</v>
      </c>
      <c r="F39" s="64">
        <v>3.18</v>
      </c>
      <c r="G39" s="64">
        <v>179.71</v>
      </c>
      <c r="H39" s="64">
        <v>72.53</v>
      </c>
      <c r="I39" s="64">
        <v>1.54</v>
      </c>
      <c r="J39" s="64">
        <v>0.75</v>
      </c>
      <c r="K39" s="64">
        <v>106.88</v>
      </c>
      <c r="L39" s="64">
        <v>17.48</v>
      </c>
      <c r="M39" s="64">
        <v>84.86</v>
      </c>
      <c r="N39" s="64">
        <v>146.1</v>
      </c>
      <c r="O39" s="64">
        <v>0</v>
      </c>
      <c r="P39" s="64">
        <v>1.1399999999999999</v>
      </c>
      <c r="Q39" s="64">
        <v>9.83</v>
      </c>
      <c r="R39" s="198"/>
      <c r="S39" s="198"/>
      <c r="T39" s="198"/>
      <c r="U39" s="198"/>
    </row>
    <row r="40" spans="1:21" s="12" customFormat="1" x14ac:dyDescent="0.25">
      <c r="A40" s="213" t="s">
        <v>278</v>
      </c>
      <c r="B40" s="64">
        <v>45.84</v>
      </c>
      <c r="C40" s="64">
        <v>52.05</v>
      </c>
      <c r="D40" s="64">
        <v>66.13</v>
      </c>
      <c r="E40" s="64">
        <v>0.15</v>
      </c>
      <c r="F40" s="64">
        <v>3.17</v>
      </c>
      <c r="G40" s="64">
        <v>179.71</v>
      </c>
      <c r="H40" s="64">
        <v>72.53</v>
      </c>
      <c r="I40" s="64">
        <v>1.41</v>
      </c>
      <c r="J40" s="64">
        <v>0.55000000000000004</v>
      </c>
      <c r="K40" s="64">
        <v>92.89</v>
      </c>
      <c r="L40" s="64">
        <v>18.059999999999999</v>
      </c>
      <c r="M40" s="64">
        <v>82.61</v>
      </c>
      <c r="N40" s="64">
        <v>197.5</v>
      </c>
      <c r="O40" s="64">
        <v>0</v>
      </c>
      <c r="P40" s="64">
        <v>1.1599999999999999</v>
      </c>
      <c r="Q40" s="64">
        <v>9.8800000000000008</v>
      </c>
      <c r="R40" s="198"/>
      <c r="S40" s="198"/>
      <c r="T40" s="198"/>
      <c r="U40" s="198"/>
    </row>
    <row r="41" spans="1:21" s="12" customFormat="1" x14ac:dyDescent="0.25">
      <c r="A41" s="213" t="s">
        <v>279</v>
      </c>
      <c r="B41" s="64">
        <v>45.49</v>
      </c>
      <c r="C41" s="64">
        <v>52.94</v>
      </c>
      <c r="D41" s="64">
        <v>66.349999999999994</v>
      </c>
      <c r="E41" s="64">
        <v>0.28000000000000003</v>
      </c>
      <c r="F41" s="64">
        <v>2.85</v>
      </c>
      <c r="G41" s="64">
        <v>179.71</v>
      </c>
      <c r="H41" s="64">
        <v>72.53</v>
      </c>
      <c r="I41" s="64">
        <v>1.47</v>
      </c>
      <c r="J41" s="64">
        <v>0.46</v>
      </c>
      <c r="K41" s="64">
        <v>105.87</v>
      </c>
      <c r="L41" s="64">
        <v>19.149999999999999</v>
      </c>
      <c r="M41" s="64">
        <v>77.75</v>
      </c>
      <c r="N41" s="64">
        <v>230.7</v>
      </c>
      <c r="O41" s="64">
        <v>0</v>
      </c>
      <c r="P41" s="64">
        <v>1.21</v>
      </c>
      <c r="Q41" s="64">
        <v>9.86</v>
      </c>
      <c r="R41" s="198"/>
      <c r="S41" s="198"/>
      <c r="T41" s="198"/>
      <c r="U41" s="198"/>
    </row>
    <row r="42" spans="1:21" s="12" customFormat="1" x14ac:dyDescent="0.25">
      <c r="A42" s="213" t="s">
        <v>280</v>
      </c>
      <c r="B42" s="64">
        <v>44.66</v>
      </c>
      <c r="C42" s="64">
        <v>54.67</v>
      </c>
      <c r="D42" s="64">
        <v>66.64</v>
      </c>
      <c r="E42" s="64">
        <v>0.37</v>
      </c>
      <c r="F42" s="64">
        <v>2.87</v>
      </c>
      <c r="G42" s="64">
        <v>180.33</v>
      </c>
      <c r="H42" s="64">
        <v>73.19</v>
      </c>
      <c r="I42" s="64">
        <v>1.48</v>
      </c>
      <c r="J42" s="64">
        <v>0.55000000000000004</v>
      </c>
      <c r="K42" s="64">
        <v>104.1</v>
      </c>
      <c r="L42" s="64">
        <v>19.559999999999999</v>
      </c>
      <c r="M42" s="64">
        <v>75.06</v>
      </c>
      <c r="N42" s="64">
        <v>259.60000000000002</v>
      </c>
      <c r="O42" s="64">
        <v>0</v>
      </c>
      <c r="P42" s="64">
        <v>1.25</v>
      </c>
      <c r="Q42" s="64">
        <v>9.89</v>
      </c>
      <c r="R42" s="198"/>
      <c r="S42" s="198"/>
      <c r="T42" s="198"/>
      <c r="U42" s="198"/>
    </row>
    <row r="43" spans="1:21" s="12" customFormat="1" x14ac:dyDescent="0.25">
      <c r="A43" s="213" t="s">
        <v>281</v>
      </c>
      <c r="B43" s="64">
        <v>42.93</v>
      </c>
      <c r="C43" s="64">
        <v>56.1</v>
      </c>
      <c r="D43" s="64">
        <v>66.03</v>
      </c>
      <c r="E43" s="64">
        <v>0.37</v>
      </c>
      <c r="F43" s="64">
        <v>3.02</v>
      </c>
      <c r="G43" s="64">
        <v>183.19</v>
      </c>
      <c r="H43" s="64">
        <v>75.44</v>
      </c>
      <c r="I43" s="64">
        <v>1.57</v>
      </c>
      <c r="J43" s="64">
        <v>0.25</v>
      </c>
      <c r="K43" s="64">
        <v>155.04</v>
      </c>
      <c r="L43" s="64">
        <v>20.22</v>
      </c>
      <c r="M43" s="64">
        <v>71.2</v>
      </c>
      <c r="N43" s="64">
        <v>306.10000000000002</v>
      </c>
      <c r="O43" s="64">
        <v>0</v>
      </c>
      <c r="P43" s="64">
        <v>1.26</v>
      </c>
      <c r="Q43" s="64">
        <v>9.82</v>
      </c>
      <c r="R43" s="198"/>
      <c r="S43" s="198"/>
      <c r="T43" s="198"/>
      <c r="U43" s="198"/>
    </row>
    <row r="44" spans="1:21" s="12" customFormat="1" x14ac:dyDescent="0.25">
      <c r="A44" s="213" t="s">
        <v>282</v>
      </c>
      <c r="B44" s="64">
        <v>42.93</v>
      </c>
      <c r="C44" s="64">
        <v>56.1</v>
      </c>
      <c r="D44" s="64">
        <v>66.03</v>
      </c>
      <c r="E44" s="64">
        <v>0.37</v>
      </c>
      <c r="F44" s="64">
        <v>3.02</v>
      </c>
      <c r="G44" s="64">
        <v>183.19</v>
      </c>
      <c r="H44" s="64">
        <v>75.44</v>
      </c>
      <c r="I44" s="64">
        <v>1.57</v>
      </c>
      <c r="J44" s="64">
        <v>0.25</v>
      </c>
      <c r="K44" s="64">
        <v>155.04</v>
      </c>
      <c r="L44" s="64">
        <v>20.22</v>
      </c>
      <c r="M44" s="64">
        <v>71.2</v>
      </c>
      <c r="N44" s="64">
        <v>306.10000000000002</v>
      </c>
      <c r="O44" s="64">
        <v>0</v>
      </c>
      <c r="P44" s="64">
        <v>1.26</v>
      </c>
      <c r="Q44" s="64">
        <v>9.82</v>
      </c>
      <c r="R44" s="198"/>
      <c r="S44" s="198"/>
      <c r="T44" s="198"/>
      <c r="U44" s="198"/>
    </row>
    <row r="45" spans="1:21" s="12" customFormat="1" x14ac:dyDescent="0.25">
      <c r="A45" s="213" t="s">
        <v>283</v>
      </c>
      <c r="B45" s="64">
        <v>38.82</v>
      </c>
      <c r="C45" s="64">
        <v>58.02</v>
      </c>
      <c r="D45" s="64">
        <v>63.8</v>
      </c>
      <c r="E45" s="64">
        <v>0.28000000000000003</v>
      </c>
      <c r="F45" s="64">
        <v>2.87</v>
      </c>
      <c r="G45" s="64">
        <v>183.19</v>
      </c>
      <c r="H45" s="64">
        <v>75.44</v>
      </c>
      <c r="I45" s="64">
        <v>1.54</v>
      </c>
      <c r="J45" s="64">
        <v>0.62</v>
      </c>
      <c r="K45" s="64">
        <v>143.79</v>
      </c>
      <c r="L45" s="64">
        <v>21.17</v>
      </c>
      <c r="M45" s="64">
        <v>66.319999999999993</v>
      </c>
      <c r="N45" s="64">
        <v>387.7</v>
      </c>
      <c r="O45" s="64">
        <v>0</v>
      </c>
      <c r="P45" s="64">
        <v>1.25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3" t="s">
        <v>284</v>
      </c>
      <c r="B46" s="64">
        <v>32.58</v>
      </c>
      <c r="C46" s="64">
        <v>59.6</v>
      </c>
      <c r="D46" s="64">
        <v>59.67</v>
      </c>
      <c r="E46" s="64">
        <v>0.32</v>
      </c>
      <c r="F46" s="64">
        <v>3.09</v>
      </c>
      <c r="G46" s="64">
        <v>176.33</v>
      </c>
      <c r="H46" s="64">
        <v>72.34</v>
      </c>
      <c r="I46" s="64">
        <v>1.55</v>
      </c>
      <c r="J46" s="64">
        <v>0.3</v>
      </c>
      <c r="K46" s="64">
        <v>114.18</v>
      </c>
      <c r="L46" s="64">
        <v>22.27</v>
      </c>
      <c r="M46" s="64">
        <v>63.07</v>
      </c>
      <c r="N46" s="64">
        <v>443.9</v>
      </c>
      <c r="O46" s="64">
        <v>0</v>
      </c>
      <c r="P46" s="64">
        <v>1.2</v>
      </c>
      <c r="Q46" s="64">
        <v>9.2899999999999991</v>
      </c>
      <c r="R46" s="198"/>
      <c r="S46" s="198"/>
      <c r="T46" s="198"/>
      <c r="U46" s="198"/>
    </row>
    <row r="47" spans="1:21" s="12" customFormat="1" x14ac:dyDescent="0.25">
      <c r="A47" s="213" t="s">
        <v>285</v>
      </c>
      <c r="B47" s="64">
        <v>30.28</v>
      </c>
      <c r="C47" s="64">
        <v>60.5</v>
      </c>
      <c r="D47" s="64">
        <v>58.32</v>
      </c>
      <c r="E47" s="64">
        <v>0.35</v>
      </c>
      <c r="F47" s="64">
        <v>3.06</v>
      </c>
      <c r="G47" s="64">
        <v>148.47</v>
      </c>
      <c r="H47" s="64">
        <v>64.680000000000007</v>
      </c>
      <c r="I47" s="64">
        <v>1.48</v>
      </c>
      <c r="J47" s="64">
        <v>0.52</v>
      </c>
      <c r="K47" s="64">
        <v>346.42</v>
      </c>
      <c r="L47" s="64">
        <v>25.45</v>
      </c>
      <c r="M47" s="64">
        <v>51.66</v>
      </c>
      <c r="N47" s="64">
        <v>492</v>
      </c>
      <c r="O47" s="64">
        <v>0</v>
      </c>
      <c r="P47" s="64">
        <v>1.19</v>
      </c>
      <c r="Q47" s="64">
        <v>9.11</v>
      </c>
      <c r="R47" s="198"/>
      <c r="S47" s="198"/>
      <c r="T47" s="198"/>
      <c r="U47" s="198"/>
    </row>
    <row r="48" spans="1:21" s="12" customFormat="1" x14ac:dyDescent="0.25">
      <c r="A48" s="213" t="s">
        <v>286</v>
      </c>
      <c r="B48" s="64">
        <v>28.43</v>
      </c>
      <c r="C48" s="64">
        <v>62.61</v>
      </c>
      <c r="D48" s="64">
        <v>57.99</v>
      </c>
      <c r="E48" s="64">
        <v>0.3</v>
      </c>
      <c r="F48" s="64">
        <v>3.05</v>
      </c>
      <c r="G48" s="64">
        <v>148.47</v>
      </c>
      <c r="H48" s="64">
        <v>64.680000000000007</v>
      </c>
      <c r="I48" s="64">
        <v>1.51</v>
      </c>
      <c r="J48" s="64">
        <v>0.48</v>
      </c>
      <c r="K48" s="64">
        <v>332.7</v>
      </c>
      <c r="L48" s="64">
        <v>27.07</v>
      </c>
      <c r="M48" s="64">
        <v>45.2</v>
      </c>
      <c r="N48" s="64">
        <v>504.1</v>
      </c>
      <c r="O48" s="64">
        <v>0</v>
      </c>
      <c r="P48" s="64">
        <v>1.2</v>
      </c>
      <c r="Q48" s="64">
        <v>8.9700000000000006</v>
      </c>
      <c r="R48" s="198"/>
      <c r="S48" s="198"/>
      <c r="T48" s="198"/>
      <c r="U48" s="198"/>
    </row>
    <row r="49" spans="1:21" s="12" customFormat="1" x14ac:dyDescent="0.25">
      <c r="A49" s="213" t="s">
        <v>287</v>
      </c>
      <c r="B49" s="64">
        <v>26.79</v>
      </c>
      <c r="C49" s="64">
        <v>64.180000000000007</v>
      </c>
      <c r="D49" s="64">
        <v>57.55</v>
      </c>
      <c r="E49" s="64">
        <v>0.25</v>
      </c>
      <c r="F49" s="64">
        <v>2.98</v>
      </c>
      <c r="G49" s="64">
        <v>148.47</v>
      </c>
      <c r="H49" s="64">
        <v>64.680000000000007</v>
      </c>
      <c r="I49" s="64">
        <v>1.51</v>
      </c>
      <c r="J49" s="64">
        <v>0.5</v>
      </c>
      <c r="K49" s="64">
        <v>330.94</v>
      </c>
      <c r="L49" s="64">
        <v>27.73</v>
      </c>
      <c r="M49" s="64">
        <v>42.98</v>
      </c>
      <c r="N49" s="64">
        <v>536</v>
      </c>
      <c r="O49" s="64">
        <v>0</v>
      </c>
      <c r="P49" s="64">
        <v>1.2</v>
      </c>
      <c r="Q49" s="64">
        <v>8.85</v>
      </c>
      <c r="R49" s="198"/>
      <c r="S49" s="198"/>
      <c r="T49" s="198"/>
      <c r="U49" s="198"/>
    </row>
    <row r="50" spans="1:21" s="12" customFormat="1" x14ac:dyDescent="0.25">
      <c r="A50" s="213" t="s">
        <v>288</v>
      </c>
      <c r="B50" s="64">
        <v>24.48</v>
      </c>
      <c r="C50" s="64">
        <v>66.94</v>
      </c>
      <c r="D50" s="64">
        <v>57.22</v>
      </c>
      <c r="E50" s="64">
        <v>0.27</v>
      </c>
      <c r="F50" s="64">
        <v>3.07</v>
      </c>
      <c r="G50" s="64">
        <v>143.88</v>
      </c>
      <c r="H50" s="64">
        <v>62.38</v>
      </c>
      <c r="I50" s="64">
        <v>1.49</v>
      </c>
      <c r="J50" s="64">
        <v>0.56000000000000005</v>
      </c>
      <c r="K50" s="64">
        <v>325.77</v>
      </c>
      <c r="L50" s="64">
        <v>28.66</v>
      </c>
      <c r="M50" s="64">
        <v>39.83</v>
      </c>
      <c r="N50" s="64">
        <v>585.79999999999995</v>
      </c>
      <c r="O50" s="64">
        <v>0</v>
      </c>
      <c r="P50" s="64">
        <v>1.21</v>
      </c>
      <c r="Q50" s="64">
        <v>8.82</v>
      </c>
      <c r="R50" s="198"/>
      <c r="S50" s="198"/>
      <c r="T50" s="198"/>
      <c r="U50" s="198"/>
    </row>
    <row r="51" spans="1:21" s="12" customFormat="1" x14ac:dyDescent="0.25">
      <c r="A51" s="213" t="s">
        <v>289</v>
      </c>
      <c r="B51" s="64">
        <v>22.26</v>
      </c>
      <c r="C51" s="64">
        <v>69.53</v>
      </c>
      <c r="D51" s="64">
        <v>56.87</v>
      </c>
      <c r="E51" s="64">
        <v>0.3</v>
      </c>
      <c r="F51" s="64">
        <v>3.16</v>
      </c>
      <c r="G51" s="64">
        <v>122.64</v>
      </c>
      <c r="H51" s="64">
        <v>54.43</v>
      </c>
      <c r="I51" s="64">
        <v>1.47</v>
      </c>
      <c r="J51" s="64">
        <v>0.8</v>
      </c>
      <c r="K51" s="64">
        <v>314.29000000000002</v>
      </c>
      <c r="L51" s="64">
        <v>29.25</v>
      </c>
      <c r="M51" s="64">
        <v>38.29</v>
      </c>
      <c r="N51" s="64">
        <v>592.20000000000005</v>
      </c>
      <c r="O51" s="64">
        <v>0</v>
      </c>
      <c r="P51" s="64">
        <v>1.22</v>
      </c>
      <c r="Q51" s="64">
        <v>8.76</v>
      </c>
      <c r="R51" s="198"/>
      <c r="S51" s="198"/>
      <c r="T51" s="198"/>
      <c r="U51" s="198"/>
    </row>
    <row r="52" spans="1:21" s="12" customFormat="1" x14ac:dyDescent="0.25">
      <c r="A52" s="213" t="s">
        <v>290</v>
      </c>
      <c r="B52" s="64">
        <v>19.309999999999999</v>
      </c>
      <c r="C52" s="64">
        <v>71.53</v>
      </c>
      <c r="D52" s="64">
        <v>55.61</v>
      </c>
      <c r="E52" s="64">
        <v>0.3</v>
      </c>
      <c r="F52" s="64">
        <v>3.26</v>
      </c>
      <c r="G52" s="64">
        <v>122.64</v>
      </c>
      <c r="H52" s="64">
        <v>54.43</v>
      </c>
      <c r="I52" s="64">
        <v>1.59</v>
      </c>
      <c r="J52" s="64">
        <v>0.56999999999999995</v>
      </c>
      <c r="K52" s="64">
        <v>315.58999999999997</v>
      </c>
      <c r="L52" s="64">
        <v>28.8</v>
      </c>
      <c r="M52" s="64">
        <v>39.47</v>
      </c>
      <c r="N52" s="64">
        <v>553.9</v>
      </c>
      <c r="O52" s="64">
        <v>0</v>
      </c>
      <c r="P52" s="64">
        <v>1.22</v>
      </c>
      <c r="Q52" s="64">
        <v>8.6</v>
      </c>
      <c r="R52" s="198"/>
      <c r="S52" s="198"/>
      <c r="T52" s="198"/>
      <c r="U52" s="198"/>
    </row>
    <row r="53" spans="1:21" s="12" customFormat="1" x14ac:dyDescent="0.25">
      <c r="A53" s="213" t="s">
        <v>291</v>
      </c>
      <c r="B53" s="64">
        <v>16.7</v>
      </c>
      <c r="C53" s="64">
        <v>73.349999999999994</v>
      </c>
      <c r="D53" s="64">
        <v>54.52</v>
      </c>
      <c r="E53" s="64">
        <v>0.28000000000000003</v>
      </c>
      <c r="F53" s="64">
        <v>2.99</v>
      </c>
      <c r="G53" s="64">
        <v>122.64</v>
      </c>
      <c r="H53" s="64">
        <v>54.43</v>
      </c>
      <c r="I53" s="64">
        <v>1.48</v>
      </c>
      <c r="J53" s="64">
        <v>0.26</v>
      </c>
      <c r="K53" s="64">
        <v>339.32</v>
      </c>
      <c r="L53" s="64">
        <v>28.04</v>
      </c>
      <c r="M53" s="64">
        <v>41.22</v>
      </c>
      <c r="N53" s="64">
        <v>637.1</v>
      </c>
      <c r="O53" s="64">
        <v>0</v>
      </c>
      <c r="P53" s="64">
        <v>1.22</v>
      </c>
      <c r="Q53" s="64">
        <v>8.5299999999999994</v>
      </c>
      <c r="R53" s="198"/>
      <c r="S53" s="198"/>
      <c r="T53" s="198"/>
      <c r="U53" s="198"/>
    </row>
    <row r="54" spans="1:21" s="12" customFormat="1" x14ac:dyDescent="0.25">
      <c r="A54" s="213" t="s">
        <v>292</v>
      </c>
      <c r="B54" s="64">
        <v>14.85</v>
      </c>
      <c r="C54" s="64">
        <v>74.7</v>
      </c>
      <c r="D54" s="64">
        <v>53.78</v>
      </c>
      <c r="E54" s="64">
        <v>0.27</v>
      </c>
      <c r="F54" s="64">
        <v>3.22</v>
      </c>
      <c r="G54" s="64">
        <v>119.25</v>
      </c>
      <c r="H54" s="64">
        <v>53.64</v>
      </c>
      <c r="I54" s="64">
        <v>1.5</v>
      </c>
      <c r="J54" s="64">
        <v>0.46</v>
      </c>
      <c r="K54" s="64">
        <v>320.27999999999997</v>
      </c>
      <c r="L54" s="64">
        <v>28.8</v>
      </c>
      <c r="M54" s="64">
        <v>39.380000000000003</v>
      </c>
      <c r="N54" s="64">
        <v>627.6</v>
      </c>
      <c r="O54" s="64">
        <v>0</v>
      </c>
      <c r="P54" s="64">
        <v>1.22</v>
      </c>
      <c r="Q54" s="64">
        <v>8.43</v>
      </c>
      <c r="R54" s="198"/>
      <c r="S54" s="198"/>
      <c r="T54" s="198"/>
      <c r="U54" s="198"/>
    </row>
    <row r="55" spans="1:21" s="12" customFormat="1" x14ac:dyDescent="0.25">
      <c r="A55" s="213" t="s">
        <v>293</v>
      </c>
      <c r="B55" s="64">
        <v>13.24</v>
      </c>
      <c r="C55" s="64">
        <v>74.680000000000007</v>
      </c>
      <c r="D55" s="64">
        <v>52.48</v>
      </c>
      <c r="E55" s="64">
        <v>0.28999999999999998</v>
      </c>
      <c r="F55" s="64">
        <v>3.71</v>
      </c>
      <c r="G55" s="64">
        <v>103.59</v>
      </c>
      <c r="H55" s="64">
        <v>49.58</v>
      </c>
      <c r="I55" s="64">
        <v>1.55</v>
      </c>
      <c r="J55" s="64">
        <v>0.3</v>
      </c>
      <c r="K55" s="64">
        <v>329.92</v>
      </c>
      <c r="L55" s="64">
        <v>27.05</v>
      </c>
      <c r="M55" s="64">
        <v>42.64</v>
      </c>
      <c r="N55" s="64">
        <v>590.1</v>
      </c>
      <c r="O55" s="64">
        <v>0</v>
      </c>
      <c r="P55" s="64">
        <v>1.2</v>
      </c>
      <c r="Q55" s="64">
        <v>8.3800000000000008</v>
      </c>
      <c r="R55" s="198"/>
      <c r="S55" s="198"/>
      <c r="T55" s="198"/>
      <c r="U55" s="198"/>
    </row>
    <row r="56" spans="1:21" s="12" customFormat="1" x14ac:dyDescent="0.25">
      <c r="A56" s="213" t="s">
        <v>294</v>
      </c>
      <c r="B56" s="64">
        <v>11.39</v>
      </c>
      <c r="C56" s="64">
        <v>74.349999999999994</v>
      </c>
      <c r="D56" s="64">
        <v>50.82</v>
      </c>
      <c r="E56" s="64">
        <v>0.06</v>
      </c>
      <c r="F56" s="64">
        <v>3.43</v>
      </c>
      <c r="G56" s="64">
        <v>103.59</v>
      </c>
      <c r="H56" s="64">
        <v>49.58</v>
      </c>
      <c r="I56" s="64">
        <v>1.5</v>
      </c>
      <c r="J56" s="64">
        <v>0.44</v>
      </c>
      <c r="K56" s="64">
        <v>313.11</v>
      </c>
      <c r="L56" s="64">
        <v>28.04</v>
      </c>
      <c r="M56" s="64">
        <v>40</v>
      </c>
      <c r="N56" s="64">
        <v>642.20000000000005</v>
      </c>
      <c r="O56" s="64">
        <v>0</v>
      </c>
      <c r="P56" s="64">
        <v>1.17</v>
      </c>
      <c r="Q56" s="64">
        <v>8.3000000000000007</v>
      </c>
      <c r="R56" s="198"/>
      <c r="S56" s="198"/>
      <c r="T56" s="198"/>
      <c r="U56" s="198"/>
    </row>
    <row r="57" spans="1:21" s="12" customFormat="1" x14ac:dyDescent="0.25">
      <c r="A57" s="213" t="s">
        <v>295</v>
      </c>
      <c r="B57" s="64">
        <v>9.2799999999999994</v>
      </c>
      <c r="C57" s="64">
        <v>74.260000000000005</v>
      </c>
      <c r="D57" s="64">
        <v>49.07</v>
      </c>
      <c r="E57" s="64">
        <v>0.11</v>
      </c>
      <c r="F57" s="64">
        <v>3.8</v>
      </c>
      <c r="G57" s="64">
        <v>103.59</v>
      </c>
      <c r="H57" s="64">
        <v>49.58</v>
      </c>
      <c r="I57" s="64">
        <v>1.56</v>
      </c>
      <c r="J57" s="64">
        <v>0.57999999999999996</v>
      </c>
      <c r="K57" s="64">
        <v>323.94</v>
      </c>
      <c r="L57" s="64">
        <v>27.73</v>
      </c>
      <c r="M57" s="64">
        <v>41.06</v>
      </c>
      <c r="N57" s="64">
        <v>613.9</v>
      </c>
      <c r="O57" s="64">
        <v>0</v>
      </c>
      <c r="P57" s="64">
        <v>1.1599999999999999</v>
      </c>
      <c r="Q57" s="64">
        <v>8.23</v>
      </c>
      <c r="R57" s="198"/>
      <c r="S57" s="198"/>
      <c r="T57" s="198"/>
      <c r="U57" s="198"/>
    </row>
    <row r="58" spans="1:21" s="12" customFormat="1" x14ac:dyDescent="0.25">
      <c r="A58" s="213" t="s">
        <v>296</v>
      </c>
      <c r="B58" s="64">
        <v>7.46</v>
      </c>
      <c r="C58" s="64">
        <v>74.41</v>
      </c>
      <c r="D58" s="64">
        <v>47.7</v>
      </c>
      <c r="E58" s="64">
        <v>0.14000000000000001</v>
      </c>
      <c r="F58" s="64">
        <v>4.1500000000000004</v>
      </c>
      <c r="G58" s="64">
        <v>102.12</v>
      </c>
      <c r="H58" s="64">
        <v>48.21</v>
      </c>
      <c r="I58" s="64">
        <v>1.58</v>
      </c>
      <c r="J58" s="64">
        <v>0.27</v>
      </c>
      <c r="K58" s="64">
        <v>341.73</v>
      </c>
      <c r="L58" s="64">
        <v>28.71</v>
      </c>
      <c r="M58" s="64">
        <v>37.71</v>
      </c>
      <c r="N58" s="64">
        <v>651.29999999999995</v>
      </c>
      <c r="O58" s="64">
        <v>0</v>
      </c>
      <c r="P58" s="64">
        <v>1.1399999999999999</v>
      </c>
      <c r="Q58" s="64">
        <v>8.14</v>
      </c>
      <c r="R58" s="198"/>
      <c r="S58" s="198"/>
      <c r="T58" s="198"/>
      <c r="U58" s="198"/>
    </row>
    <row r="59" spans="1:21" s="12" customFormat="1" x14ac:dyDescent="0.25">
      <c r="A59" s="213" t="s">
        <v>297</v>
      </c>
      <c r="B59" s="64">
        <v>5.63</v>
      </c>
      <c r="C59" s="64">
        <v>73.78</v>
      </c>
      <c r="D59" s="64">
        <v>45.88</v>
      </c>
      <c r="E59" s="64">
        <v>0.16</v>
      </c>
      <c r="F59" s="64">
        <v>4.66</v>
      </c>
      <c r="G59" s="64">
        <v>95.35</v>
      </c>
      <c r="H59" s="64">
        <v>43.56</v>
      </c>
      <c r="I59" s="64">
        <v>1.46</v>
      </c>
      <c r="J59" s="64">
        <v>0.2</v>
      </c>
      <c r="K59" s="64">
        <v>343.79</v>
      </c>
      <c r="L59" s="64">
        <v>27.51</v>
      </c>
      <c r="M59" s="64">
        <v>39.590000000000003</v>
      </c>
      <c r="N59" s="64">
        <v>647.5</v>
      </c>
      <c r="O59" s="64">
        <v>0</v>
      </c>
      <c r="P59" s="64">
        <v>1.1000000000000001</v>
      </c>
      <c r="Q59" s="64">
        <v>8.07</v>
      </c>
      <c r="R59" s="198"/>
      <c r="S59" s="198"/>
      <c r="T59" s="198"/>
      <c r="U59" s="198"/>
    </row>
    <row r="60" spans="1:21" s="12" customFormat="1" x14ac:dyDescent="0.25">
      <c r="A60" s="213" t="s">
        <v>298</v>
      </c>
      <c r="B60" s="64">
        <v>4.1900000000000004</v>
      </c>
      <c r="C60" s="64">
        <v>73.39</v>
      </c>
      <c r="D60" s="64">
        <v>44.51</v>
      </c>
      <c r="E60" s="64">
        <v>0.13</v>
      </c>
      <c r="F60" s="64">
        <v>4.6900000000000004</v>
      </c>
      <c r="G60" s="64">
        <v>95.35</v>
      </c>
      <c r="H60" s="64">
        <v>43.56</v>
      </c>
      <c r="I60" s="64">
        <v>1.5</v>
      </c>
      <c r="J60" s="64">
        <v>0.5</v>
      </c>
      <c r="K60" s="64">
        <v>340.84</v>
      </c>
      <c r="L60" s="64">
        <v>28.56</v>
      </c>
      <c r="M60" s="64">
        <v>37.75</v>
      </c>
      <c r="N60" s="64">
        <v>602.5</v>
      </c>
      <c r="O60" s="64">
        <v>0</v>
      </c>
      <c r="P60" s="64">
        <v>1.07</v>
      </c>
      <c r="Q60" s="64">
        <v>7.91</v>
      </c>
      <c r="R60" s="198"/>
      <c r="S60" s="198"/>
      <c r="T60" s="198"/>
      <c r="U60" s="198"/>
    </row>
    <row r="61" spans="1:21" s="12" customFormat="1" x14ac:dyDescent="0.25">
      <c r="A61" s="213" t="s">
        <v>299</v>
      </c>
      <c r="B61" s="64">
        <v>3.67</v>
      </c>
      <c r="C61" s="64">
        <v>72.7</v>
      </c>
      <c r="D61" s="64">
        <v>43.71</v>
      </c>
      <c r="E61" s="64">
        <v>0.17</v>
      </c>
      <c r="F61" s="64">
        <v>4.45</v>
      </c>
      <c r="G61" s="64">
        <v>95.35</v>
      </c>
      <c r="H61" s="64">
        <v>43.56</v>
      </c>
      <c r="I61" s="64">
        <v>1.56</v>
      </c>
      <c r="J61" s="64">
        <v>0.83</v>
      </c>
      <c r="K61" s="64">
        <v>320.89999999999998</v>
      </c>
      <c r="L61" s="64">
        <v>28.21</v>
      </c>
      <c r="M61" s="64">
        <v>39.83</v>
      </c>
      <c r="N61" s="64">
        <v>599.9</v>
      </c>
      <c r="O61" s="64">
        <v>0</v>
      </c>
      <c r="P61" s="64">
        <v>0.91</v>
      </c>
      <c r="Q61" s="64">
        <v>7.83</v>
      </c>
      <c r="R61" s="198"/>
      <c r="S61" s="198"/>
      <c r="T61" s="198"/>
      <c r="U61" s="198"/>
    </row>
    <row r="62" spans="1:21" s="12" customFormat="1" x14ac:dyDescent="0.25">
      <c r="A62" s="213" t="s">
        <v>300</v>
      </c>
      <c r="B62" s="64">
        <v>3.34</v>
      </c>
      <c r="C62" s="64">
        <v>71.58</v>
      </c>
      <c r="D62" s="64">
        <v>42.83</v>
      </c>
      <c r="E62" s="64">
        <v>0.11</v>
      </c>
      <c r="F62" s="64">
        <v>4.18</v>
      </c>
      <c r="G62" s="64">
        <v>93.37</v>
      </c>
      <c r="H62" s="64">
        <v>42.94</v>
      </c>
      <c r="I62" s="64">
        <v>1.49</v>
      </c>
      <c r="J62" s="64">
        <v>0.63</v>
      </c>
      <c r="K62" s="64">
        <v>328.05</v>
      </c>
      <c r="L62" s="64">
        <v>29.39</v>
      </c>
      <c r="M62" s="64">
        <v>37.29</v>
      </c>
      <c r="N62" s="64">
        <v>457.7</v>
      </c>
      <c r="O62" s="64">
        <v>0</v>
      </c>
      <c r="P62" s="64">
        <v>0.96</v>
      </c>
      <c r="Q62" s="64">
        <v>7.74</v>
      </c>
      <c r="R62" s="198"/>
      <c r="S62" s="198"/>
      <c r="T62" s="198"/>
      <c r="U62" s="198"/>
    </row>
    <row r="63" spans="1:21" s="12" customFormat="1" x14ac:dyDescent="0.25">
      <c r="A63" s="213" t="s">
        <v>301</v>
      </c>
      <c r="B63" s="64">
        <v>3.19</v>
      </c>
      <c r="C63" s="64">
        <v>70.36</v>
      </c>
      <c r="D63" s="64">
        <v>42.04</v>
      </c>
      <c r="E63" s="64">
        <v>0.28000000000000003</v>
      </c>
      <c r="F63" s="64">
        <v>4.92</v>
      </c>
      <c r="G63" s="64">
        <v>84.18</v>
      </c>
      <c r="H63" s="64">
        <v>40.840000000000003</v>
      </c>
      <c r="I63" s="64">
        <v>1.45</v>
      </c>
      <c r="J63" s="64">
        <v>0.15</v>
      </c>
      <c r="K63" s="64">
        <v>8.61</v>
      </c>
      <c r="L63" s="64">
        <v>26.68</v>
      </c>
      <c r="M63" s="64">
        <v>40.69</v>
      </c>
      <c r="N63" s="64">
        <v>434.2</v>
      </c>
      <c r="O63" s="64">
        <v>0</v>
      </c>
      <c r="P63" s="64">
        <v>0.93</v>
      </c>
      <c r="Q63" s="64">
        <v>7.72</v>
      </c>
      <c r="R63" s="198"/>
      <c r="S63" s="198"/>
      <c r="T63" s="198"/>
      <c r="U63" s="198"/>
    </row>
    <row r="64" spans="1:21" s="12" customFormat="1" x14ac:dyDescent="0.25">
      <c r="A64" s="213" t="s">
        <v>302</v>
      </c>
      <c r="B64" s="64">
        <v>2.69</v>
      </c>
      <c r="C64" s="64">
        <v>68.77</v>
      </c>
      <c r="D64" s="64">
        <v>40.76</v>
      </c>
      <c r="E64" s="64">
        <v>0.1</v>
      </c>
      <c r="F64" s="64">
        <v>5.43</v>
      </c>
      <c r="G64" s="64">
        <v>84.18</v>
      </c>
      <c r="H64" s="64">
        <v>40.840000000000003</v>
      </c>
      <c r="I64" s="64">
        <v>1.49</v>
      </c>
      <c r="J64" s="64">
        <v>7.0000000000000007E-2</v>
      </c>
      <c r="K64" s="64">
        <v>244.74</v>
      </c>
      <c r="L64" s="64">
        <v>25.92</v>
      </c>
      <c r="M64" s="64">
        <v>41.85</v>
      </c>
      <c r="N64" s="64">
        <v>475.2</v>
      </c>
      <c r="O64" s="64">
        <v>0</v>
      </c>
      <c r="P64" s="64">
        <v>0.87</v>
      </c>
      <c r="Q64" s="64">
        <v>7.67</v>
      </c>
      <c r="R64" s="198"/>
      <c r="S64" s="198"/>
      <c r="T64" s="198"/>
      <c r="U64" s="198"/>
    </row>
    <row r="65" spans="1:21" s="12" customFormat="1" x14ac:dyDescent="0.25">
      <c r="A65" s="213" t="s">
        <v>303</v>
      </c>
      <c r="B65" s="64">
        <v>2.31</v>
      </c>
      <c r="C65" s="64">
        <v>66.88</v>
      </c>
      <c r="D65" s="64">
        <v>39.409999999999997</v>
      </c>
      <c r="E65" s="64">
        <v>0.11</v>
      </c>
      <c r="F65" s="64">
        <v>5.82</v>
      </c>
      <c r="G65" s="64">
        <v>84.18</v>
      </c>
      <c r="H65" s="64">
        <v>40.840000000000003</v>
      </c>
      <c r="I65" s="64">
        <v>1.48</v>
      </c>
      <c r="J65" s="64">
        <v>0.26</v>
      </c>
      <c r="K65" s="64">
        <v>19.88</v>
      </c>
      <c r="L65" s="64">
        <v>26.06</v>
      </c>
      <c r="M65" s="64">
        <v>40.74</v>
      </c>
      <c r="N65" s="64">
        <v>500.2</v>
      </c>
      <c r="O65" s="64">
        <v>0</v>
      </c>
      <c r="P65" s="64">
        <v>0.83</v>
      </c>
      <c r="Q65" s="64">
        <v>7.53</v>
      </c>
      <c r="R65" s="198"/>
      <c r="S65" s="198"/>
      <c r="T65" s="198"/>
      <c r="U65" s="198"/>
    </row>
    <row r="66" spans="1:21" s="12" customFormat="1" x14ac:dyDescent="0.25">
      <c r="A66" s="213" t="s">
        <v>304</v>
      </c>
      <c r="B66" s="64">
        <v>2.0499999999999998</v>
      </c>
      <c r="C66" s="64">
        <v>64.12</v>
      </c>
      <c r="D66" s="64">
        <v>37.68</v>
      </c>
      <c r="E66" s="64">
        <v>0.14000000000000001</v>
      </c>
      <c r="F66" s="64">
        <v>6.35</v>
      </c>
      <c r="G66" s="64">
        <v>81.349999999999994</v>
      </c>
      <c r="H66" s="64">
        <v>39.01</v>
      </c>
      <c r="I66" s="64">
        <v>1.41</v>
      </c>
      <c r="J66" s="64">
        <v>0.24</v>
      </c>
      <c r="K66" s="64">
        <v>356.89</v>
      </c>
      <c r="L66" s="64">
        <v>26.58</v>
      </c>
      <c r="M66" s="64">
        <v>40.909999999999997</v>
      </c>
      <c r="N66" s="64">
        <v>443.4</v>
      </c>
      <c r="O66" s="64">
        <v>0</v>
      </c>
      <c r="P66" s="64">
        <v>0.77</v>
      </c>
      <c r="Q66" s="64">
        <v>7.41</v>
      </c>
      <c r="R66" s="198"/>
      <c r="S66" s="198"/>
      <c r="T66" s="198"/>
      <c r="U66" s="198"/>
    </row>
    <row r="67" spans="1:21" s="12" customFormat="1" x14ac:dyDescent="0.25">
      <c r="A67" s="213" t="s">
        <v>305</v>
      </c>
      <c r="B67" s="64">
        <v>1.94</v>
      </c>
      <c r="C67" s="64">
        <v>60.56</v>
      </c>
      <c r="D67" s="64">
        <v>35.619999999999997</v>
      </c>
      <c r="E67" s="64">
        <v>0.06</v>
      </c>
      <c r="F67" s="64">
        <v>6.35</v>
      </c>
      <c r="G67" s="64">
        <v>68.290000000000006</v>
      </c>
      <c r="H67" s="64">
        <v>32.76</v>
      </c>
      <c r="I67" s="64">
        <v>1.5</v>
      </c>
      <c r="J67" s="64">
        <v>0.35</v>
      </c>
      <c r="K67" s="64">
        <v>340.25</v>
      </c>
      <c r="L67" s="64">
        <v>26.57</v>
      </c>
      <c r="M67" s="64">
        <v>41.59</v>
      </c>
      <c r="N67" s="64">
        <v>367.1</v>
      </c>
      <c r="O67" s="64">
        <v>0</v>
      </c>
      <c r="P67" s="64">
        <v>0.72</v>
      </c>
      <c r="Q67" s="64">
        <v>7.33</v>
      </c>
      <c r="R67" s="198"/>
      <c r="S67" s="198"/>
      <c r="T67" s="198"/>
      <c r="U67" s="198"/>
    </row>
    <row r="68" spans="1:21" s="12" customFormat="1" x14ac:dyDescent="0.25">
      <c r="A68" s="213" t="s">
        <v>306</v>
      </c>
      <c r="B68" s="64">
        <v>2.0299999999999998</v>
      </c>
      <c r="C68" s="64">
        <v>59.62</v>
      </c>
      <c r="D68" s="64">
        <v>35.18</v>
      </c>
      <c r="E68" s="64">
        <v>0.05</v>
      </c>
      <c r="F68" s="64">
        <v>5.85</v>
      </c>
      <c r="G68" s="64">
        <v>68.290000000000006</v>
      </c>
      <c r="H68" s="64">
        <v>32.76</v>
      </c>
      <c r="I68" s="64">
        <v>1.48</v>
      </c>
      <c r="J68" s="64">
        <v>0.39</v>
      </c>
      <c r="K68" s="64">
        <v>316.43</v>
      </c>
      <c r="L68" s="64">
        <v>27.21</v>
      </c>
      <c r="M68" s="64">
        <v>41.21</v>
      </c>
      <c r="N68" s="64">
        <v>324</v>
      </c>
      <c r="O68" s="64">
        <v>0</v>
      </c>
      <c r="P68" s="64">
        <v>0.68</v>
      </c>
      <c r="Q68" s="64">
        <v>7.12</v>
      </c>
      <c r="R68" s="198"/>
      <c r="S68" s="198"/>
      <c r="T68" s="198"/>
      <c r="U68" s="198"/>
    </row>
    <row r="69" spans="1:21" s="12" customFormat="1" x14ac:dyDescent="0.25">
      <c r="A69" s="213" t="s">
        <v>307</v>
      </c>
      <c r="B69" s="64">
        <v>2.13</v>
      </c>
      <c r="C69" s="64">
        <v>58.82</v>
      </c>
      <c r="D69" s="64">
        <v>34.81</v>
      </c>
      <c r="E69" s="64">
        <v>0.16</v>
      </c>
      <c r="F69" s="64">
        <v>5.36</v>
      </c>
      <c r="G69" s="64">
        <v>68.290000000000006</v>
      </c>
      <c r="H69" s="64">
        <v>32.76</v>
      </c>
      <c r="I69" s="64">
        <v>1.45</v>
      </c>
      <c r="J69" s="64">
        <v>0.26</v>
      </c>
      <c r="K69" s="64">
        <v>338.35</v>
      </c>
      <c r="L69" s="64">
        <v>26.65</v>
      </c>
      <c r="M69" s="64">
        <v>42.7</v>
      </c>
      <c r="N69" s="64">
        <v>255.9</v>
      </c>
      <c r="O69" s="64">
        <v>0</v>
      </c>
      <c r="P69" s="64">
        <v>0.66</v>
      </c>
      <c r="Q69" s="64">
        <v>7.01</v>
      </c>
      <c r="R69" s="198"/>
      <c r="S69" s="198"/>
      <c r="T69" s="198"/>
      <c r="U69" s="198"/>
    </row>
    <row r="70" spans="1:21" s="12" customFormat="1" x14ac:dyDescent="0.25">
      <c r="A70" s="213" t="s">
        <v>308</v>
      </c>
      <c r="B70" s="64">
        <v>2.19</v>
      </c>
      <c r="C70" s="64">
        <v>57.94</v>
      </c>
      <c r="D70" s="64">
        <v>34.380000000000003</v>
      </c>
      <c r="E70" s="64">
        <v>0.08</v>
      </c>
      <c r="F70" s="64">
        <v>5.23</v>
      </c>
      <c r="G70" s="64">
        <v>66.06</v>
      </c>
      <c r="H70" s="64">
        <v>32.43</v>
      </c>
      <c r="I70" s="64">
        <v>1.5</v>
      </c>
      <c r="J70" s="64">
        <v>0.34</v>
      </c>
      <c r="K70" s="64">
        <v>321.18</v>
      </c>
      <c r="L70" s="64">
        <v>26.38</v>
      </c>
      <c r="M70" s="64">
        <v>44.44</v>
      </c>
      <c r="N70" s="64">
        <v>221.9</v>
      </c>
      <c r="O70" s="64">
        <v>0</v>
      </c>
      <c r="P70" s="64">
        <v>0.64</v>
      </c>
      <c r="Q70" s="64">
        <v>6.86</v>
      </c>
      <c r="R70" s="198"/>
      <c r="S70" s="198"/>
      <c r="T70" s="198"/>
      <c r="U70" s="198"/>
    </row>
    <row r="71" spans="1:21" s="12" customFormat="1" x14ac:dyDescent="0.25">
      <c r="A71" s="213" t="s">
        <v>309</v>
      </c>
      <c r="B71" s="64">
        <v>2.3199999999999998</v>
      </c>
      <c r="C71" s="64">
        <v>57.45</v>
      </c>
      <c r="D71" s="64">
        <v>34.21</v>
      </c>
      <c r="E71" s="64">
        <v>0.11</v>
      </c>
      <c r="F71" s="64">
        <v>5.0599999999999996</v>
      </c>
      <c r="G71" s="64">
        <v>55.76</v>
      </c>
      <c r="H71" s="64">
        <v>30.91</v>
      </c>
      <c r="I71" s="64">
        <v>1.47</v>
      </c>
      <c r="J71" s="64">
        <v>0.17</v>
      </c>
      <c r="K71" s="64">
        <v>4.83</v>
      </c>
      <c r="L71" s="64">
        <v>26.06</v>
      </c>
      <c r="M71" s="64">
        <v>43.08</v>
      </c>
      <c r="N71" s="64">
        <v>198.8</v>
      </c>
      <c r="O71" s="64">
        <v>0</v>
      </c>
      <c r="P71" s="64">
        <v>0.62</v>
      </c>
      <c r="Q71" s="64">
        <v>6.89</v>
      </c>
      <c r="R71" s="198"/>
      <c r="S71" s="198"/>
      <c r="T71" s="198"/>
      <c r="U71" s="198"/>
    </row>
    <row r="72" spans="1:21" s="12" customFormat="1" x14ac:dyDescent="0.25">
      <c r="A72" s="213" t="s">
        <v>310</v>
      </c>
      <c r="B72" s="64">
        <v>2.29</v>
      </c>
      <c r="C72" s="64">
        <v>56.87</v>
      </c>
      <c r="D72" s="64">
        <v>33.869999999999997</v>
      </c>
      <c r="E72" s="64">
        <v>0.12</v>
      </c>
      <c r="F72" s="64">
        <v>5</v>
      </c>
      <c r="G72" s="64">
        <v>55.76</v>
      </c>
      <c r="H72" s="64">
        <v>30.91</v>
      </c>
      <c r="I72" s="64">
        <v>1.55</v>
      </c>
      <c r="J72" s="64">
        <v>0.22</v>
      </c>
      <c r="K72" s="64">
        <v>328.62</v>
      </c>
      <c r="L72" s="64">
        <v>26.02</v>
      </c>
      <c r="M72" s="64">
        <v>44.18</v>
      </c>
      <c r="N72" s="64">
        <v>175.3</v>
      </c>
      <c r="O72" s="64">
        <v>0</v>
      </c>
      <c r="P72" s="64">
        <v>0.59</v>
      </c>
      <c r="Q72" s="64">
        <v>6.88</v>
      </c>
      <c r="R72" s="198"/>
      <c r="S72" s="198"/>
      <c r="T72" s="198"/>
      <c r="U72" s="198"/>
    </row>
    <row r="73" spans="1:21" s="12" customFormat="1" x14ac:dyDescent="0.25">
      <c r="A73" s="213" t="s">
        <v>311</v>
      </c>
      <c r="B73" s="64">
        <v>2.44</v>
      </c>
      <c r="C73" s="64">
        <v>56.31</v>
      </c>
      <c r="D73" s="64">
        <v>33.68</v>
      </c>
      <c r="E73" s="64">
        <v>0.25</v>
      </c>
      <c r="F73" s="64">
        <v>4.57</v>
      </c>
      <c r="G73" s="64">
        <v>55.76</v>
      </c>
      <c r="H73" s="64">
        <v>30.91</v>
      </c>
      <c r="I73" s="64">
        <v>1.52</v>
      </c>
      <c r="J73" s="64">
        <v>0.39</v>
      </c>
      <c r="K73" s="64">
        <v>312.44</v>
      </c>
      <c r="L73" s="64">
        <v>25.99</v>
      </c>
      <c r="M73" s="64">
        <v>45.04</v>
      </c>
      <c r="N73" s="64">
        <v>155.1</v>
      </c>
      <c r="O73" s="64">
        <v>0</v>
      </c>
      <c r="P73" s="64">
        <v>0.57999999999999996</v>
      </c>
      <c r="Q73" s="64">
        <v>6.82</v>
      </c>
      <c r="R73" s="198"/>
      <c r="S73" s="198"/>
      <c r="T73" s="198"/>
      <c r="U73" s="198"/>
    </row>
    <row r="74" spans="1:21" s="12" customFormat="1" x14ac:dyDescent="0.25">
      <c r="A74" s="213" t="s">
        <v>312</v>
      </c>
      <c r="B74" s="64">
        <v>3.16</v>
      </c>
      <c r="C74" s="64">
        <v>56.94</v>
      </c>
      <c r="D74" s="64">
        <v>34.61</v>
      </c>
      <c r="E74" s="64">
        <v>0.25</v>
      </c>
      <c r="F74" s="64">
        <v>4.22</v>
      </c>
      <c r="G74" s="64">
        <v>52.21</v>
      </c>
      <c r="H74" s="64">
        <v>30.26</v>
      </c>
      <c r="I74" s="64">
        <v>1.58</v>
      </c>
      <c r="J74" s="64">
        <v>0.22</v>
      </c>
      <c r="K74" s="64">
        <v>318.97000000000003</v>
      </c>
      <c r="L74" s="64">
        <v>25.73</v>
      </c>
      <c r="M74" s="64">
        <v>45.89</v>
      </c>
      <c r="N74" s="64">
        <v>141</v>
      </c>
      <c r="O74" s="64">
        <v>0</v>
      </c>
      <c r="P74" s="64">
        <v>0.57999999999999996</v>
      </c>
      <c r="Q74" s="64">
        <v>6.81</v>
      </c>
      <c r="R74" s="198"/>
      <c r="S74" s="198"/>
      <c r="T74" s="198"/>
      <c r="U74" s="198"/>
    </row>
    <row r="75" spans="1:21" s="12" customFormat="1" x14ac:dyDescent="0.25">
      <c r="A75" s="213" t="s">
        <v>313</v>
      </c>
      <c r="B75" s="64">
        <v>3.69</v>
      </c>
      <c r="C75" s="64">
        <v>58.31</v>
      </c>
      <c r="D75" s="64">
        <v>35.79</v>
      </c>
      <c r="E75" s="64">
        <v>0.26</v>
      </c>
      <c r="F75" s="64">
        <v>3.89</v>
      </c>
      <c r="G75" s="64">
        <v>35.770000000000003</v>
      </c>
      <c r="H75" s="64">
        <v>28.18</v>
      </c>
      <c r="I75" s="64">
        <v>1.49</v>
      </c>
      <c r="J75" s="64">
        <v>0.14000000000000001</v>
      </c>
      <c r="K75" s="64">
        <v>324.97000000000003</v>
      </c>
      <c r="L75" s="64">
        <v>25.43</v>
      </c>
      <c r="M75" s="64">
        <v>46.38</v>
      </c>
      <c r="N75" s="64">
        <v>120.7</v>
      </c>
      <c r="O75" s="64">
        <v>0</v>
      </c>
      <c r="P75" s="64">
        <v>0.57999999999999996</v>
      </c>
      <c r="Q75" s="64">
        <v>6.88</v>
      </c>
      <c r="R75" s="198"/>
      <c r="S75" s="198"/>
      <c r="T75" s="198"/>
      <c r="U75" s="198"/>
    </row>
    <row r="76" spans="1:21" s="12" customFormat="1" x14ac:dyDescent="0.25">
      <c r="A76" s="213" t="s">
        <v>314</v>
      </c>
      <c r="B76" s="64">
        <v>3.98</v>
      </c>
      <c r="C76" s="64">
        <v>58.98</v>
      </c>
      <c r="D76" s="64">
        <v>36.39</v>
      </c>
      <c r="E76" s="64">
        <v>0.26</v>
      </c>
      <c r="F76" s="64">
        <v>3.88</v>
      </c>
      <c r="G76" s="64">
        <v>35.770000000000003</v>
      </c>
      <c r="H76" s="64">
        <v>28.18</v>
      </c>
      <c r="I76" s="64">
        <v>1.43</v>
      </c>
      <c r="J76" s="64">
        <v>0.09</v>
      </c>
      <c r="K76" s="64">
        <v>344.81</v>
      </c>
      <c r="L76" s="64">
        <v>25.04</v>
      </c>
      <c r="M76" s="64">
        <v>46.68</v>
      </c>
      <c r="N76" s="64">
        <v>100</v>
      </c>
      <c r="O76" s="64">
        <v>0</v>
      </c>
      <c r="P76" s="64">
        <v>0.59</v>
      </c>
      <c r="Q76" s="64">
        <v>6.94</v>
      </c>
      <c r="R76" s="198"/>
      <c r="S76" s="198"/>
      <c r="T76" s="198"/>
      <c r="U76" s="198"/>
    </row>
    <row r="77" spans="1:21" s="12" customFormat="1" x14ac:dyDescent="0.25">
      <c r="A77" s="213" t="s">
        <v>315</v>
      </c>
      <c r="B77" s="64">
        <v>4.25</v>
      </c>
      <c r="C77" s="64">
        <v>59.55</v>
      </c>
      <c r="D77" s="64">
        <v>36.92</v>
      </c>
      <c r="E77" s="64">
        <v>0.26</v>
      </c>
      <c r="F77" s="64">
        <v>3.75</v>
      </c>
      <c r="G77" s="64">
        <v>35.770000000000003</v>
      </c>
      <c r="H77" s="64">
        <v>28.18</v>
      </c>
      <c r="I77" s="64">
        <v>1.46</v>
      </c>
      <c r="J77" s="64">
        <v>0.1</v>
      </c>
      <c r="K77" s="64">
        <v>320.27</v>
      </c>
      <c r="L77" s="64">
        <v>24.64</v>
      </c>
      <c r="M77" s="64">
        <v>47.92</v>
      </c>
      <c r="N77" s="64">
        <v>89.5</v>
      </c>
      <c r="O77" s="64">
        <v>0</v>
      </c>
      <c r="P77" s="64">
        <v>0.59</v>
      </c>
      <c r="Q77" s="64">
        <v>6.94</v>
      </c>
      <c r="R77" s="198"/>
      <c r="S77" s="198"/>
      <c r="T77" s="198"/>
      <c r="U77" s="198"/>
    </row>
    <row r="78" spans="1:21" s="12" customFormat="1" x14ac:dyDescent="0.25">
      <c r="A78" s="213" t="s">
        <v>316</v>
      </c>
      <c r="B78" s="64">
        <v>5.09</v>
      </c>
      <c r="C78" s="64">
        <v>60.59</v>
      </c>
      <c r="D78" s="64">
        <v>38.159999999999997</v>
      </c>
      <c r="E78" s="64">
        <v>0.28000000000000003</v>
      </c>
      <c r="F78" s="64">
        <v>3.72</v>
      </c>
      <c r="G78" s="64">
        <v>36.89</v>
      </c>
      <c r="H78" s="64">
        <v>27.21</v>
      </c>
      <c r="I78" s="64">
        <v>1.56</v>
      </c>
      <c r="J78" s="64">
        <v>7.0000000000000007E-2</v>
      </c>
      <c r="K78" s="64">
        <v>285.05</v>
      </c>
      <c r="L78" s="64">
        <v>24.13</v>
      </c>
      <c r="M78" s="64">
        <v>49.86</v>
      </c>
      <c r="N78" s="64">
        <v>71.8</v>
      </c>
      <c r="O78" s="64">
        <v>0</v>
      </c>
      <c r="P78" s="64">
        <v>0.62</v>
      </c>
      <c r="Q78" s="64">
        <v>6.97</v>
      </c>
      <c r="R78" s="198"/>
      <c r="S78" s="198"/>
      <c r="T78" s="198"/>
      <c r="U78" s="198"/>
    </row>
    <row r="79" spans="1:21" s="12" customFormat="1" x14ac:dyDescent="0.25">
      <c r="A79" s="213" t="s">
        <v>317</v>
      </c>
      <c r="B79" s="64">
        <v>7.12</v>
      </c>
      <c r="C79" s="64">
        <v>62.03</v>
      </c>
      <c r="D79" s="64">
        <v>40.590000000000003</v>
      </c>
      <c r="E79" s="64">
        <v>0.3</v>
      </c>
      <c r="F79" s="64">
        <v>3.31</v>
      </c>
      <c r="G79" s="64">
        <v>42.1</v>
      </c>
      <c r="H79" s="64">
        <v>23.9</v>
      </c>
      <c r="I79" s="64">
        <v>1.48</v>
      </c>
      <c r="J79" s="64">
        <v>0.34</v>
      </c>
      <c r="K79" s="64">
        <v>338.46</v>
      </c>
      <c r="L79" s="64">
        <v>23.44</v>
      </c>
      <c r="M79" s="64">
        <v>58.04</v>
      </c>
      <c r="N79" s="64">
        <v>62.8</v>
      </c>
      <c r="O79" s="64">
        <v>0</v>
      </c>
      <c r="P79" s="64">
        <v>0.65</v>
      </c>
      <c r="Q79" s="64">
        <v>7.11</v>
      </c>
      <c r="R79" s="198"/>
      <c r="S79" s="198"/>
      <c r="T79" s="198"/>
      <c r="U79" s="198"/>
    </row>
    <row r="80" spans="1:21" s="12" customFormat="1" x14ac:dyDescent="0.25">
      <c r="A80" s="213" t="s">
        <v>318</v>
      </c>
      <c r="B80" s="64">
        <v>9.42</v>
      </c>
      <c r="C80" s="64">
        <v>63.01</v>
      </c>
      <c r="D80" s="64">
        <v>42.98</v>
      </c>
      <c r="E80" s="64">
        <v>0.23</v>
      </c>
      <c r="F80" s="64">
        <v>3.44</v>
      </c>
      <c r="G80" s="64">
        <v>42.1</v>
      </c>
      <c r="H80" s="64">
        <v>23.9</v>
      </c>
      <c r="I80" s="64">
        <v>1.5</v>
      </c>
      <c r="J80" s="64">
        <v>0.52</v>
      </c>
      <c r="K80" s="64">
        <v>349.59</v>
      </c>
      <c r="L80" s="64">
        <v>22.68</v>
      </c>
      <c r="M80" s="64">
        <v>66.05</v>
      </c>
      <c r="N80" s="64">
        <v>58.6</v>
      </c>
      <c r="O80" s="64">
        <v>0</v>
      </c>
      <c r="P80" s="64">
        <v>0.69</v>
      </c>
      <c r="Q80" s="64">
        <v>7.28</v>
      </c>
      <c r="R80" s="198"/>
      <c r="S80" s="198"/>
      <c r="T80" s="198"/>
      <c r="U80" s="198"/>
    </row>
    <row r="81" spans="1:26" s="12" customFormat="1" x14ac:dyDescent="0.25">
      <c r="A81" s="213" t="s">
        <v>319</v>
      </c>
      <c r="B81" s="64">
        <v>11.92</v>
      </c>
      <c r="C81" s="64">
        <v>64.41</v>
      </c>
      <c r="D81" s="64">
        <v>45.75</v>
      </c>
      <c r="E81" s="64">
        <v>0.27</v>
      </c>
      <c r="F81" s="64">
        <v>3.02</v>
      </c>
      <c r="G81" s="64">
        <v>42.1</v>
      </c>
      <c r="H81" s="64">
        <v>23.9</v>
      </c>
      <c r="I81" s="64">
        <v>1.49</v>
      </c>
      <c r="J81" s="64">
        <v>0.19</v>
      </c>
      <c r="K81" s="64">
        <v>335.44</v>
      </c>
      <c r="L81" s="64">
        <v>22.28</v>
      </c>
      <c r="M81" s="64">
        <v>66.680000000000007</v>
      </c>
      <c r="N81" s="64">
        <v>57.9</v>
      </c>
      <c r="O81" s="64">
        <v>0</v>
      </c>
      <c r="P81" s="64">
        <v>0.78</v>
      </c>
      <c r="Q81" s="64">
        <v>7.48</v>
      </c>
      <c r="R81" s="198"/>
      <c r="S81" s="198"/>
      <c r="T81" s="198"/>
      <c r="U81" s="198"/>
    </row>
    <row r="82" spans="1:26" s="12" customFormat="1" x14ac:dyDescent="0.25">
      <c r="A82" s="213" t="s">
        <v>320</v>
      </c>
      <c r="B82" s="64">
        <v>15.12</v>
      </c>
      <c r="C82" s="64">
        <v>64.44</v>
      </c>
      <c r="D82" s="64">
        <v>48.33</v>
      </c>
      <c r="E82" s="64">
        <v>0.28999999999999998</v>
      </c>
      <c r="F82" s="64">
        <v>2.83</v>
      </c>
      <c r="G82" s="64">
        <v>47.43</v>
      </c>
      <c r="H82" s="64">
        <v>24.51</v>
      </c>
      <c r="I82" s="64">
        <v>1.53</v>
      </c>
      <c r="J82" s="64">
        <v>0.16</v>
      </c>
      <c r="K82" s="64">
        <v>327.01</v>
      </c>
      <c r="L82" s="64">
        <v>21.89</v>
      </c>
      <c r="M82" s="64">
        <v>69.87</v>
      </c>
      <c r="N82" s="64">
        <v>57.7</v>
      </c>
      <c r="O82" s="64">
        <v>0</v>
      </c>
      <c r="P82" s="64">
        <v>0.87</v>
      </c>
      <c r="Q82" s="64">
        <v>7.75</v>
      </c>
      <c r="R82" s="198"/>
      <c r="S82" s="198"/>
      <c r="T82" s="198"/>
      <c r="U82" s="198"/>
    </row>
    <row r="83" spans="1:26" s="12" customFormat="1" x14ac:dyDescent="0.25">
      <c r="A83" s="213" t="s">
        <v>321</v>
      </c>
      <c r="B83" s="64">
        <v>17.97</v>
      </c>
      <c r="C83" s="64">
        <v>63.5</v>
      </c>
      <c r="D83" s="64">
        <v>50.1</v>
      </c>
      <c r="E83" s="64">
        <v>0.28000000000000003</v>
      </c>
      <c r="F83" s="64">
        <v>3.16</v>
      </c>
      <c r="G83" s="64">
        <v>72.099999999999994</v>
      </c>
      <c r="H83" s="64">
        <v>26.59</v>
      </c>
      <c r="I83" s="64">
        <v>1.54</v>
      </c>
      <c r="J83" s="64">
        <v>0.1</v>
      </c>
      <c r="K83" s="64">
        <v>310.27</v>
      </c>
      <c r="L83" s="64">
        <v>21.64</v>
      </c>
      <c r="M83" s="64">
        <v>72.62</v>
      </c>
      <c r="N83" s="64">
        <v>57.6</v>
      </c>
      <c r="O83" s="64">
        <v>0</v>
      </c>
      <c r="P83" s="64">
        <v>0.96</v>
      </c>
      <c r="Q83" s="64">
        <v>8.06</v>
      </c>
      <c r="R83" s="198"/>
      <c r="S83" s="198"/>
      <c r="T83" s="198"/>
      <c r="U83" s="198"/>
    </row>
    <row r="84" spans="1:26" s="12" customFormat="1" x14ac:dyDescent="0.25">
      <c r="A84" s="213" t="s">
        <v>322</v>
      </c>
      <c r="B84" s="64">
        <v>20.38</v>
      </c>
      <c r="C84" s="64">
        <v>62.87</v>
      </c>
      <c r="D84" s="64">
        <v>51.68</v>
      </c>
      <c r="E84" s="64">
        <v>0.3</v>
      </c>
      <c r="F84" s="64">
        <v>3.37</v>
      </c>
      <c r="G84" s="64">
        <v>72.099999999999994</v>
      </c>
      <c r="H84" s="64">
        <v>26.59</v>
      </c>
      <c r="I84" s="64">
        <v>1.46</v>
      </c>
      <c r="J84" s="64">
        <v>7.0000000000000007E-2</v>
      </c>
      <c r="K84" s="64">
        <v>309.33999999999997</v>
      </c>
      <c r="L84" s="64">
        <v>21.4</v>
      </c>
      <c r="M84" s="64">
        <v>66.19</v>
      </c>
      <c r="N84" s="64">
        <v>57.6</v>
      </c>
      <c r="O84" s="64">
        <v>0</v>
      </c>
      <c r="P84" s="64">
        <v>1.07</v>
      </c>
      <c r="Q84" s="64">
        <v>8.24</v>
      </c>
      <c r="R84" s="198"/>
      <c r="S84" s="198"/>
      <c r="T84" s="198"/>
      <c r="U84" s="198"/>
    </row>
    <row r="85" spans="1:26" s="12" customFormat="1" x14ac:dyDescent="0.25">
      <c r="A85" s="213" t="s">
        <v>323</v>
      </c>
      <c r="B85" s="64">
        <v>22.79</v>
      </c>
      <c r="C85" s="64">
        <v>62.26</v>
      </c>
      <c r="D85" s="64">
        <v>53.28</v>
      </c>
      <c r="E85" s="64">
        <v>0.35</v>
      </c>
      <c r="F85" s="64">
        <v>2.95</v>
      </c>
      <c r="G85" s="64">
        <v>72.099999999999994</v>
      </c>
      <c r="H85" s="64">
        <v>26.59</v>
      </c>
      <c r="I85" s="64">
        <v>1.58</v>
      </c>
      <c r="J85" s="64">
        <v>0.04</v>
      </c>
      <c r="K85" s="64">
        <v>338.95</v>
      </c>
      <c r="L85" s="64">
        <v>21.12</v>
      </c>
      <c r="M85" s="64">
        <v>64.53</v>
      </c>
      <c r="N85" s="64">
        <v>57.7</v>
      </c>
      <c r="O85" s="64">
        <v>0</v>
      </c>
      <c r="P85" s="64">
        <v>1.07</v>
      </c>
      <c r="Q85" s="64">
        <v>8.4600000000000009</v>
      </c>
      <c r="R85" s="198"/>
      <c r="S85" s="198"/>
      <c r="T85" s="198"/>
      <c r="U85" s="198"/>
    </row>
    <row r="86" spans="1:26" s="12" customFormat="1" x14ac:dyDescent="0.25">
      <c r="A86" s="213" t="s">
        <v>324</v>
      </c>
      <c r="B86" s="64">
        <v>24.06</v>
      </c>
      <c r="C86" s="64">
        <v>62.07</v>
      </c>
      <c r="D86" s="64">
        <v>54.19</v>
      </c>
      <c r="E86" s="64">
        <v>0.36</v>
      </c>
      <c r="F86" s="64">
        <v>2.94</v>
      </c>
      <c r="G86" s="64">
        <v>77.52</v>
      </c>
      <c r="H86" s="64">
        <v>28.27</v>
      </c>
      <c r="I86" s="64">
        <v>1.48</v>
      </c>
      <c r="J86" s="64">
        <v>7.0000000000000007E-2</v>
      </c>
      <c r="K86" s="64">
        <v>236.18</v>
      </c>
      <c r="L86" s="64">
        <v>21.07</v>
      </c>
      <c r="M86" s="64">
        <v>65.91</v>
      </c>
      <c r="N86" s="64">
        <v>57.8</v>
      </c>
      <c r="O86" s="64">
        <v>0</v>
      </c>
      <c r="P86" s="64">
        <v>1.18</v>
      </c>
      <c r="Q86" s="64">
        <v>8.61</v>
      </c>
      <c r="R86" s="198"/>
      <c r="S86" s="198"/>
      <c r="T86" s="198"/>
      <c r="U86" s="198"/>
    </row>
    <row r="87" spans="1:26" s="12" customFormat="1" x14ac:dyDescent="0.25">
      <c r="A87" s="213" t="s">
        <v>325</v>
      </c>
      <c r="B87" s="64">
        <v>25.79</v>
      </c>
      <c r="C87" s="64">
        <v>61.8</v>
      </c>
      <c r="D87" s="64">
        <v>55.44</v>
      </c>
      <c r="E87" s="64">
        <v>0.36</v>
      </c>
      <c r="F87" s="64">
        <v>2.93</v>
      </c>
      <c r="G87" s="64">
        <v>102.61</v>
      </c>
      <c r="H87" s="64">
        <v>36.06</v>
      </c>
      <c r="I87" s="64">
        <v>1.61</v>
      </c>
      <c r="J87" s="64">
        <v>0.06</v>
      </c>
      <c r="K87" s="64">
        <v>171.65</v>
      </c>
      <c r="L87" s="64">
        <v>20.68</v>
      </c>
      <c r="M87" s="64">
        <v>71.41</v>
      </c>
      <c r="N87" s="64">
        <v>57.8</v>
      </c>
      <c r="O87" s="64">
        <v>0</v>
      </c>
      <c r="P87" s="64">
        <v>1.25</v>
      </c>
      <c r="Q87" s="64">
        <v>8.7200000000000006</v>
      </c>
      <c r="R87" s="198"/>
      <c r="S87" s="198"/>
      <c r="T87" s="198"/>
      <c r="U87" s="198"/>
    </row>
    <row r="88" spans="1:26" s="12" customFormat="1" x14ac:dyDescent="0.25">
      <c r="A88" s="213" t="s">
        <v>326</v>
      </c>
      <c r="B88" s="64">
        <v>30.39</v>
      </c>
      <c r="C88" s="64">
        <v>61.35</v>
      </c>
      <c r="D88" s="64">
        <v>58.88</v>
      </c>
      <c r="E88" s="64">
        <v>0.1</v>
      </c>
      <c r="F88" s="64">
        <v>2.94</v>
      </c>
      <c r="G88" s="64">
        <v>102.61</v>
      </c>
      <c r="H88" s="64">
        <v>36.06</v>
      </c>
      <c r="I88" s="64">
        <v>1.49</v>
      </c>
      <c r="J88" s="64">
        <v>0.03</v>
      </c>
      <c r="K88" s="64">
        <v>167.21</v>
      </c>
      <c r="L88" s="64">
        <v>20.37</v>
      </c>
      <c r="M88" s="64">
        <v>73.489999999999995</v>
      </c>
      <c r="N88" s="64">
        <v>57.8</v>
      </c>
      <c r="O88" s="64">
        <v>0</v>
      </c>
      <c r="P88" s="64">
        <v>1.29</v>
      </c>
      <c r="Q88" s="64">
        <v>8.94</v>
      </c>
      <c r="R88" s="198"/>
      <c r="S88" s="198"/>
      <c r="T88" s="198"/>
      <c r="U88" s="198"/>
    </row>
    <row r="89" spans="1:26" s="12" customFormat="1" x14ac:dyDescent="0.25">
      <c r="A89" s="213" t="s">
        <v>327</v>
      </c>
      <c r="B89" s="64">
        <v>34.65</v>
      </c>
      <c r="C89" s="64">
        <v>61.12</v>
      </c>
      <c r="D89" s="64">
        <v>62.16</v>
      </c>
      <c r="E89" s="64">
        <v>0.27</v>
      </c>
      <c r="F89" s="64">
        <v>2.96</v>
      </c>
      <c r="G89" s="64">
        <v>102.61</v>
      </c>
      <c r="H89" s="64">
        <v>36.06</v>
      </c>
      <c r="I89" s="64">
        <v>1.5</v>
      </c>
      <c r="J89" s="64">
        <v>0.09</v>
      </c>
      <c r="K89" s="64">
        <v>114.11</v>
      </c>
      <c r="L89" s="64">
        <v>20.13</v>
      </c>
      <c r="M89" s="64">
        <v>74.08</v>
      </c>
      <c r="N89" s="64">
        <v>57.6</v>
      </c>
      <c r="O89" s="64">
        <v>0</v>
      </c>
      <c r="P89" s="64">
        <v>1.31</v>
      </c>
      <c r="Q89" s="64">
        <v>9.2899999999999991</v>
      </c>
      <c r="R89" s="198"/>
      <c r="S89" s="198"/>
      <c r="T89" s="198"/>
      <c r="U89" s="198"/>
    </row>
    <row r="90" spans="1:26" s="12" customFormat="1" x14ac:dyDescent="0.25">
      <c r="A90" s="213" t="s">
        <v>328</v>
      </c>
      <c r="B90" s="64">
        <v>39.65</v>
      </c>
      <c r="C90" s="64">
        <v>60.76</v>
      </c>
      <c r="D90" s="64">
        <v>65.97</v>
      </c>
      <c r="E90" s="64">
        <v>0.3</v>
      </c>
      <c r="F90" s="64">
        <v>2.75</v>
      </c>
      <c r="G90" s="64">
        <v>107.39</v>
      </c>
      <c r="H90" s="64">
        <v>38.22</v>
      </c>
      <c r="I90" s="64">
        <v>1.51</v>
      </c>
      <c r="J90" s="64">
        <v>0.05</v>
      </c>
      <c r="K90" s="64">
        <v>201.17</v>
      </c>
      <c r="L90" s="64">
        <v>19.96</v>
      </c>
      <c r="M90" s="64">
        <v>77.62</v>
      </c>
      <c r="N90" s="64">
        <v>57.8</v>
      </c>
      <c r="O90" s="64">
        <v>0</v>
      </c>
      <c r="P90" s="64">
        <v>1.33</v>
      </c>
      <c r="Q90" s="64">
        <v>9.57</v>
      </c>
      <c r="R90" s="198"/>
      <c r="S90" s="198"/>
      <c r="T90" s="198"/>
      <c r="U90" s="198"/>
    </row>
    <row r="91" spans="1:26" s="12" customFormat="1" x14ac:dyDescent="0.25">
      <c r="A91" s="213" t="s">
        <v>329</v>
      </c>
      <c r="B91" s="64">
        <v>44.68</v>
      </c>
      <c r="C91" s="64">
        <v>60.15</v>
      </c>
      <c r="D91" s="64">
        <v>69.67</v>
      </c>
      <c r="E91" s="64">
        <v>0.31</v>
      </c>
      <c r="F91" s="64">
        <v>2.86</v>
      </c>
      <c r="G91" s="64">
        <v>129.52000000000001</v>
      </c>
      <c r="H91" s="64">
        <v>45.56</v>
      </c>
      <c r="I91" s="64">
        <v>1.45</v>
      </c>
      <c r="J91" s="64">
        <v>7.0000000000000007E-2</v>
      </c>
      <c r="K91" s="64">
        <v>301.14</v>
      </c>
      <c r="L91" s="64">
        <v>19.75</v>
      </c>
      <c r="M91" s="64">
        <v>79.89</v>
      </c>
      <c r="N91" s="64">
        <v>57.7</v>
      </c>
      <c r="O91" s="64">
        <v>0</v>
      </c>
      <c r="P91" s="64">
        <v>1.46</v>
      </c>
      <c r="Q91" s="64">
        <v>9.92</v>
      </c>
      <c r="R91" s="198"/>
      <c r="S91" s="198"/>
      <c r="T91" s="198"/>
      <c r="U91" s="198"/>
    </row>
    <row r="92" spans="1:26" s="12" customFormat="1" x14ac:dyDescent="0.25">
      <c r="A92" s="213" t="s">
        <v>330</v>
      </c>
      <c r="B92" s="64">
        <v>51.97</v>
      </c>
      <c r="C92" s="64">
        <v>60</v>
      </c>
      <c r="D92" s="64">
        <v>75.430000000000007</v>
      </c>
      <c r="E92" s="64">
        <v>0.33</v>
      </c>
      <c r="F92" s="64">
        <v>2.85</v>
      </c>
      <c r="G92" s="64">
        <v>129.52000000000001</v>
      </c>
      <c r="H92" s="64">
        <v>45.56</v>
      </c>
      <c r="I92" s="64">
        <v>1.47</v>
      </c>
      <c r="J92" s="64">
        <v>0.12</v>
      </c>
      <c r="K92" s="64">
        <v>325.24</v>
      </c>
      <c r="L92" s="64">
        <v>19.510000000000002</v>
      </c>
      <c r="M92" s="64">
        <v>83.54</v>
      </c>
      <c r="N92" s="64">
        <v>57.7</v>
      </c>
      <c r="O92" s="64">
        <v>0</v>
      </c>
      <c r="P92" s="64">
        <v>1.66</v>
      </c>
      <c r="Q92" s="64">
        <v>10.28</v>
      </c>
      <c r="R92" s="198"/>
      <c r="S92" s="198"/>
      <c r="T92" s="198"/>
      <c r="U92" s="198"/>
    </row>
    <row r="93" spans="1:26" s="12" customFormat="1" x14ac:dyDescent="0.25">
      <c r="A93" s="213" t="s">
        <v>331</v>
      </c>
      <c r="B93" s="64">
        <v>60.38</v>
      </c>
      <c r="C93" s="64">
        <v>59.92</v>
      </c>
      <c r="D93" s="64">
        <v>82.13</v>
      </c>
      <c r="E93" s="64">
        <v>0.34</v>
      </c>
      <c r="F93" s="64">
        <v>3.02</v>
      </c>
      <c r="G93" s="64">
        <v>129.52000000000001</v>
      </c>
      <c r="H93" s="64">
        <v>45.56</v>
      </c>
      <c r="I93" s="64">
        <v>1.5</v>
      </c>
      <c r="J93" s="64">
        <v>0.05</v>
      </c>
      <c r="K93" s="64">
        <v>212.98</v>
      </c>
      <c r="L93" s="64">
        <v>19.25</v>
      </c>
      <c r="M93" s="64">
        <v>84.33</v>
      </c>
      <c r="N93" s="64">
        <v>57.7</v>
      </c>
      <c r="O93" s="64">
        <v>0</v>
      </c>
      <c r="P93" s="64">
        <v>1.79</v>
      </c>
      <c r="Q93" s="64">
        <v>10.83</v>
      </c>
      <c r="R93" s="198"/>
      <c r="S93" s="198"/>
      <c r="T93" s="198"/>
      <c r="U93" s="198"/>
    </row>
    <row r="94" spans="1:26" s="12" customFormat="1" x14ac:dyDescent="0.25">
      <c r="A94" s="213" t="s">
        <v>332</v>
      </c>
      <c r="B94" s="64">
        <v>70.8</v>
      </c>
      <c r="C94" s="64">
        <v>59.17</v>
      </c>
      <c r="D94" s="64">
        <v>90.07</v>
      </c>
      <c r="E94" s="64">
        <v>0.42</v>
      </c>
      <c r="F94" s="64">
        <v>3.25</v>
      </c>
      <c r="G94" s="64">
        <v>138.33000000000001</v>
      </c>
      <c r="H94" s="64">
        <v>47.52</v>
      </c>
      <c r="I94" s="64">
        <v>1.49</v>
      </c>
      <c r="J94" s="64">
        <v>0.13</v>
      </c>
      <c r="K94" s="64">
        <v>295.32</v>
      </c>
      <c r="L94" s="64">
        <v>19.43</v>
      </c>
      <c r="M94" s="64">
        <v>82.08</v>
      </c>
      <c r="N94" s="64">
        <v>57.6</v>
      </c>
      <c r="O94" s="64">
        <v>0</v>
      </c>
      <c r="P94" s="64">
        <v>1.68</v>
      </c>
      <c r="Q94" s="64">
        <v>11.44</v>
      </c>
      <c r="R94" s="198"/>
      <c r="S94" s="198"/>
      <c r="T94" s="198"/>
      <c r="U94" s="198"/>
    </row>
    <row r="95" spans="1:26" s="12" customFormat="1" x14ac:dyDescent="0.25">
      <c r="A95" s="213" t="s">
        <v>333</v>
      </c>
      <c r="B95" s="64">
        <v>82.98</v>
      </c>
      <c r="C95" s="64">
        <v>57.7</v>
      </c>
      <c r="D95" s="64">
        <v>99.03</v>
      </c>
      <c r="E95" s="64">
        <v>0.43</v>
      </c>
      <c r="F95" s="64">
        <v>3.44</v>
      </c>
      <c r="G95" s="64">
        <v>179.03</v>
      </c>
      <c r="H95" s="64">
        <v>54.18</v>
      </c>
      <c r="I95" s="64">
        <v>1.47</v>
      </c>
      <c r="J95" s="64">
        <v>0.1</v>
      </c>
      <c r="K95" s="64">
        <v>271.3</v>
      </c>
      <c r="L95" s="64">
        <v>19.190000000000001</v>
      </c>
      <c r="M95" s="64">
        <v>83.47</v>
      </c>
      <c r="N95" s="64">
        <v>57.9</v>
      </c>
      <c r="O95" s="64">
        <v>0</v>
      </c>
      <c r="P95" s="64">
        <v>1.82</v>
      </c>
      <c r="Q95" s="64">
        <v>12.08</v>
      </c>
      <c r="R95" s="198"/>
      <c r="S95" s="198"/>
      <c r="T95" s="198"/>
      <c r="U95" s="198"/>
    </row>
    <row r="96" spans="1:26" s="12" customFormat="1" x14ac:dyDescent="0.25">
      <c r="A96" s="213" t="s">
        <v>334</v>
      </c>
      <c r="B96" s="64">
        <v>88.48</v>
      </c>
      <c r="C96" s="64">
        <v>59.87</v>
      </c>
      <c r="D96" s="64">
        <v>104.64</v>
      </c>
      <c r="E96" s="64">
        <v>0.41</v>
      </c>
      <c r="F96" s="64">
        <v>3.24</v>
      </c>
      <c r="G96" s="64">
        <v>179.03</v>
      </c>
      <c r="H96" s="64">
        <v>54.18</v>
      </c>
      <c r="I96" s="64">
        <v>1.5</v>
      </c>
      <c r="J96" s="64">
        <v>0.09</v>
      </c>
      <c r="K96" s="64">
        <v>280.85000000000002</v>
      </c>
      <c r="L96" s="64">
        <v>19.13</v>
      </c>
      <c r="M96" s="64">
        <v>83.03</v>
      </c>
      <c r="N96" s="64">
        <v>57.9</v>
      </c>
      <c r="O96" s="64">
        <v>0</v>
      </c>
      <c r="P96" s="64">
        <v>1.95</v>
      </c>
      <c r="Q96" s="64">
        <v>12.79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335</v>
      </c>
      <c r="B97" s="64">
        <v>92.45</v>
      </c>
      <c r="C97" s="64">
        <v>60.23</v>
      </c>
      <c r="D97" s="64">
        <v>108.02</v>
      </c>
      <c r="E97" s="64">
        <v>0.44</v>
      </c>
      <c r="F97" s="64">
        <v>3</v>
      </c>
      <c r="G97" s="64">
        <v>179.03</v>
      </c>
      <c r="H97" s="64">
        <v>54.18</v>
      </c>
      <c r="I97" s="64">
        <v>1.48</v>
      </c>
      <c r="J97" s="64">
        <v>0.09</v>
      </c>
      <c r="K97" s="64">
        <v>221.59</v>
      </c>
      <c r="L97" s="64">
        <v>19.100000000000001</v>
      </c>
      <c r="M97" s="64">
        <v>82.23</v>
      </c>
      <c r="N97" s="64">
        <v>57.7</v>
      </c>
      <c r="O97" s="64">
        <v>0</v>
      </c>
      <c r="P97" s="64">
        <v>2.0299999999999998</v>
      </c>
      <c r="Q97" s="64">
        <v>13.21</v>
      </c>
      <c r="R97" s="198"/>
      <c r="S97" s="198"/>
      <c r="T97" s="198"/>
      <c r="U97" s="198"/>
    </row>
    <row r="98" spans="1:33" s="12" customFormat="1" x14ac:dyDescent="0.25">
      <c r="A98" s="213" t="s">
        <v>336</v>
      </c>
      <c r="B98" s="64">
        <v>95.16</v>
      </c>
      <c r="C98" s="64">
        <v>60.23</v>
      </c>
      <c r="D98" s="64">
        <v>110.2</v>
      </c>
      <c r="E98" s="64">
        <v>0.52</v>
      </c>
      <c r="F98" s="64">
        <v>3.03</v>
      </c>
      <c r="G98" s="64">
        <v>178.34</v>
      </c>
      <c r="H98" s="64">
        <v>54.94</v>
      </c>
      <c r="I98" s="64">
        <v>1.45</v>
      </c>
      <c r="J98" s="64">
        <v>0.16</v>
      </c>
      <c r="K98" s="64">
        <v>331.8</v>
      </c>
      <c r="L98" s="64">
        <v>18.97</v>
      </c>
      <c r="M98" s="64">
        <v>88.59</v>
      </c>
      <c r="N98" s="64">
        <v>58.1</v>
      </c>
      <c r="O98" s="64">
        <v>0</v>
      </c>
      <c r="P98" s="64">
        <v>2.09</v>
      </c>
      <c r="Q98" s="64">
        <v>13.5</v>
      </c>
      <c r="R98" s="198"/>
      <c r="S98" s="198"/>
      <c r="T98" s="198"/>
      <c r="U98" s="198"/>
    </row>
    <row r="99" spans="1:33" s="12" customFormat="1" x14ac:dyDescent="0.25">
      <c r="A99" s="213" t="s">
        <v>337</v>
      </c>
      <c r="B99" s="64">
        <v>99.17</v>
      </c>
      <c r="C99" s="64">
        <v>60.04</v>
      </c>
      <c r="D99" s="64">
        <v>113.3</v>
      </c>
      <c r="E99" s="64">
        <v>0.43</v>
      </c>
      <c r="F99" s="64">
        <v>3.13</v>
      </c>
      <c r="G99" s="64">
        <v>175.14</v>
      </c>
      <c r="H99" s="64">
        <v>57.37</v>
      </c>
      <c r="I99" s="64">
        <v>1.54</v>
      </c>
      <c r="J99" s="64">
        <v>0.14000000000000001</v>
      </c>
      <c r="K99" s="64">
        <v>286.3</v>
      </c>
      <c r="L99" s="64">
        <v>18.57</v>
      </c>
      <c r="M99" s="64">
        <v>85.92</v>
      </c>
      <c r="N99" s="64">
        <v>58.1</v>
      </c>
      <c r="O99" s="64">
        <v>0</v>
      </c>
      <c r="P99" s="64">
        <v>2.14</v>
      </c>
      <c r="Q99" s="64">
        <v>13.8</v>
      </c>
      <c r="R99" s="198"/>
      <c r="S99" s="198"/>
      <c r="T99" s="198"/>
      <c r="U99" s="198"/>
    </row>
    <row r="100" spans="1:33" s="12" customFormat="1" x14ac:dyDescent="0.25">
      <c r="A100" s="213" t="s">
        <v>338</v>
      </c>
      <c r="B100" s="64">
        <v>98.17</v>
      </c>
      <c r="C100" s="64">
        <v>59.05</v>
      </c>
      <c r="D100" s="64">
        <v>111.96</v>
      </c>
      <c r="E100" s="64">
        <v>0.44</v>
      </c>
      <c r="F100" s="64">
        <v>3.01</v>
      </c>
      <c r="G100" s="64">
        <v>175.14</v>
      </c>
      <c r="H100" s="64">
        <v>57.37</v>
      </c>
      <c r="I100" s="64">
        <v>1.48</v>
      </c>
      <c r="J100" s="64">
        <v>0.08</v>
      </c>
      <c r="K100" s="64">
        <v>283.06</v>
      </c>
      <c r="L100" s="64">
        <v>18.84</v>
      </c>
      <c r="M100" s="64">
        <v>81.069999999999993</v>
      </c>
      <c r="N100" s="64">
        <v>57.9</v>
      </c>
      <c r="O100" s="64">
        <v>0</v>
      </c>
      <c r="P100" s="64">
        <v>2.11</v>
      </c>
      <c r="Q100" s="64">
        <v>13.92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339</v>
      </c>
      <c r="B101" s="64">
        <v>96.25</v>
      </c>
      <c r="C101" s="64">
        <v>58.28</v>
      </c>
      <c r="D101" s="64">
        <v>109.99</v>
      </c>
      <c r="E101" s="64">
        <v>0.43</v>
      </c>
      <c r="F101" s="64">
        <v>2.8</v>
      </c>
      <c r="G101" s="64">
        <v>175.14</v>
      </c>
      <c r="H101" s="64">
        <v>57.37</v>
      </c>
      <c r="I101" s="64">
        <v>1.46</v>
      </c>
      <c r="J101" s="64">
        <v>0.2</v>
      </c>
      <c r="K101" s="64">
        <v>312.52</v>
      </c>
      <c r="L101" s="64">
        <v>18.670000000000002</v>
      </c>
      <c r="M101" s="64">
        <v>84.24</v>
      </c>
      <c r="N101" s="64">
        <v>58.1</v>
      </c>
      <c r="O101" s="64">
        <v>0</v>
      </c>
      <c r="P101" s="64">
        <v>2.0699999999999998</v>
      </c>
      <c r="Q101" s="64">
        <v>13.82</v>
      </c>
      <c r="R101" s="198"/>
      <c r="S101" s="198"/>
      <c r="T101" s="198"/>
      <c r="U101" s="198"/>
    </row>
    <row r="102" spans="1:33" s="12" customFormat="1" x14ac:dyDescent="0.25">
      <c r="A102" s="213" t="s">
        <v>340</v>
      </c>
      <c r="B102" s="64">
        <v>96.22</v>
      </c>
      <c r="C102" s="64">
        <v>58.36</v>
      </c>
      <c r="D102" s="64">
        <v>110.02</v>
      </c>
      <c r="E102" s="64">
        <v>0.52</v>
      </c>
      <c r="F102" s="64">
        <v>2.91</v>
      </c>
      <c r="G102" s="64">
        <v>167.43</v>
      </c>
      <c r="H102" s="64">
        <v>56.4</v>
      </c>
      <c r="I102" s="64">
        <v>1.43</v>
      </c>
      <c r="J102" s="64">
        <v>0.06</v>
      </c>
      <c r="K102" s="64">
        <v>305.45999999999998</v>
      </c>
      <c r="L102" s="64">
        <v>18.23</v>
      </c>
      <c r="M102" s="64">
        <v>86.25</v>
      </c>
      <c r="N102" s="64">
        <v>58.3</v>
      </c>
      <c r="O102" s="64">
        <v>0</v>
      </c>
      <c r="P102" s="64">
        <v>2.0499999999999998</v>
      </c>
      <c r="Q102" s="64">
        <v>13.74</v>
      </c>
      <c r="R102" s="198"/>
      <c r="S102" s="198"/>
      <c r="T102" s="198"/>
      <c r="U102" s="198"/>
    </row>
    <row r="103" spans="1:33" s="12" customFormat="1" x14ac:dyDescent="0.25">
      <c r="A103" s="213" t="s">
        <v>341</v>
      </c>
      <c r="B103" s="64">
        <v>95.49</v>
      </c>
      <c r="C103" s="64">
        <v>58.24</v>
      </c>
      <c r="D103" s="64">
        <v>109.37</v>
      </c>
      <c r="E103" s="64">
        <v>0.56000000000000005</v>
      </c>
      <c r="F103" s="64">
        <v>2.82</v>
      </c>
      <c r="G103" s="64">
        <v>131.77000000000001</v>
      </c>
      <c r="H103" s="64">
        <v>51.49</v>
      </c>
      <c r="I103" s="64">
        <v>1.55</v>
      </c>
      <c r="J103" s="64">
        <v>0.08</v>
      </c>
      <c r="K103" s="64">
        <v>245.92</v>
      </c>
      <c r="L103" s="64">
        <v>18.03</v>
      </c>
      <c r="M103" s="64">
        <v>88.09</v>
      </c>
      <c r="N103" s="64">
        <v>57.9</v>
      </c>
      <c r="O103" s="64">
        <v>0</v>
      </c>
      <c r="P103" s="64">
        <v>2.02</v>
      </c>
      <c r="Q103" s="64">
        <v>13.7</v>
      </c>
      <c r="R103" s="198"/>
      <c r="S103" s="198"/>
      <c r="T103" s="198"/>
      <c r="U103" s="198"/>
    </row>
    <row r="104" spans="1:33" s="12" customFormat="1" x14ac:dyDescent="0.25">
      <c r="A104" s="213" t="s">
        <v>342</v>
      </c>
      <c r="B104" s="64">
        <v>94.7</v>
      </c>
      <c r="C104" s="64">
        <v>57.48</v>
      </c>
      <c r="D104" s="64">
        <v>108.31</v>
      </c>
      <c r="E104" s="64">
        <v>0.13</v>
      </c>
      <c r="F104" s="64">
        <v>3.06</v>
      </c>
      <c r="G104" s="64">
        <v>131.77000000000001</v>
      </c>
      <c r="H104" s="64">
        <v>51.49</v>
      </c>
      <c r="I104" s="64">
        <v>1.51</v>
      </c>
      <c r="J104" s="64">
        <v>0.13</v>
      </c>
      <c r="K104" s="64">
        <v>314.52999999999997</v>
      </c>
      <c r="L104" s="64">
        <v>18</v>
      </c>
      <c r="M104" s="64">
        <v>89.82</v>
      </c>
      <c r="N104" s="64">
        <v>58.1</v>
      </c>
      <c r="O104" s="64">
        <v>0</v>
      </c>
      <c r="P104" s="64">
        <v>1.96</v>
      </c>
      <c r="Q104" s="64">
        <v>13.68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1.94</v>
      </c>
      <c r="C106" s="67">
        <f>MIN(C9:C104)</f>
        <v>51.87</v>
      </c>
      <c r="D106" s="67">
        <f t="shared" ref="D106:Q106" si="0">MIN(D9:D104)</f>
        <v>33.68</v>
      </c>
      <c r="E106" s="67">
        <f t="shared" si="0"/>
        <v>0.05</v>
      </c>
      <c r="F106" s="67">
        <f t="shared" si="0"/>
        <v>2.71</v>
      </c>
      <c r="G106" s="67">
        <f t="shared" si="0"/>
        <v>35.770000000000003</v>
      </c>
      <c r="H106" s="67">
        <f t="shared" si="0"/>
        <v>23.9</v>
      </c>
      <c r="I106" s="67">
        <f t="shared" si="0"/>
        <v>1.4</v>
      </c>
      <c r="J106" s="67">
        <f t="shared" si="0"/>
        <v>0.01</v>
      </c>
      <c r="K106" s="67">
        <f t="shared" si="0"/>
        <v>4.83</v>
      </c>
      <c r="L106" s="67">
        <f t="shared" si="0"/>
        <v>15.42</v>
      </c>
      <c r="M106" s="67">
        <f t="shared" si="0"/>
        <v>37.29</v>
      </c>
      <c r="N106" s="67">
        <f t="shared" si="0"/>
        <v>57.6</v>
      </c>
      <c r="O106" s="67">
        <f t="shared" si="0"/>
        <v>0</v>
      </c>
      <c r="P106" s="67">
        <f t="shared" si="0"/>
        <v>0.57999999999999996</v>
      </c>
      <c r="Q106" s="67">
        <f t="shared" si="0"/>
        <v>6.81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99.17</v>
      </c>
      <c r="C107" s="66">
        <f t="shared" ref="C107:Q107" si="1">MAX(C9:C104)</f>
        <v>74.7</v>
      </c>
      <c r="D107" s="66">
        <f t="shared" si="1"/>
        <v>113.3</v>
      </c>
      <c r="E107" s="66">
        <f t="shared" si="1"/>
        <v>0.56000000000000005</v>
      </c>
      <c r="F107" s="66">
        <f t="shared" si="1"/>
        <v>6.35</v>
      </c>
      <c r="G107" s="66">
        <f t="shared" si="1"/>
        <v>183.19</v>
      </c>
      <c r="H107" s="66">
        <f t="shared" si="1"/>
        <v>75.44</v>
      </c>
      <c r="I107" s="66">
        <f t="shared" si="1"/>
        <v>1.61</v>
      </c>
      <c r="J107" s="66">
        <f t="shared" si="1"/>
        <v>0.83</v>
      </c>
      <c r="K107" s="66">
        <f t="shared" si="1"/>
        <v>356.89</v>
      </c>
      <c r="L107" s="66">
        <f t="shared" si="1"/>
        <v>29.39</v>
      </c>
      <c r="M107" s="66">
        <f t="shared" si="1"/>
        <v>98.56</v>
      </c>
      <c r="N107" s="66">
        <f t="shared" si="1"/>
        <v>651.29999999999995</v>
      </c>
      <c r="O107" s="66">
        <f t="shared" si="1"/>
        <v>0</v>
      </c>
      <c r="P107" s="66">
        <f t="shared" si="1"/>
        <v>2.14</v>
      </c>
      <c r="Q107" s="66">
        <f t="shared" si="1"/>
        <v>13.92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26.838333333333338</v>
      </c>
      <c r="C108" s="67">
        <f t="shared" ref="C108:Q108" si="2">AVERAGE(C9:C104)</f>
        <v>60.375312499999971</v>
      </c>
      <c r="D108" s="67">
        <f t="shared" si="2"/>
        <v>55.488437500000003</v>
      </c>
      <c r="E108" s="67">
        <f t="shared" si="2"/>
        <v>0.25354166666666672</v>
      </c>
      <c r="F108" s="67">
        <f t="shared" si="2"/>
        <v>3.4771874999999994</v>
      </c>
      <c r="G108" s="67">
        <f t="shared" si="2"/>
        <v>107.16604166666679</v>
      </c>
      <c r="H108" s="67">
        <f t="shared" si="2"/>
        <v>45.368124999999992</v>
      </c>
      <c r="I108" s="67">
        <f t="shared" si="2"/>
        <v>1.502083333333333</v>
      </c>
      <c r="J108" s="67">
        <f t="shared" si="2"/>
        <v>0.25270833333333331</v>
      </c>
      <c r="K108" s="67">
        <f t="shared" si="2"/>
        <v>256.14322916666663</v>
      </c>
      <c r="L108" s="67">
        <f t="shared" si="2"/>
        <v>21.327812500000004</v>
      </c>
      <c r="M108" s="67">
        <f t="shared" si="2"/>
        <v>68.506249999999966</v>
      </c>
      <c r="N108" s="67">
        <f t="shared" si="2"/>
        <v>198.92916666666659</v>
      </c>
      <c r="O108" s="67">
        <f t="shared" si="2"/>
        <v>0</v>
      </c>
      <c r="P108" s="67">
        <f t="shared" si="2"/>
        <v>1.0938541666666666</v>
      </c>
      <c r="Q108" s="67">
        <f t="shared" si="2"/>
        <v>8.797608695652178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27.332429963676809</v>
      </c>
      <c r="C109" s="67">
        <f t="shared" ref="C109:Q109" si="3">STDEV(C9:C104)</f>
        <v>6.1454374951325681</v>
      </c>
      <c r="D109" s="67">
        <f t="shared" si="3"/>
        <v>21.42523044539211</v>
      </c>
      <c r="E109" s="67">
        <f t="shared" si="3"/>
        <v>0.10737028077164755</v>
      </c>
      <c r="F109" s="67">
        <f t="shared" si="3"/>
        <v>0.83062145805351717</v>
      </c>
      <c r="G109" s="67">
        <f t="shared" si="3"/>
        <v>43.266993922781545</v>
      </c>
      <c r="H109" s="67">
        <f t="shared" si="3"/>
        <v>13.852487317027977</v>
      </c>
      <c r="I109" s="67">
        <f t="shared" si="3"/>
        <v>4.3284047545600772E-2</v>
      </c>
      <c r="J109" s="67">
        <f t="shared" si="3"/>
        <v>0.20924666464884625</v>
      </c>
      <c r="K109" s="67">
        <f t="shared" si="3"/>
        <v>91.011613550369034</v>
      </c>
      <c r="L109" s="67">
        <f t="shared" si="3"/>
        <v>4.4367181334914836</v>
      </c>
      <c r="M109" s="67">
        <f t="shared" si="3"/>
        <v>20.357670130884291</v>
      </c>
      <c r="N109" s="67">
        <f t="shared" si="3"/>
        <v>205.10762305455091</v>
      </c>
      <c r="O109" s="67">
        <f t="shared" si="3"/>
        <v>0</v>
      </c>
      <c r="P109" s="67">
        <f t="shared" si="3"/>
        <v>0.40571280947479288</v>
      </c>
      <c r="Q109" s="67">
        <f t="shared" si="3"/>
        <v>1.9070789870324234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343</v>
      </c>
      <c r="B9" s="64">
        <v>93.28</v>
      </c>
      <c r="C9" s="64">
        <v>57.43</v>
      </c>
      <c r="D9" s="64">
        <v>107.15</v>
      </c>
      <c r="E9" s="64">
        <v>0.25</v>
      </c>
      <c r="F9" s="64">
        <v>3.2</v>
      </c>
      <c r="G9" s="64">
        <v>131.77000000000001</v>
      </c>
      <c r="H9" s="64">
        <v>51.49</v>
      </c>
      <c r="I9" s="64">
        <v>1.5</v>
      </c>
      <c r="J9" s="64">
        <v>0.08</v>
      </c>
      <c r="K9" s="64">
        <v>281.70999999999998</v>
      </c>
      <c r="L9" s="64">
        <v>17.72</v>
      </c>
      <c r="M9" s="64">
        <v>91.51</v>
      </c>
      <c r="N9" s="64">
        <v>58.2</v>
      </c>
      <c r="O9" s="64">
        <v>0</v>
      </c>
      <c r="P9" s="64">
        <v>1.91</v>
      </c>
      <c r="Q9" s="64">
        <v>13.59</v>
      </c>
      <c r="R9" s="198"/>
      <c r="S9" s="198"/>
      <c r="T9" s="198"/>
      <c r="U9" s="198"/>
    </row>
    <row r="10" spans="1:21" s="12" customFormat="1" x14ac:dyDescent="0.25">
      <c r="A10" s="213" t="s">
        <v>344</v>
      </c>
      <c r="B10" s="64">
        <v>90.79</v>
      </c>
      <c r="C10" s="64">
        <v>56.21</v>
      </c>
      <c r="D10" s="64">
        <v>104.48</v>
      </c>
      <c r="E10" s="64">
        <v>0.32</v>
      </c>
      <c r="F10" s="64">
        <v>3.07</v>
      </c>
      <c r="G10" s="64">
        <v>129.46</v>
      </c>
      <c r="H10" s="64">
        <v>50.21</v>
      </c>
      <c r="I10" s="64">
        <v>1.5</v>
      </c>
      <c r="J10" s="64">
        <v>0.03</v>
      </c>
      <c r="K10" s="64">
        <v>181.85</v>
      </c>
      <c r="L10" s="64">
        <v>17.579999999999998</v>
      </c>
      <c r="M10" s="64">
        <v>92.33</v>
      </c>
      <c r="N10" s="64">
        <v>58.1</v>
      </c>
      <c r="O10" s="64">
        <v>0</v>
      </c>
      <c r="P10" s="64">
        <v>1.85</v>
      </c>
      <c r="Q10" s="64">
        <v>13.41</v>
      </c>
      <c r="R10" s="198"/>
      <c r="S10" s="198"/>
      <c r="T10" s="198"/>
      <c r="U10" s="198"/>
    </row>
    <row r="11" spans="1:21" s="12" customFormat="1" x14ac:dyDescent="0.25">
      <c r="A11" s="213" t="s">
        <v>345</v>
      </c>
      <c r="B11" s="64">
        <v>87.62</v>
      </c>
      <c r="C11" s="64">
        <v>55.54</v>
      </c>
      <c r="D11" s="64">
        <v>101.56</v>
      </c>
      <c r="E11" s="64">
        <v>0.28000000000000003</v>
      </c>
      <c r="F11" s="64">
        <v>3.08</v>
      </c>
      <c r="G11" s="64">
        <v>118.79</v>
      </c>
      <c r="H11" s="64">
        <v>45.89</v>
      </c>
      <c r="I11" s="64">
        <v>1.52</v>
      </c>
      <c r="J11" s="64">
        <v>0.11</v>
      </c>
      <c r="K11" s="64">
        <v>282.58</v>
      </c>
      <c r="L11" s="64">
        <v>17.559999999999999</v>
      </c>
      <c r="M11" s="64">
        <v>93.69</v>
      </c>
      <c r="N11" s="64">
        <v>58.1</v>
      </c>
      <c r="O11" s="64">
        <v>0</v>
      </c>
      <c r="P11" s="64">
        <v>1.78</v>
      </c>
      <c r="Q11" s="64">
        <v>13.25</v>
      </c>
      <c r="R11" s="198"/>
      <c r="S11" s="198"/>
      <c r="T11" s="198"/>
      <c r="U11" s="198"/>
    </row>
    <row r="12" spans="1:21" s="12" customFormat="1" x14ac:dyDescent="0.25">
      <c r="A12" s="213" t="s">
        <v>346</v>
      </c>
      <c r="B12" s="64">
        <v>84.8</v>
      </c>
      <c r="C12" s="64">
        <v>55.32</v>
      </c>
      <c r="D12" s="64">
        <v>99.18</v>
      </c>
      <c r="E12" s="64">
        <v>0.27</v>
      </c>
      <c r="F12" s="64">
        <v>3.1</v>
      </c>
      <c r="G12" s="64">
        <v>118.79</v>
      </c>
      <c r="H12" s="64">
        <v>45.89</v>
      </c>
      <c r="I12" s="64">
        <v>1.39</v>
      </c>
      <c r="J12" s="64">
        <v>0.06</v>
      </c>
      <c r="K12" s="64">
        <v>351.82</v>
      </c>
      <c r="L12" s="64">
        <v>17.55</v>
      </c>
      <c r="M12" s="64">
        <v>95.79</v>
      </c>
      <c r="N12" s="64">
        <v>58.2</v>
      </c>
      <c r="O12" s="64">
        <v>0</v>
      </c>
      <c r="P12" s="64">
        <v>1.71</v>
      </c>
      <c r="Q12" s="64">
        <v>13.05</v>
      </c>
      <c r="R12" s="198"/>
      <c r="S12" s="198"/>
      <c r="T12" s="198"/>
      <c r="U12" s="198"/>
    </row>
    <row r="13" spans="1:21" s="12" customFormat="1" x14ac:dyDescent="0.25">
      <c r="A13" s="213" t="s">
        <v>347</v>
      </c>
      <c r="B13" s="64">
        <v>82.15</v>
      </c>
      <c r="C13" s="64">
        <v>52.77</v>
      </c>
      <c r="D13" s="64">
        <v>95.65</v>
      </c>
      <c r="E13" s="64">
        <v>0.23</v>
      </c>
      <c r="F13" s="64">
        <v>3.21</v>
      </c>
      <c r="G13" s="64">
        <v>118.79</v>
      </c>
      <c r="H13" s="64">
        <v>45.89</v>
      </c>
      <c r="I13" s="64">
        <v>1.55</v>
      </c>
      <c r="J13" s="64">
        <v>0.04</v>
      </c>
      <c r="K13" s="64">
        <v>262.19</v>
      </c>
      <c r="L13" s="64">
        <v>17.489999999999998</v>
      </c>
      <c r="M13" s="64">
        <v>94.78</v>
      </c>
      <c r="N13" s="64">
        <v>58.3</v>
      </c>
      <c r="O13" s="64">
        <v>0</v>
      </c>
      <c r="P13" s="64">
        <v>1.52</v>
      </c>
      <c r="Q13" s="64">
        <v>12.78</v>
      </c>
      <c r="R13" s="198"/>
      <c r="S13" s="198"/>
      <c r="T13" s="198"/>
      <c r="U13" s="198"/>
    </row>
    <row r="14" spans="1:21" s="12" customFormat="1" x14ac:dyDescent="0.25">
      <c r="A14" s="213" t="s">
        <v>348</v>
      </c>
      <c r="B14" s="64">
        <v>79.39</v>
      </c>
      <c r="C14" s="64">
        <v>53.52</v>
      </c>
      <c r="D14" s="64">
        <v>93.85</v>
      </c>
      <c r="E14" s="64">
        <v>0.22</v>
      </c>
      <c r="F14" s="64">
        <v>3.04</v>
      </c>
      <c r="G14" s="64">
        <v>112.82</v>
      </c>
      <c r="H14" s="64">
        <v>45.02</v>
      </c>
      <c r="I14" s="64">
        <v>1.48</v>
      </c>
      <c r="J14" s="64">
        <v>0.13</v>
      </c>
      <c r="K14" s="64">
        <v>280.38</v>
      </c>
      <c r="L14" s="64">
        <v>17.43</v>
      </c>
      <c r="M14" s="64">
        <v>94.87</v>
      </c>
      <c r="N14" s="64">
        <v>58.2</v>
      </c>
      <c r="O14" s="64">
        <v>0</v>
      </c>
      <c r="P14" s="64">
        <v>1.54</v>
      </c>
      <c r="Q14" s="64">
        <v>12.6</v>
      </c>
      <c r="R14" s="198"/>
      <c r="S14" s="198"/>
      <c r="T14" s="198"/>
      <c r="U14" s="198"/>
    </row>
    <row r="15" spans="1:21" s="12" customFormat="1" x14ac:dyDescent="0.25">
      <c r="A15" s="213" t="s">
        <v>349</v>
      </c>
      <c r="B15" s="64">
        <v>76.86</v>
      </c>
      <c r="C15" s="64">
        <v>54.85</v>
      </c>
      <c r="D15" s="64">
        <v>92.55</v>
      </c>
      <c r="E15" s="64">
        <v>0.28999999999999998</v>
      </c>
      <c r="F15" s="64">
        <v>3.09</v>
      </c>
      <c r="G15" s="64">
        <v>85.22</v>
      </c>
      <c r="H15" s="64">
        <v>42.07</v>
      </c>
      <c r="I15" s="64">
        <v>1.57</v>
      </c>
      <c r="J15" s="64">
        <v>0.05</v>
      </c>
      <c r="K15" s="64">
        <v>350.64</v>
      </c>
      <c r="L15" s="64">
        <v>17.37</v>
      </c>
      <c r="M15" s="64">
        <v>95.58</v>
      </c>
      <c r="N15" s="64">
        <v>58.3</v>
      </c>
      <c r="O15" s="64">
        <v>0</v>
      </c>
      <c r="P15" s="64">
        <v>1.49</v>
      </c>
      <c r="Q15" s="64">
        <v>12.52</v>
      </c>
      <c r="R15" s="198"/>
      <c r="S15" s="198"/>
      <c r="T15" s="198"/>
      <c r="U15" s="198"/>
    </row>
    <row r="16" spans="1:21" s="12" customFormat="1" x14ac:dyDescent="0.25">
      <c r="A16" s="213" t="s">
        <v>350</v>
      </c>
      <c r="B16" s="64">
        <v>74.650000000000006</v>
      </c>
      <c r="C16" s="64">
        <v>55.13</v>
      </c>
      <c r="D16" s="64">
        <v>90.93</v>
      </c>
      <c r="E16" s="64">
        <v>0.26</v>
      </c>
      <c r="F16" s="64">
        <v>3.04</v>
      </c>
      <c r="G16" s="64">
        <v>85.22</v>
      </c>
      <c r="H16" s="64">
        <v>42.07</v>
      </c>
      <c r="I16" s="64">
        <v>1.53</v>
      </c>
      <c r="J16" s="64">
        <v>0.09</v>
      </c>
      <c r="K16" s="64">
        <v>248.23</v>
      </c>
      <c r="L16" s="64">
        <v>17.45</v>
      </c>
      <c r="M16" s="64">
        <v>92.9</v>
      </c>
      <c r="N16" s="64">
        <v>58</v>
      </c>
      <c r="O16" s="64">
        <v>0</v>
      </c>
      <c r="P16" s="64">
        <v>1.42</v>
      </c>
      <c r="Q16" s="64">
        <v>12.43</v>
      </c>
      <c r="R16" s="198"/>
      <c r="S16" s="198"/>
      <c r="T16" s="198"/>
      <c r="U16" s="198"/>
    </row>
    <row r="17" spans="1:21" s="12" customFormat="1" x14ac:dyDescent="0.25">
      <c r="A17" s="213" t="s">
        <v>351</v>
      </c>
      <c r="B17" s="64">
        <v>72.05</v>
      </c>
      <c r="C17" s="64">
        <v>55.25</v>
      </c>
      <c r="D17" s="64">
        <v>88.92</v>
      </c>
      <c r="E17" s="64">
        <v>0.31</v>
      </c>
      <c r="F17" s="64">
        <v>3.26</v>
      </c>
      <c r="G17" s="64">
        <v>85.22</v>
      </c>
      <c r="H17" s="64">
        <v>42.07</v>
      </c>
      <c r="I17" s="64">
        <v>1.43</v>
      </c>
      <c r="J17" s="64">
        <v>7.0000000000000007E-2</v>
      </c>
      <c r="K17" s="64">
        <v>255.22</v>
      </c>
      <c r="L17" s="64">
        <v>17.489999999999998</v>
      </c>
      <c r="M17" s="64">
        <v>91.5</v>
      </c>
      <c r="N17" s="64">
        <v>58.2</v>
      </c>
      <c r="O17" s="64">
        <v>0</v>
      </c>
      <c r="P17" s="64">
        <v>1.39</v>
      </c>
      <c r="Q17" s="64">
        <v>12.4</v>
      </c>
      <c r="R17" s="198"/>
      <c r="S17" s="198"/>
      <c r="T17" s="198"/>
      <c r="U17" s="198"/>
    </row>
    <row r="18" spans="1:21" s="12" customFormat="1" x14ac:dyDescent="0.25">
      <c r="A18" s="213" t="s">
        <v>352</v>
      </c>
      <c r="B18" s="64">
        <v>69.64</v>
      </c>
      <c r="C18" s="64">
        <v>55.12</v>
      </c>
      <c r="D18" s="64">
        <v>86.91</v>
      </c>
      <c r="E18" s="64">
        <v>0.27</v>
      </c>
      <c r="F18" s="64">
        <v>2.99</v>
      </c>
      <c r="G18" s="64">
        <v>82.74</v>
      </c>
      <c r="H18" s="64">
        <v>40.450000000000003</v>
      </c>
      <c r="I18" s="64">
        <v>1.44</v>
      </c>
      <c r="J18" s="64">
        <v>0.05</v>
      </c>
      <c r="K18" s="64">
        <v>48.42</v>
      </c>
      <c r="L18" s="64">
        <v>17.420000000000002</v>
      </c>
      <c r="M18" s="64">
        <v>90.76</v>
      </c>
      <c r="N18" s="64">
        <v>58.1</v>
      </c>
      <c r="O18" s="64">
        <v>0</v>
      </c>
      <c r="P18" s="64">
        <v>1.33</v>
      </c>
      <c r="Q18" s="64">
        <v>12.27</v>
      </c>
      <c r="R18" s="198"/>
      <c r="S18" s="198"/>
      <c r="T18" s="198"/>
      <c r="U18" s="198"/>
    </row>
    <row r="19" spans="1:21" s="12" customFormat="1" x14ac:dyDescent="0.25">
      <c r="A19" s="213" t="s">
        <v>353</v>
      </c>
      <c r="B19" s="64">
        <v>67.33</v>
      </c>
      <c r="C19" s="64">
        <v>54.89</v>
      </c>
      <c r="D19" s="64">
        <v>84.93</v>
      </c>
      <c r="E19" s="64">
        <v>0.25</v>
      </c>
      <c r="F19" s="64">
        <v>3.25</v>
      </c>
      <c r="G19" s="64">
        <v>71.27</v>
      </c>
      <c r="H19" s="64">
        <v>34.950000000000003</v>
      </c>
      <c r="I19" s="64">
        <v>1.43</v>
      </c>
      <c r="J19" s="64">
        <v>0.02</v>
      </c>
      <c r="K19" s="64">
        <v>10.4</v>
      </c>
      <c r="L19" s="64">
        <v>17.559999999999999</v>
      </c>
      <c r="M19" s="64">
        <v>88.08</v>
      </c>
      <c r="N19" s="64">
        <v>58.3</v>
      </c>
      <c r="O19" s="64">
        <v>0</v>
      </c>
      <c r="P19" s="64">
        <v>1.29</v>
      </c>
      <c r="Q19" s="64">
        <v>12.07</v>
      </c>
      <c r="R19" s="198"/>
      <c r="S19" s="198"/>
      <c r="T19" s="198"/>
      <c r="U19" s="198"/>
    </row>
    <row r="20" spans="1:21" s="12" customFormat="1" x14ac:dyDescent="0.25">
      <c r="A20" s="213" t="s">
        <v>354</v>
      </c>
      <c r="B20" s="64">
        <v>64.959999999999994</v>
      </c>
      <c r="C20" s="64">
        <v>54.84</v>
      </c>
      <c r="D20" s="64">
        <v>83</v>
      </c>
      <c r="E20" s="64">
        <v>0.23</v>
      </c>
      <c r="F20" s="64">
        <v>3.09</v>
      </c>
      <c r="G20" s="64">
        <v>71.27</v>
      </c>
      <c r="H20" s="64">
        <v>34.950000000000003</v>
      </c>
      <c r="I20" s="64">
        <v>1.52</v>
      </c>
      <c r="J20" s="64">
        <v>0.01</v>
      </c>
      <c r="K20" s="64">
        <v>248.28</v>
      </c>
      <c r="L20" s="64">
        <v>17.27</v>
      </c>
      <c r="M20" s="64">
        <v>92.57</v>
      </c>
      <c r="N20" s="64">
        <v>58.4</v>
      </c>
      <c r="O20" s="64">
        <v>0</v>
      </c>
      <c r="P20" s="64">
        <v>1.26</v>
      </c>
      <c r="Q20" s="64">
        <v>11.94</v>
      </c>
      <c r="R20" s="198"/>
      <c r="S20" s="198"/>
      <c r="T20" s="198"/>
      <c r="U20" s="198"/>
    </row>
    <row r="21" spans="1:21" s="12" customFormat="1" x14ac:dyDescent="0.25">
      <c r="A21" s="213" t="s">
        <v>355</v>
      </c>
      <c r="B21" s="64">
        <v>62.69</v>
      </c>
      <c r="C21" s="64">
        <v>54.26</v>
      </c>
      <c r="D21" s="64">
        <v>80.86</v>
      </c>
      <c r="E21" s="64">
        <v>0.28999999999999998</v>
      </c>
      <c r="F21" s="64">
        <v>3.21</v>
      </c>
      <c r="G21" s="64">
        <v>71.27</v>
      </c>
      <c r="H21" s="64">
        <v>34.950000000000003</v>
      </c>
      <c r="I21" s="64">
        <v>1.47</v>
      </c>
      <c r="J21" s="64">
        <v>0.08</v>
      </c>
      <c r="K21" s="64">
        <v>169.66</v>
      </c>
      <c r="L21" s="64">
        <v>17.28</v>
      </c>
      <c r="M21" s="64">
        <v>93.36</v>
      </c>
      <c r="N21" s="64">
        <v>58.1</v>
      </c>
      <c r="O21" s="64">
        <v>0</v>
      </c>
      <c r="P21" s="64">
        <v>1.22</v>
      </c>
      <c r="Q21" s="64">
        <v>11.7</v>
      </c>
      <c r="R21" s="198"/>
      <c r="S21" s="198"/>
      <c r="T21" s="198"/>
      <c r="U21" s="198"/>
    </row>
    <row r="22" spans="1:21" s="12" customFormat="1" x14ac:dyDescent="0.25">
      <c r="A22" s="213" t="s">
        <v>356</v>
      </c>
      <c r="B22" s="64">
        <v>60.6</v>
      </c>
      <c r="C22" s="64">
        <v>53.93</v>
      </c>
      <c r="D22" s="64">
        <v>79</v>
      </c>
      <c r="E22" s="64">
        <v>0.25</v>
      </c>
      <c r="F22" s="64">
        <v>3.24</v>
      </c>
      <c r="G22" s="64">
        <v>72.599999999999994</v>
      </c>
      <c r="H22" s="64">
        <v>35.020000000000003</v>
      </c>
      <c r="I22" s="64">
        <v>1.57</v>
      </c>
      <c r="J22" s="64">
        <v>0.11</v>
      </c>
      <c r="K22" s="64">
        <v>291.33</v>
      </c>
      <c r="L22" s="64">
        <v>17.23</v>
      </c>
      <c r="M22" s="64">
        <v>94.75</v>
      </c>
      <c r="N22" s="64">
        <v>58.4</v>
      </c>
      <c r="O22" s="64">
        <v>0</v>
      </c>
      <c r="P22" s="64">
        <v>1.19</v>
      </c>
      <c r="Q22" s="64">
        <v>11.57</v>
      </c>
      <c r="R22" s="198"/>
      <c r="S22" s="198"/>
      <c r="T22" s="198"/>
      <c r="U22" s="198"/>
    </row>
    <row r="23" spans="1:21" s="12" customFormat="1" x14ac:dyDescent="0.25">
      <c r="A23" s="213" t="s">
        <v>357</v>
      </c>
      <c r="B23" s="64">
        <v>59.27</v>
      </c>
      <c r="C23" s="64">
        <v>53.68</v>
      </c>
      <c r="D23" s="64">
        <v>77.8</v>
      </c>
      <c r="E23" s="64">
        <v>0.26</v>
      </c>
      <c r="F23" s="64">
        <v>2.97</v>
      </c>
      <c r="G23" s="64">
        <v>78.760000000000005</v>
      </c>
      <c r="H23" s="64">
        <v>35.39</v>
      </c>
      <c r="I23" s="64">
        <v>1.49</v>
      </c>
      <c r="J23" s="64">
        <v>0.17</v>
      </c>
      <c r="K23" s="64">
        <v>354.88</v>
      </c>
      <c r="L23" s="64">
        <v>17.18</v>
      </c>
      <c r="M23" s="64">
        <v>97.87</v>
      </c>
      <c r="N23" s="64">
        <v>58.6</v>
      </c>
      <c r="O23" s="64">
        <v>0</v>
      </c>
      <c r="P23" s="64">
        <v>1.1599999999999999</v>
      </c>
      <c r="Q23" s="64">
        <v>11.45</v>
      </c>
      <c r="R23" s="198"/>
      <c r="S23" s="198"/>
      <c r="T23" s="198"/>
      <c r="U23" s="198"/>
    </row>
    <row r="24" spans="1:21" s="12" customFormat="1" x14ac:dyDescent="0.25">
      <c r="A24" s="213" t="s">
        <v>358</v>
      </c>
      <c r="B24" s="64">
        <v>58.13</v>
      </c>
      <c r="C24" s="64">
        <v>52.82</v>
      </c>
      <c r="D24" s="64">
        <v>76.41</v>
      </c>
      <c r="E24" s="64">
        <v>0.16</v>
      </c>
      <c r="F24" s="64">
        <v>3.06</v>
      </c>
      <c r="G24" s="64">
        <v>78.760000000000005</v>
      </c>
      <c r="H24" s="64">
        <v>35.39</v>
      </c>
      <c r="I24" s="64">
        <v>1.48</v>
      </c>
      <c r="J24" s="64">
        <v>0.08</v>
      </c>
      <c r="K24" s="64">
        <v>166.65</v>
      </c>
      <c r="L24" s="64">
        <v>17.239999999999998</v>
      </c>
      <c r="M24" s="64">
        <v>97.05</v>
      </c>
      <c r="N24" s="64">
        <v>58.5</v>
      </c>
      <c r="O24" s="64">
        <v>0</v>
      </c>
      <c r="P24" s="64">
        <v>1.1200000000000001</v>
      </c>
      <c r="Q24" s="64">
        <v>11.32</v>
      </c>
      <c r="R24" s="198"/>
      <c r="S24" s="198"/>
      <c r="T24" s="198"/>
      <c r="U24" s="198"/>
    </row>
    <row r="25" spans="1:21" s="12" customFormat="1" x14ac:dyDescent="0.25">
      <c r="A25" s="213" t="s">
        <v>359</v>
      </c>
      <c r="B25" s="64">
        <v>57.3</v>
      </c>
      <c r="C25" s="64">
        <v>52.72</v>
      </c>
      <c r="D25" s="64">
        <v>75.69</v>
      </c>
      <c r="E25" s="64">
        <v>0.34</v>
      </c>
      <c r="F25" s="64">
        <v>2.88</v>
      </c>
      <c r="G25" s="64">
        <v>78.760000000000005</v>
      </c>
      <c r="H25" s="64">
        <v>35.39</v>
      </c>
      <c r="I25" s="64">
        <v>1.43</v>
      </c>
      <c r="J25" s="64">
        <v>0.16</v>
      </c>
      <c r="K25" s="64">
        <v>7.82</v>
      </c>
      <c r="L25" s="64">
        <v>17.54</v>
      </c>
      <c r="M25" s="64">
        <v>93.76</v>
      </c>
      <c r="N25" s="64">
        <v>58.4</v>
      </c>
      <c r="O25" s="64">
        <v>0</v>
      </c>
      <c r="P25" s="64">
        <v>1.1100000000000001</v>
      </c>
      <c r="Q25" s="64">
        <v>11.31</v>
      </c>
      <c r="R25" s="198"/>
      <c r="S25" s="198"/>
      <c r="T25" s="198"/>
      <c r="U25" s="198"/>
    </row>
    <row r="26" spans="1:21" s="12" customFormat="1" x14ac:dyDescent="0.25">
      <c r="A26" s="213" t="s">
        <v>360</v>
      </c>
      <c r="B26" s="64">
        <v>56.92</v>
      </c>
      <c r="C26" s="64">
        <v>50.62</v>
      </c>
      <c r="D26" s="64">
        <v>74.23</v>
      </c>
      <c r="E26" s="64">
        <v>0.35</v>
      </c>
      <c r="F26" s="64">
        <v>2.78</v>
      </c>
      <c r="G26" s="64">
        <v>78.900000000000006</v>
      </c>
      <c r="H26" s="64">
        <v>35.36</v>
      </c>
      <c r="I26" s="64">
        <v>1.5</v>
      </c>
      <c r="J26" s="64">
        <v>0.41</v>
      </c>
      <c r="K26" s="64">
        <v>351.94</v>
      </c>
      <c r="L26" s="64">
        <v>17.760000000000002</v>
      </c>
      <c r="M26" s="64">
        <v>88.79</v>
      </c>
      <c r="N26" s="64">
        <v>58.6</v>
      </c>
      <c r="O26" s="64">
        <v>0</v>
      </c>
      <c r="P26" s="64">
        <v>1.0900000000000001</v>
      </c>
      <c r="Q26" s="64">
        <v>11.21</v>
      </c>
      <c r="R26" s="198"/>
      <c r="S26" s="198"/>
      <c r="T26" s="198"/>
      <c r="U26" s="198"/>
    </row>
    <row r="27" spans="1:21" s="12" customFormat="1" x14ac:dyDescent="0.25">
      <c r="A27" s="213" t="s">
        <v>361</v>
      </c>
      <c r="B27" s="64">
        <v>56.26</v>
      </c>
      <c r="C27" s="64">
        <v>49.42</v>
      </c>
      <c r="D27" s="64">
        <v>73.040000000000006</v>
      </c>
      <c r="E27" s="64">
        <v>0.26</v>
      </c>
      <c r="F27" s="64">
        <v>3.39</v>
      </c>
      <c r="G27" s="64">
        <v>79.53</v>
      </c>
      <c r="H27" s="64">
        <v>35.22</v>
      </c>
      <c r="I27" s="64">
        <v>1.5</v>
      </c>
      <c r="J27" s="64">
        <v>0.21</v>
      </c>
      <c r="K27" s="64">
        <v>59.01</v>
      </c>
      <c r="L27" s="64">
        <v>17.82</v>
      </c>
      <c r="M27" s="64">
        <v>87.82</v>
      </c>
      <c r="N27" s="64">
        <v>58.8</v>
      </c>
      <c r="O27" s="64">
        <v>0</v>
      </c>
      <c r="P27" s="64">
        <v>1.08</v>
      </c>
      <c r="Q27" s="64">
        <v>10.98</v>
      </c>
      <c r="R27" s="198"/>
      <c r="S27" s="198"/>
      <c r="T27" s="198"/>
      <c r="U27" s="198"/>
    </row>
    <row r="28" spans="1:21" s="12" customFormat="1" x14ac:dyDescent="0.25">
      <c r="A28" s="213" t="s">
        <v>362</v>
      </c>
      <c r="B28" s="64">
        <v>53.96</v>
      </c>
      <c r="C28" s="64">
        <v>49.97</v>
      </c>
      <c r="D28" s="64">
        <v>71.5</v>
      </c>
      <c r="E28" s="64">
        <v>0.28999999999999998</v>
      </c>
      <c r="F28" s="64">
        <v>3.29</v>
      </c>
      <c r="G28" s="64">
        <v>79.53</v>
      </c>
      <c r="H28" s="64">
        <v>35.22</v>
      </c>
      <c r="I28" s="64">
        <v>1.48</v>
      </c>
      <c r="J28" s="64">
        <v>0.45</v>
      </c>
      <c r="K28" s="64">
        <v>109.41</v>
      </c>
      <c r="L28" s="64">
        <v>17.809999999999999</v>
      </c>
      <c r="M28" s="64">
        <v>87.5</v>
      </c>
      <c r="N28" s="64">
        <v>58.7</v>
      </c>
      <c r="O28" s="64">
        <v>0</v>
      </c>
      <c r="P28" s="64">
        <v>1.05</v>
      </c>
      <c r="Q28" s="64">
        <v>10.82</v>
      </c>
      <c r="R28" s="198"/>
      <c r="S28" s="198"/>
      <c r="T28" s="198"/>
      <c r="U28" s="198"/>
    </row>
    <row r="29" spans="1:21" s="12" customFormat="1" x14ac:dyDescent="0.25">
      <c r="A29" s="213" t="s">
        <v>363</v>
      </c>
      <c r="B29" s="64">
        <v>51.34</v>
      </c>
      <c r="C29" s="64">
        <v>50.37</v>
      </c>
      <c r="D29" s="64">
        <v>69.62</v>
      </c>
      <c r="E29" s="64">
        <v>0.28000000000000003</v>
      </c>
      <c r="F29" s="64">
        <v>3.08</v>
      </c>
      <c r="G29" s="64">
        <v>79.53</v>
      </c>
      <c r="H29" s="64">
        <v>35.22</v>
      </c>
      <c r="I29" s="64">
        <v>1.5</v>
      </c>
      <c r="J29" s="64">
        <v>0.27</v>
      </c>
      <c r="K29" s="64">
        <v>84.03</v>
      </c>
      <c r="L29" s="64">
        <v>17.88</v>
      </c>
      <c r="M29" s="64">
        <v>86.43</v>
      </c>
      <c r="N29" s="64">
        <v>58.8</v>
      </c>
      <c r="O29" s="64">
        <v>0</v>
      </c>
      <c r="P29" s="64">
        <v>1.03</v>
      </c>
      <c r="Q29" s="64">
        <v>10.65</v>
      </c>
      <c r="R29" s="198"/>
      <c r="S29" s="198"/>
      <c r="T29" s="198"/>
      <c r="U29" s="198"/>
    </row>
    <row r="30" spans="1:21" s="12" customFormat="1" x14ac:dyDescent="0.25">
      <c r="A30" s="213" t="s">
        <v>364</v>
      </c>
      <c r="B30" s="64">
        <v>49.21</v>
      </c>
      <c r="C30" s="64">
        <v>50.8</v>
      </c>
      <c r="D30" s="64">
        <v>68.14</v>
      </c>
      <c r="E30" s="64">
        <v>0.27</v>
      </c>
      <c r="F30" s="64">
        <v>3.43</v>
      </c>
      <c r="G30" s="64">
        <v>81.25</v>
      </c>
      <c r="H30" s="64">
        <v>35.61</v>
      </c>
      <c r="I30" s="64">
        <v>1.48</v>
      </c>
      <c r="J30" s="64">
        <v>0.25</v>
      </c>
      <c r="K30" s="64">
        <v>112.06</v>
      </c>
      <c r="L30" s="64">
        <v>17.899999999999999</v>
      </c>
      <c r="M30" s="64">
        <v>85.85</v>
      </c>
      <c r="N30" s="64">
        <v>58.9</v>
      </c>
      <c r="O30" s="64">
        <v>0</v>
      </c>
      <c r="P30" s="64">
        <v>1.03</v>
      </c>
      <c r="Q30" s="64">
        <v>10.46</v>
      </c>
      <c r="R30" s="198"/>
      <c r="S30" s="198"/>
      <c r="T30" s="198"/>
      <c r="U30" s="198"/>
    </row>
    <row r="31" spans="1:21" s="12" customFormat="1" x14ac:dyDescent="0.25">
      <c r="A31" s="213" t="s">
        <v>365</v>
      </c>
      <c r="B31" s="64">
        <v>47.1</v>
      </c>
      <c r="C31" s="64">
        <v>50.43</v>
      </c>
      <c r="D31" s="64">
        <v>66.25</v>
      </c>
      <c r="E31" s="64">
        <v>0.27</v>
      </c>
      <c r="F31" s="64">
        <v>3.1</v>
      </c>
      <c r="G31" s="64">
        <v>89.21</v>
      </c>
      <c r="H31" s="64">
        <v>36.93</v>
      </c>
      <c r="I31" s="64">
        <v>1.44</v>
      </c>
      <c r="J31" s="64">
        <v>7.0000000000000007E-2</v>
      </c>
      <c r="K31" s="64">
        <v>46.14</v>
      </c>
      <c r="L31" s="64">
        <v>17.93</v>
      </c>
      <c r="M31" s="64">
        <v>85.66</v>
      </c>
      <c r="N31" s="64">
        <v>59</v>
      </c>
      <c r="O31" s="64">
        <v>0</v>
      </c>
      <c r="P31" s="64">
        <v>1.02</v>
      </c>
      <c r="Q31" s="64">
        <v>10.3</v>
      </c>
      <c r="R31" s="198"/>
      <c r="S31" s="198"/>
      <c r="T31" s="198"/>
      <c r="U31" s="198"/>
    </row>
    <row r="32" spans="1:21" s="12" customFormat="1" x14ac:dyDescent="0.25">
      <c r="A32" s="213" t="s">
        <v>366</v>
      </c>
      <c r="B32" s="64">
        <v>45.97</v>
      </c>
      <c r="C32" s="64">
        <v>50.6</v>
      </c>
      <c r="D32" s="64">
        <v>65.44</v>
      </c>
      <c r="E32" s="64">
        <v>0.22</v>
      </c>
      <c r="F32" s="64">
        <v>3</v>
      </c>
      <c r="G32" s="64">
        <v>89.21</v>
      </c>
      <c r="H32" s="64">
        <v>36.93</v>
      </c>
      <c r="I32" s="64">
        <v>1.58</v>
      </c>
      <c r="J32" s="64">
        <v>0.15</v>
      </c>
      <c r="K32" s="64">
        <v>7.05</v>
      </c>
      <c r="L32" s="64">
        <v>18</v>
      </c>
      <c r="M32" s="64">
        <v>84.59</v>
      </c>
      <c r="N32" s="64">
        <v>58.9</v>
      </c>
      <c r="O32" s="64">
        <v>0</v>
      </c>
      <c r="P32" s="64">
        <v>1</v>
      </c>
      <c r="Q32" s="64">
        <v>10.15</v>
      </c>
      <c r="R32" s="198"/>
      <c r="S32" s="198"/>
      <c r="T32" s="198"/>
      <c r="U32" s="198"/>
    </row>
    <row r="33" spans="1:21" s="12" customFormat="1" x14ac:dyDescent="0.25">
      <c r="A33" s="213" t="s">
        <v>367</v>
      </c>
      <c r="B33" s="64">
        <v>43.26</v>
      </c>
      <c r="C33" s="64">
        <v>51.78</v>
      </c>
      <c r="D33" s="64">
        <v>63.92</v>
      </c>
      <c r="E33" s="64">
        <v>0.23</v>
      </c>
      <c r="F33" s="64">
        <v>3.05</v>
      </c>
      <c r="G33" s="64">
        <v>89.21</v>
      </c>
      <c r="H33" s="64">
        <v>36.93</v>
      </c>
      <c r="I33" s="64">
        <v>1.5</v>
      </c>
      <c r="J33" s="64">
        <v>0.19</v>
      </c>
      <c r="K33" s="64">
        <v>33.799999999999997</v>
      </c>
      <c r="L33" s="64">
        <v>17.510000000000002</v>
      </c>
      <c r="M33" s="64">
        <v>91.47</v>
      </c>
      <c r="N33" s="64">
        <v>59.6</v>
      </c>
      <c r="O33" s="64">
        <v>0</v>
      </c>
      <c r="P33" s="64">
        <v>0.95</v>
      </c>
      <c r="Q33" s="64">
        <v>10.029999999999999</v>
      </c>
      <c r="R33" s="198"/>
      <c r="S33" s="198"/>
      <c r="T33" s="198"/>
      <c r="U33" s="198"/>
    </row>
    <row r="34" spans="1:21" s="12" customFormat="1" x14ac:dyDescent="0.25">
      <c r="A34" s="213" t="s">
        <v>368</v>
      </c>
      <c r="B34" s="64">
        <v>40.08</v>
      </c>
      <c r="C34" s="64">
        <v>52.53</v>
      </c>
      <c r="D34" s="64">
        <v>61.78</v>
      </c>
      <c r="E34" s="64">
        <v>0.22</v>
      </c>
      <c r="F34" s="64">
        <v>3.18</v>
      </c>
      <c r="G34" s="64">
        <v>90.68</v>
      </c>
      <c r="H34" s="64">
        <v>36.549999999999997</v>
      </c>
      <c r="I34" s="64">
        <v>1.42</v>
      </c>
      <c r="J34" s="64">
        <v>0.22</v>
      </c>
      <c r="K34" s="64">
        <v>338.03</v>
      </c>
      <c r="L34" s="64">
        <v>17.38</v>
      </c>
      <c r="M34" s="64">
        <v>92.63</v>
      </c>
      <c r="N34" s="64">
        <v>59.3</v>
      </c>
      <c r="O34" s="64">
        <v>0</v>
      </c>
      <c r="P34" s="64">
        <v>0.92</v>
      </c>
      <c r="Q34" s="64">
        <v>9.83</v>
      </c>
      <c r="R34" s="198"/>
      <c r="S34" s="198"/>
      <c r="T34" s="198"/>
      <c r="U34" s="198"/>
    </row>
    <row r="35" spans="1:21" s="12" customFormat="1" x14ac:dyDescent="0.25">
      <c r="A35" s="213" t="s">
        <v>369</v>
      </c>
      <c r="B35" s="64">
        <v>39.4</v>
      </c>
      <c r="C35" s="64">
        <v>52.51</v>
      </c>
      <c r="D35" s="64">
        <v>61.22</v>
      </c>
      <c r="E35" s="64">
        <v>0.23</v>
      </c>
      <c r="F35" s="64">
        <v>3.1</v>
      </c>
      <c r="G35" s="64">
        <v>98.06</v>
      </c>
      <c r="H35" s="64">
        <v>35.24</v>
      </c>
      <c r="I35" s="64">
        <v>1.47</v>
      </c>
      <c r="J35" s="64">
        <v>0.47</v>
      </c>
      <c r="K35" s="64">
        <v>331.98</v>
      </c>
      <c r="L35" s="64">
        <v>17.420000000000002</v>
      </c>
      <c r="M35" s="64">
        <v>93.07</v>
      </c>
      <c r="N35" s="64">
        <v>60</v>
      </c>
      <c r="O35" s="64">
        <v>0</v>
      </c>
      <c r="P35" s="64">
        <v>0.9</v>
      </c>
      <c r="Q35" s="64">
        <v>9.7200000000000006</v>
      </c>
      <c r="R35" s="198"/>
      <c r="S35" s="198"/>
      <c r="T35" s="198"/>
      <c r="U35" s="198"/>
    </row>
    <row r="36" spans="1:21" s="12" customFormat="1" x14ac:dyDescent="0.25">
      <c r="A36" s="213" t="s">
        <v>370</v>
      </c>
      <c r="B36" s="64">
        <v>39.4</v>
      </c>
      <c r="C36" s="64">
        <v>51.51</v>
      </c>
      <c r="D36" s="64">
        <v>60.67</v>
      </c>
      <c r="E36" s="64">
        <v>0.26</v>
      </c>
      <c r="F36" s="64">
        <v>3.14</v>
      </c>
      <c r="G36" s="64">
        <v>98.06</v>
      </c>
      <c r="H36" s="64">
        <v>35.24</v>
      </c>
      <c r="I36" s="64">
        <v>1.47</v>
      </c>
      <c r="J36" s="64">
        <v>0.57999999999999996</v>
      </c>
      <c r="K36" s="64">
        <v>317.01</v>
      </c>
      <c r="L36" s="64">
        <v>17.489999999999998</v>
      </c>
      <c r="M36" s="64">
        <v>92.43</v>
      </c>
      <c r="N36" s="64">
        <v>62.6</v>
      </c>
      <c r="O36" s="64">
        <v>0</v>
      </c>
      <c r="P36" s="64">
        <v>0.88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3" t="s">
        <v>371</v>
      </c>
      <c r="B37" s="64">
        <v>38.5</v>
      </c>
      <c r="C37" s="64">
        <v>51.54</v>
      </c>
      <c r="D37" s="64">
        <v>59.96</v>
      </c>
      <c r="E37" s="64">
        <v>0.24</v>
      </c>
      <c r="F37" s="64">
        <v>3</v>
      </c>
      <c r="G37" s="64">
        <v>98.06</v>
      </c>
      <c r="H37" s="64">
        <v>35.24</v>
      </c>
      <c r="I37" s="64">
        <v>1.51</v>
      </c>
      <c r="J37" s="64">
        <v>0.74</v>
      </c>
      <c r="K37" s="64">
        <v>333.43</v>
      </c>
      <c r="L37" s="64">
        <v>17.489999999999998</v>
      </c>
      <c r="M37" s="64">
        <v>92.59</v>
      </c>
      <c r="N37" s="64">
        <v>70.099999999999994</v>
      </c>
      <c r="O37" s="64">
        <v>0</v>
      </c>
      <c r="P37" s="64">
        <v>0.88</v>
      </c>
      <c r="Q37" s="64">
        <v>9.51</v>
      </c>
      <c r="R37" s="198"/>
      <c r="S37" s="198"/>
      <c r="T37" s="198"/>
      <c r="U37" s="198"/>
    </row>
    <row r="38" spans="1:21" s="12" customFormat="1" x14ac:dyDescent="0.25">
      <c r="A38" s="213" t="s">
        <v>372</v>
      </c>
      <c r="B38" s="64">
        <v>38</v>
      </c>
      <c r="C38" s="64">
        <v>51.67</v>
      </c>
      <c r="D38" s="64">
        <v>59.64</v>
      </c>
      <c r="E38" s="64">
        <v>0.2</v>
      </c>
      <c r="F38" s="64">
        <v>3.25</v>
      </c>
      <c r="G38" s="64">
        <v>96.57</v>
      </c>
      <c r="H38" s="64">
        <v>35.44</v>
      </c>
      <c r="I38" s="64">
        <v>1.51</v>
      </c>
      <c r="J38" s="64">
        <v>0.56999999999999995</v>
      </c>
      <c r="K38" s="64">
        <v>337.93</v>
      </c>
      <c r="L38" s="64">
        <v>17.600000000000001</v>
      </c>
      <c r="M38" s="64">
        <v>92.69</v>
      </c>
      <c r="N38" s="64">
        <v>95</v>
      </c>
      <c r="O38" s="64">
        <v>0</v>
      </c>
      <c r="P38" s="64">
        <v>0.92</v>
      </c>
      <c r="Q38" s="64">
        <v>9.49</v>
      </c>
      <c r="R38" s="198"/>
      <c r="S38" s="198"/>
      <c r="T38" s="198"/>
      <c r="U38" s="198"/>
    </row>
    <row r="39" spans="1:21" s="12" customFormat="1" x14ac:dyDescent="0.25">
      <c r="A39" s="213" t="s">
        <v>373</v>
      </c>
      <c r="B39" s="64">
        <v>38.31</v>
      </c>
      <c r="C39" s="64">
        <v>52.39</v>
      </c>
      <c r="D39" s="64">
        <v>60.28</v>
      </c>
      <c r="E39" s="64">
        <v>0.21</v>
      </c>
      <c r="F39" s="64">
        <v>3.39</v>
      </c>
      <c r="G39" s="64">
        <v>89.66</v>
      </c>
      <c r="H39" s="64">
        <v>36.479999999999997</v>
      </c>
      <c r="I39" s="64">
        <v>1.47</v>
      </c>
      <c r="J39" s="64">
        <v>0.91</v>
      </c>
      <c r="K39" s="64">
        <v>344.42</v>
      </c>
      <c r="L39" s="64">
        <v>18</v>
      </c>
      <c r="M39" s="64">
        <v>90.3</v>
      </c>
      <c r="N39" s="64">
        <v>131.1</v>
      </c>
      <c r="O39" s="64">
        <v>0</v>
      </c>
      <c r="P39" s="64">
        <v>0.92</v>
      </c>
      <c r="Q39" s="64">
        <v>9.49</v>
      </c>
      <c r="R39" s="198"/>
      <c r="S39" s="198"/>
      <c r="T39" s="198"/>
      <c r="U39" s="198"/>
    </row>
    <row r="40" spans="1:21" s="12" customFormat="1" x14ac:dyDescent="0.25">
      <c r="A40" s="213" t="s">
        <v>374</v>
      </c>
      <c r="B40" s="64">
        <v>38.72</v>
      </c>
      <c r="C40" s="64">
        <v>51.61</v>
      </c>
      <c r="D40" s="64">
        <v>60.18</v>
      </c>
      <c r="E40" s="64">
        <v>0.15</v>
      </c>
      <c r="F40" s="64">
        <v>3.17</v>
      </c>
      <c r="G40" s="64">
        <v>89.66</v>
      </c>
      <c r="H40" s="64">
        <v>36.479999999999997</v>
      </c>
      <c r="I40" s="64">
        <v>1.51</v>
      </c>
      <c r="J40" s="64">
        <v>0.78</v>
      </c>
      <c r="K40" s="64">
        <v>345.14</v>
      </c>
      <c r="L40" s="64">
        <v>18.809999999999999</v>
      </c>
      <c r="M40" s="64">
        <v>85.4</v>
      </c>
      <c r="N40" s="64">
        <v>185</v>
      </c>
      <c r="O40" s="64">
        <v>0</v>
      </c>
      <c r="P40" s="64">
        <v>0.93</v>
      </c>
      <c r="Q40" s="64">
        <v>9.51</v>
      </c>
      <c r="R40" s="198"/>
      <c r="S40" s="198"/>
      <c r="T40" s="198"/>
      <c r="U40" s="198"/>
    </row>
    <row r="41" spans="1:21" s="12" customFormat="1" x14ac:dyDescent="0.25">
      <c r="A41" s="213" t="s">
        <v>375</v>
      </c>
      <c r="B41" s="64">
        <v>39.69</v>
      </c>
      <c r="C41" s="64">
        <v>52.77</v>
      </c>
      <c r="D41" s="64">
        <v>61.59</v>
      </c>
      <c r="E41" s="64">
        <v>0.27</v>
      </c>
      <c r="F41" s="64">
        <v>3.28</v>
      </c>
      <c r="G41" s="64">
        <v>89.66</v>
      </c>
      <c r="H41" s="64">
        <v>36.479999999999997</v>
      </c>
      <c r="I41" s="64">
        <v>1.49</v>
      </c>
      <c r="J41" s="64">
        <v>0.94</v>
      </c>
      <c r="K41" s="64">
        <v>338.84</v>
      </c>
      <c r="L41" s="64">
        <v>20.41</v>
      </c>
      <c r="M41" s="64">
        <v>77.900000000000006</v>
      </c>
      <c r="N41" s="64">
        <v>219.9</v>
      </c>
      <c r="O41" s="64">
        <v>0</v>
      </c>
      <c r="P41" s="64">
        <v>0.96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3" t="s">
        <v>376</v>
      </c>
      <c r="B42" s="64">
        <v>42.1</v>
      </c>
      <c r="C42" s="64">
        <v>54.73</v>
      </c>
      <c r="D42" s="64">
        <v>64.61</v>
      </c>
      <c r="E42" s="64">
        <v>0.25</v>
      </c>
      <c r="F42" s="64">
        <v>3.14</v>
      </c>
      <c r="G42" s="64">
        <v>97</v>
      </c>
      <c r="H42" s="64">
        <v>37.380000000000003</v>
      </c>
      <c r="I42" s="64">
        <v>1.5</v>
      </c>
      <c r="J42" s="64">
        <v>0.97</v>
      </c>
      <c r="K42" s="64">
        <v>347.07</v>
      </c>
      <c r="L42" s="64">
        <v>21.32</v>
      </c>
      <c r="M42" s="64">
        <v>72.78</v>
      </c>
      <c r="N42" s="64">
        <v>267.7</v>
      </c>
      <c r="O42" s="64">
        <v>0</v>
      </c>
      <c r="P42" s="64">
        <v>0.99</v>
      </c>
      <c r="Q42" s="64">
        <v>9.8000000000000007</v>
      </c>
      <c r="R42" s="198"/>
      <c r="S42" s="198"/>
      <c r="T42" s="198"/>
      <c r="U42" s="198"/>
    </row>
    <row r="43" spans="1:21" s="12" customFormat="1" x14ac:dyDescent="0.25">
      <c r="A43" s="213" t="s">
        <v>377</v>
      </c>
      <c r="B43" s="64">
        <v>43.85</v>
      </c>
      <c r="C43" s="64">
        <v>55.82</v>
      </c>
      <c r="D43" s="64">
        <v>66.62</v>
      </c>
      <c r="E43" s="64">
        <v>0.27</v>
      </c>
      <c r="F43" s="64">
        <v>3.1</v>
      </c>
      <c r="G43" s="64">
        <v>130.94999999999999</v>
      </c>
      <c r="H43" s="64">
        <v>40.42</v>
      </c>
      <c r="I43" s="64">
        <v>1.56</v>
      </c>
      <c r="J43" s="64">
        <v>0.77</v>
      </c>
      <c r="K43" s="64">
        <v>344.35</v>
      </c>
      <c r="L43" s="64">
        <v>22.47</v>
      </c>
      <c r="M43" s="64">
        <v>66.11</v>
      </c>
      <c r="N43" s="64">
        <v>344.5</v>
      </c>
      <c r="O43" s="64">
        <v>0</v>
      </c>
      <c r="P43" s="64">
        <v>1.03</v>
      </c>
      <c r="Q43" s="64">
        <v>10.02</v>
      </c>
      <c r="R43" s="198"/>
      <c r="S43" s="198"/>
      <c r="T43" s="198"/>
      <c r="U43" s="198"/>
    </row>
    <row r="44" spans="1:21" s="12" customFormat="1" x14ac:dyDescent="0.25">
      <c r="A44" s="213" t="s">
        <v>378</v>
      </c>
      <c r="B44" s="64">
        <v>44.39</v>
      </c>
      <c r="C44" s="64">
        <v>56.83</v>
      </c>
      <c r="D44" s="64">
        <v>67.61</v>
      </c>
      <c r="E44" s="64">
        <v>0.32</v>
      </c>
      <c r="F44" s="64">
        <v>3.03</v>
      </c>
      <c r="G44" s="64">
        <v>130.94999999999999</v>
      </c>
      <c r="H44" s="64">
        <v>40.42</v>
      </c>
      <c r="I44" s="64">
        <v>1.54</v>
      </c>
      <c r="J44" s="64">
        <v>0.68</v>
      </c>
      <c r="K44" s="64">
        <v>343.21</v>
      </c>
      <c r="L44" s="64">
        <v>23.05</v>
      </c>
      <c r="M44" s="64">
        <v>63.8</v>
      </c>
      <c r="N44" s="64">
        <v>404.2</v>
      </c>
      <c r="O44" s="64">
        <v>0</v>
      </c>
      <c r="P44" s="64">
        <v>1.05</v>
      </c>
      <c r="Q44" s="64">
        <v>10.210000000000001</v>
      </c>
      <c r="R44" s="198"/>
      <c r="S44" s="198"/>
      <c r="T44" s="198"/>
      <c r="U44" s="198"/>
    </row>
    <row r="45" spans="1:21" s="12" customFormat="1" x14ac:dyDescent="0.25">
      <c r="A45" s="213" t="s">
        <v>379</v>
      </c>
      <c r="B45" s="64">
        <v>44.2</v>
      </c>
      <c r="C45" s="64">
        <v>58.11</v>
      </c>
      <c r="D45" s="64">
        <v>68.16</v>
      </c>
      <c r="E45" s="64">
        <v>0.35</v>
      </c>
      <c r="F45" s="64">
        <v>3.24</v>
      </c>
      <c r="G45" s="64">
        <v>130.94999999999999</v>
      </c>
      <c r="H45" s="64">
        <v>40.42</v>
      </c>
      <c r="I45" s="64">
        <v>1.56</v>
      </c>
      <c r="J45" s="64">
        <v>0.45</v>
      </c>
      <c r="K45" s="64">
        <v>93.33</v>
      </c>
      <c r="L45" s="64">
        <v>23.21</v>
      </c>
      <c r="M45" s="64">
        <v>62.11</v>
      </c>
      <c r="N45" s="64">
        <v>454.9</v>
      </c>
      <c r="O45" s="64">
        <v>0</v>
      </c>
      <c r="P45" s="64">
        <v>1.07</v>
      </c>
      <c r="Q45" s="64">
        <v>10.32</v>
      </c>
      <c r="R45" s="198"/>
      <c r="S45" s="198"/>
      <c r="T45" s="198"/>
      <c r="U45" s="198"/>
    </row>
    <row r="46" spans="1:21" s="12" customFormat="1" x14ac:dyDescent="0.25">
      <c r="A46" s="213" t="s">
        <v>380</v>
      </c>
      <c r="B46" s="64">
        <v>43.32</v>
      </c>
      <c r="C46" s="64">
        <v>58.46</v>
      </c>
      <c r="D46" s="64">
        <v>67.64</v>
      </c>
      <c r="E46" s="64">
        <v>0.33</v>
      </c>
      <c r="F46" s="64">
        <v>3.48</v>
      </c>
      <c r="G46" s="64">
        <v>133.19999999999999</v>
      </c>
      <c r="H46" s="64">
        <v>42.39</v>
      </c>
      <c r="I46" s="64">
        <v>1.47</v>
      </c>
      <c r="J46" s="64">
        <v>0.7</v>
      </c>
      <c r="K46" s="64">
        <v>102.71</v>
      </c>
      <c r="L46" s="64">
        <v>22.04</v>
      </c>
      <c r="M46" s="64">
        <v>66.099999999999994</v>
      </c>
      <c r="N46" s="64">
        <v>499.1</v>
      </c>
      <c r="O46" s="64">
        <v>0</v>
      </c>
      <c r="P46" s="64">
        <v>1.07</v>
      </c>
      <c r="Q46" s="64">
        <v>10.32</v>
      </c>
      <c r="R46" s="198"/>
      <c r="S46" s="198"/>
      <c r="T46" s="198"/>
      <c r="U46" s="198"/>
    </row>
    <row r="47" spans="1:21" s="12" customFormat="1" x14ac:dyDescent="0.25">
      <c r="A47" s="213" t="s">
        <v>381</v>
      </c>
      <c r="B47" s="64">
        <v>42.07</v>
      </c>
      <c r="C47" s="64">
        <v>58.6</v>
      </c>
      <c r="D47" s="64">
        <v>66.72</v>
      </c>
      <c r="E47" s="64">
        <v>0.34</v>
      </c>
      <c r="F47" s="64">
        <v>3.35</v>
      </c>
      <c r="G47" s="64">
        <v>143.62</v>
      </c>
      <c r="H47" s="64">
        <v>49.09</v>
      </c>
      <c r="I47" s="64">
        <v>1.45</v>
      </c>
      <c r="J47" s="64">
        <v>0.47</v>
      </c>
      <c r="K47" s="64">
        <v>340.82</v>
      </c>
      <c r="L47" s="64">
        <v>24.66</v>
      </c>
      <c r="M47" s="64">
        <v>56.46</v>
      </c>
      <c r="N47" s="64">
        <v>507.4</v>
      </c>
      <c r="O47" s="64">
        <v>0</v>
      </c>
      <c r="P47" s="64">
        <v>1.06</v>
      </c>
      <c r="Q47" s="64">
        <v>10.29</v>
      </c>
      <c r="R47" s="198"/>
      <c r="S47" s="198"/>
      <c r="T47" s="198"/>
      <c r="U47" s="198"/>
    </row>
    <row r="48" spans="1:21" s="12" customFormat="1" x14ac:dyDescent="0.25">
      <c r="A48" s="213" t="s">
        <v>382</v>
      </c>
      <c r="B48" s="64">
        <v>41.49</v>
      </c>
      <c r="C48" s="64">
        <v>59.94</v>
      </c>
      <c r="D48" s="64">
        <v>66.989999999999995</v>
      </c>
      <c r="E48" s="64">
        <v>0.33</v>
      </c>
      <c r="F48" s="64">
        <v>3.11</v>
      </c>
      <c r="G48" s="64">
        <v>143.62</v>
      </c>
      <c r="H48" s="64">
        <v>49.09</v>
      </c>
      <c r="I48" s="64">
        <v>1.49</v>
      </c>
      <c r="J48" s="64">
        <v>0.45</v>
      </c>
      <c r="K48" s="64">
        <v>336.68</v>
      </c>
      <c r="L48" s="64">
        <v>27.3</v>
      </c>
      <c r="M48" s="64">
        <v>48.32</v>
      </c>
      <c r="N48" s="64">
        <v>549.70000000000005</v>
      </c>
      <c r="O48" s="64">
        <v>0</v>
      </c>
      <c r="P48" s="64">
        <v>1.08</v>
      </c>
      <c r="Q48" s="64">
        <v>10.26</v>
      </c>
      <c r="R48" s="198"/>
      <c r="S48" s="198"/>
      <c r="T48" s="198"/>
      <c r="U48" s="198"/>
    </row>
    <row r="49" spans="1:21" s="12" customFormat="1" x14ac:dyDescent="0.25">
      <c r="A49" s="213" t="s">
        <v>383</v>
      </c>
      <c r="B49" s="64">
        <v>40.75</v>
      </c>
      <c r="C49" s="64">
        <v>61.32</v>
      </c>
      <c r="D49" s="64">
        <v>67.16</v>
      </c>
      <c r="E49" s="64">
        <v>0.28000000000000003</v>
      </c>
      <c r="F49" s="64">
        <v>3.1</v>
      </c>
      <c r="G49" s="64">
        <v>143.62</v>
      </c>
      <c r="H49" s="64">
        <v>49.09</v>
      </c>
      <c r="I49" s="64">
        <v>1.46</v>
      </c>
      <c r="J49" s="64">
        <v>0.4</v>
      </c>
      <c r="K49" s="64">
        <v>344.31</v>
      </c>
      <c r="L49" s="64">
        <v>27.77</v>
      </c>
      <c r="M49" s="64">
        <v>46.76</v>
      </c>
      <c r="N49" s="64">
        <v>554.70000000000005</v>
      </c>
      <c r="O49" s="64">
        <v>0</v>
      </c>
      <c r="P49" s="64">
        <v>1.1000000000000001</v>
      </c>
      <c r="Q49" s="64">
        <v>10.27</v>
      </c>
      <c r="R49" s="198"/>
      <c r="S49" s="198"/>
      <c r="T49" s="198"/>
      <c r="U49" s="198"/>
    </row>
    <row r="50" spans="1:21" s="12" customFormat="1" x14ac:dyDescent="0.25">
      <c r="A50" s="213" t="s">
        <v>384</v>
      </c>
      <c r="B50" s="64">
        <v>39.520000000000003</v>
      </c>
      <c r="C50" s="64">
        <v>62.88</v>
      </c>
      <c r="D50" s="64">
        <v>67.040000000000006</v>
      </c>
      <c r="E50" s="64">
        <v>0.24</v>
      </c>
      <c r="F50" s="64">
        <v>3.25</v>
      </c>
      <c r="G50" s="64">
        <v>141.26</v>
      </c>
      <c r="H50" s="64">
        <v>48.73</v>
      </c>
      <c r="I50" s="64">
        <v>1.48</v>
      </c>
      <c r="J50" s="64">
        <v>0.43</v>
      </c>
      <c r="K50" s="64">
        <v>338.64</v>
      </c>
      <c r="L50" s="64">
        <v>28.09</v>
      </c>
      <c r="M50" s="64">
        <v>46.13</v>
      </c>
      <c r="N50" s="64">
        <v>582.79999999999995</v>
      </c>
      <c r="O50" s="64">
        <v>0</v>
      </c>
      <c r="P50" s="64">
        <v>1.0900000000000001</v>
      </c>
      <c r="Q50" s="64">
        <v>10.19</v>
      </c>
      <c r="R50" s="198"/>
      <c r="S50" s="198"/>
      <c r="T50" s="198"/>
      <c r="U50" s="198"/>
    </row>
    <row r="51" spans="1:21" s="12" customFormat="1" x14ac:dyDescent="0.25">
      <c r="A51" s="213" t="s">
        <v>385</v>
      </c>
      <c r="B51" s="64">
        <v>37.840000000000003</v>
      </c>
      <c r="C51" s="64">
        <v>64.72</v>
      </c>
      <c r="D51" s="64">
        <v>66.709999999999994</v>
      </c>
      <c r="E51" s="64">
        <v>0.31</v>
      </c>
      <c r="F51" s="64">
        <v>3.15</v>
      </c>
      <c r="G51" s="64">
        <v>130.36000000000001</v>
      </c>
      <c r="H51" s="64">
        <v>47.5</v>
      </c>
      <c r="I51" s="64">
        <v>1.58</v>
      </c>
      <c r="J51" s="64">
        <v>0.56999999999999995</v>
      </c>
      <c r="K51" s="64">
        <v>326.83999999999997</v>
      </c>
      <c r="L51" s="64">
        <v>29.3</v>
      </c>
      <c r="M51" s="64">
        <v>42.44</v>
      </c>
      <c r="N51" s="64">
        <v>601.79999999999995</v>
      </c>
      <c r="O51" s="64">
        <v>0</v>
      </c>
      <c r="P51" s="64">
        <v>1.1000000000000001</v>
      </c>
      <c r="Q51" s="64">
        <v>10.220000000000001</v>
      </c>
      <c r="R51" s="198"/>
      <c r="S51" s="198"/>
      <c r="T51" s="198"/>
      <c r="U51" s="198"/>
    </row>
    <row r="52" spans="1:21" s="12" customFormat="1" x14ac:dyDescent="0.25">
      <c r="A52" s="213" t="s">
        <v>386</v>
      </c>
      <c r="B52" s="64">
        <v>35.369999999999997</v>
      </c>
      <c r="C52" s="64">
        <v>66.48</v>
      </c>
      <c r="D52" s="64">
        <v>65.7</v>
      </c>
      <c r="E52" s="64">
        <v>0.32</v>
      </c>
      <c r="F52" s="64">
        <v>3.06</v>
      </c>
      <c r="G52" s="64">
        <v>130.36000000000001</v>
      </c>
      <c r="H52" s="64">
        <v>47.5</v>
      </c>
      <c r="I52" s="64">
        <v>1.46</v>
      </c>
      <c r="J52" s="64">
        <v>0.09</v>
      </c>
      <c r="K52" s="64">
        <v>87.4</v>
      </c>
      <c r="L52" s="64">
        <v>27.89</v>
      </c>
      <c r="M52" s="64">
        <v>44.76</v>
      </c>
      <c r="N52" s="64">
        <v>639.29999999999995</v>
      </c>
      <c r="O52" s="64">
        <v>0</v>
      </c>
      <c r="P52" s="64">
        <v>1.0900000000000001</v>
      </c>
      <c r="Q52" s="64">
        <v>10.14</v>
      </c>
      <c r="R52" s="198"/>
      <c r="S52" s="198"/>
      <c r="T52" s="198"/>
      <c r="U52" s="198"/>
    </row>
    <row r="53" spans="1:21" s="12" customFormat="1" x14ac:dyDescent="0.25">
      <c r="A53" s="213" t="s">
        <v>387</v>
      </c>
      <c r="B53" s="64">
        <v>32.53</v>
      </c>
      <c r="C53" s="64">
        <v>67.12</v>
      </c>
      <c r="D53" s="64">
        <v>63.78</v>
      </c>
      <c r="E53" s="64">
        <v>0.3</v>
      </c>
      <c r="F53" s="64">
        <v>3.19</v>
      </c>
      <c r="G53" s="64">
        <v>130.36000000000001</v>
      </c>
      <c r="H53" s="64">
        <v>47.5</v>
      </c>
      <c r="I53" s="64">
        <v>1.55</v>
      </c>
      <c r="J53" s="64">
        <v>0.74</v>
      </c>
      <c r="K53" s="64">
        <v>115.57</v>
      </c>
      <c r="L53" s="64">
        <v>25.44</v>
      </c>
      <c r="M53" s="64">
        <v>51.68</v>
      </c>
      <c r="N53" s="64">
        <v>667.1</v>
      </c>
      <c r="O53" s="64">
        <v>0</v>
      </c>
      <c r="P53" s="64">
        <v>1.08</v>
      </c>
      <c r="Q53" s="64">
        <v>10.029999999999999</v>
      </c>
      <c r="R53" s="198"/>
      <c r="S53" s="198"/>
      <c r="T53" s="198"/>
      <c r="U53" s="198"/>
    </row>
    <row r="54" spans="1:21" s="12" customFormat="1" x14ac:dyDescent="0.25">
      <c r="A54" s="213" t="s">
        <v>388</v>
      </c>
      <c r="B54" s="64">
        <v>28.96</v>
      </c>
      <c r="C54" s="64">
        <v>65.09</v>
      </c>
      <c r="D54" s="64">
        <v>59.79</v>
      </c>
      <c r="E54" s="64">
        <v>0.3</v>
      </c>
      <c r="F54" s="64">
        <v>3.27</v>
      </c>
      <c r="G54" s="64">
        <v>125.17</v>
      </c>
      <c r="H54" s="64">
        <v>47.02</v>
      </c>
      <c r="I54" s="64">
        <v>1.52</v>
      </c>
      <c r="J54" s="64">
        <v>0.2</v>
      </c>
      <c r="K54" s="64">
        <v>76.569999999999993</v>
      </c>
      <c r="L54" s="64">
        <v>25.67</v>
      </c>
      <c r="M54" s="64">
        <v>51.59</v>
      </c>
      <c r="N54" s="64">
        <v>657.7</v>
      </c>
      <c r="O54" s="64">
        <v>0</v>
      </c>
      <c r="P54" s="64">
        <v>1.06</v>
      </c>
      <c r="Q54" s="64">
        <v>9.75</v>
      </c>
      <c r="R54" s="198"/>
      <c r="S54" s="198"/>
      <c r="T54" s="198"/>
      <c r="U54" s="198"/>
    </row>
    <row r="55" spans="1:21" s="12" customFormat="1" x14ac:dyDescent="0.25">
      <c r="A55" s="213" t="s">
        <v>389</v>
      </c>
      <c r="B55" s="64">
        <v>24.79</v>
      </c>
      <c r="C55" s="64">
        <v>65.680000000000007</v>
      </c>
      <c r="D55" s="64">
        <v>56.77</v>
      </c>
      <c r="E55" s="64">
        <v>0.25</v>
      </c>
      <c r="F55" s="64">
        <v>3.38</v>
      </c>
      <c r="G55" s="64">
        <v>99.21</v>
      </c>
      <c r="H55" s="64">
        <v>44.6</v>
      </c>
      <c r="I55" s="64">
        <v>1.49</v>
      </c>
      <c r="J55" s="64">
        <v>0.52</v>
      </c>
      <c r="K55" s="64">
        <v>341.34</v>
      </c>
      <c r="L55" s="64">
        <v>27.61</v>
      </c>
      <c r="M55" s="64">
        <v>45.61</v>
      </c>
      <c r="N55" s="64">
        <v>666</v>
      </c>
      <c r="O55" s="64">
        <v>0</v>
      </c>
      <c r="P55" s="64">
        <v>1.04</v>
      </c>
      <c r="Q55" s="64">
        <v>9.43</v>
      </c>
      <c r="R55" s="198"/>
      <c r="S55" s="198"/>
      <c r="T55" s="198"/>
      <c r="U55" s="198"/>
    </row>
    <row r="56" spans="1:21" s="12" customFormat="1" x14ac:dyDescent="0.25">
      <c r="A56" s="213" t="s">
        <v>390</v>
      </c>
      <c r="B56" s="64">
        <v>20.91</v>
      </c>
      <c r="C56" s="64">
        <v>67.290000000000006</v>
      </c>
      <c r="D56" s="64">
        <v>54.56</v>
      </c>
      <c r="E56" s="64">
        <v>0.2</v>
      </c>
      <c r="F56" s="64">
        <v>3.46</v>
      </c>
      <c r="G56" s="64">
        <v>99.21</v>
      </c>
      <c r="H56" s="64">
        <v>44.6</v>
      </c>
      <c r="I56" s="64">
        <v>1.55</v>
      </c>
      <c r="J56" s="64">
        <v>0.31</v>
      </c>
      <c r="K56" s="64">
        <v>335.46</v>
      </c>
      <c r="L56" s="64">
        <v>29.04</v>
      </c>
      <c r="M56" s="64">
        <v>41.52</v>
      </c>
      <c r="N56" s="64">
        <v>567.20000000000005</v>
      </c>
      <c r="O56" s="64">
        <v>0</v>
      </c>
      <c r="P56" s="64">
        <v>1.03</v>
      </c>
      <c r="Q56" s="64">
        <v>9.14</v>
      </c>
      <c r="R56" s="198"/>
      <c r="S56" s="198"/>
      <c r="T56" s="198"/>
      <c r="U56" s="198"/>
    </row>
    <row r="57" spans="1:21" s="12" customFormat="1" x14ac:dyDescent="0.25">
      <c r="A57" s="213" t="s">
        <v>391</v>
      </c>
      <c r="B57" s="64">
        <v>16.98</v>
      </c>
      <c r="C57" s="64">
        <v>70.34</v>
      </c>
      <c r="D57" s="64">
        <v>53.08</v>
      </c>
      <c r="E57" s="64">
        <v>0.31</v>
      </c>
      <c r="F57" s="64">
        <v>3.65</v>
      </c>
      <c r="G57" s="64">
        <v>99.21</v>
      </c>
      <c r="H57" s="64">
        <v>44.6</v>
      </c>
      <c r="I57" s="64">
        <v>1.45</v>
      </c>
      <c r="J57" s="64">
        <v>0.19</v>
      </c>
      <c r="K57" s="64">
        <v>100.36</v>
      </c>
      <c r="L57" s="64">
        <v>26.33</v>
      </c>
      <c r="M57" s="64">
        <v>46.72</v>
      </c>
      <c r="N57" s="64">
        <v>419.2</v>
      </c>
      <c r="O57" s="64">
        <v>0</v>
      </c>
      <c r="P57" s="64">
        <v>1</v>
      </c>
      <c r="Q57" s="64">
        <v>8.99</v>
      </c>
      <c r="R57" s="198"/>
      <c r="S57" s="198"/>
      <c r="T57" s="198"/>
      <c r="U57" s="198"/>
    </row>
    <row r="58" spans="1:21" s="12" customFormat="1" x14ac:dyDescent="0.25">
      <c r="A58" s="213" t="s">
        <v>392</v>
      </c>
      <c r="B58" s="64">
        <v>13.7</v>
      </c>
      <c r="C58" s="64">
        <v>73.28</v>
      </c>
      <c r="D58" s="64">
        <v>52.08</v>
      </c>
      <c r="E58" s="64">
        <v>0.31</v>
      </c>
      <c r="F58" s="64">
        <v>3.54</v>
      </c>
      <c r="G58" s="64">
        <v>96.16</v>
      </c>
      <c r="H58" s="64">
        <v>43.29</v>
      </c>
      <c r="I58" s="64">
        <v>1.47</v>
      </c>
      <c r="J58" s="64">
        <v>0.28999999999999998</v>
      </c>
      <c r="K58" s="64">
        <v>44.09</v>
      </c>
      <c r="L58" s="64">
        <v>25.93</v>
      </c>
      <c r="M58" s="64">
        <v>42.28</v>
      </c>
      <c r="N58" s="64">
        <v>341.6</v>
      </c>
      <c r="O58" s="64">
        <v>0</v>
      </c>
      <c r="P58" s="64">
        <v>0.97</v>
      </c>
      <c r="Q58" s="64">
        <v>8.84</v>
      </c>
      <c r="R58" s="198"/>
      <c r="S58" s="198"/>
      <c r="T58" s="198"/>
      <c r="U58" s="198"/>
    </row>
    <row r="59" spans="1:21" s="12" customFormat="1" x14ac:dyDescent="0.25">
      <c r="A59" s="213" t="s">
        <v>393</v>
      </c>
      <c r="B59" s="64">
        <v>11.59</v>
      </c>
      <c r="C59" s="64">
        <v>73.760000000000005</v>
      </c>
      <c r="D59" s="64">
        <v>50.65</v>
      </c>
      <c r="E59" s="64">
        <v>0.24</v>
      </c>
      <c r="F59" s="64">
        <v>3.66</v>
      </c>
      <c r="G59" s="64">
        <v>82.04</v>
      </c>
      <c r="H59" s="64">
        <v>38.840000000000003</v>
      </c>
      <c r="I59" s="64">
        <v>1.56</v>
      </c>
      <c r="J59" s="64">
        <v>0.59</v>
      </c>
      <c r="K59" s="64">
        <v>333.73</v>
      </c>
      <c r="L59" s="64">
        <v>26.79</v>
      </c>
      <c r="M59" s="64">
        <v>42.18</v>
      </c>
      <c r="N59" s="64">
        <v>448.1</v>
      </c>
      <c r="O59" s="64">
        <v>0</v>
      </c>
      <c r="P59" s="64">
        <v>0.94</v>
      </c>
      <c r="Q59" s="64">
        <v>8.66</v>
      </c>
      <c r="R59" s="198"/>
      <c r="S59" s="198"/>
      <c r="T59" s="198"/>
      <c r="U59" s="198"/>
    </row>
    <row r="60" spans="1:21" s="12" customFormat="1" x14ac:dyDescent="0.25">
      <c r="A60" s="213" t="s">
        <v>394</v>
      </c>
      <c r="B60" s="64">
        <v>10.25</v>
      </c>
      <c r="C60" s="64">
        <v>74.180000000000007</v>
      </c>
      <c r="D60" s="64">
        <v>49.81</v>
      </c>
      <c r="E60" s="64">
        <v>0.27</v>
      </c>
      <c r="F60" s="64">
        <v>3.6</v>
      </c>
      <c r="G60" s="64">
        <v>82.04</v>
      </c>
      <c r="H60" s="64">
        <v>38.840000000000003</v>
      </c>
      <c r="I60" s="64">
        <v>1.48</v>
      </c>
      <c r="J60" s="64">
        <v>0.79</v>
      </c>
      <c r="K60" s="64">
        <v>333.73</v>
      </c>
      <c r="L60" s="64">
        <v>28.18</v>
      </c>
      <c r="M60" s="64">
        <v>38.67</v>
      </c>
      <c r="N60" s="64">
        <v>289.10000000000002</v>
      </c>
      <c r="O60" s="64">
        <v>0</v>
      </c>
      <c r="P60" s="64">
        <v>0.93</v>
      </c>
      <c r="Q60" s="64">
        <v>8.49</v>
      </c>
      <c r="R60" s="198"/>
      <c r="S60" s="198"/>
      <c r="T60" s="198"/>
      <c r="U60" s="198"/>
    </row>
    <row r="61" spans="1:21" s="12" customFormat="1" x14ac:dyDescent="0.25">
      <c r="A61" s="213" t="s">
        <v>395</v>
      </c>
      <c r="B61" s="64">
        <v>9.58</v>
      </c>
      <c r="C61" s="64">
        <v>75.36</v>
      </c>
      <c r="D61" s="64">
        <v>49.91</v>
      </c>
      <c r="E61" s="64">
        <v>0.33</v>
      </c>
      <c r="F61" s="64">
        <v>3.77</v>
      </c>
      <c r="G61" s="64">
        <v>82.04</v>
      </c>
      <c r="H61" s="64">
        <v>38.840000000000003</v>
      </c>
      <c r="I61" s="64">
        <v>1.52</v>
      </c>
      <c r="J61" s="64">
        <v>0.56999999999999995</v>
      </c>
      <c r="K61" s="64">
        <v>179.44</v>
      </c>
      <c r="L61" s="64">
        <v>26.01</v>
      </c>
      <c r="M61" s="64">
        <v>47.74</v>
      </c>
      <c r="N61" s="64">
        <v>220.8</v>
      </c>
      <c r="O61" s="64">
        <v>0</v>
      </c>
      <c r="P61" s="64">
        <v>0.89</v>
      </c>
      <c r="Q61" s="64">
        <v>8.39</v>
      </c>
      <c r="R61" s="198"/>
      <c r="S61" s="198"/>
      <c r="T61" s="198"/>
      <c r="U61" s="198"/>
    </row>
    <row r="62" spans="1:21" s="12" customFormat="1" x14ac:dyDescent="0.25">
      <c r="A62" s="213" t="s">
        <v>396</v>
      </c>
      <c r="B62" s="64">
        <v>7.51</v>
      </c>
      <c r="C62" s="64">
        <v>75.760000000000005</v>
      </c>
      <c r="D62" s="64">
        <v>48.48</v>
      </c>
      <c r="E62" s="64">
        <v>0.3</v>
      </c>
      <c r="F62" s="64">
        <v>4.07</v>
      </c>
      <c r="G62" s="64">
        <v>82.77</v>
      </c>
      <c r="H62" s="64">
        <v>38.479999999999997</v>
      </c>
      <c r="I62" s="64">
        <v>1.54</v>
      </c>
      <c r="J62" s="64">
        <v>1.43</v>
      </c>
      <c r="K62" s="64">
        <v>148.71</v>
      </c>
      <c r="L62" s="64">
        <v>23.89</v>
      </c>
      <c r="M62" s="64">
        <v>58.39</v>
      </c>
      <c r="N62" s="64">
        <v>326.8</v>
      </c>
      <c r="O62" s="64">
        <v>0</v>
      </c>
      <c r="P62" s="64">
        <v>0.89</v>
      </c>
      <c r="Q62" s="64">
        <v>8.32</v>
      </c>
      <c r="R62" s="198"/>
      <c r="S62" s="198"/>
      <c r="T62" s="198"/>
      <c r="U62" s="198"/>
    </row>
    <row r="63" spans="1:21" s="12" customFormat="1" x14ac:dyDescent="0.25">
      <c r="A63" s="213" t="s">
        <v>397</v>
      </c>
      <c r="B63" s="64">
        <v>5.38</v>
      </c>
      <c r="C63" s="64">
        <v>74.709999999999994</v>
      </c>
      <c r="D63" s="64">
        <v>46.19</v>
      </c>
      <c r="E63" s="64">
        <v>0.41</v>
      </c>
      <c r="F63" s="64">
        <v>4.3</v>
      </c>
      <c r="G63" s="64">
        <v>86.14</v>
      </c>
      <c r="H63" s="64">
        <v>37.26</v>
      </c>
      <c r="I63" s="64">
        <v>1.48</v>
      </c>
      <c r="J63" s="64">
        <v>0.72</v>
      </c>
      <c r="K63" s="64">
        <v>156.12</v>
      </c>
      <c r="L63" s="64">
        <v>24.08</v>
      </c>
      <c r="M63" s="64">
        <v>55.7</v>
      </c>
      <c r="N63" s="64">
        <v>269.7</v>
      </c>
      <c r="O63" s="64">
        <v>0</v>
      </c>
      <c r="P63" s="64">
        <v>0.86</v>
      </c>
      <c r="Q63" s="64">
        <v>8.26</v>
      </c>
      <c r="R63" s="198"/>
      <c r="S63" s="198"/>
      <c r="T63" s="198"/>
      <c r="U63" s="198"/>
    </row>
    <row r="64" spans="1:21" s="12" customFormat="1" x14ac:dyDescent="0.25">
      <c r="A64" s="213" t="s">
        <v>398</v>
      </c>
      <c r="B64" s="64">
        <v>3.9</v>
      </c>
      <c r="C64" s="64">
        <v>72.91</v>
      </c>
      <c r="D64" s="64">
        <v>44.01</v>
      </c>
      <c r="E64" s="64">
        <v>0.25</v>
      </c>
      <c r="F64" s="64">
        <v>4.45</v>
      </c>
      <c r="G64" s="64">
        <v>86.14</v>
      </c>
      <c r="H64" s="64">
        <v>37.26</v>
      </c>
      <c r="I64" s="64">
        <v>1.55</v>
      </c>
      <c r="J64" s="64">
        <v>0.4</v>
      </c>
      <c r="K64" s="64">
        <v>171.36</v>
      </c>
      <c r="L64" s="64">
        <v>24.24</v>
      </c>
      <c r="M64" s="64">
        <v>55.56</v>
      </c>
      <c r="N64" s="64">
        <v>300</v>
      </c>
      <c r="O64" s="64">
        <v>0</v>
      </c>
      <c r="P64" s="64">
        <v>0.84</v>
      </c>
      <c r="Q64" s="64">
        <v>8.07</v>
      </c>
      <c r="R64" s="198"/>
      <c r="S64" s="198"/>
      <c r="T64" s="198"/>
      <c r="U64" s="198"/>
    </row>
    <row r="65" spans="1:21" s="12" customFormat="1" x14ac:dyDescent="0.25">
      <c r="A65" s="213" t="s">
        <v>399</v>
      </c>
      <c r="B65" s="64">
        <v>2.98</v>
      </c>
      <c r="C65" s="64">
        <v>70.84</v>
      </c>
      <c r="D65" s="64">
        <v>42.13</v>
      </c>
      <c r="E65" s="64">
        <v>0.28000000000000003</v>
      </c>
      <c r="F65" s="64">
        <v>4.8099999999999996</v>
      </c>
      <c r="G65" s="64">
        <v>86.14</v>
      </c>
      <c r="H65" s="64">
        <v>37.26</v>
      </c>
      <c r="I65" s="64">
        <v>1.54</v>
      </c>
      <c r="J65" s="64">
        <v>0.22</v>
      </c>
      <c r="K65" s="64">
        <v>140</v>
      </c>
      <c r="L65" s="64">
        <v>24.2</v>
      </c>
      <c r="M65" s="64">
        <v>54.13</v>
      </c>
      <c r="N65" s="64">
        <v>231.1</v>
      </c>
      <c r="O65" s="64">
        <v>0</v>
      </c>
      <c r="P65" s="64">
        <v>0.81</v>
      </c>
      <c r="Q65" s="64">
        <v>7.91</v>
      </c>
      <c r="R65" s="198"/>
      <c r="S65" s="198"/>
      <c r="T65" s="198"/>
      <c r="U65" s="198"/>
    </row>
    <row r="66" spans="1:21" s="12" customFormat="1" x14ac:dyDescent="0.25">
      <c r="A66" s="213" t="s">
        <v>400</v>
      </c>
      <c r="B66" s="64">
        <v>2.5299999999999998</v>
      </c>
      <c r="C66" s="64">
        <v>68.7</v>
      </c>
      <c r="D66" s="64">
        <v>40.58</v>
      </c>
      <c r="E66" s="64">
        <v>0.2</v>
      </c>
      <c r="F66" s="64">
        <v>4.72</v>
      </c>
      <c r="G66" s="64">
        <v>83.98</v>
      </c>
      <c r="H66" s="64">
        <v>37.49</v>
      </c>
      <c r="I66" s="64">
        <v>1.48</v>
      </c>
      <c r="J66" s="64">
        <v>1.34</v>
      </c>
      <c r="K66" s="64">
        <v>145.9</v>
      </c>
      <c r="L66" s="64">
        <v>24.01</v>
      </c>
      <c r="M66" s="64">
        <v>56.73</v>
      </c>
      <c r="N66" s="64">
        <v>210</v>
      </c>
      <c r="O66" s="64">
        <v>0</v>
      </c>
      <c r="P66" s="64">
        <v>0.79</v>
      </c>
      <c r="Q66" s="64">
        <v>7.77</v>
      </c>
      <c r="R66" s="198"/>
      <c r="S66" s="198"/>
      <c r="T66" s="198"/>
      <c r="U66" s="198"/>
    </row>
    <row r="67" spans="1:21" s="12" customFormat="1" x14ac:dyDescent="0.25">
      <c r="A67" s="213" t="s">
        <v>401</v>
      </c>
      <c r="B67" s="64">
        <v>2.38</v>
      </c>
      <c r="C67" s="64">
        <v>66.89</v>
      </c>
      <c r="D67" s="64">
        <v>39.47</v>
      </c>
      <c r="E67" s="64">
        <v>0.23</v>
      </c>
      <c r="F67" s="64">
        <v>4.66</v>
      </c>
      <c r="G67" s="64">
        <v>73.97</v>
      </c>
      <c r="H67" s="64">
        <v>38.25</v>
      </c>
      <c r="I67" s="64">
        <v>1.52</v>
      </c>
      <c r="J67" s="64">
        <v>0.77</v>
      </c>
      <c r="K67" s="64">
        <v>151.34</v>
      </c>
      <c r="L67" s="64">
        <v>24.05</v>
      </c>
      <c r="M67" s="64">
        <v>57.06</v>
      </c>
      <c r="N67" s="64">
        <v>231.5</v>
      </c>
      <c r="O67" s="64">
        <v>0</v>
      </c>
      <c r="P67" s="64">
        <v>0.78</v>
      </c>
      <c r="Q67" s="64">
        <v>7.69</v>
      </c>
      <c r="R67" s="198"/>
      <c r="S67" s="198"/>
      <c r="T67" s="198"/>
      <c r="U67" s="198"/>
    </row>
    <row r="68" spans="1:21" s="12" customFormat="1" x14ac:dyDescent="0.25">
      <c r="A68" s="213" t="s">
        <v>402</v>
      </c>
      <c r="B68" s="64">
        <v>2.31</v>
      </c>
      <c r="C68" s="64">
        <v>64.930000000000007</v>
      </c>
      <c r="D68" s="64">
        <v>38.33</v>
      </c>
      <c r="E68" s="64">
        <v>0.2</v>
      </c>
      <c r="F68" s="64">
        <v>4.8499999999999996</v>
      </c>
      <c r="G68" s="64">
        <v>73.97</v>
      </c>
      <c r="H68" s="64">
        <v>38.25</v>
      </c>
      <c r="I68" s="64">
        <v>1.58</v>
      </c>
      <c r="J68" s="64">
        <v>0.74</v>
      </c>
      <c r="K68" s="64">
        <v>164.93</v>
      </c>
      <c r="L68" s="64">
        <v>23.83</v>
      </c>
      <c r="M68" s="64">
        <v>57.38</v>
      </c>
      <c r="N68" s="64">
        <v>223.8</v>
      </c>
      <c r="O68" s="64">
        <v>0</v>
      </c>
      <c r="P68" s="64">
        <v>0.75</v>
      </c>
      <c r="Q68" s="64">
        <v>7.63</v>
      </c>
      <c r="R68" s="198"/>
      <c r="S68" s="198"/>
      <c r="T68" s="198"/>
      <c r="U68" s="198"/>
    </row>
    <row r="69" spans="1:21" s="12" customFormat="1" x14ac:dyDescent="0.25">
      <c r="A69" s="213" t="s">
        <v>403</v>
      </c>
      <c r="B69" s="64">
        <v>2.2000000000000002</v>
      </c>
      <c r="C69" s="64">
        <v>63.48</v>
      </c>
      <c r="D69" s="64">
        <v>37.44</v>
      </c>
      <c r="E69" s="64">
        <v>0.15</v>
      </c>
      <c r="F69" s="64">
        <v>4.9800000000000004</v>
      </c>
      <c r="G69" s="64">
        <v>73.97</v>
      </c>
      <c r="H69" s="64">
        <v>38.25</v>
      </c>
      <c r="I69" s="64">
        <v>1.48</v>
      </c>
      <c r="J69" s="64">
        <v>0.71</v>
      </c>
      <c r="K69" s="64">
        <v>161.88999999999999</v>
      </c>
      <c r="L69" s="64">
        <v>23.89</v>
      </c>
      <c r="M69" s="64">
        <v>59.38</v>
      </c>
      <c r="N69" s="64">
        <v>260</v>
      </c>
      <c r="O69" s="64">
        <v>0</v>
      </c>
      <c r="P69" s="64">
        <v>0.73</v>
      </c>
      <c r="Q69" s="64">
        <v>7.6</v>
      </c>
      <c r="R69" s="198"/>
      <c r="S69" s="198"/>
      <c r="T69" s="198"/>
      <c r="U69" s="198"/>
    </row>
    <row r="70" spans="1:21" s="12" customFormat="1" x14ac:dyDescent="0.25">
      <c r="A70" s="213" t="s">
        <v>404</v>
      </c>
      <c r="B70" s="64">
        <v>2.2400000000000002</v>
      </c>
      <c r="C70" s="64">
        <v>64.13</v>
      </c>
      <c r="D70" s="64">
        <v>37.83</v>
      </c>
      <c r="E70" s="64">
        <v>0.2</v>
      </c>
      <c r="F70" s="64">
        <v>4.4800000000000004</v>
      </c>
      <c r="G70" s="64">
        <v>74.31</v>
      </c>
      <c r="H70" s="64">
        <v>37.93</v>
      </c>
      <c r="I70" s="64">
        <v>1.52</v>
      </c>
      <c r="J70" s="64">
        <v>1.2</v>
      </c>
      <c r="K70" s="64">
        <v>153.66</v>
      </c>
      <c r="L70" s="64">
        <v>23.76</v>
      </c>
      <c r="M70" s="64">
        <v>60.1</v>
      </c>
      <c r="N70" s="64">
        <v>200.3</v>
      </c>
      <c r="O70" s="64">
        <v>0</v>
      </c>
      <c r="P70" s="64">
        <v>0.71</v>
      </c>
      <c r="Q70" s="64">
        <v>7.59</v>
      </c>
      <c r="R70" s="198"/>
      <c r="S70" s="198"/>
      <c r="T70" s="198"/>
      <c r="U70" s="198"/>
    </row>
    <row r="71" spans="1:21" s="12" customFormat="1" x14ac:dyDescent="0.25">
      <c r="A71" s="213" t="s">
        <v>405</v>
      </c>
      <c r="B71" s="64">
        <v>2.39</v>
      </c>
      <c r="C71" s="64">
        <v>63.63</v>
      </c>
      <c r="D71" s="64">
        <v>37.68</v>
      </c>
      <c r="E71" s="64">
        <v>0.22</v>
      </c>
      <c r="F71" s="64">
        <v>4.32</v>
      </c>
      <c r="G71" s="64">
        <v>75.849999999999994</v>
      </c>
      <c r="H71" s="64">
        <v>36.46</v>
      </c>
      <c r="I71" s="64">
        <v>1.5</v>
      </c>
      <c r="J71" s="64">
        <v>0.59</v>
      </c>
      <c r="K71" s="64">
        <v>181.89</v>
      </c>
      <c r="L71" s="64">
        <v>23.7</v>
      </c>
      <c r="M71" s="64">
        <v>62.06</v>
      </c>
      <c r="N71" s="64">
        <v>220</v>
      </c>
      <c r="O71" s="64">
        <v>0</v>
      </c>
      <c r="P71" s="64">
        <v>0.71</v>
      </c>
      <c r="Q71" s="64">
        <v>7.67</v>
      </c>
      <c r="R71" s="198"/>
      <c r="S71" s="198"/>
      <c r="T71" s="198"/>
      <c r="U71" s="198"/>
    </row>
    <row r="72" spans="1:21" s="12" customFormat="1" x14ac:dyDescent="0.25">
      <c r="A72" s="213" t="s">
        <v>406</v>
      </c>
      <c r="B72" s="64">
        <v>2.2799999999999998</v>
      </c>
      <c r="C72" s="64">
        <v>62.6</v>
      </c>
      <c r="D72" s="64">
        <v>37.020000000000003</v>
      </c>
      <c r="E72" s="64">
        <v>0.12</v>
      </c>
      <c r="F72" s="64">
        <v>4.6900000000000004</v>
      </c>
      <c r="G72" s="64">
        <v>75.849999999999994</v>
      </c>
      <c r="H72" s="64">
        <v>36.46</v>
      </c>
      <c r="I72" s="64">
        <v>1.49</v>
      </c>
      <c r="J72" s="64">
        <v>0.5</v>
      </c>
      <c r="K72" s="64">
        <v>180.95</v>
      </c>
      <c r="L72" s="64">
        <v>23.43</v>
      </c>
      <c r="M72" s="64">
        <v>63.35</v>
      </c>
      <c r="N72" s="64">
        <v>187.9</v>
      </c>
      <c r="O72" s="64">
        <v>0</v>
      </c>
      <c r="P72" s="64">
        <v>0.7</v>
      </c>
      <c r="Q72" s="64">
        <v>7.69</v>
      </c>
      <c r="R72" s="198"/>
      <c r="S72" s="198"/>
      <c r="T72" s="198"/>
      <c r="U72" s="198"/>
    </row>
    <row r="73" spans="1:21" s="12" customFormat="1" x14ac:dyDescent="0.25">
      <c r="A73" s="213" t="s">
        <v>407</v>
      </c>
      <c r="B73" s="64">
        <v>2.2200000000000002</v>
      </c>
      <c r="C73" s="64">
        <v>61.94</v>
      </c>
      <c r="D73" s="64">
        <v>36.61</v>
      </c>
      <c r="E73" s="64">
        <v>0.13</v>
      </c>
      <c r="F73" s="64">
        <v>4.1399999999999997</v>
      </c>
      <c r="G73" s="64">
        <v>75.849999999999994</v>
      </c>
      <c r="H73" s="64">
        <v>36.46</v>
      </c>
      <c r="I73" s="64">
        <v>1.49</v>
      </c>
      <c r="J73" s="64">
        <v>0.14000000000000001</v>
      </c>
      <c r="K73" s="64">
        <v>205.64</v>
      </c>
      <c r="L73" s="64">
        <v>23.37</v>
      </c>
      <c r="M73" s="64">
        <v>63.53</v>
      </c>
      <c r="N73" s="64">
        <v>156.80000000000001</v>
      </c>
      <c r="O73" s="64">
        <v>0</v>
      </c>
      <c r="P73" s="64">
        <v>0.71</v>
      </c>
      <c r="Q73" s="64">
        <v>7.68</v>
      </c>
      <c r="R73" s="198"/>
      <c r="S73" s="198"/>
      <c r="T73" s="198"/>
      <c r="U73" s="198"/>
    </row>
    <row r="74" spans="1:21" s="12" customFormat="1" x14ac:dyDescent="0.25">
      <c r="A74" s="213" t="s">
        <v>408</v>
      </c>
      <c r="B74" s="64">
        <v>2.27</v>
      </c>
      <c r="C74" s="64">
        <v>61.72</v>
      </c>
      <c r="D74" s="64">
        <v>36.53</v>
      </c>
      <c r="E74" s="64">
        <v>0.23</v>
      </c>
      <c r="F74" s="64">
        <v>4.26</v>
      </c>
      <c r="G74" s="64">
        <v>77.13</v>
      </c>
      <c r="H74" s="64">
        <v>36.33</v>
      </c>
      <c r="I74" s="64">
        <v>1.51</v>
      </c>
      <c r="J74" s="64">
        <v>0.28999999999999998</v>
      </c>
      <c r="K74" s="64">
        <v>176.8</v>
      </c>
      <c r="L74" s="64">
        <v>23.35</v>
      </c>
      <c r="M74" s="64">
        <v>62.83</v>
      </c>
      <c r="N74" s="64">
        <v>139.5</v>
      </c>
      <c r="O74" s="64">
        <v>0</v>
      </c>
      <c r="P74" s="64">
        <v>0.72</v>
      </c>
      <c r="Q74" s="64">
        <v>7.71</v>
      </c>
      <c r="R74" s="198"/>
      <c r="S74" s="198"/>
      <c r="T74" s="198"/>
      <c r="U74" s="198"/>
    </row>
    <row r="75" spans="1:21" s="12" customFormat="1" x14ac:dyDescent="0.25">
      <c r="A75" s="213" t="s">
        <v>409</v>
      </c>
      <c r="B75" s="64">
        <v>2.41</v>
      </c>
      <c r="C75" s="64">
        <v>61.49</v>
      </c>
      <c r="D75" s="64">
        <v>36.520000000000003</v>
      </c>
      <c r="E75" s="64">
        <v>0.18</v>
      </c>
      <c r="F75" s="64">
        <v>3.87</v>
      </c>
      <c r="G75" s="64">
        <v>83.06</v>
      </c>
      <c r="H75" s="64">
        <v>35.93</v>
      </c>
      <c r="I75" s="64">
        <v>1.55</v>
      </c>
      <c r="J75" s="64">
        <v>0.45</v>
      </c>
      <c r="K75" s="64">
        <v>187.34</v>
      </c>
      <c r="L75" s="64">
        <v>23.1</v>
      </c>
      <c r="M75" s="64">
        <v>63.85</v>
      </c>
      <c r="N75" s="64">
        <v>122.9</v>
      </c>
      <c r="O75" s="64">
        <v>0</v>
      </c>
      <c r="P75" s="64">
        <v>0.73</v>
      </c>
      <c r="Q75" s="64">
        <v>7.76</v>
      </c>
      <c r="R75" s="198"/>
      <c r="S75" s="198"/>
      <c r="T75" s="198"/>
      <c r="U75" s="198"/>
    </row>
    <row r="76" spans="1:21" s="12" customFormat="1" x14ac:dyDescent="0.25">
      <c r="A76" s="213" t="s">
        <v>410</v>
      </c>
      <c r="B76" s="64">
        <v>2.48</v>
      </c>
      <c r="C76" s="64">
        <v>61.08</v>
      </c>
      <c r="D76" s="64">
        <v>36.340000000000003</v>
      </c>
      <c r="E76" s="64">
        <v>0.23</v>
      </c>
      <c r="F76" s="64">
        <v>4.1399999999999997</v>
      </c>
      <c r="G76" s="64">
        <v>83.06</v>
      </c>
      <c r="H76" s="64">
        <v>35.93</v>
      </c>
      <c r="I76" s="64">
        <v>1.45</v>
      </c>
      <c r="J76" s="64">
        <v>0.71</v>
      </c>
      <c r="K76" s="64">
        <v>159.55000000000001</v>
      </c>
      <c r="L76" s="64">
        <v>22.81</v>
      </c>
      <c r="M76" s="64">
        <v>65.91</v>
      </c>
      <c r="N76" s="64">
        <v>107.8</v>
      </c>
      <c r="O76" s="64">
        <v>0</v>
      </c>
      <c r="P76" s="64">
        <v>0.72</v>
      </c>
      <c r="Q76" s="64">
        <v>7.77</v>
      </c>
      <c r="R76" s="198"/>
      <c r="S76" s="198"/>
      <c r="T76" s="198"/>
      <c r="U76" s="198"/>
    </row>
    <row r="77" spans="1:21" s="12" customFormat="1" x14ac:dyDescent="0.25">
      <c r="A77" s="213" t="s">
        <v>411</v>
      </c>
      <c r="B77" s="64">
        <v>2.65</v>
      </c>
      <c r="C77" s="64">
        <v>61.11</v>
      </c>
      <c r="D77" s="64">
        <v>36.5</v>
      </c>
      <c r="E77" s="64">
        <v>0.2</v>
      </c>
      <c r="F77" s="64">
        <v>4.03</v>
      </c>
      <c r="G77" s="64">
        <v>83.06</v>
      </c>
      <c r="H77" s="64">
        <v>35.93</v>
      </c>
      <c r="I77" s="64">
        <v>1.51</v>
      </c>
      <c r="J77" s="64">
        <v>0.32</v>
      </c>
      <c r="K77" s="64">
        <v>166.63</v>
      </c>
      <c r="L77" s="64">
        <v>22.44</v>
      </c>
      <c r="M77" s="64">
        <v>66.959999999999994</v>
      </c>
      <c r="N77" s="64">
        <v>90</v>
      </c>
      <c r="O77" s="64">
        <v>0</v>
      </c>
      <c r="P77" s="64">
        <v>0.73</v>
      </c>
      <c r="Q77" s="64">
        <v>7.8</v>
      </c>
      <c r="R77" s="198"/>
      <c r="S77" s="198"/>
      <c r="T77" s="198"/>
      <c r="U77" s="198"/>
    </row>
    <row r="78" spans="1:21" s="12" customFormat="1" x14ac:dyDescent="0.25">
      <c r="A78" s="213" t="s">
        <v>412</v>
      </c>
      <c r="B78" s="64">
        <v>2.92</v>
      </c>
      <c r="C78" s="64">
        <v>60.83</v>
      </c>
      <c r="D78" s="64">
        <v>36.56</v>
      </c>
      <c r="E78" s="64">
        <v>0.1</v>
      </c>
      <c r="F78" s="64">
        <v>3.83</v>
      </c>
      <c r="G78" s="64">
        <v>80.86</v>
      </c>
      <c r="H78" s="64">
        <v>35.4</v>
      </c>
      <c r="I78" s="64">
        <v>1.49</v>
      </c>
      <c r="J78" s="64">
        <v>0.2</v>
      </c>
      <c r="K78" s="64">
        <v>161.62</v>
      </c>
      <c r="L78" s="64">
        <v>22.24</v>
      </c>
      <c r="M78" s="64">
        <v>68.599999999999994</v>
      </c>
      <c r="N78" s="64">
        <v>77</v>
      </c>
      <c r="O78" s="64">
        <v>0</v>
      </c>
      <c r="P78" s="64">
        <v>0.72</v>
      </c>
      <c r="Q78" s="64">
        <v>7.8</v>
      </c>
      <c r="R78" s="198"/>
      <c r="S78" s="198"/>
      <c r="T78" s="198"/>
      <c r="U78" s="198"/>
    </row>
    <row r="79" spans="1:21" s="12" customFormat="1" x14ac:dyDescent="0.25">
      <c r="A79" s="213" t="s">
        <v>413</v>
      </c>
      <c r="B79" s="64">
        <v>3.19</v>
      </c>
      <c r="C79" s="64">
        <v>60.75</v>
      </c>
      <c r="D79" s="64">
        <v>36.729999999999997</v>
      </c>
      <c r="E79" s="64">
        <v>0.18</v>
      </c>
      <c r="F79" s="64">
        <v>3.77</v>
      </c>
      <c r="G79" s="64">
        <v>70.680000000000007</v>
      </c>
      <c r="H79" s="64">
        <v>33.61</v>
      </c>
      <c r="I79" s="64">
        <v>1.55</v>
      </c>
      <c r="J79" s="64">
        <v>0.03</v>
      </c>
      <c r="K79" s="64">
        <v>172.61</v>
      </c>
      <c r="L79" s="64">
        <v>21.88</v>
      </c>
      <c r="M79" s="64">
        <v>71.36</v>
      </c>
      <c r="N79" s="64">
        <v>67.3</v>
      </c>
      <c r="O79" s="64">
        <v>0</v>
      </c>
      <c r="P79" s="64">
        <v>0.73</v>
      </c>
      <c r="Q79" s="64">
        <v>7.75</v>
      </c>
      <c r="R79" s="198"/>
      <c r="S79" s="198"/>
      <c r="T79" s="198"/>
      <c r="U79" s="198"/>
    </row>
    <row r="80" spans="1:21" s="12" customFormat="1" x14ac:dyDescent="0.25">
      <c r="A80" s="213" t="s">
        <v>414</v>
      </c>
      <c r="B80" s="64">
        <v>3.56</v>
      </c>
      <c r="C80" s="64">
        <v>60.95</v>
      </c>
      <c r="D80" s="64">
        <v>37.14</v>
      </c>
      <c r="E80" s="64">
        <v>0.16</v>
      </c>
      <c r="F80" s="64">
        <v>3.59</v>
      </c>
      <c r="G80" s="64">
        <v>70.680000000000007</v>
      </c>
      <c r="H80" s="64">
        <v>33.61</v>
      </c>
      <c r="I80" s="64">
        <v>1.49</v>
      </c>
      <c r="J80" s="64">
        <v>0.05</v>
      </c>
      <c r="K80" s="64">
        <v>12.78</v>
      </c>
      <c r="L80" s="64">
        <v>21.48</v>
      </c>
      <c r="M80" s="64">
        <v>75.27</v>
      </c>
      <c r="N80" s="64">
        <v>62.9</v>
      </c>
      <c r="O80" s="64">
        <v>0</v>
      </c>
      <c r="P80" s="64">
        <v>0.73</v>
      </c>
      <c r="Q80" s="64">
        <v>7.74</v>
      </c>
      <c r="R80" s="198"/>
      <c r="S80" s="198"/>
      <c r="T80" s="198"/>
      <c r="U80" s="198"/>
    </row>
    <row r="81" spans="1:26" s="12" customFormat="1" x14ac:dyDescent="0.25">
      <c r="A81" s="213" t="s">
        <v>415</v>
      </c>
      <c r="B81" s="64">
        <v>4.08</v>
      </c>
      <c r="C81" s="64">
        <v>61.09</v>
      </c>
      <c r="D81" s="64">
        <v>37.630000000000003</v>
      </c>
      <c r="E81" s="64">
        <v>0.18</v>
      </c>
      <c r="F81" s="64">
        <v>3.36</v>
      </c>
      <c r="G81" s="64">
        <v>70.680000000000007</v>
      </c>
      <c r="H81" s="64">
        <v>33.61</v>
      </c>
      <c r="I81" s="64">
        <v>1.53</v>
      </c>
      <c r="J81" s="64">
        <v>0.15</v>
      </c>
      <c r="K81" s="64">
        <v>148.69</v>
      </c>
      <c r="L81" s="64">
        <v>21.11</v>
      </c>
      <c r="M81" s="64">
        <v>76.569999999999993</v>
      </c>
      <c r="N81" s="64">
        <v>61.8</v>
      </c>
      <c r="O81" s="64">
        <v>0</v>
      </c>
      <c r="P81" s="64">
        <v>0.74</v>
      </c>
      <c r="Q81" s="64">
        <v>7.79</v>
      </c>
      <c r="R81" s="198"/>
      <c r="S81" s="198"/>
      <c r="T81" s="198"/>
      <c r="U81" s="198"/>
    </row>
    <row r="82" spans="1:26" s="12" customFormat="1" x14ac:dyDescent="0.25">
      <c r="A82" s="213" t="s">
        <v>416</v>
      </c>
      <c r="B82" s="64">
        <v>4.7300000000000004</v>
      </c>
      <c r="C82" s="64">
        <v>58.05</v>
      </c>
      <c r="D82" s="64">
        <v>36.479999999999997</v>
      </c>
      <c r="E82" s="64">
        <v>0.18</v>
      </c>
      <c r="F82" s="64">
        <v>3.25</v>
      </c>
      <c r="G82" s="64">
        <v>70.349999999999994</v>
      </c>
      <c r="H82" s="64">
        <v>34.06</v>
      </c>
      <c r="I82" s="64">
        <v>1.49</v>
      </c>
      <c r="J82" s="64">
        <v>0.36</v>
      </c>
      <c r="K82" s="64">
        <v>151.78</v>
      </c>
      <c r="L82" s="64">
        <v>20.91</v>
      </c>
      <c r="M82" s="64">
        <v>73.95</v>
      </c>
      <c r="N82" s="64">
        <v>61.5</v>
      </c>
      <c r="O82" s="64">
        <v>0</v>
      </c>
      <c r="P82" s="64">
        <v>0.73</v>
      </c>
      <c r="Q82" s="64">
        <v>7.78</v>
      </c>
      <c r="R82" s="198"/>
      <c r="S82" s="198"/>
      <c r="T82" s="198"/>
      <c r="U82" s="198"/>
    </row>
    <row r="83" spans="1:26" s="12" customFormat="1" x14ac:dyDescent="0.25">
      <c r="A83" s="213" t="s">
        <v>417</v>
      </c>
      <c r="B83" s="64">
        <v>4.9800000000000004</v>
      </c>
      <c r="C83" s="64">
        <v>58.93</v>
      </c>
      <c r="D83" s="64">
        <v>37.159999999999997</v>
      </c>
      <c r="E83" s="64">
        <v>0.15</v>
      </c>
      <c r="F83" s="64">
        <v>3.25</v>
      </c>
      <c r="G83" s="64">
        <v>68.81</v>
      </c>
      <c r="H83" s="64">
        <v>35.61</v>
      </c>
      <c r="I83" s="64">
        <v>1.48</v>
      </c>
      <c r="J83" s="64">
        <v>0.32</v>
      </c>
      <c r="K83" s="64">
        <v>155.71</v>
      </c>
      <c r="L83" s="64">
        <v>20.78</v>
      </c>
      <c r="M83" s="64">
        <v>74.63</v>
      </c>
      <c r="N83" s="64">
        <v>61.3</v>
      </c>
      <c r="O83" s="64">
        <v>0</v>
      </c>
      <c r="P83" s="64">
        <v>0.73</v>
      </c>
      <c r="Q83" s="64">
        <v>7.71</v>
      </c>
      <c r="R83" s="198"/>
      <c r="S83" s="198"/>
      <c r="T83" s="198"/>
      <c r="U83" s="198"/>
    </row>
    <row r="84" spans="1:26" s="12" customFormat="1" x14ac:dyDescent="0.25">
      <c r="A84" s="213" t="s">
        <v>418</v>
      </c>
      <c r="B84" s="64">
        <v>5.21</v>
      </c>
      <c r="C84" s="64">
        <v>59.55</v>
      </c>
      <c r="D84" s="64">
        <v>37.69</v>
      </c>
      <c r="E84" s="64">
        <v>0.1</v>
      </c>
      <c r="F84" s="64">
        <v>3</v>
      </c>
      <c r="G84" s="64">
        <v>68.81</v>
      </c>
      <c r="H84" s="64">
        <v>35.61</v>
      </c>
      <c r="I84" s="64">
        <v>1.61</v>
      </c>
      <c r="J84" s="64">
        <v>0.08</v>
      </c>
      <c r="K84" s="64">
        <v>238.29</v>
      </c>
      <c r="L84" s="64">
        <v>20.6</v>
      </c>
      <c r="M84" s="64">
        <v>76.099999999999994</v>
      </c>
      <c r="N84" s="64">
        <v>61.5</v>
      </c>
      <c r="O84" s="64">
        <v>0</v>
      </c>
      <c r="P84" s="64">
        <v>0.73</v>
      </c>
      <c r="Q84" s="64">
        <v>7.67</v>
      </c>
      <c r="R84" s="198"/>
      <c r="S84" s="198"/>
      <c r="T84" s="198"/>
      <c r="U84" s="198"/>
    </row>
    <row r="85" spans="1:26" s="12" customFormat="1" x14ac:dyDescent="0.25">
      <c r="A85" s="213" t="s">
        <v>419</v>
      </c>
      <c r="B85" s="64">
        <v>5.95</v>
      </c>
      <c r="C85" s="64">
        <v>59.85</v>
      </c>
      <c r="D85" s="64">
        <v>38.450000000000003</v>
      </c>
      <c r="E85" s="64">
        <v>0.12</v>
      </c>
      <c r="F85" s="64">
        <v>3.23</v>
      </c>
      <c r="G85" s="64">
        <v>68.81</v>
      </c>
      <c r="H85" s="64">
        <v>35.61</v>
      </c>
      <c r="I85" s="64">
        <v>1.44</v>
      </c>
      <c r="J85" s="64">
        <v>0.08</v>
      </c>
      <c r="K85" s="64">
        <v>202.33</v>
      </c>
      <c r="L85" s="64">
        <v>20.41</v>
      </c>
      <c r="M85" s="64">
        <v>77.489999999999995</v>
      </c>
      <c r="N85" s="64">
        <v>61.3</v>
      </c>
      <c r="O85" s="64">
        <v>0</v>
      </c>
      <c r="P85" s="64">
        <v>0.68</v>
      </c>
      <c r="Q85" s="64">
        <v>7.7</v>
      </c>
      <c r="R85" s="198"/>
      <c r="S85" s="198"/>
      <c r="T85" s="198"/>
      <c r="U85" s="198"/>
    </row>
    <row r="86" spans="1:26" s="12" customFormat="1" x14ac:dyDescent="0.25">
      <c r="A86" s="213" t="s">
        <v>420</v>
      </c>
      <c r="B86" s="64">
        <v>7.85</v>
      </c>
      <c r="C86" s="64">
        <v>59.13</v>
      </c>
      <c r="D86" s="64">
        <v>39.57</v>
      </c>
      <c r="E86" s="64">
        <v>0.12</v>
      </c>
      <c r="F86" s="64">
        <v>3.16</v>
      </c>
      <c r="G86" s="64">
        <v>69.040000000000006</v>
      </c>
      <c r="H86" s="64">
        <v>34.96</v>
      </c>
      <c r="I86" s="64">
        <v>1.48</v>
      </c>
      <c r="J86" s="64">
        <v>0.11</v>
      </c>
      <c r="K86" s="64">
        <v>262.54000000000002</v>
      </c>
      <c r="L86" s="64">
        <v>20.02</v>
      </c>
      <c r="M86" s="64">
        <v>80.61</v>
      </c>
      <c r="N86" s="64">
        <v>61.7</v>
      </c>
      <c r="O86" s="64">
        <v>0</v>
      </c>
      <c r="P86" s="64">
        <v>0.76</v>
      </c>
      <c r="Q86" s="64">
        <v>7.76</v>
      </c>
      <c r="R86" s="198"/>
      <c r="S86" s="198"/>
      <c r="T86" s="198"/>
      <c r="U86" s="198"/>
    </row>
    <row r="87" spans="1:26" s="12" customFormat="1" x14ac:dyDescent="0.25">
      <c r="A87" s="213" t="s">
        <v>421</v>
      </c>
      <c r="B87" s="64">
        <v>10.49</v>
      </c>
      <c r="C87" s="64">
        <v>58.63</v>
      </c>
      <c r="D87" s="64">
        <v>41.41</v>
      </c>
      <c r="E87" s="64">
        <v>0.22</v>
      </c>
      <c r="F87" s="64">
        <v>3.42</v>
      </c>
      <c r="G87" s="64">
        <v>70.11</v>
      </c>
      <c r="H87" s="64">
        <v>31.97</v>
      </c>
      <c r="I87" s="64">
        <v>1.5</v>
      </c>
      <c r="J87" s="64">
        <v>0.12</v>
      </c>
      <c r="K87" s="64">
        <v>277.19</v>
      </c>
      <c r="L87" s="64">
        <v>19.54</v>
      </c>
      <c r="M87" s="64">
        <v>84.03</v>
      </c>
      <c r="N87" s="64">
        <v>61.7</v>
      </c>
      <c r="O87" s="64">
        <v>0</v>
      </c>
      <c r="P87" s="64">
        <v>0.78</v>
      </c>
      <c r="Q87" s="64">
        <v>7.9</v>
      </c>
      <c r="R87" s="198"/>
      <c r="S87" s="198"/>
      <c r="T87" s="198"/>
      <c r="U87" s="198"/>
    </row>
    <row r="88" spans="1:26" s="12" customFormat="1" x14ac:dyDescent="0.25">
      <c r="A88" s="213" t="s">
        <v>422</v>
      </c>
      <c r="B88" s="64">
        <v>12.59</v>
      </c>
      <c r="C88" s="64">
        <v>56.87</v>
      </c>
      <c r="D88" s="64">
        <v>42.13</v>
      </c>
      <c r="E88" s="64">
        <v>0.06</v>
      </c>
      <c r="F88" s="64">
        <v>3.35</v>
      </c>
      <c r="G88" s="64">
        <v>70.11</v>
      </c>
      <c r="H88" s="64">
        <v>31.97</v>
      </c>
      <c r="I88" s="64">
        <v>1.62</v>
      </c>
      <c r="J88" s="64">
        <v>0.06</v>
      </c>
      <c r="K88" s="64">
        <v>238.81</v>
      </c>
      <c r="L88" s="64">
        <v>19.079999999999998</v>
      </c>
      <c r="M88" s="64">
        <v>87.53</v>
      </c>
      <c r="N88" s="64">
        <v>62</v>
      </c>
      <c r="O88" s="64">
        <v>0</v>
      </c>
      <c r="P88" s="64">
        <v>0.8</v>
      </c>
      <c r="Q88" s="64">
        <v>7.92</v>
      </c>
      <c r="R88" s="198"/>
      <c r="S88" s="198"/>
      <c r="T88" s="198"/>
      <c r="U88" s="198"/>
    </row>
    <row r="89" spans="1:26" s="12" customFormat="1" x14ac:dyDescent="0.25">
      <c r="A89" s="213" t="s">
        <v>423</v>
      </c>
      <c r="B89" s="64">
        <v>15.77</v>
      </c>
      <c r="C89" s="64">
        <v>55.13</v>
      </c>
      <c r="D89" s="64">
        <v>43.72</v>
      </c>
      <c r="E89" s="64">
        <v>0.18</v>
      </c>
      <c r="F89" s="64">
        <v>3.19</v>
      </c>
      <c r="G89" s="64">
        <v>70.11</v>
      </c>
      <c r="H89" s="64">
        <v>31.97</v>
      </c>
      <c r="I89" s="64">
        <v>1.48</v>
      </c>
      <c r="J89" s="64">
        <v>0.14000000000000001</v>
      </c>
      <c r="K89" s="64">
        <v>235.8</v>
      </c>
      <c r="L89" s="64">
        <v>19.03</v>
      </c>
      <c r="M89" s="64">
        <v>88.1</v>
      </c>
      <c r="N89" s="64">
        <v>61.2</v>
      </c>
      <c r="O89" s="64">
        <v>0</v>
      </c>
      <c r="P89" s="64">
        <v>0.81</v>
      </c>
      <c r="Q89" s="64">
        <v>8</v>
      </c>
      <c r="R89" s="198"/>
      <c r="S89" s="198"/>
      <c r="T89" s="198"/>
      <c r="U89" s="198"/>
    </row>
    <row r="90" spans="1:26" s="12" customFormat="1" x14ac:dyDescent="0.25">
      <c r="A90" s="213" t="s">
        <v>424</v>
      </c>
      <c r="B90" s="64">
        <v>19.05</v>
      </c>
      <c r="C90" s="64">
        <v>53.82</v>
      </c>
      <c r="D90" s="64">
        <v>45.63</v>
      </c>
      <c r="E90" s="64">
        <v>0.06</v>
      </c>
      <c r="F90" s="64">
        <v>3.37</v>
      </c>
      <c r="G90" s="64">
        <v>71.11</v>
      </c>
      <c r="H90" s="64">
        <v>31.94</v>
      </c>
      <c r="I90" s="64">
        <v>1.49</v>
      </c>
      <c r="J90" s="64">
        <v>0.13</v>
      </c>
      <c r="K90" s="64">
        <v>299.83999999999997</v>
      </c>
      <c r="L90" s="64">
        <v>18.91</v>
      </c>
      <c r="M90" s="64">
        <v>89.13</v>
      </c>
      <c r="N90" s="64">
        <v>61.7</v>
      </c>
      <c r="O90" s="64">
        <v>0</v>
      </c>
      <c r="P90" s="64">
        <v>0.85</v>
      </c>
      <c r="Q90" s="64">
        <v>8.18</v>
      </c>
      <c r="R90" s="198"/>
      <c r="S90" s="198"/>
      <c r="T90" s="198"/>
      <c r="U90" s="198"/>
    </row>
    <row r="91" spans="1:26" s="12" customFormat="1" x14ac:dyDescent="0.25">
      <c r="A91" s="213" t="s">
        <v>425</v>
      </c>
      <c r="B91" s="64">
        <v>24.49</v>
      </c>
      <c r="C91" s="64">
        <v>53.15</v>
      </c>
      <c r="D91" s="64">
        <v>49.62</v>
      </c>
      <c r="E91" s="64">
        <v>0.16</v>
      </c>
      <c r="F91" s="64">
        <v>2.96</v>
      </c>
      <c r="G91" s="64">
        <v>75.72</v>
      </c>
      <c r="H91" s="64">
        <v>31.88</v>
      </c>
      <c r="I91" s="64">
        <v>1.49</v>
      </c>
      <c r="J91" s="64">
        <v>0.17</v>
      </c>
      <c r="K91" s="64">
        <v>333.43</v>
      </c>
      <c r="L91" s="64">
        <v>18.71</v>
      </c>
      <c r="M91" s="64">
        <v>92.69</v>
      </c>
      <c r="N91" s="64">
        <v>61.7</v>
      </c>
      <c r="O91" s="64">
        <v>0</v>
      </c>
      <c r="P91" s="64">
        <v>0.92</v>
      </c>
      <c r="Q91" s="64">
        <v>8.42</v>
      </c>
      <c r="R91" s="198"/>
      <c r="S91" s="198"/>
      <c r="T91" s="198"/>
      <c r="U91" s="198"/>
    </row>
    <row r="92" spans="1:26" s="12" customFormat="1" x14ac:dyDescent="0.25">
      <c r="A92" s="213" t="s">
        <v>426</v>
      </c>
      <c r="B92" s="64">
        <v>31.82</v>
      </c>
      <c r="C92" s="64">
        <v>50.7</v>
      </c>
      <c r="D92" s="64">
        <v>54.14</v>
      </c>
      <c r="E92" s="64">
        <v>0.11</v>
      </c>
      <c r="F92" s="64">
        <v>2.94</v>
      </c>
      <c r="G92" s="64">
        <v>75.72</v>
      </c>
      <c r="H92" s="64">
        <v>31.88</v>
      </c>
      <c r="I92" s="64">
        <v>1.51</v>
      </c>
      <c r="J92" s="64">
        <v>0.04</v>
      </c>
      <c r="K92" s="64">
        <v>347.17</v>
      </c>
      <c r="L92" s="64">
        <v>18.22</v>
      </c>
      <c r="M92" s="64">
        <v>94.25</v>
      </c>
      <c r="N92" s="64">
        <v>61.6</v>
      </c>
      <c r="O92" s="64">
        <v>0</v>
      </c>
      <c r="P92" s="64">
        <v>1.02</v>
      </c>
      <c r="Q92" s="64">
        <v>8.74</v>
      </c>
      <c r="R92" s="198"/>
      <c r="S92" s="198"/>
      <c r="T92" s="198"/>
      <c r="U92" s="198"/>
    </row>
    <row r="93" spans="1:26" s="12" customFormat="1" x14ac:dyDescent="0.25">
      <c r="A93" s="213" t="s">
        <v>427</v>
      </c>
      <c r="B93" s="64">
        <v>37.17</v>
      </c>
      <c r="C93" s="64">
        <v>50.44</v>
      </c>
      <c r="D93" s="64">
        <v>58.29</v>
      </c>
      <c r="E93" s="64">
        <v>0.15</v>
      </c>
      <c r="F93" s="64">
        <v>3.01</v>
      </c>
      <c r="G93" s="64">
        <v>75.72</v>
      </c>
      <c r="H93" s="64">
        <v>31.88</v>
      </c>
      <c r="I93" s="64">
        <v>1.47</v>
      </c>
      <c r="J93" s="64">
        <v>0.06</v>
      </c>
      <c r="K93" s="64">
        <v>219.1</v>
      </c>
      <c r="L93" s="64">
        <v>18</v>
      </c>
      <c r="M93" s="64">
        <v>96.5</v>
      </c>
      <c r="N93" s="64">
        <v>61.2</v>
      </c>
      <c r="O93" s="64">
        <v>0</v>
      </c>
      <c r="P93" s="64">
        <v>1.0900000000000001</v>
      </c>
      <c r="Q93" s="64">
        <v>9.1199999999999992</v>
      </c>
      <c r="R93" s="198"/>
      <c r="S93" s="198"/>
      <c r="T93" s="198"/>
      <c r="U93" s="198"/>
    </row>
    <row r="94" spans="1:26" s="12" customFormat="1" x14ac:dyDescent="0.25">
      <c r="A94" s="213" t="s">
        <v>428</v>
      </c>
      <c r="B94" s="64">
        <v>40.840000000000003</v>
      </c>
      <c r="C94" s="64">
        <v>49.35</v>
      </c>
      <c r="D94" s="64">
        <v>60.63</v>
      </c>
      <c r="E94" s="64">
        <v>0.11</v>
      </c>
      <c r="F94" s="64">
        <v>3.02</v>
      </c>
      <c r="G94" s="64">
        <v>76.92</v>
      </c>
      <c r="H94" s="64">
        <v>32.11</v>
      </c>
      <c r="I94" s="64">
        <v>1.48</v>
      </c>
      <c r="J94" s="64">
        <v>0.11</v>
      </c>
      <c r="K94" s="64">
        <v>190.6</v>
      </c>
      <c r="L94" s="64">
        <v>18.27</v>
      </c>
      <c r="M94" s="64">
        <v>94.67</v>
      </c>
      <c r="N94" s="64">
        <v>60.7</v>
      </c>
      <c r="O94" s="64">
        <v>0</v>
      </c>
      <c r="P94" s="64">
        <v>1.1299999999999999</v>
      </c>
      <c r="Q94" s="64">
        <v>9.3800000000000008</v>
      </c>
      <c r="R94" s="198"/>
      <c r="S94" s="198"/>
      <c r="T94" s="198"/>
      <c r="U94" s="198"/>
    </row>
    <row r="95" spans="1:26" s="12" customFormat="1" x14ac:dyDescent="0.25">
      <c r="A95" s="213" t="s">
        <v>429</v>
      </c>
      <c r="B95" s="64">
        <v>42.05</v>
      </c>
      <c r="C95" s="64">
        <v>50.08</v>
      </c>
      <c r="D95" s="64">
        <v>62</v>
      </c>
      <c r="E95" s="64">
        <v>0.19</v>
      </c>
      <c r="F95" s="64">
        <v>3.04</v>
      </c>
      <c r="G95" s="64">
        <v>82.49</v>
      </c>
      <c r="H95" s="64">
        <v>32.86</v>
      </c>
      <c r="I95" s="64">
        <v>1.5</v>
      </c>
      <c r="J95" s="64">
        <v>0.08</v>
      </c>
      <c r="K95" s="64">
        <v>298.8</v>
      </c>
      <c r="L95" s="64">
        <v>18.510000000000002</v>
      </c>
      <c r="M95" s="64">
        <v>92.44</v>
      </c>
      <c r="N95" s="64">
        <v>61.1</v>
      </c>
      <c r="O95" s="64">
        <v>0</v>
      </c>
      <c r="P95" s="64">
        <v>1.1299999999999999</v>
      </c>
      <c r="Q95" s="64">
        <v>9.58</v>
      </c>
      <c r="R95" s="198"/>
      <c r="S95" s="198"/>
      <c r="T95" s="198"/>
      <c r="U95" s="198"/>
    </row>
    <row r="96" spans="1:26" s="12" customFormat="1" x14ac:dyDescent="0.25">
      <c r="A96" s="213" t="s">
        <v>430</v>
      </c>
      <c r="B96" s="64">
        <v>41.16</v>
      </c>
      <c r="C96" s="64">
        <v>51.37</v>
      </c>
      <c r="D96" s="64">
        <v>62.01</v>
      </c>
      <c r="E96" s="64">
        <v>0.18</v>
      </c>
      <c r="F96" s="64">
        <v>2.99</v>
      </c>
      <c r="G96" s="64">
        <v>82.49</v>
      </c>
      <c r="H96" s="64">
        <v>32.86</v>
      </c>
      <c r="I96" s="64">
        <v>1.52</v>
      </c>
      <c r="J96" s="64">
        <v>0.11</v>
      </c>
      <c r="K96" s="64">
        <v>297.68</v>
      </c>
      <c r="L96" s="64">
        <v>18.5</v>
      </c>
      <c r="M96" s="64">
        <v>92.22</v>
      </c>
      <c r="N96" s="64">
        <v>61.2</v>
      </c>
      <c r="O96" s="64">
        <v>0</v>
      </c>
      <c r="P96" s="64">
        <v>1.1299999999999999</v>
      </c>
      <c r="Q96" s="64">
        <v>9.6999999999999993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431</v>
      </c>
      <c r="B97" s="64">
        <v>39.82</v>
      </c>
      <c r="C97" s="64">
        <v>53.94</v>
      </c>
      <c r="D97" s="64">
        <v>62.35</v>
      </c>
      <c r="E97" s="64">
        <v>0.21</v>
      </c>
      <c r="F97" s="64">
        <v>3</v>
      </c>
      <c r="G97" s="64">
        <v>82.49</v>
      </c>
      <c r="H97" s="64">
        <v>32.86</v>
      </c>
      <c r="I97" s="64">
        <v>1.52</v>
      </c>
      <c r="J97" s="64">
        <v>0.09</v>
      </c>
      <c r="K97" s="64">
        <v>341.07</v>
      </c>
      <c r="L97" s="64">
        <v>18.25</v>
      </c>
      <c r="M97" s="64">
        <v>93.57</v>
      </c>
      <c r="N97" s="64">
        <v>61.2</v>
      </c>
      <c r="O97" s="64">
        <v>0</v>
      </c>
      <c r="P97" s="64">
        <v>1.1100000000000001</v>
      </c>
      <c r="Q97" s="64">
        <v>9.81</v>
      </c>
      <c r="R97" s="198"/>
      <c r="S97" s="198"/>
      <c r="T97" s="198"/>
      <c r="U97" s="198"/>
    </row>
    <row r="98" spans="1:33" s="12" customFormat="1" x14ac:dyDescent="0.25">
      <c r="A98" s="213" t="s">
        <v>432</v>
      </c>
      <c r="B98" s="64">
        <v>38.24</v>
      </c>
      <c r="C98" s="64">
        <v>54.85</v>
      </c>
      <c r="D98" s="64">
        <v>61.59</v>
      </c>
      <c r="E98" s="64">
        <v>0.16</v>
      </c>
      <c r="F98" s="64">
        <v>3.24</v>
      </c>
      <c r="G98" s="64">
        <v>80.38</v>
      </c>
      <c r="H98" s="64">
        <v>32.24</v>
      </c>
      <c r="I98" s="64">
        <v>1.54</v>
      </c>
      <c r="J98" s="64">
        <v>0.08</v>
      </c>
      <c r="K98" s="64">
        <v>273.13</v>
      </c>
      <c r="L98" s="64">
        <v>18.04</v>
      </c>
      <c r="M98" s="64">
        <v>94.74</v>
      </c>
      <c r="N98" s="64">
        <v>61.3</v>
      </c>
      <c r="O98" s="64">
        <v>0</v>
      </c>
      <c r="P98" s="64">
        <v>1.08</v>
      </c>
      <c r="Q98" s="64">
        <v>9.81</v>
      </c>
      <c r="R98" s="198"/>
      <c r="S98" s="198"/>
      <c r="T98" s="198"/>
      <c r="U98" s="198"/>
    </row>
    <row r="99" spans="1:33" s="12" customFormat="1" x14ac:dyDescent="0.25">
      <c r="A99" s="213" t="s">
        <v>433</v>
      </c>
      <c r="B99" s="64">
        <v>37</v>
      </c>
      <c r="C99" s="64">
        <v>55.34</v>
      </c>
      <c r="D99" s="64">
        <v>60.86</v>
      </c>
      <c r="E99" s="64">
        <v>0.23</v>
      </c>
      <c r="F99" s="64">
        <v>3.25</v>
      </c>
      <c r="G99" s="64">
        <v>70.59</v>
      </c>
      <c r="H99" s="64">
        <v>30.12</v>
      </c>
      <c r="I99" s="64">
        <v>1.53</v>
      </c>
      <c r="J99" s="64">
        <v>0.03</v>
      </c>
      <c r="K99" s="64">
        <v>254.83</v>
      </c>
      <c r="L99" s="64">
        <v>17.989999999999998</v>
      </c>
      <c r="M99" s="64">
        <v>95.56</v>
      </c>
      <c r="N99" s="64">
        <v>61.2</v>
      </c>
      <c r="O99" s="64">
        <v>0</v>
      </c>
      <c r="P99" s="64">
        <v>1.07</v>
      </c>
      <c r="Q99" s="64">
        <v>9.8000000000000007</v>
      </c>
      <c r="R99" s="198"/>
      <c r="S99" s="198"/>
      <c r="T99" s="198"/>
      <c r="U99" s="198"/>
    </row>
    <row r="100" spans="1:33" s="12" customFormat="1" x14ac:dyDescent="0.25">
      <c r="A100" s="213" t="s">
        <v>434</v>
      </c>
      <c r="B100" s="64">
        <v>36</v>
      </c>
      <c r="C100" s="64">
        <v>55.44</v>
      </c>
      <c r="D100" s="64">
        <v>60.11</v>
      </c>
      <c r="E100" s="64">
        <v>0.21</v>
      </c>
      <c r="F100" s="64">
        <v>3.32</v>
      </c>
      <c r="G100" s="64">
        <v>70.59</v>
      </c>
      <c r="H100" s="64">
        <v>30.12</v>
      </c>
      <c r="I100" s="64">
        <v>1.47</v>
      </c>
      <c r="J100" s="64">
        <v>0.51</v>
      </c>
      <c r="K100" s="64">
        <v>348.34</v>
      </c>
      <c r="L100" s="64">
        <v>18.07</v>
      </c>
      <c r="M100" s="64">
        <v>95.43</v>
      </c>
      <c r="N100" s="64">
        <v>60.4</v>
      </c>
      <c r="O100" s="64">
        <v>0</v>
      </c>
      <c r="P100" s="64">
        <v>1.06</v>
      </c>
      <c r="Q100" s="64">
        <v>9.75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435</v>
      </c>
      <c r="B101" s="64">
        <v>35.5</v>
      </c>
      <c r="C101" s="64">
        <v>55.94</v>
      </c>
      <c r="D101" s="64">
        <v>59.99</v>
      </c>
      <c r="E101" s="64">
        <v>0.19</v>
      </c>
      <c r="F101" s="64">
        <v>3.32</v>
      </c>
      <c r="G101" s="64">
        <v>70.59</v>
      </c>
      <c r="H101" s="64">
        <v>30.12</v>
      </c>
      <c r="I101" s="64">
        <v>1.48</v>
      </c>
      <c r="J101" s="64">
        <v>0.62</v>
      </c>
      <c r="K101" s="64">
        <v>350.71</v>
      </c>
      <c r="L101" s="64">
        <v>18.34</v>
      </c>
      <c r="M101" s="64">
        <v>92.22</v>
      </c>
      <c r="N101" s="64">
        <v>60.6</v>
      </c>
      <c r="O101" s="64">
        <v>0</v>
      </c>
      <c r="P101" s="64">
        <v>1.04</v>
      </c>
      <c r="Q101" s="64">
        <v>9.75</v>
      </c>
      <c r="R101" s="198"/>
      <c r="S101" s="198"/>
      <c r="T101" s="198"/>
      <c r="U101" s="198"/>
    </row>
    <row r="102" spans="1:33" s="12" customFormat="1" x14ac:dyDescent="0.25">
      <c r="A102" s="213" t="s">
        <v>436</v>
      </c>
      <c r="B102" s="64">
        <v>34.75</v>
      </c>
      <c r="C102" s="64">
        <v>56.07</v>
      </c>
      <c r="D102" s="64">
        <v>59.45</v>
      </c>
      <c r="E102" s="64">
        <v>0.19</v>
      </c>
      <c r="F102" s="64">
        <v>3.02</v>
      </c>
      <c r="G102" s="64">
        <v>70.069999999999993</v>
      </c>
      <c r="H102" s="64">
        <v>30.13</v>
      </c>
      <c r="I102" s="64">
        <v>1.52</v>
      </c>
      <c r="J102" s="64">
        <v>0.62</v>
      </c>
      <c r="K102" s="64">
        <v>328.87</v>
      </c>
      <c r="L102" s="64">
        <v>18.329999999999998</v>
      </c>
      <c r="M102" s="64">
        <v>91.24</v>
      </c>
      <c r="N102" s="64">
        <v>60.9</v>
      </c>
      <c r="O102" s="64">
        <v>0</v>
      </c>
      <c r="P102" s="64">
        <v>1.03</v>
      </c>
      <c r="Q102" s="64">
        <v>9.8000000000000007</v>
      </c>
      <c r="R102" s="198"/>
      <c r="S102" s="198"/>
      <c r="T102" s="198"/>
      <c r="U102" s="198"/>
    </row>
    <row r="103" spans="1:33" s="12" customFormat="1" x14ac:dyDescent="0.25">
      <c r="A103" s="213" t="s">
        <v>437</v>
      </c>
      <c r="B103" s="64">
        <v>34.47</v>
      </c>
      <c r="C103" s="64">
        <v>56.46</v>
      </c>
      <c r="D103" s="64">
        <v>59.45</v>
      </c>
      <c r="E103" s="64">
        <v>0.2</v>
      </c>
      <c r="F103" s="64">
        <v>3.1</v>
      </c>
      <c r="G103" s="64">
        <v>67.64</v>
      </c>
      <c r="H103" s="64">
        <v>30.18</v>
      </c>
      <c r="I103" s="64">
        <v>1.51</v>
      </c>
      <c r="J103" s="64">
        <v>0.28000000000000003</v>
      </c>
      <c r="K103" s="64">
        <v>335.68</v>
      </c>
      <c r="L103" s="64">
        <v>18.239999999999998</v>
      </c>
      <c r="M103" s="64">
        <v>89.57</v>
      </c>
      <c r="N103" s="64">
        <v>61.6</v>
      </c>
      <c r="O103" s="64">
        <v>0</v>
      </c>
      <c r="P103" s="64">
        <v>1.03</v>
      </c>
      <c r="Q103" s="64">
        <v>9.76</v>
      </c>
      <c r="R103" s="198"/>
      <c r="S103" s="198"/>
      <c r="T103" s="198"/>
      <c r="U103" s="198"/>
    </row>
    <row r="104" spans="1:33" s="12" customFormat="1" x14ac:dyDescent="0.25">
      <c r="A104" s="213" t="s">
        <v>438</v>
      </c>
      <c r="B104" s="64">
        <v>34.36</v>
      </c>
      <c r="C104" s="64">
        <v>56.14</v>
      </c>
      <c r="D104" s="64">
        <v>59.18</v>
      </c>
      <c r="E104" s="64">
        <v>0.22</v>
      </c>
      <c r="F104" s="64">
        <v>3.1</v>
      </c>
      <c r="G104" s="64">
        <v>67.64</v>
      </c>
      <c r="H104" s="64">
        <v>30.18</v>
      </c>
      <c r="I104" s="64">
        <v>1.48</v>
      </c>
      <c r="J104" s="64">
        <v>7.0000000000000007E-2</v>
      </c>
      <c r="K104" s="64">
        <v>271.38</v>
      </c>
      <c r="L104" s="64">
        <v>18.190000000000001</v>
      </c>
      <c r="M104" s="64">
        <v>89.66</v>
      </c>
      <c r="N104" s="64">
        <v>61.9</v>
      </c>
      <c r="O104" s="64">
        <v>0</v>
      </c>
      <c r="P104" s="64">
        <v>1.02</v>
      </c>
      <c r="Q104" s="64">
        <v>9.74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2.2000000000000002</v>
      </c>
      <c r="C106" s="67">
        <f>MIN(C9:C104)</f>
        <v>49.35</v>
      </c>
      <c r="D106" s="67">
        <f t="shared" ref="D106:Q106" si="0">MIN(D9:D104)</f>
        <v>36.340000000000003</v>
      </c>
      <c r="E106" s="67">
        <f t="shared" si="0"/>
        <v>0.06</v>
      </c>
      <c r="F106" s="67">
        <f t="shared" si="0"/>
        <v>2.78</v>
      </c>
      <c r="G106" s="67">
        <f t="shared" si="0"/>
        <v>67.64</v>
      </c>
      <c r="H106" s="67">
        <f t="shared" si="0"/>
        <v>30.12</v>
      </c>
      <c r="I106" s="67">
        <f t="shared" si="0"/>
        <v>1.39</v>
      </c>
      <c r="J106" s="67">
        <f t="shared" si="0"/>
        <v>0.01</v>
      </c>
      <c r="K106" s="67">
        <f t="shared" si="0"/>
        <v>7.05</v>
      </c>
      <c r="L106" s="67">
        <f t="shared" si="0"/>
        <v>17.18</v>
      </c>
      <c r="M106" s="67">
        <f t="shared" si="0"/>
        <v>38.67</v>
      </c>
      <c r="N106" s="67">
        <f t="shared" si="0"/>
        <v>58</v>
      </c>
      <c r="O106" s="67">
        <f t="shared" si="0"/>
        <v>0</v>
      </c>
      <c r="P106" s="67">
        <f t="shared" si="0"/>
        <v>0.68</v>
      </c>
      <c r="Q106" s="67">
        <f t="shared" si="0"/>
        <v>7.59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93.28</v>
      </c>
      <c r="C107" s="66">
        <f t="shared" ref="C107:Q107" si="1">MAX(C9:C104)</f>
        <v>75.760000000000005</v>
      </c>
      <c r="D107" s="66">
        <f t="shared" si="1"/>
        <v>107.15</v>
      </c>
      <c r="E107" s="66">
        <f t="shared" si="1"/>
        <v>0.41</v>
      </c>
      <c r="F107" s="66">
        <f t="shared" si="1"/>
        <v>4.9800000000000004</v>
      </c>
      <c r="G107" s="66">
        <f t="shared" si="1"/>
        <v>143.62</v>
      </c>
      <c r="H107" s="66">
        <f t="shared" si="1"/>
        <v>51.49</v>
      </c>
      <c r="I107" s="66">
        <f t="shared" si="1"/>
        <v>1.62</v>
      </c>
      <c r="J107" s="66">
        <f t="shared" si="1"/>
        <v>1.43</v>
      </c>
      <c r="K107" s="66">
        <f t="shared" si="1"/>
        <v>354.88</v>
      </c>
      <c r="L107" s="66">
        <f t="shared" si="1"/>
        <v>29.3</v>
      </c>
      <c r="M107" s="66">
        <f t="shared" si="1"/>
        <v>97.87</v>
      </c>
      <c r="N107" s="66">
        <f t="shared" si="1"/>
        <v>667.1</v>
      </c>
      <c r="O107" s="66">
        <f t="shared" si="1"/>
        <v>0</v>
      </c>
      <c r="P107" s="66">
        <f t="shared" si="1"/>
        <v>1.91</v>
      </c>
      <c r="Q107" s="66">
        <f t="shared" si="1"/>
        <v>13.59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33.729062499999998</v>
      </c>
      <c r="C108" s="67">
        <f t="shared" ref="C108:Q108" si="2">AVERAGE(C9:C104)</f>
        <v>58.412083333333328</v>
      </c>
      <c r="D108" s="67">
        <f t="shared" si="2"/>
        <v>59.930729166666652</v>
      </c>
      <c r="E108" s="67">
        <f t="shared" si="2"/>
        <v>0.23052083333333331</v>
      </c>
      <c r="F108" s="67">
        <f t="shared" si="2"/>
        <v>3.4144791666666676</v>
      </c>
      <c r="G108" s="67">
        <f t="shared" si="2"/>
        <v>89.625833333333347</v>
      </c>
      <c r="H108" s="67">
        <f t="shared" si="2"/>
        <v>37.761458333333337</v>
      </c>
      <c r="I108" s="67">
        <f t="shared" si="2"/>
        <v>1.5013541666666663</v>
      </c>
      <c r="J108" s="67">
        <f t="shared" si="2"/>
        <v>0.35374999999999979</v>
      </c>
      <c r="K108" s="67">
        <f t="shared" si="2"/>
        <v>224.47312499999998</v>
      </c>
      <c r="L108" s="67">
        <f t="shared" si="2"/>
        <v>20.848645833333329</v>
      </c>
      <c r="M108" s="67">
        <f t="shared" si="2"/>
        <v>76.261250000000032</v>
      </c>
      <c r="N108" s="67">
        <f t="shared" si="2"/>
        <v>176.9291666666667</v>
      </c>
      <c r="O108" s="67">
        <f t="shared" si="2"/>
        <v>0</v>
      </c>
      <c r="P108" s="67">
        <f t="shared" si="2"/>
        <v>1.0140625000000003</v>
      </c>
      <c r="Q108" s="67">
        <f t="shared" si="2"/>
        <v>9.6309374999999964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24.932802028784881</v>
      </c>
      <c r="C109" s="67">
        <f t="shared" ref="C109:Q109" si="3">STDEV(C9:C104)</f>
        <v>6.8322707817451782</v>
      </c>
      <c r="D109" s="67">
        <f t="shared" si="3"/>
        <v>18.003682210784877</v>
      </c>
      <c r="E109" s="67">
        <f t="shared" si="3"/>
        <v>6.9439406249988164E-2</v>
      </c>
      <c r="F109" s="67">
        <f t="shared" si="3"/>
        <v>0.51017617141257032</v>
      </c>
      <c r="G109" s="67">
        <f t="shared" si="3"/>
        <v>21.589023266790807</v>
      </c>
      <c r="H109" s="67">
        <f t="shared" si="3"/>
        <v>5.3251146721859559</v>
      </c>
      <c r="I109" s="67">
        <f t="shared" si="3"/>
        <v>4.1488610781290396E-2</v>
      </c>
      <c r="J109" s="67">
        <f t="shared" si="3"/>
        <v>0.31508812468226971</v>
      </c>
      <c r="K109" s="67">
        <f t="shared" si="3"/>
        <v>104.90691029682606</v>
      </c>
      <c r="L109" s="67">
        <f t="shared" si="3"/>
        <v>3.5554555914424504</v>
      </c>
      <c r="M109" s="67">
        <f t="shared" si="3"/>
        <v>18.158378622843017</v>
      </c>
      <c r="N109" s="67">
        <f t="shared" si="3"/>
        <v>180.83997224453313</v>
      </c>
      <c r="O109" s="67">
        <f t="shared" si="3"/>
        <v>0</v>
      </c>
      <c r="P109" s="67">
        <f t="shared" si="3"/>
        <v>0.2561191257578132</v>
      </c>
      <c r="Q109" s="67">
        <f t="shared" si="3"/>
        <v>1.6202170602633901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1" sqref="P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439</v>
      </c>
      <c r="B9" s="64">
        <v>34.119999999999997</v>
      </c>
      <c r="C9" s="64">
        <v>55.44</v>
      </c>
      <c r="D9" s="64">
        <v>58.6</v>
      </c>
      <c r="E9" s="64">
        <v>0.37</v>
      </c>
      <c r="F9" s="64">
        <v>3.11</v>
      </c>
      <c r="G9" s="64">
        <v>67.64</v>
      </c>
      <c r="H9" s="64">
        <v>30.18</v>
      </c>
      <c r="I9" s="64">
        <v>1.51</v>
      </c>
      <c r="J9" s="64">
        <v>0.12</v>
      </c>
      <c r="K9" s="64">
        <v>15.1</v>
      </c>
      <c r="L9" s="64">
        <v>17.739999999999998</v>
      </c>
      <c r="M9" s="64">
        <v>93.25</v>
      </c>
      <c r="N9" s="64">
        <v>62.2</v>
      </c>
      <c r="O9" s="64">
        <v>0</v>
      </c>
      <c r="P9" s="64">
        <v>1.02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3" t="s">
        <v>440</v>
      </c>
      <c r="B10" s="64">
        <v>34.24</v>
      </c>
      <c r="C10" s="64">
        <v>55.38</v>
      </c>
      <c r="D10" s="64">
        <v>58.67</v>
      </c>
      <c r="E10" s="64">
        <v>0.37</v>
      </c>
      <c r="F10" s="64">
        <v>3.13</v>
      </c>
      <c r="G10" s="64">
        <v>70.260000000000005</v>
      </c>
      <c r="H10" s="64">
        <v>31.11</v>
      </c>
      <c r="I10" s="64">
        <v>1.52</v>
      </c>
      <c r="J10" s="64">
        <v>0.05</v>
      </c>
      <c r="K10" s="64">
        <v>312.56</v>
      </c>
      <c r="L10" s="64">
        <v>17.46</v>
      </c>
      <c r="M10" s="64">
        <v>95.17</v>
      </c>
      <c r="N10" s="64">
        <v>62.1</v>
      </c>
      <c r="O10" s="64">
        <v>0</v>
      </c>
      <c r="P10" s="64">
        <v>1.02</v>
      </c>
      <c r="Q10" s="64">
        <v>9.73</v>
      </c>
      <c r="R10" s="198"/>
      <c r="S10" s="198"/>
      <c r="T10" s="198"/>
      <c r="U10" s="198"/>
    </row>
    <row r="11" spans="1:21" s="12" customFormat="1" x14ac:dyDescent="0.25">
      <c r="A11" s="213" t="s">
        <v>441</v>
      </c>
      <c r="B11" s="64">
        <v>34.28</v>
      </c>
      <c r="C11" s="64">
        <v>54.91</v>
      </c>
      <c r="D11" s="64">
        <v>58.45</v>
      </c>
      <c r="E11" s="64">
        <v>0.37</v>
      </c>
      <c r="F11" s="64">
        <v>3.18</v>
      </c>
      <c r="G11" s="64">
        <v>82.37</v>
      </c>
      <c r="H11" s="64">
        <v>34.270000000000003</v>
      </c>
      <c r="I11" s="64">
        <v>1.53</v>
      </c>
      <c r="J11" s="64">
        <v>0.04</v>
      </c>
      <c r="K11" s="64">
        <v>21.55</v>
      </c>
      <c r="L11" s="64">
        <v>17.420000000000002</v>
      </c>
      <c r="M11" s="64">
        <v>95.83</v>
      </c>
      <c r="N11" s="64">
        <v>61.9</v>
      </c>
      <c r="O11" s="64">
        <v>0</v>
      </c>
      <c r="P11" s="64">
        <v>1.01</v>
      </c>
      <c r="Q11" s="64">
        <v>9.69</v>
      </c>
      <c r="R11" s="198"/>
      <c r="S11" s="198"/>
      <c r="T11" s="198"/>
      <c r="U11" s="198"/>
    </row>
    <row r="12" spans="1:21" s="12" customFormat="1" x14ac:dyDescent="0.25">
      <c r="A12" s="213" t="s">
        <v>442</v>
      </c>
      <c r="B12" s="64">
        <v>35.17</v>
      </c>
      <c r="C12" s="64">
        <v>54.52</v>
      </c>
      <c r="D12" s="64">
        <v>58.94</v>
      </c>
      <c r="E12" s="64">
        <v>0.38</v>
      </c>
      <c r="F12" s="64">
        <v>3.16</v>
      </c>
      <c r="G12" s="64">
        <v>82.37</v>
      </c>
      <c r="H12" s="64">
        <v>34.270000000000003</v>
      </c>
      <c r="I12" s="64">
        <v>1.53</v>
      </c>
      <c r="J12" s="64">
        <v>0.08</v>
      </c>
      <c r="K12" s="64">
        <v>306.64999999999998</v>
      </c>
      <c r="L12" s="64">
        <v>17.04</v>
      </c>
      <c r="M12" s="64">
        <v>98.07</v>
      </c>
      <c r="N12" s="64">
        <v>62</v>
      </c>
      <c r="O12" s="64">
        <v>0</v>
      </c>
      <c r="P12" s="64">
        <v>1.03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3" t="s">
        <v>443</v>
      </c>
      <c r="B13" s="64">
        <v>36.9</v>
      </c>
      <c r="C13" s="64">
        <v>54.25</v>
      </c>
      <c r="D13" s="64">
        <v>60.18</v>
      </c>
      <c r="E13" s="64">
        <v>0.38</v>
      </c>
      <c r="F13" s="64">
        <v>3.13</v>
      </c>
      <c r="G13" s="64">
        <v>82.37</v>
      </c>
      <c r="H13" s="64">
        <v>34.270000000000003</v>
      </c>
      <c r="I13" s="64">
        <v>1.51</v>
      </c>
      <c r="J13" s="64">
        <v>0.03</v>
      </c>
      <c r="K13" s="64">
        <v>111.91</v>
      </c>
      <c r="L13" s="64">
        <v>16.739999999999998</v>
      </c>
      <c r="M13" s="64">
        <v>99.27</v>
      </c>
      <c r="N13" s="64">
        <v>61.8</v>
      </c>
      <c r="O13" s="64">
        <v>0</v>
      </c>
      <c r="P13" s="64">
        <v>1</v>
      </c>
      <c r="Q13" s="64">
        <v>9.77</v>
      </c>
      <c r="R13" s="198"/>
      <c r="S13" s="198"/>
      <c r="T13" s="198"/>
      <c r="U13" s="198"/>
    </row>
    <row r="14" spans="1:21" s="12" customFormat="1" x14ac:dyDescent="0.25">
      <c r="A14" s="213" t="s">
        <v>444</v>
      </c>
      <c r="B14" s="64">
        <v>38.08</v>
      </c>
      <c r="C14" s="64">
        <v>48.51</v>
      </c>
      <c r="D14" s="64">
        <v>57.96</v>
      </c>
      <c r="E14" s="64">
        <v>0.38</v>
      </c>
      <c r="F14" s="64">
        <v>3.25</v>
      </c>
      <c r="G14" s="64">
        <v>85.19</v>
      </c>
      <c r="H14" s="64">
        <v>36.1</v>
      </c>
      <c r="I14" s="64">
        <v>1.53</v>
      </c>
      <c r="J14" s="64">
        <v>0.05</v>
      </c>
      <c r="K14" s="64">
        <v>279.08999999999997</v>
      </c>
      <c r="L14" s="64">
        <v>16.64</v>
      </c>
      <c r="M14" s="64">
        <v>98.9</v>
      </c>
      <c r="N14" s="64">
        <v>62</v>
      </c>
      <c r="O14" s="64">
        <v>0</v>
      </c>
      <c r="P14" s="64">
        <v>1.03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3" t="s">
        <v>445</v>
      </c>
      <c r="B15" s="64">
        <v>38.19</v>
      </c>
      <c r="C15" s="64">
        <v>50.55</v>
      </c>
      <c r="D15" s="64">
        <v>59.17</v>
      </c>
      <c r="E15" s="64">
        <v>0.42</v>
      </c>
      <c r="F15" s="64">
        <v>3.11</v>
      </c>
      <c r="G15" s="64">
        <v>98.2</v>
      </c>
      <c r="H15" s="64">
        <v>42.31</v>
      </c>
      <c r="I15" s="64">
        <v>1.53</v>
      </c>
      <c r="J15" s="64">
        <v>0.15</v>
      </c>
      <c r="K15" s="64">
        <v>358.69</v>
      </c>
      <c r="L15" s="64">
        <v>16.71</v>
      </c>
      <c r="M15" s="64">
        <v>86.91</v>
      </c>
      <c r="N15" s="64">
        <v>61.2</v>
      </c>
      <c r="O15" s="64">
        <v>0</v>
      </c>
      <c r="P15" s="64">
        <v>1.02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3" t="s">
        <v>446</v>
      </c>
      <c r="B16" s="64">
        <v>36.299999999999997</v>
      </c>
      <c r="C16" s="64">
        <v>52.28</v>
      </c>
      <c r="D16" s="64">
        <v>58.61</v>
      </c>
      <c r="E16" s="64">
        <v>0.36</v>
      </c>
      <c r="F16" s="64">
        <v>3.18</v>
      </c>
      <c r="G16" s="64">
        <v>98.2</v>
      </c>
      <c r="H16" s="64">
        <v>42.31</v>
      </c>
      <c r="I16" s="64">
        <v>1.45</v>
      </c>
      <c r="J16" s="64">
        <v>0.3</v>
      </c>
      <c r="K16" s="64">
        <v>341.48</v>
      </c>
      <c r="L16" s="64">
        <v>17.61</v>
      </c>
      <c r="M16" s="64">
        <v>63.12</v>
      </c>
      <c r="N16" s="64">
        <v>60.5</v>
      </c>
      <c r="O16" s="64">
        <v>0</v>
      </c>
      <c r="P16" s="64">
        <v>1.01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3" t="s">
        <v>447</v>
      </c>
      <c r="B17" s="64">
        <v>33.06</v>
      </c>
      <c r="C17" s="64">
        <v>53.95</v>
      </c>
      <c r="D17" s="64">
        <v>56.93</v>
      </c>
      <c r="E17" s="64">
        <v>0.33</v>
      </c>
      <c r="F17" s="64">
        <v>3.25</v>
      </c>
      <c r="G17" s="64">
        <v>98.2</v>
      </c>
      <c r="H17" s="64">
        <v>42.31</v>
      </c>
      <c r="I17" s="64">
        <v>1.52</v>
      </c>
      <c r="J17" s="64">
        <v>0.45</v>
      </c>
      <c r="K17" s="64">
        <v>343.1</v>
      </c>
      <c r="L17" s="64">
        <v>17.78</v>
      </c>
      <c r="M17" s="64">
        <v>61.99</v>
      </c>
      <c r="N17" s="64">
        <v>61.5</v>
      </c>
      <c r="O17" s="64">
        <v>0</v>
      </c>
      <c r="P17" s="64">
        <v>0.97</v>
      </c>
      <c r="Q17" s="64">
        <v>9.52</v>
      </c>
      <c r="R17" s="198"/>
      <c r="S17" s="198"/>
      <c r="T17" s="198"/>
      <c r="U17" s="198"/>
    </row>
    <row r="18" spans="1:21" s="12" customFormat="1" x14ac:dyDescent="0.25">
      <c r="A18" s="213" t="s">
        <v>448</v>
      </c>
      <c r="B18" s="64">
        <v>30.46</v>
      </c>
      <c r="C18" s="64">
        <v>55.69</v>
      </c>
      <c r="D18" s="64">
        <v>55.81</v>
      </c>
      <c r="E18" s="64">
        <v>0.36</v>
      </c>
      <c r="F18" s="64">
        <v>2.93</v>
      </c>
      <c r="G18" s="64">
        <v>95.67</v>
      </c>
      <c r="H18" s="64">
        <v>42.09</v>
      </c>
      <c r="I18" s="64">
        <v>1.47</v>
      </c>
      <c r="J18" s="64">
        <v>0.57999999999999996</v>
      </c>
      <c r="K18" s="64">
        <v>347.21</v>
      </c>
      <c r="L18" s="64">
        <v>17.57</v>
      </c>
      <c r="M18" s="64">
        <v>63.28</v>
      </c>
      <c r="N18" s="64">
        <v>61.8</v>
      </c>
      <c r="O18" s="64">
        <v>0</v>
      </c>
      <c r="P18" s="64">
        <v>0.94</v>
      </c>
      <c r="Q18" s="64">
        <v>9.34</v>
      </c>
      <c r="R18" s="198"/>
      <c r="S18" s="198"/>
      <c r="T18" s="198"/>
      <c r="U18" s="198"/>
    </row>
    <row r="19" spans="1:21" s="12" customFormat="1" x14ac:dyDescent="0.25">
      <c r="A19" s="213" t="s">
        <v>449</v>
      </c>
      <c r="B19" s="64">
        <v>28.4</v>
      </c>
      <c r="C19" s="64">
        <v>56.27</v>
      </c>
      <c r="D19" s="64">
        <v>54.47</v>
      </c>
      <c r="E19" s="64">
        <v>0.28999999999999998</v>
      </c>
      <c r="F19" s="64">
        <v>3.13</v>
      </c>
      <c r="G19" s="64">
        <v>83.98</v>
      </c>
      <c r="H19" s="64">
        <v>41.33</v>
      </c>
      <c r="I19" s="64">
        <v>1.51</v>
      </c>
      <c r="J19" s="64">
        <v>0.25</v>
      </c>
      <c r="K19" s="64">
        <v>349.11</v>
      </c>
      <c r="L19" s="64">
        <v>17.22</v>
      </c>
      <c r="M19" s="64">
        <v>65.03</v>
      </c>
      <c r="N19" s="64">
        <v>62.5</v>
      </c>
      <c r="O19" s="64">
        <v>0</v>
      </c>
      <c r="P19" s="64">
        <v>0.91</v>
      </c>
      <c r="Q19" s="64">
        <v>9.16</v>
      </c>
      <c r="R19" s="198"/>
      <c r="S19" s="198"/>
      <c r="T19" s="198"/>
      <c r="U19" s="198"/>
    </row>
    <row r="20" spans="1:21" s="12" customFormat="1" x14ac:dyDescent="0.25">
      <c r="A20" s="213" t="s">
        <v>450</v>
      </c>
      <c r="B20" s="64">
        <v>26.35</v>
      </c>
      <c r="C20" s="64">
        <v>55.88</v>
      </c>
      <c r="D20" s="64">
        <v>52.62</v>
      </c>
      <c r="E20" s="64">
        <v>0.32</v>
      </c>
      <c r="F20" s="64">
        <v>3.31</v>
      </c>
      <c r="G20" s="64">
        <v>83.98</v>
      </c>
      <c r="H20" s="64">
        <v>41.33</v>
      </c>
      <c r="I20" s="64">
        <v>1.45</v>
      </c>
      <c r="J20" s="64">
        <v>0.18</v>
      </c>
      <c r="K20" s="64">
        <v>40.909999999999997</v>
      </c>
      <c r="L20" s="64">
        <v>16.920000000000002</v>
      </c>
      <c r="M20" s="64">
        <v>65.58</v>
      </c>
      <c r="N20" s="64">
        <v>62.3</v>
      </c>
      <c r="O20" s="64">
        <v>0</v>
      </c>
      <c r="P20" s="64">
        <v>0.89</v>
      </c>
      <c r="Q20" s="64">
        <v>8.9600000000000009</v>
      </c>
      <c r="R20" s="198"/>
      <c r="S20" s="198"/>
      <c r="T20" s="198"/>
      <c r="U20" s="198"/>
    </row>
    <row r="21" spans="1:21" s="12" customFormat="1" x14ac:dyDescent="0.25">
      <c r="A21" s="213" t="s">
        <v>451</v>
      </c>
      <c r="B21" s="64">
        <v>24.76</v>
      </c>
      <c r="C21" s="64">
        <v>55.76</v>
      </c>
      <c r="D21" s="64">
        <v>51.28</v>
      </c>
      <c r="E21" s="64">
        <v>0.31</v>
      </c>
      <c r="F21" s="64">
        <v>3.07</v>
      </c>
      <c r="G21" s="64">
        <v>83.98</v>
      </c>
      <c r="H21" s="64">
        <v>41.33</v>
      </c>
      <c r="I21" s="64">
        <v>1.46</v>
      </c>
      <c r="J21" s="64">
        <v>0.26</v>
      </c>
      <c r="K21" s="64">
        <v>2.57</v>
      </c>
      <c r="L21" s="64">
        <v>16.600000000000001</v>
      </c>
      <c r="M21" s="64">
        <v>67.56</v>
      </c>
      <c r="N21" s="64">
        <v>62</v>
      </c>
      <c r="O21" s="64">
        <v>0</v>
      </c>
      <c r="P21" s="64">
        <v>0.87</v>
      </c>
      <c r="Q21" s="64">
        <v>8.73</v>
      </c>
      <c r="R21" s="198"/>
      <c r="S21" s="198"/>
      <c r="T21" s="198"/>
      <c r="U21" s="198"/>
    </row>
    <row r="22" spans="1:21" s="12" customFormat="1" x14ac:dyDescent="0.25">
      <c r="A22" s="213" t="s">
        <v>452</v>
      </c>
      <c r="B22" s="64">
        <v>23.46</v>
      </c>
      <c r="C22" s="64">
        <v>55.95</v>
      </c>
      <c r="D22" s="64">
        <v>50.34</v>
      </c>
      <c r="E22" s="64">
        <v>0.35</v>
      </c>
      <c r="F22" s="64">
        <v>3.06</v>
      </c>
      <c r="G22" s="64">
        <v>83.58</v>
      </c>
      <c r="H22" s="64">
        <v>40.61</v>
      </c>
      <c r="I22" s="64">
        <v>1.5</v>
      </c>
      <c r="J22" s="64">
        <v>0.19</v>
      </c>
      <c r="K22" s="64">
        <v>63.32</v>
      </c>
      <c r="L22" s="64">
        <v>16.690000000000001</v>
      </c>
      <c r="M22" s="64">
        <v>65.44</v>
      </c>
      <c r="N22" s="64">
        <v>62.1</v>
      </c>
      <c r="O22" s="64">
        <v>0</v>
      </c>
      <c r="P22" s="64">
        <v>0.84</v>
      </c>
      <c r="Q22" s="64">
        <v>8.58</v>
      </c>
      <c r="R22" s="198"/>
      <c r="S22" s="198"/>
      <c r="T22" s="198"/>
      <c r="U22" s="198"/>
    </row>
    <row r="23" spans="1:21" s="12" customFormat="1" x14ac:dyDescent="0.25">
      <c r="A23" s="213" t="s">
        <v>453</v>
      </c>
      <c r="B23" s="64">
        <v>22.24</v>
      </c>
      <c r="C23" s="64">
        <v>55.77</v>
      </c>
      <c r="D23" s="64">
        <v>49.26</v>
      </c>
      <c r="E23" s="64">
        <v>0.39</v>
      </c>
      <c r="F23" s="64">
        <v>2.96</v>
      </c>
      <c r="G23" s="64">
        <v>81.72</v>
      </c>
      <c r="H23" s="64">
        <v>36.950000000000003</v>
      </c>
      <c r="I23" s="64">
        <v>1.54</v>
      </c>
      <c r="J23" s="64">
        <v>0.12</v>
      </c>
      <c r="K23" s="64">
        <v>50.36</v>
      </c>
      <c r="L23" s="64">
        <v>16.420000000000002</v>
      </c>
      <c r="M23" s="64">
        <v>67.599999999999994</v>
      </c>
      <c r="N23" s="64">
        <v>62.3</v>
      </c>
      <c r="O23" s="64">
        <v>0</v>
      </c>
      <c r="P23" s="64">
        <v>0.81</v>
      </c>
      <c r="Q23" s="64">
        <v>8.4600000000000009</v>
      </c>
      <c r="R23" s="198"/>
      <c r="S23" s="198"/>
      <c r="T23" s="198"/>
      <c r="U23" s="198"/>
    </row>
    <row r="24" spans="1:21" s="12" customFormat="1" x14ac:dyDescent="0.25">
      <c r="A24" s="213" t="s">
        <v>454</v>
      </c>
      <c r="B24" s="64">
        <v>21.29</v>
      </c>
      <c r="C24" s="64">
        <v>54.94</v>
      </c>
      <c r="D24" s="64">
        <v>48.04</v>
      </c>
      <c r="E24" s="64">
        <v>-0.02</v>
      </c>
      <c r="F24" s="64">
        <v>3.05</v>
      </c>
      <c r="G24" s="64">
        <v>81.72</v>
      </c>
      <c r="H24" s="64">
        <v>36.950000000000003</v>
      </c>
      <c r="I24" s="64">
        <v>1.54</v>
      </c>
      <c r="J24" s="64">
        <v>0.06</v>
      </c>
      <c r="K24" s="64">
        <v>82.58</v>
      </c>
      <c r="L24" s="64">
        <v>16.25</v>
      </c>
      <c r="M24" s="64">
        <v>68.45</v>
      </c>
      <c r="N24" s="64">
        <v>62.6</v>
      </c>
      <c r="O24" s="64">
        <v>0</v>
      </c>
      <c r="P24" s="64">
        <v>0.8</v>
      </c>
      <c r="Q24" s="64">
        <v>8.33</v>
      </c>
      <c r="R24" s="198"/>
      <c r="S24" s="198"/>
      <c r="T24" s="198"/>
      <c r="U24" s="198"/>
    </row>
    <row r="25" spans="1:21" s="12" customFormat="1" x14ac:dyDescent="0.25">
      <c r="A25" s="213" t="s">
        <v>455</v>
      </c>
      <c r="B25" s="64">
        <v>20.21</v>
      </c>
      <c r="C25" s="64">
        <v>54.62</v>
      </c>
      <c r="D25" s="64">
        <v>47</v>
      </c>
      <c r="E25" s="64">
        <v>0.12</v>
      </c>
      <c r="F25" s="64">
        <v>3.07</v>
      </c>
      <c r="G25" s="64">
        <v>81.72</v>
      </c>
      <c r="H25" s="64">
        <v>36.950000000000003</v>
      </c>
      <c r="I25" s="64">
        <v>1.47</v>
      </c>
      <c r="J25" s="64">
        <v>7.0000000000000007E-2</v>
      </c>
      <c r="K25" s="64">
        <v>264.57</v>
      </c>
      <c r="L25" s="64">
        <v>15.83</v>
      </c>
      <c r="M25" s="64">
        <v>72.86</v>
      </c>
      <c r="N25" s="64">
        <v>62.8</v>
      </c>
      <c r="O25" s="64">
        <v>0</v>
      </c>
      <c r="P25" s="64">
        <v>0.78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3" t="s">
        <v>456</v>
      </c>
      <c r="B26" s="64">
        <v>19.28</v>
      </c>
      <c r="C26" s="64">
        <v>54.35</v>
      </c>
      <c r="D26" s="64">
        <v>46.1</v>
      </c>
      <c r="E26" s="64">
        <v>0.16</v>
      </c>
      <c r="F26" s="64">
        <v>3.07</v>
      </c>
      <c r="G26" s="64">
        <v>80.650000000000006</v>
      </c>
      <c r="H26" s="64">
        <v>36.47</v>
      </c>
      <c r="I26" s="64">
        <v>1.48</v>
      </c>
      <c r="J26" s="64">
        <v>0.08</v>
      </c>
      <c r="K26" s="64">
        <v>295.05</v>
      </c>
      <c r="L26" s="64">
        <v>15.49</v>
      </c>
      <c r="M26" s="64">
        <v>75.400000000000006</v>
      </c>
      <c r="N26" s="64">
        <v>62.6</v>
      </c>
      <c r="O26" s="64">
        <v>0</v>
      </c>
      <c r="P26" s="64">
        <v>0.76</v>
      </c>
      <c r="Q26" s="64">
        <v>8.07</v>
      </c>
      <c r="R26" s="198"/>
      <c r="S26" s="198"/>
      <c r="T26" s="198"/>
      <c r="U26" s="198"/>
    </row>
    <row r="27" spans="1:21" s="12" customFormat="1" x14ac:dyDescent="0.25">
      <c r="A27" s="213" t="s">
        <v>457</v>
      </c>
      <c r="B27" s="64">
        <v>20.38</v>
      </c>
      <c r="C27" s="64">
        <v>53.28</v>
      </c>
      <c r="D27" s="64">
        <v>46.39</v>
      </c>
      <c r="E27" s="64">
        <v>0.16</v>
      </c>
      <c r="F27" s="64">
        <v>3.14</v>
      </c>
      <c r="G27" s="64">
        <v>75.66</v>
      </c>
      <c r="H27" s="64">
        <v>34.81</v>
      </c>
      <c r="I27" s="64">
        <v>1.48</v>
      </c>
      <c r="J27" s="64">
        <v>0.19</v>
      </c>
      <c r="K27" s="64">
        <v>348.29</v>
      </c>
      <c r="L27" s="64">
        <v>15.25</v>
      </c>
      <c r="M27" s="64">
        <v>79.7</v>
      </c>
      <c r="N27" s="64">
        <v>62.7</v>
      </c>
      <c r="O27" s="64">
        <v>0</v>
      </c>
      <c r="P27" s="64">
        <v>0.76</v>
      </c>
      <c r="Q27" s="64">
        <v>7.97</v>
      </c>
      <c r="R27" s="198"/>
      <c r="S27" s="198"/>
      <c r="T27" s="198"/>
      <c r="U27" s="198"/>
    </row>
    <row r="28" spans="1:21" s="12" customFormat="1" x14ac:dyDescent="0.25">
      <c r="A28" s="213" t="s">
        <v>458</v>
      </c>
      <c r="B28" s="64">
        <v>24.45</v>
      </c>
      <c r="C28" s="64">
        <v>53.21</v>
      </c>
      <c r="D28" s="64">
        <v>49.62</v>
      </c>
      <c r="E28" s="64">
        <v>0.19</v>
      </c>
      <c r="F28" s="64">
        <v>3.08</v>
      </c>
      <c r="G28" s="64">
        <v>75.66</v>
      </c>
      <c r="H28" s="64">
        <v>34.81</v>
      </c>
      <c r="I28" s="64">
        <v>1.52</v>
      </c>
      <c r="J28" s="64">
        <v>0.09</v>
      </c>
      <c r="K28" s="64">
        <v>72.650000000000006</v>
      </c>
      <c r="L28" s="64">
        <v>14.81</v>
      </c>
      <c r="M28" s="64">
        <v>82.34</v>
      </c>
      <c r="N28" s="64">
        <v>62.6</v>
      </c>
      <c r="O28" s="64">
        <v>0</v>
      </c>
      <c r="P28" s="64">
        <v>0.77</v>
      </c>
      <c r="Q28" s="64">
        <v>8.1</v>
      </c>
      <c r="R28" s="198"/>
      <c r="S28" s="198"/>
      <c r="T28" s="198"/>
      <c r="U28" s="198"/>
    </row>
    <row r="29" spans="1:21" s="12" customFormat="1" x14ac:dyDescent="0.25">
      <c r="A29" s="213" t="s">
        <v>459</v>
      </c>
      <c r="B29" s="64">
        <v>26.68</v>
      </c>
      <c r="C29" s="64">
        <v>53.88</v>
      </c>
      <c r="D29" s="64">
        <v>51.78</v>
      </c>
      <c r="E29" s="64">
        <v>0.17</v>
      </c>
      <c r="F29" s="64">
        <v>3.24</v>
      </c>
      <c r="G29" s="64">
        <v>75.66</v>
      </c>
      <c r="H29" s="64">
        <v>34.81</v>
      </c>
      <c r="I29" s="64">
        <v>1.47</v>
      </c>
      <c r="J29" s="64">
        <v>0.05</v>
      </c>
      <c r="K29" s="64">
        <v>357.1</v>
      </c>
      <c r="L29" s="64">
        <v>15.04</v>
      </c>
      <c r="M29" s="64">
        <v>78.489999999999995</v>
      </c>
      <c r="N29" s="64">
        <v>62.2</v>
      </c>
      <c r="O29" s="64">
        <v>0</v>
      </c>
      <c r="P29" s="64">
        <v>0.76</v>
      </c>
      <c r="Q29" s="64">
        <v>8.33</v>
      </c>
      <c r="R29" s="198"/>
      <c r="S29" s="198"/>
      <c r="T29" s="198"/>
      <c r="U29" s="198"/>
    </row>
    <row r="30" spans="1:21" s="12" customFormat="1" x14ac:dyDescent="0.25">
      <c r="A30" s="213" t="s">
        <v>460</v>
      </c>
      <c r="B30" s="64">
        <v>28.2</v>
      </c>
      <c r="C30" s="64">
        <v>54.01</v>
      </c>
      <c r="D30" s="64">
        <v>53.07</v>
      </c>
      <c r="E30" s="64">
        <v>0.13</v>
      </c>
      <c r="F30" s="64">
        <v>3.11</v>
      </c>
      <c r="G30" s="64">
        <v>77.599999999999994</v>
      </c>
      <c r="H30" s="64">
        <v>34.590000000000003</v>
      </c>
      <c r="I30" s="64">
        <v>1.5</v>
      </c>
      <c r="J30" s="64">
        <v>0.06</v>
      </c>
      <c r="K30" s="64">
        <v>284.54000000000002</v>
      </c>
      <c r="L30" s="64">
        <v>14.91</v>
      </c>
      <c r="M30" s="64">
        <v>80.099999999999994</v>
      </c>
      <c r="N30" s="64">
        <v>62.5</v>
      </c>
      <c r="O30" s="64">
        <v>0</v>
      </c>
      <c r="P30" s="64">
        <v>0.76</v>
      </c>
      <c r="Q30" s="64">
        <v>8.5</v>
      </c>
      <c r="R30" s="198"/>
      <c r="S30" s="198"/>
      <c r="T30" s="198"/>
      <c r="U30" s="198"/>
    </row>
    <row r="31" spans="1:21" s="12" customFormat="1" x14ac:dyDescent="0.25">
      <c r="A31" s="213" t="s">
        <v>461</v>
      </c>
      <c r="B31" s="64">
        <v>28.81</v>
      </c>
      <c r="C31" s="64">
        <v>54.24</v>
      </c>
      <c r="D31" s="64">
        <v>53.68</v>
      </c>
      <c r="E31" s="64">
        <v>0.16</v>
      </c>
      <c r="F31" s="64">
        <v>3.05</v>
      </c>
      <c r="G31" s="64">
        <v>86.58</v>
      </c>
      <c r="H31" s="64">
        <v>33.840000000000003</v>
      </c>
      <c r="I31" s="64">
        <v>1.52</v>
      </c>
      <c r="J31" s="64">
        <v>0.13</v>
      </c>
      <c r="K31" s="64">
        <v>253.71</v>
      </c>
      <c r="L31" s="64">
        <v>14.66</v>
      </c>
      <c r="M31" s="64">
        <v>82.4</v>
      </c>
      <c r="N31" s="64">
        <v>62.3</v>
      </c>
      <c r="O31" s="64">
        <v>0</v>
      </c>
      <c r="P31" s="64">
        <v>0.76</v>
      </c>
      <c r="Q31" s="64">
        <v>8.66</v>
      </c>
      <c r="R31" s="198"/>
      <c r="S31" s="198"/>
      <c r="T31" s="198"/>
      <c r="U31" s="198"/>
    </row>
    <row r="32" spans="1:21" s="12" customFormat="1" x14ac:dyDescent="0.25">
      <c r="A32" s="213" t="s">
        <v>462</v>
      </c>
      <c r="B32" s="64">
        <v>29.83</v>
      </c>
      <c r="C32" s="64">
        <v>54.19</v>
      </c>
      <c r="D32" s="64">
        <v>54.48</v>
      </c>
      <c r="E32" s="64">
        <v>0.18</v>
      </c>
      <c r="F32" s="64">
        <v>3.1</v>
      </c>
      <c r="G32" s="64">
        <v>86.58</v>
      </c>
      <c r="H32" s="64">
        <v>33.840000000000003</v>
      </c>
      <c r="I32" s="64">
        <v>1.52</v>
      </c>
      <c r="J32" s="64">
        <v>0.11</v>
      </c>
      <c r="K32" s="64">
        <v>257.14</v>
      </c>
      <c r="L32" s="64">
        <v>14.5</v>
      </c>
      <c r="M32" s="64">
        <v>82.88</v>
      </c>
      <c r="N32" s="64">
        <v>62.5</v>
      </c>
      <c r="O32" s="64">
        <v>0</v>
      </c>
      <c r="P32" s="64">
        <v>0.76</v>
      </c>
      <c r="Q32" s="64">
        <v>8.73</v>
      </c>
      <c r="R32" s="198"/>
      <c r="S32" s="198"/>
      <c r="T32" s="198"/>
      <c r="U32" s="198"/>
    </row>
    <row r="33" spans="1:21" s="12" customFormat="1" x14ac:dyDescent="0.25">
      <c r="A33" s="213" t="s">
        <v>463</v>
      </c>
      <c r="B33" s="64">
        <v>32.08</v>
      </c>
      <c r="C33" s="64">
        <v>54.52</v>
      </c>
      <c r="D33" s="64">
        <v>56.46</v>
      </c>
      <c r="E33" s="64">
        <v>0.15</v>
      </c>
      <c r="F33" s="64">
        <v>3.02</v>
      </c>
      <c r="G33" s="64">
        <v>86.58</v>
      </c>
      <c r="H33" s="64">
        <v>33.840000000000003</v>
      </c>
      <c r="I33" s="64">
        <v>1.47</v>
      </c>
      <c r="J33" s="64">
        <v>0.17</v>
      </c>
      <c r="K33" s="64">
        <v>350.5</v>
      </c>
      <c r="L33" s="64">
        <v>14.26</v>
      </c>
      <c r="M33" s="64">
        <v>82.38</v>
      </c>
      <c r="N33" s="64">
        <v>62.7</v>
      </c>
      <c r="O33" s="64">
        <v>0</v>
      </c>
      <c r="P33" s="64">
        <v>0.77</v>
      </c>
      <c r="Q33" s="64">
        <v>8.83</v>
      </c>
      <c r="R33" s="198"/>
      <c r="S33" s="198"/>
      <c r="T33" s="198"/>
      <c r="U33" s="198"/>
    </row>
    <row r="34" spans="1:21" s="12" customFormat="1" x14ac:dyDescent="0.25">
      <c r="A34" s="213" t="s">
        <v>464</v>
      </c>
      <c r="B34" s="64">
        <v>36.880000000000003</v>
      </c>
      <c r="C34" s="64">
        <v>55.16</v>
      </c>
      <c r="D34" s="64">
        <v>60.66</v>
      </c>
      <c r="E34" s="64">
        <v>0.15</v>
      </c>
      <c r="F34" s="64">
        <v>3.28</v>
      </c>
      <c r="G34" s="64">
        <v>88.44</v>
      </c>
      <c r="H34" s="64">
        <v>34.549999999999997</v>
      </c>
      <c r="I34" s="64">
        <v>1.5</v>
      </c>
      <c r="J34" s="64">
        <v>0.08</v>
      </c>
      <c r="K34" s="64">
        <v>299.37</v>
      </c>
      <c r="L34" s="64">
        <v>13.92</v>
      </c>
      <c r="M34" s="64">
        <v>87.62</v>
      </c>
      <c r="N34" s="64">
        <v>64.400000000000006</v>
      </c>
      <c r="O34" s="64">
        <v>0</v>
      </c>
      <c r="P34" s="64">
        <v>0.79</v>
      </c>
      <c r="Q34" s="64">
        <v>9.0500000000000007</v>
      </c>
      <c r="R34" s="198"/>
      <c r="S34" s="198"/>
      <c r="T34" s="198"/>
      <c r="U34" s="198"/>
    </row>
    <row r="35" spans="1:21" s="12" customFormat="1" x14ac:dyDescent="0.25">
      <c r="A35" s="213" t="s">
        <v>465</v>
      </c>
      <c r="B35" s="64">
        <v>41.92</v>
      </c>
      <c r="C35" s="64">
        <v>55.65</v>
      </c>
      <c r="D35" s="64">
        <v>64.97</v>
      </c>
      <c r="E35" s="64">
        <v>0.2</v>
      </c>
      <c r="F35" s="64">
        <v>3.23</v>
      </c>
      <c r="G35" s="64">
        <v>97.02</v>
      </c>
      <c r="H35" s="64">
        <v>36.96</v>
      </c>
      <c r="I35" s="64">
        <v>1.55</v>
      </c>
      <c r="J35" s="64">
        <v>0.02</v>
      </c>
      <c r="K35" s="64">
        <v>149.55000000000001</v>
      </c>
      <c r="L35" s="64">
        <v>13.83</v>
      </c>
      <c r="M35" s="64">
        <v>85.99</v>
      </c>
      <c r="N35" s="64">
        <v>71.099999999999994</v>
      </c>
      <c r="O35" s="64">
        <v>0</v>
      </c>
      <c r="P35" s="64">
        <v>0.82</v>
      </c>
      <c r="Q35" s="64">
        <v>9.3800000000000008</v>
      </c>
      <c r="R35" s="198"/>
      <c r="S35" s="198"/>
      <c r="T35" s="198"/>
      <c r="U35" s="198"/>
    </row>
    <row r="36" spans="1:21" s="12" customFormat="1" x14ac:dyDescent="0.25">
      <c r="A36" s="213" t="s">
        <v>466</v>
      </c>
      <c r="B36" s="64">
        <v>46.8</v>
      </c>
      <c r="C36" s="64">
        <v>56.06</v>
      </c>
      <c r="D36" s="64">
        <v>69.11</v>
      </c>
      <c r="E36" s="64">
        <v>0.16</v>
      </c>
      <c r="F36" s="64">
        <v>3.21</v>
      </c>
      <c r="G36" s="64">
        <v>97.02</v>
      </c>
      <c r="H36" s="64">
        <v>36.96</v>
      </c>
      <c r="I36" s="64">
        <v>1.42</v>
      </c>
      <c r="J36" s="64">
        <v>0.06</v>
      </c>
      <c r="K36" s="64">
        <v>89.14</v>
      </c>
      <c r="L36" s="64">
        <v>13.92</v>
      </c>
      <c r="M36" s="64">
        <v>85.82</v>
      </c>
      <c r="N36" s="64">
        <v>85.4</v>
      </c>
      <c r="O36" s="64">
        <v>0</v>
      </c>
      <c r="P36" s="64">
        <v>0.85</v>
      </c>
      <c r="Q36" s="64">
        <v>9.73</v>
      </c>
      <c r="R36" s="198"/>
      <c r="S36" s="198"/>
      <c r="T36" s="198"/>
      <c r="U36" s="198"/>
    </row>
    <row r="37" spans="1:21" s="12" customFormat="1" x14ac:dyDescent="0.25">
      <c r="A37" s="213" t="s">
        <v>467</v>
      </c>
      <c r="B37" s="64">
        <v>50.65</v>
      </c>
      <c r="C37" s="64">
        <v>56.2</v>
      </c>
      <c r="D37" s="64">
        <v>72.28</v>
      </c>
      <c r="E37" s="64">
        <v>0.19</v>
      </c>
      <c r="F37" s="64">
        <v>3.06</v>
      </c>
      <c r="G37" s="64">
        <v>97.02</v>
      </c>
      <c r="H37" s="64">
        <v>36.96</v>
      </c>
      <c r="I37" s="64">
        <v>1.45</v>
      </c>
      <c r="J37" s="64">
        <v>0.39</v>
      </c>
      <c r="K37" s="64">
        <v>350.33</v>
      </c>
      <c r="L37" s="64">
        <v>14.66</v>
      </c>
      <c r="M37" s="64">
        <v>84.45</v>
      </c>
      <c r="N37" s="64">
        <v>103</v>
      </c>
      <c r="O37" s="64">
        <v>0</v>
      </c>
      <c r="P37" s="64">
        <v>0.85</v>
      </c>
      <c r="Q37" s="64">
        <v>10.11</v>
      </c>
      <c r="R37" s="198"/>
      <c r="S37" s="198"/>
      <c r="T37" s="198"/>
      <c r="U37" s="198"/>
    </row>
    <row r="38" spans="1:21" s="12" customFormat="1" x14ac:dyDescent="0.25">
      <c r="A38" s="213" t="s">
        <v>468</v>
      </c>
      <c r="B38" s="64">
        <v>53.97</v>
      </c>
      <c r="C38" s="64">
        <v>56.61</v>
      </c>
      <c r="D38" s="64">
        <v>75.16</v>
      </c>
      <c r="E38" s="64">
        <v>0.22</v>
      </c>
      <c r="F38" s="64">
        <v>3.11</v>
      </c>
      <c r="G38" s="64">
        <v>102.56</v>
      </c>
      <c r="H38" s="64">
        <v>38.33</v>
      </c>
      <c r="I38" s="64">
        <v>1.52</v>
      </c>
      <c r="J38" s="64">
        <v>0.56999999999999995</v>
      </c>
      <c r="K38" s="64">
        <v>351.34</v>
      </c>
      <c r="L38" s="64">
        <v>15.62</v>
      </c>
      <c r="M38" s="64">
        <v>78.12</v>
      </c>
      <c r="N38" s="64">
        <v>124.1</v>
      </c>
      <c r="O38" s="64">
        <v>0</v>
      </c>
      <c r="P38" s="64">
        <v>0.92</v>
      </c>
      <c r="Q38" s="64">
        <v>10.4</v>
      </c>
      <c r="R38" s="198"/>
      <c r="S38" s="198"/>
      <c r="T38" s="198"/>
      <c r="U38" s="198"/>
    </row>
    <row r="39" spans="1:21" s="12" customFormat="1" x14ac:dyDescent="0.25">
      <c r="A39" s="213" t="s">
        <v>469</v>
      </c>
      <c r="B39" s="64">
        <v>55.15</v>
      </c>
      <c r="C39" s="64">
        <v>57.08</v>
      </c>
      <c r="D39" s="64">
        <v>76.38</v>
      </c>
      <c r="E39" s="64">
        <v>0.21</v>
      </c>
      <c r="F39" s="64">
        <v>3.08</v>
      </c>
      <c r="G39" s="64">
        <v>128.16999999999999</v>
      </c>
      <c r="H39" s="64">
        <v>45.32</v>
      </c>
      <c r="I39" s="64">
        <v>1.49</v>
      </c>
      <c r="J39" s="64">
        <v>0.64</v>
      </c>
      <c r="K39" s="64">
        <v>349.02</v>
      </c>
      <c r="L39" s="64">
        <v>16.940000000000001</v>
      </c>
      <c r="M39" s="64">
        <v>70.900000000000006</v>
      </c>
      <c r="N39" s="64">
        <v>199.1</v>
      </c>
      <c r="O39" s="64">
        <v>0</v>
      </c>
      <c r="P39" s="64">
        <v>0.96</v>
      </c>
      <c r="Q39" s="64">
        <v>10.65</v>
      </c>
      <c r="R39" s="198"/>
      <c r="S39" s="198"/>
      <c r="T39" s="198"/>
      <c r="U39" s="198"/>
    </row>
    <row r="40" spans="1:21" s="12" customFormat="1" x14ac:dyDescent="0.25">
      <c r="A40" s="213" t="s">
        <v>470</v>
      </c>
      <c r="B40" s="64">
        <v>55.69</v>
      </c>
      <c r="C40" s="64">
        <v>57.7</v>
      </c>
      <c r="D40" s="64">
        <v>77.150000000000006</v>
      </c>
      <c r="E40" s="64">
        <v>0.23</v>
      </c>
      <c r="F40" s="64">
        <v>3.25</v>
      </c>
      <c r="G40" s="64">
        <v>128.16999999999999</v>
      </c>
      <c r="H40" s="64">
        <v>45.32</v>
      </c>
      <c r="I40" s="64">
        <v>1.49</v>
      </c>
      <c r="J40" s="64">
        <v>0.45</v>
      </c>
      <c r="K40" s="64">
        <v>344.12</v>
      </c>
      <c r="L40" s="64">
        <v>19.46</v>
      </c>
      <c r="M40" s="64">
        <v>58.67</v>
      </c>
      <c r="N40" s="64">
        <v>265.60000000000002</v>
      </c>
      <c r="O40" s="64">
        <v>0</v>
      </c>
      <c r="P40" s="64">
        <v>1</v>
      </c>
      <c r="Q40" s="64">
        <v>10.77</v>
      </c>
      <c r="R40" s="198"/>
      <c r="S40" s="198"/>
      <c r="T40" s="198"/>
      <c r="U40" s="198"/>
    </row>
    <row r="41" spans="1:21" s="12" customFormat="1" x14ac:dyDescent="0.25">
      <c r="A41" s="213" t="s">
        <v>471</v>
      </c>
      <c r="B41" s="64">
        <v>56.61</v>
      </c>
      <c r="C41" s="64">
        <v>57.95</v>
      </c>
      <c r="D41" s="64">
        <v>78.03</v>
      </c>
      <c r="E41" s="64">
        <v>0.33</v>
      </c>
      <c r="F41" s="64">
        <v>3.3</v>
      </c>
      <c r="G41" s="64">
        <v>128.16999999999999</v>
      </c>
      <c r="H41" s="64">
        <v>45.32</v>
      </c>
      <c r="I41" s="64">
        <v>1.52</v>
      </c>
      <c r="J41" s="64">
        <v>0.51</v>
      </c>
      <c r="K41" s="64">
        <v>342.68</v>
      </c>
      <c r="L41" s="64">
        <v>21.26</v>
      </c>
      <c r="M41" s="64">
        <v>48.67</v>
      </c>
      <c r="N41" s="64">
        <v>324.60000000000002</v>
      </c>
      <c r="O41" s="64">
        <v>0</v>
      </c>
      <c r="P41" s="64">
        <v>1.03</v>
      </c>
      <c r="Q41" s="64">
        <v>10.84</v>
      </c>
      <c r="R41" s="198"/>
      <c r="S41" s="198"/>
      <c r="T41" s="198"/>
      <c r="U41" s="198"/>
    </row>
    <row r="42" spans="1:21" s="12" customFormat="1" x14ac:dyDescent="0.25">
      <c r="A42" s="213" t="s">
        <v>472</v>
      </c>
      <c r="B42" s="64">
        <v>56.71</v>
      </c>
      <c r="C42" s="64">
        <v>57.26</v>
      </c>
      <c r="D42" s="64">
        <v>77.72</v>
      </c>
      <c r="E42" s="64">
        <v>0.28000000000000003</v>
      </c>
      <c r="F42" s="64">
        <v>3.25</v>
      </c>
      <c r="G42" s="64">
        <v>132.33000000000001</v>
      </c>
      <c r="H42" s="64">
        <v>46.92</v>
      </c>
      <c r="I42" s="64">
        <v>1.57</v>
      </c>
      <c r="J42" s="64">
        <v>0.51</v>
      </c>
      <c r="K42" s="64">
        <v>343.69</v>
      </c>
      <c r="L42" s="64">
        <v>22.69</v>
      </c>
      <c r="M42" s="64">
        <v>43.52</v>
      </c>
      <c r="N42" s="64">
        <v>380.4</v>
      </c>
      <c r="O42" s="64">
        <v>0</v>
      </c>
      <c r="P42" s="64">
        <v>1.05</v>
      </c>
      <c r="Q42" s="64">
        <v>10.8</v>
      </c>
      <c r="R42" s="198"/>
      <c r="S42" s="198"/>
      <c r="T42" s="198"/>
      <c r="U42" s="198"/>
    </row>
    <row r="43" spans="1:21" s="12" customFormat="1" x14ac:dyDescent="0.25">
      <c r="A43" s="213" t="s">
        <v>473</v>
      </c>
      <c r="B43" s="64">
        <v>55.57</v>
      </c>
      <c r="C43" s="64">
        <v>59.43</v>
      </c>
      <c r="D43" s="64">
        <v>78.010000000000005</v>
      </c>
      <c r="E43" s="64">
        <v>0.3</v>
      </c>
      <c r="F43" s="64">
        <v>3.08</v>
      </c>
      <c r="G43" s="64">
        <v>151.57</v>
      </c>
      <c r="H43" s="64">
        <v>52.33</v>
      </c>
      <c r="I43" s="64">
        <v>1.43</v>
      </c>
      <c r="J43" s="64">
        <v>0.22</v>
      </c>
      <c r="K43" s="64">
        <v>46.8</v>
      </c>
      <c r="L43" s="64">
        <v>23.89</v>
      </c>
      <c r="M43" s="64">
        <v>39.020000000000003</v>
      </c>
      <c r="N43" s="64">
        <v>447</v>
      </c>
      <c r="O43" s="64">
        <v>0</v>
      </c>
      <c r="P43" s="64">
        <v>1.06</v>
      </c>
      <c r="Q43" s="64">
        <v>10.8</v>
      </c>
      <c r="R43" s="198"/>
      <c r="S43" s="198"/>
      <c r="T43" s="198"/>
      <c r="U43" s="198"/>
    </row>
    <row r="44" spans="1:21" s="12" customFormat="1" x14ac:dyDescent="0.25">
      <c r="A44" s="213" t="s">
        <v>474</v>
      </c>
      <c r="B44" s="64">
        <v>53.17</v>
      </c>
      <c r="C44" s="64">
        <v>60.86</v>
      </c>
      <c r="D44" s="64">
        <v>76.87</v>
      </c>
      <c r="E44" s="64">
        <v>0.3</v>
      </c>
      <c r="F44" s="64">
        <v>3.15</v>
      </c>
      <c r="G44" s="64">
        <v>151.57</v>
      </c>
      <c r="H44" s="64">
        <v>52.33</v>
      </c>
      <c r="I44" s="64">
        <v>1.5</v>
      </c>
      <c r="J44" s="64">
        <v>0.23</v>
      </c>
      <c r="K44" s="64">
        <v>87.77</v>
      </c>
      <c r="L44" s="64">
        <v>22.83</v>
      </c>
      <c r="M44" s="64">
        <v>40.6</v>
      </c>
      <c r="N44" s="64">
        <v>502.6</v>
      </c>
      <c r="O44" s="64">
        <v>0</v>
      </c>
      <c r="P44" s="64">
        <v>1.05</v>
      </c>
      <c r="Q44" s="64">
        <v>10.74</v>
      </c>
      <c r="R44" s="198"/>
      <c r="S44" s="198"/>
      <c r="T44" s="198"/>
      <c r="U44" s="198"/>
    </row>
    <row r="45" spans="1:21" s="12" customFormat="1" x14ac:dyDescent="0.25">
      <c r="A45" s="213" t="s">
        <v>475</v>
      </c>
      <c r="B45" s="64">
        <v>50.06</v>
      </c>
      <c r="C45" s="64">
        <v>62.21</v>
      </c>
      <c r="D45" s="64">
        <v>75.12</v>
      </c>
      <c r="E45" s="64">
        <v>0.33</v>
      </c>
      <c r="F45" s="64">
        <v>3.22</v>
      </c>
      <c r="G45" s="64">
        <v>151.57</v>
      </c>
      <c r="H45" s="64">
        <v>52.33</v>
      </c>
      <c r="I45" s="64">
        <v>1.46</v>
      </c>
      <c r="J45" s="64">
        <v>0.65</v>
      </c>
      <c r="K45" s="64">
        <v>107.49</v>
      </c>
      <c r="L45" s="64">
        <v>22.85</v>
      </c>
      <c r="M45" s="64">
        <v>37.67</v>
      </c>
      <c r="N45" s="64">
        <v>558.29999999999995</v>
      </c>
      <c r="O45" s="64">
        <v>0</v>
      </c>
      <c r="P45" s="64">
        <v>1.04</v>
      </c>
      <c r="Q45" s="64">
        <v>10.54</v>
      </c>
      <c r="R45" s="198"/>
      <c r="S45" s="198"/>
      <c r="T45" s="198"/>
      <c r="U45" s="198"/>
    </row>
    <row r="46" spans="1:21" s="12" customFormat="1" x14ac:dyDescent="0.25">
      <c r="A46" s="213" t="s">
        <v>476</v>
      </c>
      <c r="B46" s="64">
        <v>46.8</v>
      </c>
      <c r="C46" s="64">
        <v>63</v>
      </c>
      <c r="D46" s="64">
        <v>72.95</v>
      </c>
      <c r="E46" s="64">
        <v>0.33</v>
      </c>
      <c r="F46" s="64">
        <v>3.2</v>
      </c>
      <c r="G46" s="64">
        <v>144.4</v>
      </c>
      <c r="H46" s="64">
        <v>50.05</v>
      </c>
      <c r="I46" s="64">
        <v>1.53</v>
      </c>
      <c r="J46" s="64">
        <v>0.5</v>
      </c>
      <c r="K46" s="64">
        <v>99.03</v>
      </c>
      <c r="L46" s="64">
        <v>23.11</v>
      </c>
      <c r="M46" s="64">
        <v>38.549999999999997</v>
      </c>
      <c r="N46" s="64">
        <v>601.4</v>
      </c>
      <c r="O46" s="64">
        <v>0</v>
      </c>
      <c r="P46" s="64">
        <v>1.01</v>
      </c>
      <c r="Q46" s="64">
        <v>10.36</v>
      </c>
      <c r="R46" s="198"/>
      <c r="S46" s="198"/>
      <c r="T46" s="198"/>
      <c r="U46" s="198"/>
    </row>
    <row r="47" spans="1:21" s="12" customFormat="1" x14ac:dyDescent="0.25">
      <c r="A47" s="213" t="s">
        <v>477</v>
      </c>
      <c r="B47" s="64">
        <v>43.4</v>
      </c>
      <c r="C47" s="64">
        <v>63.29</v>
      </c>
      <c r="D47" s="64">
        <v>70.38</v>
      </c>
      <c r="E47" s="64">
        <v>0.27</v>
      </c>
      <c r="F47" s="64">
        <v>3.15</v>
      </c>
      <c r="G47" s="64">
        <v>111.26</v>
      </c>
      <c r="H47" s="64">
        <v>42.3</v>
      </c>
      <c r="I47" s="64">
        <v>1.51</v>
      </c>
      <c r="J47" s="64">
        <v>0.96</v>
      </c>
      <c r="K47" s="64">
        <v>114.04</v>
      </c>
      <c r="L47" s="64">
        <v>22.92</v>
      </c>
      <c r="M47" s="64">
        <v>38.72</v>
      </c>
      <c r="N47" s="64">
        <v>660.4</v>
      </c>
      <c r="O47" s="64">
        <v>0</v>
      </c>
      <c r="P47" s="64">
        <v>0.99</v>
      </c>
      <c r="Q47" s="64">
        <v>10.1</v>
      </c>
      <c r="R47" s="198"/>
      <c r="S47" s="198"/>
      <c r="T47" s="198"/>
      <c r="U47" s="198"/>
    </row>
    <row r="48" spans="1:21" s="12" customFormat="1" x14ac:dyDescent="0.25">
      <c r="A48" s="213" t="s">
        <v>478</v>
      </c>
      <c r="B48" s="64">
        <v>38.96</v>
      </c>
      <c r="C48" s="64">
        <v>63.55</v>
      </c>
      <c r="D48" s="64">
        <v>66.959999999999994</v>
      </c>
      <c r="E48" s="64">
        <v>0.25</v>
      </c>
      <c r="F48" s="64">
        <v>3.28</v>
      </c>
      <c r="G48" s="64">
        <v>111.26</v>
      </c>
      <c r="H48" s="64">
        <v>42.3</v>
      </c>
      <c r="I48" s="64">
        <v>1.57</v>
      </c>
      <c r="J48" s="64">
        <v>1.05</v>
      </c>
      <c r="K48" s="64">
        <v>112.95</v>
      </c>
      <c r="L48" s="64">
        <v>23.1</v>
      </c>
      <c r="M48" s="64">
        <v>37.58</v>
      </c>
      <c r="N48" s="64">
        <v>704.7</v>
      </c>
      <c r="O48" s="64">
        <v>0</v>
      </c>
      <c r="P48" s="64">
        <v>0.94</v>
      </c>
      <c r="Q48" s="64">
        <v>9.77</v>
      </c>
      <c r="R48" s="198"/>
      <c r="S48" s="198"/>
      <c r="T48" s="198"/>
      <c r="U48" s="198"/>
    </row>
    <row r="49" spans="1:21" s="12" customFormat="1" x14ac:dyDescent="0.25">
      <c r="A49" s="213" t="s">
        <v>479</v>
      </c>
      <c r="B49" s="64">
        <v>34.26</v>
      </c>
      <c r="C49" s="64">
        <v>63.52</v>
      </c>
      <c r="D49" s="64">
        <v>63.18</v>
      </c>
      <c r="E49" s="64">
        <v>0.24</v>
      </c>
      <c r="F49" s="64">
        <v>3.18</v>
      </c>
      <c r="G49" s="64">
        <v>111.26</v>
      </c>
      <c r="H49" s="64">
        <v>42.3</v>
      </c>
      <c r="I49" s="64">
        <v>1.58</v>
      </c>
      <c r="J49" s="64">
        <v>1.06</v>
      </c>
      <c r="K49" s="64">
        <v>109.63</v>
      </c>
      <c r="L49" s="64">
        <v>23.34</v>
      </c>
      <c r="M49" s="64">
        <v>35.06</v>
      </c>
      <c r="N49" s="64">
        <v>731.2</v>
      </c>
      <c r="O49" s="64">
        <v>0</v>
      </c>
      <c r="P49" s="64">
        <v>0.9</v>
      </c>
      <c r="Q49" s="64">
        <v>9.48</v>
      </c>
      <c r="R49" s="198"/>
      <c r="S49" s="198"/>
      <c r="T49" s="198"/>
      <c r="U49" s="198"/>
    </row>
    <row r="50" spans="1:21" s="12" customFormat="1" x14ac:dyDescent="0.25">
      <c r="A50" s="213" t="s">
        <v>480</v>
      </c>
      <c r="B50" s="64">
        <v>29.87</v>
      </c>
      <c r="C50" s="64">
        <v>63.52</v>
      </c>
      <c r="D50" s="64">
        <v>59.65</v>
      </c>
      <c r="E50" s="64">
        <v>0.25</v>
      </c>
      <c r="F50" s="64">
        <v>3.12</v>
      </c>
      <c r="G50" s="64">
        <v>105.7</v>
      </c>
      <c r="H50" s="64">
        <v>39.340000000000003</v>
      </c>
      <c r="I50" s="64">
        <v>1.51</v>
      </c>
      <c r="J50" s="64">
        <v>0.97</v>
      </c>
      <c r="K50" s="64">
        <v>110.18</v>
      </c>
      <c r="L50" s="64">
        <v>23.67</v>
      </c>
      <c r="M50" s="64">
        <v>33.159999999999997</v>
      </c>
      <c r="N50" s="64">
        <v>750.7</v>
      </c>
      <c r="O50" s="64">
        <v>0</v>
      </c>
      <c r="P50" s="64">
        <v>0.86</v>
      </c>
      <c r="Q50" s="64">
        <v>9.1199999999999992</v>
      </c>
      <c r="R50" s="198"/>
      <c r="S50" s="198"/>
      <c r="T50" s="198"/>
      <c r="U50" s="198"/>
    </row>
    <row r="51" spans="1:21" s="12" customFormat="1" x14ac:dyDescent="0.25">
      <c r="A51" s="213" t="s">
        <v>481</v>
      </c>
      <c r="B51" s="64">
        <v>18.239999999999998</v>
      </c>
      <c r="C51" s="64">
        <v>67.03</v>
      </c>
      <c r="D51" s="64">
        <v>52.26</v>
      </c>
      <c r="E51" s="64">
        <v>0.34</v>
      </c>
      <c r="F51" s="64">
        <v>4.3600000000000003</v>
      </c>
      <c r="G51" s="64">
        <v>79.98</v>
      </c>
      <c r="H51" s="64">
        <v>29.29</v>
      </c>
      <c r="I51" s="64">
        <v>1.49</v>
      </c>
      <c r="J51" s="64">
        <v>0.23</v>
      </c>
      <c r="K51" s="64">
        <v>40.56</v>
      </c>
      <c r="L51" s="64">
        <v>25.64</v>
      </c>
      <c r="M51" s="64">
        <v>31.22</v>
      </c>
      <c r="N51" s="64">
        <v>765.6</v>
      </c>
      <c r="O51" s="64">
        <v>0</v>
      </c>
      <c r="P51" s="64">
        <v>0.73</v>
      </c>
      <c r="Q51" s="64">
        <v>8.74</v>
      </c>
      <c r="R51" s="198"/>
      <c r="S51" s="198"/>
      <c r="T51" s="198"/>
      <c r="U51" s="198"/>
    </row>
    <row r="52" spans="1:21" s="12" customFormat="1" x14ac:dyDescent="0.25">
      <c r="A52" s="213" t="s">
        <v>482</v>
      </c>
      <c r="B52" s="64">
        <v>10.55</v>
      </c>
      <c r="C52" s="64">
        <v>72.599999999999994</v>
      </c>
      <c r="D52" s="64">
        <v>49.17</v>
      </c>
      <c r="E52" s="64">
        <v>0.28000000000000003</v>
      </c>
      <c r="F52" s="64">
        <v>4.34</v>
      </c>
      <c r="G52" s="64">
        <v>79.98</v>
      </c>
      <c r="H52" s="64">
        <v>29.29</v>
      </c>
      <c r="I52" s="64">
        <v>1.46</v>
      </c>
      <c r="J52" s="64">
        <v>0.52</v>
      </c>
      <c r="K52" s="64">
        <v>91.37</v>
      </c>
      <c r="L52" s="64">
        <v>26.06</v>
      </c>
      <c r="M52" s="64">
        <v>28.24</v>
      </c>
      <c r="N52" s="64">
        <v>792.4</v>
      </c>
      <c r="O52" s="64">
        <v>0</v>
      </c>
      <c r="P52" s="64">
        <v>0.69</v>
      </c>
      <c r="Q52" s="64">
        <v>8.25</v>
      </c>
      <c r="R52" s="198"/>
      <c r="S52" s="198"/>
      <c r="T52" s="198"/>
      <c r="U52" s="198"/>
    </row>
    <row r="53" spans="1:21" s="12" customFormat="1" x14ac:dyDescent="0.25">
      <c r="A53" s="213" t="s">
        <v>483</v>
      </c>
      <c r="B53" s="64">
        <v>8.35</v>
      </c>
      <c r="C53" s="64">
        <v>73.7</v>
      </c>
      <c r="D53" s="64">
        <v>48.01</v>
      </c>
      <c r="E53" s="64">
        <v>0.3</v>
      </c>
      <c r="F53" s="64">
        <v>4.29</v>
      </c>
      <c r="G53" s="64">
        <v>79.98</v>
      </c>
      <c r="H53" s="64">
        <v>29.29</v>
      </c>
      <c r="I53" s="64">
        <v>1.51</v>
      </c>
      <c r="J53" s="64">
        <v>0.14000000000000001</v>
      </c>
      <c r="K53" s="64">
        <v>54.95</v>
      </c>
      <c r="L53" s="64">
        <v>26.89</v>
      </c>
      <c r="M53" s="64">
        <v>27.38</v>
      </c>
      <c r="N53" s="64">
        <v>789.6</v>
      </c>
      <c r="O53" s="64">
        <v>0</v>
      </c>
      <c r="P53" s="64">
        <v>0.67</v>
      </c>
      <c r="Q53" s="64">
        <v>7.88</v>
      </c>
      <c r="R53" s="198"/>
      <c r="S53" s="198"/>
      <c r="T53" s="198"/>
      <c r="U53" s="198"/>
    </row>
    <row r="54" spans="1:21" s="12" customFormat="1" x14ac:dyDescent="0.25">
      <c r="A54" s="213" t="s">
        <v>484</v>
      </c>
      <c r="B54" s="211" t="s">
        <v>40</v>
      </c>
      <c r="C54" s="211" t="s">
        <v>40</v>
      </c>
      <c r="D54" s="211" t="s">
        <v>40</v>
      </c>
      <c r="E54" s="64">
        <v>0.27</v>
      </c>
      <c r="F54" s="64">
        <v>4.5999999999999996</v>
      </c>
      <c r="G54" s="64">
        <v>79.98</v>
      </c>
      <c r="H54" s="64">
        <v>29.29</v>
      </c>
      <c r="I54" s="64">
        <v>1.47</v>
      </c>
      <c r="J54" s="64">
        <v>0.9</v>
      </c>
      <c r="K54" s="64">
        <v>113.27</v>
      </c>
      <c r="L54" s="64">
        <v>26.18</v>
      </c>
      <c r="M54" s="64">
        <v>25</v>
      </c>
      <c r="N54" s="64">
        <v>832.1</v>
      </c>
      <c r="O54" s="64">
        <v>0</v>
      </c>
      <c r="P54" s="64">
        <v>0.65</v>
      </c>
      <c r="Q54" s="64">
        <v>7.65</v>
      </c>
      <c r="R54" s="198"/>
      <c r="S54" s="198"/>
      <c r="T54" s="198"/>
      <c r="U54" s="198"/>
    </row>
    <row r="55" spans="1:21" s="12" customFormat="1" x14ac:dyDescent="0.25">
      <c r="A55" s="213" t="s">
        <v>485</v>
      </c>
      <c r="B55" s="211" t="s">
        <v>40</v>
      </c>
      <c r="C55" s="211" t="s">
        <v>40</v>
      </c>
      <c r="D55" s="211" t="s">
        <v>40</v>
      </c>
      <c r="E55" s="64">
        <v>0.27</v>
      </c>
      <c r="F55" s="64">
        <v>5.19</v>
      </c>
      <c r="G55" s="64">
        <v>17.77</v>
      </c>
      <c r="H55" s="64">
        <v>6.51</v>
      </c>
      <c r="I55" s="64">
        <v>1.49</v>
      </c>
      <c r="J55" s="64">
        <v>0.5</v>
      </c>
      <c r="K55" s="64">
        <v>350.22</v>
      </c>
      <c r="L55" s="64">
        <v>28.42</v>
      </c>
      <c r="M55" s="64">
        <v>23.17</v>
      </c>
      <c r="N55" s="64">
        <v>837.1</v>
      </c>
      <c r="O55" s="64">
        <v>0</v>
      </c>
      <c r="P55" s="211" t="s">
        <v>40</v>
      </c>
      <c r="Q55" s="64">
        <v>7.32</v>
      </c>
      <c r="R55" s="198"/>
      <c r="S55" s="198"/>
      <c r="T55" s="198"/>
      <c r="U55" s="198"/>
    </row>
    <row r="56" spans="1:21" s="12" customFormat="1" x14ac:dyDescent="0.25">
      <c r="A56" s="213" t="s">
        <v>486</v>
      </c>
      <c r="B56" s="64">
        <v>4.21</v>
      </c>
      <c r="C56" s="64">
        <v>68.290000000000006</v>
      </c>
      <c r="D56" s="64">
        <v>41.7</v>
      </c>
      <c r="E56" s="64">
        <v>0.28999999999999998</v>
      </c>
      <c r="F56" s="64">
        <v>6.08</v>
      </c>
      <c r="G56" s="211" t="s">
        <v>40</v>
      </c>
      <c r="H56" s="211" t="s">
        <v>40</v>
      </c>
      <c r="I56" s="64">
        <v>1.5</v>
      </c>
      <c r="J56" s="64">
        <v>0.47</v>
      </c>
      <c r="K56" s="64">
        <v>339.2</v>
      </c>
      <c r="L56" s="64">
        <v>29.33</v>
      </c>
      <c r="M56" s="64">
        <v>22.57</v>
      </c>
      <c r="N56" s="64">
        <v>839.2</v>
      </c>
      <c r="O56" s="64">
        <v>0</v>
      </c>
      <c r="P56" s="211" t="s">
        <v>40</v>
      </c>
      <c r="Q56" s="64">
        <v>7.13</v>
      </c>
      <c r="R56" s="198"/>
      <c r="S56" s="198"/>
      <c r="T56" s="198"/>
      <c r="U56" s="198"/>
    </row>
    <row r="57" spans="1:21" s="12" customFormat="1" x14ac:dyDescent="0.25">
      <c r="A57" s="213" t="s">
        <v>487</v>
      </c>
      <c r="B57" s="64">
        <v>4.8</v>
      </c>
      <c r="C57" s="64">
        <v>69.819999999999993</v>
      </c>
      <c r="D57" s="64">
        <v>43.03</v>
      </c>
      <c r="E57" s="64">
        <v>0.37</v>
      </c>
      <c r="F57" s="64">
        <v>6.07</v>
      </c>
      <c r="G57" s="211" t="s">
        <v>40</v>
      </c>
      <c r="H57" s="211" t="s">
        <v>40</v>
      </c>
      <c r="I57" s="64">
        <v>1.51</v>
      </c>
      <c r="J57" s="64">
        <v>0.61</v>
      </c>
      <c r="K57" s="64">
        <v>3.15</v>
      </c>
      <c r="L57" s="64">
        <v>29.52</v>
      </c>
      <c r="M57" s="64">
        <v>22.91</v>
      </c>
      <c r="N57" s="64">
        <v>837.6</v>
      </c>
      <c r="O57" s="64">
        <v>0</v>
      </c>
      <c r="P57" s="211" t="s">
        <v>40</v>
      </c>
      <c r="Q57" s="64">
        <v>6.93</v>
      </c>
      <c r="R57" s="198"/>
      <c r="S57" s="198"/>
      <c r="T57" s="198"/>
      <c r="U57" s="198"/>
    </row>
    <row r="58" spans="1:21" s="12" customFormat="1" x14ac:dyDescent="0.25">
      <c r="A58" s="213" t="s">
        <v>488</v>
      </c>
      <c r="B58" s="64">
        <v>4.92</v>
      </c>
      <c r="C58" s="64">
        <v>72.25</v>
      </c>
      <c r="D58" s="64">
        <v>44.47</v>
      </c>
      <c r="E58" s="64">
        <v>0.37</v>
      </c>
      <c r="F58" s="64">
        <v>5.43</v>
      </c>
      <c r="G58" s="211" t="s">
        <v>40</v>
      </c>
      <c r="H58" s="211" t="s">
        <v>40</v>
      </c>
      <c r="I58" s="64">
        <v>1.6</v>
      </c>
      <c r="J58" s="64">
        <v>0.14000000000000001</v>
      </c>
      <c r="K58" s="64">
        <v>322.63</v>
      </c>
      <c r="L58" s="64">
        <v>30.17</v>
      </c>
      <c r="M58" s="64">
        <v>22.03</v>
      </c>
      <c r="N58" s="64">
        <v>844.2</v>
      </c>
      <c r="O58" s="64">
        <v>0</v>
      </c>
      <c r="P58" s="211" t="s">
        <v>40</v>
      </c>
      <c r="Q58" s="64">
        <v>7.01</v>
      </c>
      <c r="R58" s="198"/>
      <c r="S58" s="198"/>
      <c r="T58" s="198"/>
      <c r="U58" s="198"/>
    </row>
    <row r="59" spans="1:21" s="12" customFormat="1" x14ac:dyDescent="0.25">
      <c r="A59" s="213" t="s">
        <v>489</v>
      </c>
      <c r="B59" s="64">
        <v>4.1100000000000003</v>
      </c>
      <c r="C59" s="64">
        <v>71.84</v>
      </c>
      <c r="D59" s="64">
        <v>43.59</v>
      </c>
      <c r="E59" s="64">
        <v>0.33</v>
      </c>
      <c r="F59" s="64">
        <v>4.67</v>
      </c>
      <c r="G59" s="64">
        <v>30.38</v>
      </c>
      <c r="H59" s="64">
        <v>29.99</v>
      </c>
      <c r="I59" s="64">
        <v>1.51</v>
      </c>
      <c r="J59" s="64">
        <v>0.21</v>
      </c>
      <c r="K59" s="64">
        <v>136.43</v>
      </c>
      <c r="L59" s="64">
        <v>28.14</v>
      </c>
      <c r="M59" s="64">
        <v>23.45</v>
      </c>
      <c r="N59" s="64">
        <v>846.9</v>
      </c>
      <c r="O59" s="64">
        <v>0</v>
      </c>
      <c r="P59" s="64">
        <v>0.56000000000000005</v>
      </c>
      <c r="Q59" s="64">
        <v>7.08</v>
      </c>
      <c r="R59" s="198"/>
      <c r="S59" s="198"/>
      <c r="T59" s="198"/>
      <c r="U59" s="198"/>
    </row>
    <row r="60" spans="1:21" s="12" customFormat="1" x14ac:dyDescent="0.25">
      <c r="A60" s="213" t="s">
        <v>490</v>
      </c>
      <c r="B60" s="64">
        <v>3.8</v>
      </c>
      <c r="C60" s="64">
        <v>69.099999999999994</v>
      </c>
      <c r="D60" s="64">
        <v>41.83</v>
      </c>
      <c r="E60" s="64">
        <v>0.33</v>
      </c>
      <c r="F60" s="64">
        <v>4.2</v>
      </c>
      <c r="G60" s="64">
        <v>38.51</v>
      </c>
      <c r="H60" s="64">
        <v>38.01</v>
      </c>
      <c r="I60" s="64">
        <v>1.43</v>
      </c>
      <c r="J60" s="64">
        <v>0.59</v>
      </c>
      <c r="K60" s="64">
        <v>121.78</v>
      </c>
      <c r="L60" s="64">
        <v>27.32</v>
      </c>
      <c r="M60" s="64">
        <v>23.87</v>
      </c>
      <c r="N60" s="64">
        <v>816.4</v>
      </c>
      <c r="O60" s="64">
        <v>0</v>
      </c>
      <c r="P60" s="64">
        <v>0.53</v>
      </c>
      <c r="Q60" s="64">
        <v>7.14</v>
      </c>
      <c r="R60" s="198"/>
      <c r="S60" s="198"/>
      <c r="T60" s="198"/>
      <c r="U60" s="198"/>
    </row>
    <row r="61" spans="1:21" s="12" customFormat="1" x14ac:dyDescent="0.25">
      <c r="A61" s="213" t="s">
        <v>491</v>
      </c>
      <c r="B61" s="64">
        <v>3.92</v>
      </c>
      <c r="C61" s="64">
        <v>66.13</v>
      </c>
      <c r="D61" s="64">
        <v>40.28</v>
      </c>
      <c r="E61" s="64">
        <v>0.23</v>
      </c>
      <c r="F61" s="64">
        <v>3.95</v>
      </c>
      <c r="G61" s="64">
        <v>38.51</v>
      </c>
      <c r="H61" s="64">
        <v>38.01</v>
      </c>
      <c r="I61" s="64">
        <v>1.48</v>
      </c>
      <c r="J61" s="64">
        <v>0.59</v>
      </c>
      <c r="K61" s="64">
        <v>103.8</v>
      </c>
      <c r="L61" s="64">
        <v>26.22</v>
      </c>
      <c r="M61" s="64">
        <v>25.77</v>
      </c>
      <c r="N61" s="64">
        <v>794.6</v>
      </c>
      <c r="O61" s="64">
        <v>0</v>
      </c>
      <c r="P61" s="64">
        <v>0.49</v>
      </c>
      <c r="Q61" s="64">
        <v>7.17</v>
      </c>
      <c r="R61" s="198"/>
      <c r="S61" s="198"/>
      <c r="T61" s="198"/>
      <c r="U61" s="198"/>
    </row>
    <row r="62" spans="1:21" s="12" customFormat="1" x14ac:dyDescent="0.25">
      <c r="A62" s="213" t="s">
        <v>492</v>
      </c>
      <c r="B62" s="64">
        <v>3.65</v>
      </c>
      <c r="C62" s="64">
        <v>63.24</v>
      </c>
      <c r="D62" s="64">
        <v>38.47</v>
      </c>
      <c r="E62" s="64">
        <v>0.33</v>
      </c>
      <c r="F62" s="64">
        <v>4.2</v>
      </c>
      <c r="G62" s="64">
        <v>38.51</v>
      </c>
      <c r="H62" s="64">
        <v>38.01</v>
      </c>
      <c r="I62" s="64">
        <v>1.47</v>
      </c>
      <c r="J62" s="64">
        <v>0.13</v>
      </c>
      <c r="K62" s="64">
        <v>324</v>
      </c>
      <c r="L62" s="64">
        <v>28.34</v>
      </c>
      <c r="M62" s="64">
        <v>23.4</v>
      </c>
      <c r="N62" s="64">
        <v>743.4</v>
      </c>
      <c r="O62" s="64">
        <v>0</v>
      </c>
      <c r="P62" s="64">
        <v>0.49</v>
      </c>
      <c r="Q62" s="64">
        <v>7.19</v>
      </c>
      <c r="R62" s="198"/>
      <c r="S62" s="198"/>
      <c r="T62" s="198"/>
      <c r="U62" s="198"/>
    </row>
    <row r="63" spans="1:21" s="12" customFormat="1" x14ac:dyDescent="0.25">
      <c r="A63" s="213" t="s">
        <v>493</v>
      </c>
      <c r="B63" s="64">
        <v>3.68</v>
      </c>
      <c r="C63" s="64">
        <v>61.99</v>
      </c>
      <c r="D63" s="64">
        <v>37.81</v>
      </c>
      <c r="E63" s="64">
        <v>0.37</v>
      </c>
      <c r="F63" s="64">
        <v>4.01</v>
      </c>
      <c r="G63" s="64">
        <v>46.18</v>
      </c>
      <c r="H63" s="64">
        <v>38.869999999999997</v>
      </c>
      <c r="I63" s="64">
        <v>1.52</v>
      </c>
      <c r="J63" s="64">
        <v>0.51</v>
      </c>
      <c r="K63" s="64">
        <v>315.45</v>
      </c>
      <c r="L63" s="64">
        <v>30</v>
      </c>
      <c r="M63" s="64">
        <v>22.51</v>
      </c>
      <c r="N63" s="64">
        <v>693.6</v>
      </c>
      <c r="O63" s="64">
        <v>0</v>
      </c>
      <c r="P63" s="64">
        <v>0.49</v>
      </c>
      <c r="Q63" s="64">
        <v>7.23</v>
      </c>
      <c r="R63" s="198"/>
      <c r="S63" s="198"/>
      <c r="T63" s="198"/>
      <c r="U63" s="198"/>
    </row>
    <row r="64" spans="1:21" s="12" customFormat="1" x14ac:dyDescent="0.25">
      <c r="A64" s="213" t="s">
        <v>494</v>
      </c>
      <c r="B64" s="64">
        <v>4.13</v>
      </c>
      <c r="C64" s="64">
        <v>61.34</v>
      </c>
      <c r="D64" s="64">
        <v>37.81</v>
      </c>
      <c r="E64" s="64">
        <v>0.27</v>
      </c>
      <c r="F64" s="64">
        <v>3.93</v>
      </c>
      <c r="G64" s="64">
        <v>48.24</v>
      </c>
      <c r="H64" s="64">
        <v>38.869999999999997</v>
      </c>
      <c r="I64" s="64">
        <v>1.57</v>
      </c>
      <c r="J64" s="64">
        <v>0.2</v>
      </c>
      <c r="K64" s="64">
        <v>349.79</v>
      </c>
      <c r="L64" s="64">
        <v>29.42</v>
      </c>
      <c r="M64" s="64">
        <v>22.42</v>
      </c>
      <c r="N64" s="64">
        <v>626.1</v>
      </c>
      <c r="O64" s="64">
        <v>0</v>
      </c>
      <c r="P64" s="64">
        <v>0.49</v>
      </c>
      <c r="Q64" s="64">
        <v>7.26</v>
      </c>
      <c r="R64" s="198"/>
      <c r="S64" s="198"/>
      <c r="T64" s="198"/>
      <c r="U64" s="198"/>
    </row>
    <row r="65" spans="1:21" s="12" customFormat="1" x14ac:dyDescent="0.25">
      <c r="A65" s="213" t="s">
        <v>495</v>
      </c>
      <c r="B65" s="64">
        <v>4.29</v>
      </c>
      <c r="C65" s="64">
        <v>61.16</v>
      </c>
      <c r="D65" s="64">
        <v>37.840000000000003</v>
      </c>
      <c r="E65" s="64">
        <v>0.31</v>
      </c>
      <c r="F65" s="64">
        <v>3.8</v>
      </c>
      <c r="G65" s="64">
        <v>48.24</v>
      </c>
      <c r="H65" s="64">
        <v>38.869999999999997</v>
      </c>
      <c r="I65" s="64">
        <v>1.53</v>
      </c>
      <c r="J65" s="64">
        <v>0.13</v>
      </c>
      <c r="K65" s="64">
        <v>12.78</v>
      </c>
      <c r="L65" s="64">
        <v>28.22</v>
      </c>
      <c r="M65" s="64">
        <v>23.63</v>
      </c>
      <c r="N65" s="64">
        <v>596.29999999999995</v>
      </c>
      <c r="O65" s="64">
        <v>0</v>
      </c>
      <c r="P65" s="64">
        <v>0.48</v>
      </c>
      <c r="Q65" s="64">
        <v>7.3</v>
      </c>
      <c r="R65" s="198"/>
      <c r="S65" s="198"/>
      <c r="T65" s="198"/>
      <c r="U65" s="198"/>
    </row>
    <row r="66" spans="1:21" s="12" customFormat="1" x14ac:dyDescent="0.25">
      <c r="A66" s="213" t="s">
        <v>496</v>
      </c>
      <c r="B66" s="64">
        <v>4.4400000000000004</v>
      </c>
      <c r="C66" s="64">
        <v>61.65</v>
      </c>
      <c r="D66" s="64">
        <v>38.229999999999997</v>
      </c>
      <c r="E66" s="64">
        <v>0.42</v>
      </c>
      <c r="F66" s="64">
        <v>3.91</v>
      </c>
      <c r="G66" s="64">
        <v>48.24</v>
      </c>
      <c r="H66" s="64">
        <v>38.869999999999997</v>
      </c>
      <c r="I66" s="64">
        <v>1.45</v>
      </c>
      <c r="J66" s="64">
        <v>0.62</v>
      </c>
      <c r="K66" s="64">
        <v>342.08</v>
      </c>
      <c r="L66" s="64">
        <v>27.92</v>
      </c>
      <c r="M66" s="64">
        <v>25.34</v>
      </c>
      <c r="N66" s="64">
        <v>551.5</v>
      </c>
      <c r="O66" s="64">
        <v>0</v>
      </c>
      <c r="P66" s="64">
        <v>0.49</v>
      </c>
      <c r="Q66" s="64">
        <v>7.35</v>
      </c>
      <c r="R66" s="198"/>
      <c r="S66" s="198"/>
      <c r="T66" s="198"/>
      <c r="U66" s="198"/>
    </row>
    <row r="67" spans="1:21" s="12" customFormat="1" x14ac:dyDescent="0.25">
      <c r="A67" s="213" t="s">
        <v>497</v>
      </c>
      <c r="B67" s="64">
        <v>4.53</v>
      </c>
      <c r="C67" s="64">
        <v>63.5</v>
      </c>
      <c r="D67" s="64">
        <v>39.32</v>
      </c>
      <c r="E67" s="64">
        <v>0.28000000000000003</v>
      </c>
      <c r="F67" s="64">
        <v>4.07</v>
      </c>
      <c r="G67" s="64">
        <v>54.71</v>
      </c>
      <c r="H67" s="64">
        <v>37.89</v>
      </c>
      <c r="I67" s="64">
        <v>1.49</v>
      </c>
      <c r="J67" s="64">
        <v>0.9</v>
      </c>
      <c r="K67" s="64">
        <v>323.27999999999997</v>
      </c>
      <c r="L67" s="64">
        <v>28.95</v>
      </c>
      <c r="M67" s="64">
        <v>24.3</v>
      </c>
      <c r="N67" s="64">
        <v>346.9</v>
      </c>
      <c r="O67" s="64">
        <v>0</v>
      </c>
      <c r="P67" s="64">
        <v>0.49</v>
      </c>
      <c r="Q67" s="64">
        <v>7.38</v>
      </c>
      <c r="R67" s="198"/>
      <c r="S67" s="198"/>
      <c r="T67" s="198"/>
      <c r="U67" s="198"/>
    </row>
    <row r="68" spans="1:21" s="12" customFormat="1" x14ac:dyDescent="0.25">
      <c r="A68" s="213" t="s">
        <v>498</v>
      </c>
      <c r="B68" s="64">
        <v>5.7</v>
      </c>
      <c r="C68" s="64">
        <v>63.15</v>
      </c>
      <c r="D68" s="64">
        <v>40.07</v>
      </c>
      <c r="E68" s="64">
        <v>0.31</v>
      </c>
      <c r="F68" s="64">
        <v>3.87</v>
      </c>
      <c r="G68" s="64">
        <v>56.44</v>
      </c>
      <c r="H68" s="64">
        <v>37.89</v>
      </c>
      <c r="I68" s="64">
        <v>1.52</v>
      </c>
      <c r="J68" s="64">
        <v>1.1100000000000001</v>
      </c>
      <c r="K68" s="64">
        <v>330.45</v>
      </c>
      <c r="L68" s="64">
        <v>29.2</v>
      </c>
      <c r="M68" s="64">
        <v>23.01</v>
      </c>
      <c r="N68" s="64">
        <v>317.89999999999998</v>
      </c>
      <c r="O68" s="64">
        <v>0</v>
      </c>
      <c r="P68" s="64">
        <v>0.49</v>
      </c>
      <c r="Q68" s="64">
        <v>7.49</v>
      </c>
      <c r="R68" s="198"/>
      <c r="S68" s="198"/>
      <c r="T68" s="198"/>
      <c r="U68" s="198"/>
    </row>
    <row r="69" spans="1:21" s="12" customFormat="1" x14ac:dyDescent="0.25">
      <c r="A69" s="213" t="s">
        <v>499</v>
      </c>
      <c r="B69" s="64">
        <v>10.54</v>
      </c>
      <c r="C69" s="64">
        <v>57.11</v>
      </c>
      <c r="D69" s="64">
        <v>40.61</v>
      </c>
      <c r="E69" s="211" t="s">
        <v>40</v>
      </c>
      <c r="F69" s="64">
        <v>3.99</v>
      </c>
      <c r="G69" s="64">
        <v>56.44</v>
      </c>
      <c r="H69" s="64">
        <v>37.89</v>
      </c>
      <c r="I69" s="64">
        <v>1.37</v>
      </c>
      <c r="J69" s="64">
        <v>0.49</v>
      </c>
      <c r="K69" s="64">
        <v>315.54000000000002</v>
      </c>
      <c r="L69" s="64">
        <v>28.6</v>
      </c>
      <c r="M69" s="64">
        <v>23.09</v>
      </c>
      <c r="N69" s="64">
        <v>288.39999999999998</v>
      </c>
      <c r="O69" s="64">
        <v>0</v>
      </c>
      <c r="P69" s="64">
        <v>0.48</v>
      </c>
      <c r="Q69" s="64">
        <v>7.64</v>
      </c>
      <c r="R69" s="198"/>
      <c r="S69" s="198"/>
      <c r="T69" s="198"/>
      <c r="U69" s="198"/>
    </row>
    <row r="70" spans="1:21" s="12" customFormat="1" x14ac:dyDescent="0.25">
      <c r="A70" s="213" t="s">
        <v>500</v>
      </c>
      <c r="B70" s="64">
        <v>9.0299999999999994</v>
      </c>
      <c r="C70" s="64">
        <v>57.4</v>
      </c>
      <c r="D70" s="64">
        <v>39.56</v>
      </c>
      <c r="E70" s="211" t="s">
        <v>40</v>
      </c>
      <c r="F70" s="64">
        <v>5.19</v>
      </c>
      <c r="G70" s="64">
        <v>56.44</v>
      </c>
      <c r="H70" s="64">
        <v>37.89</v>
      </c>
      <c r="I70" s="64">
        <v>1.49</v>
      </c>
      <c r="J70" s="64">
        <v>0.47</v>
      </c>
      <c r="K70" s="64">
        <v>322.97000000000003</v>
      </c>
      <c r="L70" s="64">
        <v>27.53</v>
      </c>
      <c r="M70" s="64">
        <v>23.18</v>
      </c>
      <c r="N70" s="64">
        <v>168.6</v>
      </c>
      <c r="O70" s="64">
        <v>0</v>
      </c>
      <c r="P70" s="64">
        <v>0.45</v>
      </c>
      <c r="Q70" s="64">
        <v>7.6</v>
      </c>
      <c r="R70" s="198"/>
      <c r="S70" s="198"/>
      <c r="T70" s="198"/>
      <c r="U70" s="198"/>
    </row>
    <row r="71" spans="1:21" s="12" customFormat="1" x14ac:dyDescent="0.25">
      <c r="A71" s="213" t="s">
        <v>501</v>
      </c>
      <c r="B71" s="64">
        <v>7.62</v>
      </c>
      <c r="C71" s="64">
        <v>57.7</v>
      </c>
      <c r="D71" s="64">
        <v>38.6</v>
      </c>
      <c r="E71" s="211" t="s">
        <v>40</v>
      </c>
      <c r="F71" s="64">
        <v>4.5599999999999996</v>
      </c>
      <c r="G71" s="64">
        <v>54.94</v>
      </c>
      <c r="H71" s="64">
        <v>30.6</v>
      </c>
      <c r="I71" s="64">
        <v>1.55</v>
      </c>
      <c r="J71" s="64">
        <v>0.82</v>
      </c>
      <c r="K71" s="64">
        <v>319.94</v>
      </c>
      <c r="L71" s="64">
        <v>26.58</v>
      </c>
      <c r="M71" s="64">
        <v>25.08</v>
      </c>
      <c r="N71" s="64">
        <v>139.19999999999999</v>
      </c>
      <c r="O71" s="64">
        <v>0</v>
      </c>
      <c r="P71" s="64">
        <v>0.44</v>
      </c>
      <c r="Q71" s="64">
        <v>7.48</v>
      </c>
      <c r="R71" s="198"/>
      <c r="S71" s="198"/>
      <c r="T71" s="198"/>
      <c r="U71" s="198"/>
    </row>
    <row r="72" spans="1:21" s="12" customFormat="1" x14ac:dyDescent="0.25">
      <c r="A72" s="213" t="s">
        <v>502</v>
      </c>
      <c r="B72" s="64">
        <v>7.22</v>
      </c>
      <c r="C72" s="64">
        <v>57.25</v>
      </c>
      <c r="D72" s="64">
        <v>38.03</v>
      </c>
      <c r="E72" s="211" t="s">
        <v>40</v>
      </c>
      <c r="F72" s="64">
        <v>4.07</v>
      </c>
      <c r="G72" s="64">
        <v>54.54</v>
      </c>
      <c r="H72" s="64">
        <v>30.6</v>
      </c>
      <c r="I72" s="64">
        <v>1.45</v>
      </c>
      <c r="J72" s="64">
        <v>0.7</v>
      </c>
      <c r="K72" s="64">
        <v>322.74</v>
      </c>
      <c r="L72" s="64">
        <v>26.04</v>
      </c>
      <c r="M72" s="64">
        <v>25.79</v>
      </c>
      <c r="N72" s="64">
        <v>128.6</v>
      </c>
      <c r="O72" s="64">
        <v>0</v>
      </c>
      <c r="P72" s="64">
        <v>0.43</v>
      </c>
      <c r="Q72" s="64">
        <v>7.43</v>
      </c>
      <c r="R72" s="198"/>
      <c r="S72" s="198"/>
      <c r="T72" s="198"/>
      <c r="U72" s="198"/>
    </row>
    <row r="73" spans="1:21" s="12" customFormat="1" x14ac:dyDescent="0.25">
      <c r="A73" s="213" t="s">
        <v>503</v>
      </c>
      <c r="B73" s="64">
        <v>6.91</v>
      </c>
      <c r="C73" s="64">
        <v>57.54</v>
      </c>
      <c r="D73" s="64">
        <v>37.94</v>
      </c>
      <c r="E73" s="64">
        <v>0.04</v>
      </c>
      <c r="F73" s="64">
        <v>4.29</v>
      </c>
      <c r="G73" s="64">
        <v>54.54</v>
      </c>
      <c r="H73" s="64">
        <v>30.6</v>
      </c>
      <c r="I73" s="64">
        <v>1.45</v>
      </c>
      <c r="J73" s="64">
        <v>1.05</v>
      </c>
      <c r="K73" s="64">
        <v>336.11</v>
      </c>
      <c r="L73" s="64">
        <v>25.7</v>
      </c>
      <c r="M73" s="64">
        <v>26.88</v>
      </c>
      <c r="N73" s="64">
        <v>117.9</v>
      </c>
      <c r="O73" s="64">
        <v>0</v>
      </c>
      <c r="P73" s="64">
        <v>0.44</v>
      </c>
      <c r="Q73" s="64">
        <v>7.41</v>
      </c>
      <c r="R73" s="198"/>
      <c r="S73" s="198"/>
      <c r="T73" s="198"/>
      <c r="U73" s="198"/>
    </row>
    <row r="74" spans="1:21" s="12" customFormat="1" x14ac:dyDescent="0.25">
      <c r="A74" s="213" t="s">
        <v>504</v>
      </c>
      <c r="B74" s="64">
        <v>6.77</v>
      </c>
      <c r="C74" s="64">
        <v>59.02</v>
      </c>
      <c r="D74" s="64">
        <v>38.65</v>
      </c>
      <c r="E74" s="64">
        <v>0.13</v>
      </c>
      <c r="F74" s="64">
        <v>3.95</v>
      </c>
      <c r="G74" s="64">
        <v>54.54</v>
      </c>
      <c r="H74" s="64">
        <v>30.6</v>
      </c>
      <c r="I74" s="64">
        <v>1.51</v>
      </c>
      <c r="J74" s="64">
        <v>0.71</v>
      </c>
      <c r="K74" s="64">
        <v>323.23</v>
      </c>
      <c r="L74" s="64">
        <v>25.29</v>
      </c>
      <c r="M74" s="64">
        <v>27.06</v>
      </c>
      <c r="N74" s="64">
        <v>110</v>
      </c>
      <c r="O74" s="64">
        <v>0</v>
      </c>
      <c r="P74" s="64">
        <v>0.44</v>
      </c>
      <c r="Q74" s="64">
        <v>7.37</v>
      </c>
      <c r="R74" s="198"/>
      <c r="S74" s="198"/>
      <c r="T74" s="198"/>
      <c r="U74" s="198"/>
    </row>
    <row r="75" spans="1:21" s="12" customFormat="1" x14ac:dyDescent="0.25">
      <c r="A75" s="213" t="s">
        <v>505</v>
      </c>
      <c r="B75" s="64">
        <v>6.59</v>
      </c>
      <c r="C75" s="64">
        <v>59.81</v>
      </c>
      <c r="D75" s="64">
        <v>38.94</v>
      </c>
      <c r="E75" s="64">
        <v>0.01</v>
      </c>
      <c r="F75" s="64">
        <v>3.82</v>
      </c>
      <c r="G75" s="64">
        <v>40.299999999999997</v>
      </c>
      <c r="H75" s="64">
        <v>21.66</v>
      </c>
      <c r="I75" s="64">
        <v>1.48</v>
      </c>
      <c r="J75" s="64">
        <v>1.1299999999999999</v>
      </c>
      <c r="K75" s="64">
        <v>334.23</v>
      </c>
      <c r="L75" s="64">
        <v>25.02</v>
      </c>
      <c r="M75" s="64">
        <v>27.68</v>
      </c>
      <c r="N75" s="64">
        <v>102.1</v>
      </c>
      <c r="O75" s="64">
        <v>0</v>
      </c>
      <c r="P75" s="64">
        <v>0.44</v>
      </c>
      <c r="Q75" s="64">
        <v>7.36</v>
      </c>
      <c r="R75" s="198"/>
      <c r="S75" s="198"/>
      <c r="T75" s="198"/>
      <c r="U75" s="198"/>
    </row>
    <row r="76" spans="1:21" s="12" customFormat="1" x14ac:dyDescent="0.25">
      <c r="A76" s="213" t="s">
        <v>506</v>
      </c>
      <c r="B76" s="64">
        <v>6.33</v>
      </c>
      <c r="C76" s="64">
        <v>60.08</v>
      </c>
      <c r="D76" s="64">
        <v>38.869999999999997</v>
      </c>
      <c r="E76" s="64">
        <v>0.08</v>
      </c>
      <c r="F76" s="64">
        <v>4.34</v>
      </c>
      <c r="G76" s="64">
        <v>36.49</v>
      </c>
      <c r="H76" s="64">
        <v>21.66</v>
      </c>
      <c r="I76" s="64">
        <v>1.51</v>
      </c>
      <c r="J76" s="64">
        <v>0.94</v>
      </c>
      <c r="K76" s="64">
        <v>338.36</v>
      </c>
      <c r="L76" s="64">
        <v>24.66</v>
      </c>
      <c r="M76" s="64">
        <v>28.09</v>
      </c>
      <c r="N76" s="64">
        <v>93.9</v>
      </c>
      <c r="O76" s="64">
        <v>0</v>
      </c>
      <c r="P76" s="64">
        <v>0.44</v>
      </c>
      <c r="Q76" s="64">
        <v>7.42</v>
      </c>
      <c r="R76" s="198"/>
      <c r="S76" s="198"/>
      <c r="T76" s="198"/>
      <c r="U76" s="198"/>
    </row>
    <row r="77" spans="1:21" s="12" customFormat="1" x14ac:dyDescent="0.25">
      <c r="A77" s="213" t="s">
        <v>507</v>
      </c>
      <c r="B77" s="64">
        <v>6.4</v>
      </c>
      <c r="C77" s="64">
        <v>61.09</v>
      </c>
      <c r="D77" s="64">
        <v>39.49</v>
      </c>
      <c r="E77" s="64">
        <v>0.08</v>
      </c>
      <c r="F77" s="64">
        <v>3.77</v>
      </c>
      <c r="G77" s="64">
        <v>36.49</v>
      </c>
      <c r="H77" s="64">
        <v>21.66</v>
      </c>
      <c r="I77" s="64">
        <v>1.49</v>
      </c>
      <c r="J77" s="64">
        <v>0.56999999999999995</v>
      </c>
      <c r="K77" s="64">
        <v>319.02999999999997</v>
      </c>
      <c r="L77" s="64">
        <v>24.3</v>
      </c>
      <c r="M77" s="64">
        <v>29.21</v>
      </c>
      <c r="N77" s="64">
        <v>84.7</v>
      </c>
      <c r="O77" s="64">
        <v>0</v>
      </c>
      <c r="P77" s="64">
        <v>0.45</v>
      </c>
      <c r="Q77" s="64">
        <v>7.5</v>
      </c>
      <c r="R77" s="198"/>
      <c r="S77" s="198"/>
      <c r="T77" s="198"/>
      <c r="U77" s="198"/>
    </row>
    <row r="78" spans="1:21" s="12" customFormat="1" x14ac:dyDescent="0.25">
      <c r="A78" s="213" t="s">
        <v>508</v>
      </c>
      <c r="B78" s="64">
        <v>6.26</v>
      </c>
      <c r="C78" s="64">
        <v>61.9</v>
      </c>
      <c r="D78" s="64">
        <v>39.83</v>
      </c>
      <c r="E78" s="64">
        <v>7.0000000000000007E-2</v>
      </c>
      <c r="F78" s="64">
        <v>4.01</v>
      </c>
      <c r="G78" s="64">
        <v>36.49</v>
      </c>
      <c r="H78" s="64">
        <v>21.66</v>
      </c>
      <c r="I78" s="64">
        <v>1.51</v>
      </c>
      <c r="J78" s="64">
        <v>0.26</v>
      </c>
      <c r="K78" s="64">
        <v>312.17</v>
      </c>
      <c r="L78" s="64">
        <v>23.76</v>
      </c>
      <c r="M78" s="64">
        <v>29.68</v>
      </c>
      <c r="N78" s="64">
        <v>74.8</v>
      </c>
      <c r="O78" s="64">
        <v>0</v>
      </c>
      <c r="P78" s="64">
        <v>0.46</v>
      </c>
      <c r="Q78" s="64">
        <v>7.51</v>
      </c>
      <c r="R78" s="198"/>
      <c r="S78" s="198"/>
      <c r="T78" s="198"/>
      <c r="U78" s="198"/>
    </row>
    <row r="79" spans="1:21" s="12" customFormat="1" x14ac:dyDescent="0.25">
      <c r="A79" s="213" t="s">
        <v>509</v>
      </c>
      <c r="B79" s="64">
        <v>6.43</v>
      </c>
      <c r="C79" s="64">
        <v>62.89</v>
      </c>
      <c r="D79" s="64">
        <v>40.51</v>
      </c>
      <c r="E79" s="64">
        <v>-0.01</v>
      </c>
      <c r="F79" s="64">
        <v>3.76</v>
      </c>
      <c r="G79" s="64">
        <v>46.95</v>
      </c>
      <c r="H79" s="64">
        <v>20.47</v>
      </c>
      <c r="I79" s="64">
        <v>1.51</v>
      </c>
      <c r="J79" s="64">
        <v>0.25</v>
      </c>
      <c r="K79" s="64">
        <v>307.57</v>
      </c>
      <c r="L79" s="64">
        <v>23.05</v>
      </c>
      <c r="M79" s="64">
        <v>38.950000000000003</v>
      </c>
      <c r="N79" s="64">
        <v>65.3</v>
      </c>
      <c r="O79" s="64">
        <v>0</v>
      </c>
      <c r="P79" s="64">
        <v>0.46</v>
      </c>
      <c r="Q79" s="64">
        <v>7.5</v>
      </c>
      <c r="R79" s="198"/>
      <c r="S79" s="198"/>
      <c r="T79" s="198"/>
      <c r="U79" s="198"/>
    </row>
    <row r="80" spans="1:21" s="12" customFormat="1" x14ac:dyDescent="0.25">
      <c r="A80" s="213" t="s">
        <v>510</v>
      </c>
      <c r="B80" s="64">
        <v>7.8</v>
      </c>
      <c r="C80" s="64">
        <v>63.5</v>
      </c>
      <c r="D80" s="64">
        <v>41.95</v>
      </c>
      <c r="E80" s="64">
        <v>0.03</v>
      </c>
      <c r="F80" s="64">
        <v>3.48</v>
      </c>
      <c r="G80" s="64">
        <v>49.75</v>
      </c>
      <c r="H80" s="64">
        <v>20.47</v>
      </c>
      <c r="I80" s="64">
        <v>1.51</v>
      </c>
      <c r="J80" s="64">
        <v>0.19</v>
      </c>
      <c r="K80" s="64">
        <v>335.69</v>
      </c>
      <c r="L80" s="64">
        <v>22.16</v>
      </c>
      <c r="M80" s="64">
        <v>46.85</v>
      </c>
      <c r="N80" s="64">
        <v>60.3</v>
      </c>
      <c r="O80" s="64">
        <v>0</v>
      </c>
      <c r="P80" s="64">
        <v>0.49</v>
      </c>
      <c r="Q80" s="64">
        <v>7.54</v>
      </c>
      <c r="R80" s="198"/>
      <c r="S80" s="198"/>
      <c r="T80" s="198"/>
      <c r="U80" s="198"/>
    </row>
    <row r="81" spans="1:26" s="12" customFormat="1" x14ac:dyDescent="0.25">
      <c r="A81" s="213" t="s">
        <v>511</v>
      </c>
      <c r="B81" s="64">
        <v>10.98</v>
      </c>
      <c r="C81" s="64">
        <v>64.260000000000005</v>
      </c>
      <c r="D81" s="64">
        <v>44.91</v>
      </c>
      <c r="E81" s="64">
        <v>-7.0000000000000007E-2</v>
      </c>
      <c r="F81" s="64">
        <v>3.42</v>
      </c>
      <c r="G81" s="64">
        <v>49.75</v>
      </c>
      <c r="H81" s="64">
        <v>20.47</v>
      </c>
      <c r="I81" s="64">
        <v>1.52</v>
      </c>
      <c r="J81" s="64">
        <v>0.03</v>
      </c>
      <c r="K81" s="64">
        <v>78.62</v>
      </c>
      <c r="L81" s="64">
        <v>21.5</v>
      </c>
      <c r="M81" s="64">
        <v>48.8</v>
      </c>
      <c r="N81" s="64">
        <v>59.4</v>
      </c>
      <c r="O81" s="64">
        <v>0</v>
      </c>
      <c r="P81" s="64">
        <v>0.53</v>
      </c>
      <c r="Q81" s="64">
        <v>7.61</v>
      </c>
      <c r="R81" s="198"/>
      <c r="S81" s="198"/>
      <c r="T81" s="198"/>
      <c r="U81" s="198"/>
    </row>
    <row r="82" spans="1:26" s="12" customFormat="1" x14ac:dyDescent="0.25">
      <c r="A82" s="213" t="s">
        <v>512</v>
      </c>
      <c r="B82" s="64">
        <v>13.34</v>
      </c>
      <c r="C82" s="64">
        <v>64.819999999999993</v>
      </c>
      <c r="D82" s="64">
        <v>47.12</v>
      </c>
      <c r="E82" s="64">
        <v>0.01</v>
      </c>
      <c r="F82" s="64">
        <v>3.19</v>
      </c>
      <c r="G82" s="64">
        <v>49.75</v>
      </c>
      <c r="H82" s="64">
        <v>20.47</v>
      </c>
      <c r="I82" s="64">
        <v>1.49</v>
      </c>
      <c r="J82" s="64">
        <v>0.03</v>
      </c>
      <c r="K82" s="64">
        <v>15.45</v>
      </c>
      <c r="L82" s="64">
        <v>20.97</v>
      </c>
      <c r="M82" s="64">
        <v>43.45</v>
      </c>
      <c r="N82" s="64">
        <v>59.4</v>
      </c>
      <c r="O82" s="64">
        <v>0</v>
      </c>
      <c r="P82" s="64">
        <v>0.56999999999999995</v>
      </c>
      <c r="Q82" s="64">
        <v>7.78</v>
      </c>
      <c r="R82" s="198"/>
      <c r="S82" s="198"/>
      <c r="T82" s="198"/>
      <c r="U82" s="198"/>
    </row>
    <row r="83" spans="1:26" s="12" customFormat="1" x14ac:dyDescent="0.25">
      <c r="A83" s="213" t="s">
        <v>513</v>
      </c>
      <c r="B83" s="64">
        <v>15.61</v>
      </c>
      <c r="C83" s="64">
        <v>65.31</v>
      </c>
      <c r="D83" s="64">
        <v>49.2</v>
      </c>
      <c r="E83" s="64">
        <v>0.03</v>
      </c>
      <c r="F83" s="64">
        <v>3.04</v>
      </c>
      <c r="G83" s="64">
        <v>51.33</v>
      </c>
      <c r="H83" s="64">
        <v>21.27</v>
      </c>
      <c r="I83" s="64">
        <v>1.44</v>
      </c>
      <c r="J83" s="64">
        <v>0.04</v>
      </c>
      <c r="K83" s="64">
        <v>278.93</v>
      </c>
      <c r="L83" s="64">
        <v>20.18</v>
      </c>
      <c r="M83" s="64">
        <v>43.45</v>
      </c>
      <c r="N83" s="64">
        <v>59.5</v>
      </c>
      <c r="O83" s="64">
        <v>0</v>
      </c>
      <c r="P83" s="64">
        <v>0.61</v>
      </c>
      <c r="Q83" s="64">
        <v>7.93</v>
      </c>
      <c r="R83" s="198"/>
      <c r="S83" s="198"/>
      <c r="T83" s="198"/>
      <c r="U83" s="198"/>
    </row>
    <row r="84" spans="1:26" s="12" customFormat="1" x14ac:dyDescent="0.25">
      <c r="A84" s="213" t="s">
        <v>514</v>
      </c>
      <c r="B84" s="64">
        <v>19.95</v>
      </c>
      <c r="C84" s="64">
        <v>65.680000000000007</v>
      </c>
      <c r="D84" s="64">
        <v>52.89</v>
      </c>
      <c r="E84" s="64">
        <v>0.06</v>
      </c>
      <c r="F84" s="64">
        <v>3.01</v>
      </c>
      <c r="G84" s="64">
        <v>51.75</v>
      </c>
      <c r="H84" s="64">
        <v>21.27</v>
      </c>
      <c r="I84" s="64">
        <v>1.53</v>
      </c>
      <c r="J84" s="64">
        <v>0.04</v>
      </c>
      <c r="K84" s="64">
        <v>278.99</v>
      </c>
      <c r="L84" s="64">
        <v>19.54</v>
      </c>
      <c r="M84" s="64">
        <v>48.51</v>
      </c>
      <c r="N84" s="64">
        <v>59.4</v>
      </c>
      <c r="O84" s="64">
        <v>0</v>
      </c>
      <c r="P84" s="64">
        <v>0.72</v>
      </c>
      <c r="Q84" s="64">
        <v>8.1300000000000008</v>
      </c>
      <c r="R84" s="198"/>
      <c r="S84" s="198"/>
      <c r="T84" s="198"/>
      <c r="U84" s="198"/>
    </row>
    <row r="85" spans="1:26" s="12" customFormat="1" x14ac:dyDescent="0.25">
      <c r="A85" s="213" t="s">
        <v>515</v>
      </c>
      <c r="B85" s="64">
        <v>24.85</v>
      </c>
      <c r="C85" s="64">
        <v>66.040000000000006</v>
      </c>
      <c r="D85" s="64">
        <v>57.02</v>
      </c>
      <c r="E85" s="64">
        <v>0.08</v>
      </c>
      <c r="F85" s="64">
        <v>3.14</v>
      </c>
      <c r="G85" s="64">
        <v>51.75</v>
      </c>
      <c r="H85" s="64">
        <v>21.27</v>
      </c>
      <c r="I85" s="64">
        <v>1.55</v>
      </c>
      <c r="J85" s="64">
        <v>0.05</v>
      </c>
      <c r="K85" s="64">
        <v>95.99</v>
      </c>
      <c r="L85" s="64">
        <v>19.12</v>
      </c>
      <c r="M85" s="64">
        <v>51.4</v>
      </c>
      <c r="N85" s="64">
        <v>59.2</v>
      </c>
      <c r="O85" s="64">
        <v>0</v>
      </c>
      <c r="P85" s="64">
        <v>0.78</v>
      </c>
      <c r="Q85" s="64">
        <v>8.51</v>
      </c>
      <c r="R85" s="198"/>
      <c r="S85" s="198"/>
      <c r="T85" s="198"/>
      <c r="U85" s="198"/>
    </row>
    <row r="86" spans="1:26" s="12" customFormat="1" x14ac:dyDescent="0.25">
      <c r="A86" s="213" t="s">
        <v>516</v>
      </c>
      <c r="B86" s="64">
        <v>29.96</v>
      </c>
      <c r="C86" s="64">
        <v>66.3</v>
      </c>
      <c r="D86" s="64">
        <v>61.27</v>
      </c>
      <c r="E86" s="64">
        <v>0.08</v>
      </c>
      <c r="F86" s="64">
        <v>2.96</v>
      </c>
      <c r="G86" s="64">
        <v>51.75</v>
      </c>
      <c r="H86" s="64">
        <v>21.27</v>
      </c>
      <c r="I86" s="64">
        <v>1.48</v>
      </c>
      <c r="J86" s="64">
        <v>0.01</v>
      </c>
      <c r="K86" s="64">
        <v>333.34</v>
      </c>
      <c r="L86" s="64">
        <v>18.91</v>
      </c>
      <c r="M86" s="64">
        <v>54.91</v>
      </c>
      <c r="N86" s="64">
        <v>59</v>
      </c>
      <c r="O86" s="64">
        <v>0</v>
      </c>
      <c r="P86" s="64">
        <v>0.9</v>
      </c>
      <c r="Q86" s="64">
        <v>8.93</v>
      </c>
      <c r="R86" s="198"/>
      <c r="S86" s="198"/>
      <c r="T86" s="198"/>
      <c r="U86" s="198"/>
    </row>
    <row r="87" spans="1:26" s="12" customFormat="1" x14ac:dyDescent="0.25">
      <c r="A87" s="213" t="s">
        <v>517</v>
      </c>
      <c r="B87" s="64">
        <v>38.58</v>
      </c>
      <c r="C87" s="64">
        <v>66.94</v>
      </c>
      <c r="D87" s="64">
        <v>68.53</v>
      </c>
      <c r="E87" s="64">
        <v>0.14000000000000001</v>
      </c>
      <c r="F87" s="64">
        <v>3.13</v>
      </c>
      <c r="G87" s="64">
        <v>169.44</v>
      </c>
      <c r="H87" s="64">
        <v>27.93</v>
      </c>
      <c r="I87" s="64">
        <v>1.49</v>
      </c>
      <c r="J87" s="64">
        <v>0.08</v>
      </c>
      <c r="K87" s="64">
        <v>125.28</v>
      </c>
      <c r="L87" s="64">
        <v>18.829999999999998</v>
      </c>
      <c r="M87" s="64">
        <v>60.33</v>
      </c>
      <c r="N87" s="64">
        <v>59</v>
      </c>
      <c r="O87" s="64">
        <v>0</v>
      </c>
      <c r="P87" s="64">
        <v>0.9</v>
      </c>
      <c r="Q87" s="64">
        <v>9.3699999999999992</v>
      </c>
      <c r="R87" s="198"/>
      <c r="S87" s="198"/>
      <c r="T87" s="198"/>
      <c r="U87" s="198"/>
    </row>
    <row r="88" spans="1:26" s="12" customFormat="1" x14ac:dyDescent="0.25">
      <c r="A88" s="213" t="s">
        <v>518</v>
      </c>
      <c r="B88" s="64">
        <v>46.31</v>
      </c>
      <c r="C88" s="64">
        <v>67.180000000000007</v>
      </c>
      <c r="D88" s="64">
        <v>74.86</v>
      </c>
      <c r="E88" s="64">
        <v>0.11</v>
      </c>
      <c r="F88" s="64">
        <v>3.23</v>
      </c>
      <c r="G88" s="64">
        <v>200.93</v>
      </c>
      <c r="H88" s="64">
        <v>27.93</v>
      </c>
      <c r="I88" s="64">
        <v>1.48</v>
      </c>
      <c r="J88" s="64">
        <v>7.0000000000000007E-2</v>
      </c>
      <c r="K88" s="64">
        <v>11.25</v>
      </c>
      <c r="L88" s="64">
        <v>18.48</v>
      </c>
      <c r="M88" s="64">
        <v>69.010000000000005</v>
      </c>
      <c r="N88" s="64">
        <v>59.1</v>
      </c>
      <c r="O88" s="64">
        <v>0</v>
      </c>
      <c r="P88" s="64">
        <v>1.04</v>
      </c>
      <c r="Q88" s="64">
        <v>10</v>
      </c>
      <c r="R88" s="198"/>
      <c r="S88" s="198"/>
      <c r="T88" s="198"/>
      <c r="U88" s="198"/>
    </row>
    <row r="89" spans="1:26" s="12" customFormat="1" x14ac:dyDescent="0.25">
      <c r="A89" s="213" t="s">
        <v>519</v>
      </c>
      <c r="B89" s="64">
        <v>53.12</v>
      </c>
      <c r="C89" s="64">
        <v>67.180000000000007</v>
      </c>
      <c r="D89" s="64">
        <v>80.319999999999993</v>
      </c>
      <c r="E89" s="64">
        <v>0.21</v>
      </c>
      <c r="F89" s="64">
        <v>3.22</v>
      </c>
      <c r="G89" s="64">
        <v>200.93</v>
      </c>
      <c r="H89" s="64">
        <v>27.93</v>
      </c>
      <c r="I89" s="64">
        <v>1.39</v>
      </c>
      <c r="J89" s="64">
        <v>0.13</v>
      </c>
      <c r="K89" s="64">
        <v>233.65</v>
      </c>
      <c r="L89" s="64">
        <v>18.61</v>
      </c>
      <c r="M89" s="64">
        <v>63.72</v>
      </c>
      <c r="N89" s="64">
        <v>58.7</v>
      </c>
      <c r="O89" s="64">
        <v>0</v>
      </c>
      <c r="P89" s="64">
        <v>1.1399999999999999</v>
      </c>
      <c r="Q89" s="64">
        <v>10.57</v>
      </c>
      <c r="R89" s="198"/>
      <c r="S89" s="198"/>
      <c r="T89" s="198"/>
      <c r="U89" s="198"/>
    </row>
    <row r="90" spans="1:26" s="12" customFormat="1" x14ac:dyDescent="0.25">
      <c r="A90" s="213" t="s">
        <v>520</v>
      </c>
      <c r="B90" s="64">
        <v>59.77</v>
      </c>
      <c r="C90" s="64">
        <v>67.16</v>
      </c>
      <c r="D90" s="64">
        <v>85.64</v>
      </c>
      <c r="E90" s="64">
        <v>0.21</v>
      </c>
      <c r="F90" s="64">
        <v>3.28</v>
      </c>
      <c r="G90" s="64">
        <v>200.93</v>
      </c>
      <c r="H90" s="64">
        <v>27.93</v>
      </c>
      <c r="I90" s="64">
        <v>1.46</v>
      </c>
      <c r="J90" s="64">
        <v>0.2</v>
      </c>
      <c r="K90" s="64">
        <v>335.05</v>
      </c>
      <c r="L90" s="64">
        <v>18.68</v>
      </c>
      <c r="M90" s="64">
        <v>65.7</v>
      </c>
      <c r="N90" s="64">
        <v>59</v>
      </c>
      <c r="O90" s="64">
        <v>0</v>
      </c>
      <c r="P90" s="64">
        <v>1.28</v>
      </c>
      <c r="Q90" s="64">
        <v>11.03</v>
      </c>
      <c r="R90" s="198"/>
      <c r="S90" s="198"/>
      <c r="T90" s="198"/>
      <c r="U90" s="198"/>
    </row>
    <row r="91" spans="1:26" s="12" customFormat="1" x14ac:dyDescent="0.25">
      <c r="A91" s="213" t="s">
        <v>521</v>
      </c>
      <c r="B91" s="64">
        <v>68.36</v>
      </c>
      <c r="C91" s="64">
        <v>67.33</v>
      </c>
      <c r="D91" s="64">
        <v>92.63</v>
      </c>
      <c r="E91" s="64">
        <v>0.28999999999999998</v>
      </c>
      <c r="F91" s="64">
        <v>3.19</v>
      </c>
      <c r="G91" s="64">
        <v>173.14</v>
      </c>
      <c r="H91" s="64">
        <v>31.66</v>
      </c>
      <c r="I91" s="64">
        <v>1.57</v>
      </c>
      <c r="J91" s="64">
        <v>0.05</v>
      </c>
      <c r="K91" s="64">
        <v>324.13</v>
      </c>
      <c r="L91" s="64">
        <v>17.95</v>
      </c>
      <c r="M91" s="64">
        <v>72.209999999999994</v>
      </c>
      <c r="N91" s="64">
        <v>59.5</v>
      </c>
      <c r="O91" s="64">
        <v>0</v>
      </c>
      <c r="P91" s="64">
        <v>1.51</v>
      </c>
      <c r="Q91" s="64">
        <v>11.58</v>
      </c>
      <c r="R91" s="198"/>
      <c r="S91" s="198"/>
      <c r="T91" s="198"/>
      <c r="U91" s="198"/>
    </row>
    <row r="92" spans="1:26" s="12" customFormat="1" x14ac:dyDescent="0.25">
      <c r="A92" s="213" t="s">
        <v>522</v>
      </c>
      <c r="B92" s="64">
        <v>77.790000000000006</v>
      </c>
      <c r="C92" s="64">
        <v>67.8</v>
      </c>
      <c r="D92" s="64">
        <v>100.44</v>
      </c>
      <c r="E92" s="64">
        <v>0.28000000000000003</v>
      </c>
      <c r="F92" s="64">
        <v>3.11</v>
      </c>
      <c r="G92" s="64">
        <v>165.7</v>
      </c>
      <c r="H92" s="64">
        <v>31.66</v>
      </c>
      <c r="I92" s="64">
        <v>1.49</v>
      </c>
      <c r="J92" s="64">
        <v>0.1</v>
      </c>
      <c r="K92" s="64">
        <v>277.24</v>
      </c>
      <c r="L92" s="64">
        <v>17.809999999999999</v>
      </c>
      <c r="M92" s="64">
        <v>67</v>
      </c>
      <c r="N92" s="64">
        <v>59.2</v>
      </c>
      <c r="O92" s="64">
        <v>0</v>
      </c>
      <c r="P92" s="64">
        <v>1.54</v>
      </c>
      <c r="Q92" s="64">
        <v>12.2</v>
      </c>
      <c r="R92" s="198"/>
      <c r="S92" s="198"/>
      <c r="T92" s="198"/>
      <c r="U92" s="198"/>
    </row>
    <row r="93" spans="1:26" s="12" customFormat="1" x14ac:dyDescent="0.25">
      <c r="A93" s="213" t="s">
        <v>523</v>
      </c>
      <c r="B93" s="64">
        <v>90.11</v>
      </c>
      <c r="C93" s="64">
        <v>68.28</v>
      </c>
      <c r="D93" s="64">
        <v>110.59</v>
      </c>
      <c r="E93" s="64">
        <v>0.34</v>
      </c>
      <c r="F93" s="64">
        <v>3.21</v>
      </c>
      <c r="G93" s="64">
        <v>165.7</v>
      </c>
      <c r="H93" s="64">
        <v>31.66</v>
      </c>
      <c r="I93" s="64">
        <v>1.54</v>
      </c>
      <c r="J93" s="64">
        <v>0.05</v>
      </c>
      <c r="K93" s="64">
        <v>263.82</v>
      </c>
      <c r="L93" s="64">
        <v>17.55</v>
      </c>
      <c r="M93" s="64">
        <v>69.290000000000006</v>
      </c>
      <c r="N93" s="64">
        <v>59.3</v>
      </c>
      <c r="O93" s="64">
        <v>0</v>
      </c>
      <c r="P93" s="64">
        <v>1.76</v>
      </c>
      <c r="Q93" s="64">
        <v>12.96</v>
      </c>
      <c r="R93" s="198"/>
      <c r="S93" s="198"/>
      <c r="T93" s="198"/>
      <c r="U93" s="198"/>
    </row>
    <row r="94" spans="1:26" s="12" customFormat="1" x14ac:dyDescent="0.25">
      <c r="A94" s="213" t="s">
        <v>524</v>
      </c>
      <c r="B94" s="64">
        <v>107.58</v>
      </c>
      <c r="C94" s="64">
        <v>68.83</v>
      </c>
      <c r="D94" s="64">
        <v>124.9</v>
      </c>
      <c r="E94" s="64">
        <v>0.31</v>
      </c>
      <c r="F94" s="64">
        <v>3.14</v>
      </c>
      <c r="G94" s="64">
        <v>165.7</v>
      </c>
      <c r="H94" s="64">
        <v>31.66</v>
      </c>
      <c r="I94" s="64">
        <v>1.51</v>
      </c>
      <c r="J94" s="64">
        <v>0.13</v>
      </c>
      <c r="K94" s="64">
        <v>328.7</v>
      </c>
      <c r="L94" s="64">
        <v>17.38</v>
      </c>
      <c r="M94" s="64">
        <v>73.239999999999995</v>
      </c>
      <c r="N94" s="64">
        <v>59.1</v>
      </c>
      <c r="O94" s="64">
        <v>0</v>
      </c>
      <c r="P94" s="64">
        <v>1.84</v>
      </c>
      <c r="Q94" s="64">
        <v>13.91</v>
      </c>
      <c r="R94" s="198"/>
      <c r="S94" s="198"/>
      <c r="T94" s="198"/>
      <c r="U94" s="198"/>
    </row>
    <row r="95" spans="1:26" s="12" customFormat="1" x14ac:dyDescent="0.25">
      <c r="A95" s="213" t="s">
        <v>525</v>
      </c>
      <c r="B95" s="64">
        <v>124.6</v>
      </c>
      <c r="C95" s="64">
        <v>69.38</v>
      </c>
      <c r="D95" s="64">
        <v>138.85</v>
      </c>
      <c r="E95" s="64">
        <v>0.43</v>
      </c>
      <c r="F95" s="64">
        <v>3.18</v>
      </c>
      <c r="G95" s="64">
        <v>202.08</v>
      </c>
      <c r="H95" s="64">
        <v>41.88</v>
      </c>
      <c r="I95" s="64">
        <v>1.55</v>
      </c>
      <c r="J95" s="64">
        <v>0.05</v>
      </c>
      <c r="K95" s="64">
        <v>261.5</v>
      </c>
      <c r="L95" s="64">
        <v>17.18</v>
      </c>
      <c r="M95" s="64">
        <v>73.84</v>
      </c>
      <c r="N95" s="64">
        <v>59.4</v>
      </c>
      <c r="O95" s="64">
        <v>0</v>
      </c>
      <c r="P95" s="64">
        <v>2.06</v>
      </c>
      <c r="Q95" s="64">
        <v>14.94</v>
      </c>
      <c r="R95" s="198"/>
      <c r="S95" s="198"/>
      <c r="T95" s="198"/>
      <c r="U95" s="198"/>
    </row>
    <row r="96" spans="1:26" s="12" customFormat="1" x14ac:dyDescent="0.25">
      <c r="A96" s="213" t="s">
        <v>526</v>
      </c>
      <c r="B96" s="64">
        <v>143.78</v>
      </c>
      <c r="C96" s="64">
        <v>69.98</v>
      </c>
      <c r="D96" s="64">
        <v>154.57</v>
      </c>
      <c r="E96" s="64">
        <v>0.41</v>
      </c>
      <c r="F96" s="64">
        <v>2.74</v>
      </c>
      <c r="G96" s="64">
        <v>211.82</v>
      </c>
      <c r="H96" s="64">
        <v>41.88</v>
      </c>
      <c r="I96" s="64">
        <v>1.49</v>
      </c>
      <c r="J96" s="64">
        <v>0.04</v>
      </c>
      <c r="K96" s="64">
        <v>321.91000000000003</v>
      </c>
      <c r="L96" s="64">
        <v>16.989999999999998</v>
      </c>
      <c r="M96" s="64">
        <v>74.52</v>
      </c>
      <c r="N96" s="64">
        <v>59.4</v>
      </c>
      <c r="O96" s="64">
        <v>0</v>
      </c>
      <c r="P96" s="64">
        <v>2.16</v>
      </c>
      <c r="Q96" s="64">
        <v>16.07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527</v>
      </c>
      <c r="B97" s="64">
        <v>166.29</v>
      </c>
      <c r="C97" s="64">
        <v>70.56</v>
      </c>
      <c r="D97" s="64">
        <v>172.94</v>
      </c>
      <c r="E97" s="64">
        <v>0.51</v>
      </c>
      <c r="F97" s="64">
        <v>3.12</v>
      </c>
      <c r="G97" s="64">
        <v>211.82</v>
      </c>
      <c r="H97" s="64">
        <v>41.88</v>
      </c>
      <c r="I97" s="64">
        <v>1.52</v>
      </c>
      <c r="J97" s="64">
        <v>0.09</v>
      </c>
      <c r="K97" s="64">
        <v>285.02</v>
      </c>
      <c r="L97" s="64">
        <v>16.87</v>
      </c>
      <c r="M97" s="64">
        <v>75.84</v>
      </c>
      <c r="N97" s="64">
        <v>59.6</v>
      </c>
      <c r="O97" s="64">
        <v>0</v>
      </c>
      <c r="P97" s="64">
        <v>2.3199999999999998</v>
      </c>
      <c r="Q97" s="64">
        <v>17.420000000000002</v>
      </c>
      <c r="R97" s="198"/>
      <c r="S97" s="198"/>
      <c r="T97" s="198"/>
      <c r="U97" s="198"/>
    </row>
    <row r="98" spans="1:33" s="12" customFormat="1" x14ac:dyDescent="0.25">
      <c r="A98" s="213" t="s">
        <v>528</v>
      </c>
      <c r="B98" s="64">
        <v>186.64</v>
      </c>
      <c r="C98" s="64">
        <v>71.040000000000006</v>
      </c>
      <c r="D98" s="64">
        <v>189.52</v>
      </c>
      <c r="E98" s="64">
        <v>0.52</v>
      </c>
      <c r="F98" s="64">
        <v>2.94</v>
      </c>
      <c r="G98" s="64">
        <v>211.82</v>
      </c>
      <c r="H98" s="64">
        <v>41.88</v>
      </c>
      <c r="I98" s="64">
        <v>1.52</v>
      </c>
      <c r="J98" s="64">
        <v>0.04</v>
      </c>
      <c r="K98" s="64">
        <v>292.13</v>
      </c>
      <c r="L98" s="64">
        <v>16.64</v>
      </c>
      <c r="M98" s="64">
        <v>78.989999999999995</v>
      </c>
      <c r="N98" s="64">
        <v>59.5</v>
      </c>
      <c r="O98" s="64">
        <v>0</v>
      </c>
      <c r="P98" s="64">
        <v>2.4500000000000002</v>
      </c>
      <c r="Q98" s="64">
        <v>18.850000000000001</v>
      </c>
      <c r="R98" s="198"/>
      <c r="S98" s="198"/>
      <c r="T98" s="198"/>
      <c r="U98" s="198"/>
    </row>
    <row r="99" spans="1:33" s="12" customFormat="1" x14ac:dyDescent="0.25">
      <c r="A99" s="213" t="s">
        <v>529</v>
      </c>
      <c r="B99" s="64">
        <v>203.5</v>
      </c>
      <c r="C99" s="64">
        <v>71.11</v>
      </c>
      <c r="D99" s="64">
        <v>203.08</v>
      </c>
      <c r="E99" s="64">
        <v>0.56999999999999995</v>
      </c>
      <c r="F99" s="64">
        <v>3.04</v>
      </c>
      <c r="G99" s="64">
        <v>230.67</v>
      </c>
      <c r="H99" s="64">
        <v>55.37</v>
      </c>
      <c r="I99" s="64">
        <v>1.51</v>
      </c>
      <c r="J99" s="64">
        <v>0.13</v>
      </c>
      <c r="K99" s="64">
        <v>297.99</v>
      </c>
      <c r="L99" s="64">
        <v>17.41</v>
      </c>
      <c r="M99" s="64">
        <v>77.84</v>
      </c>
      <c r="N99" s="64">
        <v>59</v>
      </c>
      <c r="O99" s="64">
        <v>0</v>
      </c>
      <c r="P99" s="64">
        <v>2.6</v>
      </c>
      <c r="Q99" s="64">
        <v>20.260000000000002</v>
      </c>
      <c r="R99" s="198"/>
      <c r="S99" s="198"/>
      <c r="T99" s="198"/>
      <c r="U99" s="198"/>
    </row>
    <row r="100" spans="1:33" s="12" customFormat="1" x14ac:dyDescent="0.25">
      <c r="A100" s="213" t="s">
        <v>530</v>
      </c>
      <c r="B100" s="64">
        <v>217.62</v>
      </c>
      <c r="C100" s="64">
        <v>70.67</v>
      </c>
      <c r="D100" s="64">
        <v>214.16</v>
      </c>
      <c r="E100" s="64">
        <v>0.61</v>
      </c>
      <c r="F100" s="64">
        <v>3.06</v>
      </c>
      <c r="G100" s="64">
        <v>235.72</v>
      </c>
      <c r="H100" s="64">
        <v>55.37</v>
      </c>
      <c r="I100" s="64">
        <v>1.56</v>
      </c>
      <c r="J100" s="64">
        <v>0.11</v>
      </c>
      <c r="K100" s="64">
        <v>254.76</v>
      </c>
      <c r="L100" s="64">
        <v>16.88</v>
      </c>
      <c r="M100" s="64">
        <v>82.01</v>
      </c>
      <c r="N100" s="64">
        <v>59.8</v>
      </c>
      <c r="O100" s="64">
        <v>0</v>
      </c>
      <c r="P100" s="64">
        <v>2.76</v>
      </c>
      <c r="Q100" s="64">
        <v>21.42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531</v>
      </c>
      <c r="B101" s="64">
        <v>228.51</v>
      </c>
      <c r="C101" s="64">
        <v>70.27</v>
      </c>
      <c r="D101" s="64">
        <v>222.68</v>
      </c>
      <c r="E101" s="64">
        <v>0.61</v>
      </c>
      <c r="F101" s="64">
        <v>2.9</v>
      </c>
      <c r="G101" s="64">
        <v>235.72</v>
      </c>
      <c r="H101" s="64">
        <v>55.37</v>
      </c>
      <c r="I101" s="64">
        <v>1.54</v>
      </c>
      <c r="J101" s="64">
        <v>0.16</v>
      </c>
      <c r="K101" s="64">
        <v>268.18</v>
      </c>
      <c r="L101" s="64">
        <v>16.77</v>
      </c>
      <c r="M101" s="64">
        <v>77.180000000000007</v>
      </c>
      <c r="N101" s="64">
        <v>59.7</v>
      </c>
      <c r="O101" s="64">
        <v>0</v>
      </c>
      <c r="P101" s="64">
        <v>2.88</v>
      </c>
      <c r="Q101" s="64">
        <v>22.41</v>
      </c>
      <c r="R101" s="198"/>
      <c r="S101" s="198"/>
      <c r="T101" s="198"/>
      <c r="U101" s="198"/>
    </row>
    <row r="102" spans="1:33" s="12" customFormat="1" x14ac:dyDescent="0.25">
      <c r="A102" s="213" t="s">
        <v>532</v>
      </c>
      <c r="B102" s="64">
        <v>232.42</v>
      </c>
      <c r="C102" s="64">
        <v>69.66</v>
      </c>
      <c r="D102" s="64">
        <v>225.47</v>
      </c>
      <c r="E102" s="64">
        <v>0.69</v>
      </c>
      <c r="F102" s="64">
        <v>2.81</v>
      </c>
      <c r="G102" s="64">
        <v>235.72</v>
      </c>
      <c r="H102" s="64">
        <v>55.37</v>
      </c>
      <c r="I102" s="64">
        <v>1.41</v>
      </c>
      <c r="J102" s="64">
        <v>0.09</v>
      </c>
      <c r="K102" s="64">
        <v>262.89999999999998</v>
      </c>
      <c r="L102" s="64">
        <v>16.440000000000001</v>
      </c>
      <c r="M102" s="64">
        <v>75.37</v>
      </c>
      <c r="N102" s="64">
        <v>60</v>
      </c>
      <c r="O102" s="64">
        <v>0</v>
      </c>
      <c r="P102" s="64">
        <v>2.91</v>
      </c>
      <c r="Q102" s="64">
        <v>23.06</v>
      </c>
      <c r="R102" s="198"/>
      <c r="S102" s="198"/>
      <c r="T102" s="198"/>
      <c r="U102" s="198"/>
    </row>
    <row r="103" spans="1:33" s="12" customFormat="1" x14ac:dyDescent="0.25">
      <c r="A103" s="213" t="s">
        <v>533</v>
      </c>
      <c r="B103" s="64">
        <v>232.73</v>
      </c>
      <c r="C103" s="64">
        <v>68.599999999999994</v>
      </c>
      <c r="D103" s="64">
        <v>225.14</v>
      </c>
      <c r="E103" s="64">
        <v>0.67</v>
      </c>
      <c r="F103" s="64">
        <v>2.91</v>
      </c>
      <c r="G103" s="64">
        <v>210.26</v>
      </c>
      <c r="H103" s="64">
        <v>56.54</v>
      </c>
      <c r="I103" s="64">
        <v>1.48</v>
      </c>
      <c r="J103" s="64">
        <v>0.14000000000000001</v>
      </c>
      <c r="K103" s="64">
        <v>306.82</v>
      </c>
      <c r="L103" s="64">
        <v>16.04</v>
      </c>
      <c r="M103" s="64">
        <v>79.33</v>
      </c>
      <c r="N103" s="64">
        <v>60</v>
      </c>
      <c r="O103" s="64">
        <v>0</v>
      </c>
      <c r="P103" s="64">
        <v>2.92</v>
      </c>
      <c r="Q103" s="64">
        <v>23.25</v>
      </c>
      <c r="R103" s="198"/>
      <c r="S103" s="198"/>
      <c r="T103" s="198"/>
      <c r="U103" s="198"/>
    </row>
    <row r="104" spans="1:33" s="12" customFormat="1" x14ac:dyDescent="0.25">
      <c r="A104" s="213" t="s">
        <v>534</v>
      </c>
      <c r="B104" s="64">
        <v>231.98</v>
      </c>
      <c r="C104" s="64">
        <v>67.61</v>
      </c>
      <c r="D104" s="64">
        <v>223.99</v>
      </c>
      <c r="E104" s="64">
        <v>0.06</v>
      </c>
      <c r="F104" s="64">
        <v>3.08</v>
      </c>
      <c r="G104" s="64">
        <v>203.44</v>
      </c>
      <c r="H104" s="64">
        <v>56.54</v>
      </c>
      <c r="I104" s="64">
        <v>1.58</v>
      </c>
      <c r="J104" s="64">
        <v>0.12</v>
      </c>
      <c r="K104" s="64">
        <v>243.8</v>
      </c>
      <c r="L104" s="64">
        <v>16</v>
      </c>
      <c r="M104" s="64">
        <v>75.38</v>
      </c>
      <c r="N104" s="64">
        <v>59.8</v>
      </c>
      <c r="O104" s="64">
        <v>0</v>
      </c>
      <c r="P104" s="64">
        <v>2.9</v>
      </c>
      <c r="Q104" s="64">
        <v>23.33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3.65</v>
      </c>
      <c r="C106" s="67">
        <f>MIN(C9:C104)</f>
        <v>48.51</v>
      </c>
      <c r="D106" s="67">
        <f t="shared" ref="D106:Q106" si="0">MIN(D9:D104)</f>
        <v>37.81</v>
      </c>
      <c r="E106" s="67">
        <f t="shared" si="0"/>
        <v>-7.0000000000000007E-2</v>
      </c>
      <c r="F106" s="67">
        <f t="shared" si="0"/>
        <v>2.74</v>
      </c>
      <c r="G106" s="67">
        <f t="shared" si="0"/>
        <v>17.77</v>
      </c>
      <c r="H106" s="67">
        <f t="shared" si="0"/>
        <v>6.51</v>
      </c>
      <c r="I106" s="67">
        <f t="shared" si="0"/>
        <v>1.37</v>
      </c>
      <c r="J106" s="67">
        <f t="shared" si="0"/>
        <v>0.01</v>
      </c>
      <c r="K106" s="67">
        <f t="shared" si="0"/>
        <v>2.57</v>
      </c>
      <c r="L106" s="67">
        <f t="shared" si="0"/>
        <v>13.83</v>
      </c>
      <c r="M106" s="67">
        <f t="shared" si="0"/>
        <v>22.03</v>
      </c>
      <c r="N106" s="67">
        <f t="shared" si="0"/>
        <v>58.7</v>
      </c>
      <c r="O106" s="67">
        <f t="shared" si="0"/>
        <v>0</v>
      </c>
      <c r="P106" s="67">
        <f t="shared" si="0"/>
        <v>0.43</v>
      </c>
      <c r="Q106" s="67">
        <f t="shared" si="0"/>
        <v>6.93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232.73</v>
      </c>
      <c r="C107" s="66">
        <f t="shared" ref="C107:Q107" si="1">MAX(C9:C104)</f>
        <v>73.7</v>
      </c>
      <c r="D107" s="66">
        <f t="shared" si="1"/>
        <v>225.47</v>
      </c>
      <c r="E107" s="66">
        <f t="shared" si="1"/>
        <v>0.69</v>
      </c>
      <c r="F107" s="66">
        <f t="shared" si="1"/>
        <v>6.08</v>
      </c>
      <c r="G107" s="66">
        <f t="shared" si="1"/>
        <v>235.72</v>
      </c>
      <c r="H107" s="66">
        <f t="shared" si="1"/>
        <v>56.54</v>
      </c>
      <c r="I107" s="66">
        <f t="shared" si="1"/>
        <v>1.6</v>
      </c>
      <c r="J107" s="66">
        <f t="shared" si="1"/>
        <v>1.1299999999999999</v>
      </c>
      <c r="K107" s="66">
        <f t="shared" si="1"/>
        <v>358.69</v>
      </c>
      <c r="L107" s="66">
        <f t="shared" si="1"/>
        <v>30.17</v>
      </c>
      <c r="M107" s="66">
        <f t="shared" si="1"/>
        <v>99.27</v>
      </c>
      <c r="N107" s="66">
        <f t="shared" si="1"/>
        <v>846.9</v>
      </c>
      <c r="O107" s="66">
        <f t="shared" si="1"/>
        <v>0</v>
      </c>
      <c r="P107" s="66">
        <f t="shared" si="1"/>
        <v>2.92</v>
      </c>
      <c r="Q107" s="66">
        <f t="shared" si="1"/>
        <v>23.33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46.162659574468066</v>
      </c>
      <c r="C108" s="67">
        <f t="shared" ref="C108:Q108" si="2">AVERAGE(C9:C104)</f>
        <v>61.483723404255322</v>
      </c>
      <c r="D108" s="67">
        <f t="shared" si="2"/>
        <v>71.596595744680855</v>
      </c>
      <c r="E108" s="67">
        <f t="shared" si="2"/>
        <v>0.26391304347826078</v>
      </c>
      <c r="F108" s="67">
        <f t="shared" si="2"/>
        <v>3.5030208333333328</v>
      </c>
      <c r="G108" s="67">
        <f t="shared" si="2"/>
        <v>101.34182795698919</v>
      </c>
      <c r="H108" s="67">
        <f t="shared" si="2"/>
        <v>36.051290322580599</v>
      </c>
      <c r="I108" s="67">
        <f t="shared" si="2"/>
        <v>1.5006250000000003</v>
      </c>
      <c r="J108" s="67">
        <f t="shared" si="2"/>
        <v>0.32072916666666668</v>
      </c>
      <c r="K108" s="67">
        <f t="shared" si="2"/>
        <v>231.82385416666682</v>
      </c>
      <c r="L108" s="67">
        <f t="shared" si="2"/>
        <v>20.697187500000002</v>
      </c>
      <c r="M108" s="67">
        <f t="shared" si="2"/>
        <v>55.304166666666674</v>
      </c>
      <c r="N108" s="67">
        <f t="shared" si="2"/>
        <v>248.51979166666672</v>
      </c>
      <c r="O108" s="67">
        <f t="shared" si="2"/>
        <v>0</v>
      </c>
      <c r="P108" s="67">
        <f t="shared" si="2"/>
        <v>1.0044565217391306</v>
      </c>
      <c r="Q108" s="67">
        <f t="shared" si="2"/>
        <v>10.014479166666666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57.466765508525882</v>
      </c>
      <c r="C109" s="67">
        <f t="shared" ref="C109:Q109" si="3">STDEV(C9:C104)</f>
        <v>6.1949679517066247</v>
      </c>
      <c r="D109" s="67">
        <f t="shared" si="3"/>
        <v>47.573871602531717</v>
      </c>
      <c r="E109" s="67">
        <f t="shared" si="3"/>
        <v>0.15318563414797354</v>
      </c>
      <c r="F109" s="67">
        <f t="shared" si="3"/>
        <v>0.67865830452316078</v>
      </c>
      <c r="G109" s="67">
        <f t="shared" si="3"/>
        <v>57.654307146056595</v>
      </c>
      <c r="H109" s="67">
        <f t="shared" si="3"/>
        <v>9.6719062265979616</v>
      </c>
      <c r="I109" s="67">
        <f t="shared" si="3"/>
        <v>4.1366462388344467E-2</v>
      </c>
      <c r="J109" s="67">
        <f t="shared" si="3"/>
        <v>0.31184761728047378</v>
      </c>
      <c r="K109" s="67">
        <f t="shared" si="3"/>
        <v>119.39527466951952</v>
      </c>
      <c r="L109" s="67">
        <f t="shared" si="3"/>
        <v>4.9353414435551963</v>
      </c>
      <c r="M109" s="67">
        <f t="shared" si="3"/>
        <v>24.569163028679281</v>
      </c>
      <c r="N109" s="67">
        <f t="shared" si="3"/>
        <v>284.6246524144762</v>
      </c>
      <c r="O109" s="67">
        <f t="shared" si="3"/>
        <v>0</v>
      </c>
      <c r="P109" s="67">
        <f t="shared" si="3"/>
        <v>0.63268026424900159</v>
      </c>
      <c r="Q109" s="67">
        <f t="shared" si="3"/>
        <v>3.8473621502726889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COUNT(B9:B104)+2</f>
        <v>96</v>
      </c>
      <c r="C110" s="66">
        <f>COUNT(C9:C104)+2</f>
        <v>96</v>
      </c>
      <c r="D110" s="66">
        <f>COUNT(D9:D104)+2</f>
        <v>96</v>
      </c>
      <c r="E110" s="66">
        <f>COUNT(E9:E104)+2</f>
        <v>94</v>
      </c>
      <c r="F110" s="66">
        <f t="shared" ref="F110:Q110" si="4">COUNT(F9:F104)</f>
        <v>96</v>
      </c>
      <c r="G110" s="66">
        <f>COUNT(G9:G104)+3</f>
        <v>96</v>
      </c>
      <c r="H110" s="66">
        <f>COUNT(H9:H104)+3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COUNT(P9:P104)+4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535</v>
      </c>
      <c r="B9" s="64">
        <v>226.53</v>
      </c>
      <c r="C9" s="64">
        <v>65.760000000000005</v>
      </c>
      <c r="D9" s="64">
        <v>218.6</v>
      </c>
      <c r="E9" s="64">
        <v>0.41</v>
      </c>
      <c r="F9" s="64">
        <v>2.81</v>
      </c>
      <c r="G9" s="64">
        <v>203.44</v>
      </c>
      <c r="H9" s="64">
        <v>56.54</v>
      </c>
      <c r="I9" s="64">
        <v>1.53</v>
      </c>
      <c r="J9" s="64">
        <v>0.1</v>
      </c>
      <c r="K9" s="64">
        <v>285.76</v>
      </c>
      <c r="L9" s="64">
        <v>15.61</v>
      </c>
      <c r="M9" s="64">
        <v>77.22</v>
      </c>
      <c r="N9" s="64">
        <v>60.1</v>
      </c>
      <c r="O9" s="64">
        <v>0</v>
      </c>
      <c r="P9" s="64">
        <v>2.82</v>
      </c>
      <c r="Q9" s="64">
        <v>23.08</v>
      </c>
      <c r="R9" s="198"/>
      <c r="S9" s="198"/>
      <c r="T9" s="198"/>
      <c r="U9" s="198"/>
    </row>
    <row r="10" spans="1:21" s="12" customFormat="1" x14ac:dyDescent="0.25">
      <c r="A10" s="213" t="s">
        <v>536</v>
      </c>
      <c r="B10" s="64">
        <v>220.17</v>
      </c>
      <c r="C10" s="64">
        <v>64.36</v>
      </c>
      <c r="D10" s="64">
        <v>212.73</v>
      </c>
      <c r="E10" s="64">
        <v>0.42</v>
      </c>
      <c r="F10" s="64">
        <v>2.93</v>
      </c>
      <c r="G10" s="64">
        <v>203.44</v>
      </c>
      <c r="H10" s="64">
        <v>56.54</v>
      </c>
      <c r="I10" s="64">
        <v>1.41</v>
      </c>
      <c r="J10" s="64">
        <v>0.09</v>
      </c>
      <c r="K10" s="64">
        <v>316.83</v>
      </c>
      <c r="L10" s="64">
        <v>15.31</v>
      </c>
      <c r="M10" s="64">
        <v>80.27</v>
      </c>
      <c r="N10" s="64">
        <v>60</v>
      </c>
      <c r="O10" s="64">
        <v>0</v>
      </c>
      <c r="P10" s="64">
        <v>2.74</v>
      </c>
      <c r="Q10" s="64">
        <v>22.67</v>
      </c>
      <c r="R10" s="198"/>
      <c r="S10" s="198"/>
      <c r="T10" s="198"/>
      <c r="U10" s="198"/>
    </row>
    <row r="11" spans="1:21" s="12" customFormat="1" x14ac:dyDescent="0.25">
      <c r="A11" s="213" t="s">
        <v>537</v>
      </c>
      <c r="B11" s="64">
        <v>214.74</v>
      </c>
      <c r="C11" s="64">
        <v>63.2</v>
      </c>
      <c r="D11" s="64">
        <v>207.73</v>
      </c>
      <c r="E11" s="64">
        <v>0.43</v>
      </c>
      <c r="F11" s="64">
        <v>3.07</v>
      </c>
      <c r="G11" s="64">
        <v>159.78</v>
      </c>
      <c r="H11" s="64">
        <v>52.7</v>
      </c>
      <c r="I11" s="64">
        <v>1.53</v>
      </c>
      <c r="J11" s="64">
        <v>0.12</v>
      </c>
      <c r="K11" s="64">
        <v>333.94</v>
      </c>
      <c r="L11" s="64">
        <v>15.17</v>
      </c>
      <c r="M11" s="64">
        <v>81.17</v>
      </c>
      <c r="N11" s="64">
        <v>59.6</v>
      </c>
      <c r="O11" s="64">
        <v>0</v>
      </c>
      <c r="P11" s="64">
        <v>2.68</v>
      </c>
      <c r="Q11" s="64">
        <v>22.16</v>
      </c>
      <c r="R11" s="198"/>
      <c r="S11" s="198"/>
      <c r="T11" s="198"/>
      <c r="U11" s="198"/>
    </row>
    <row r="12" spans="1:21" s="12" customFormat="1" x14ac:dyDescent="0.25">
      <c r="A12" s="213" t="s">
        <v>538</v>
      </c>
      <c r="B12" s="64">
        <v>206.71</v>
      </c>
      <c r="C12" s="64">
        <v>62.11</v>
      </c>
      <c r="D12" s="64">
        <v>200.69</v>
      </c>
      <c r="E12" s="64">
        <v>0.43</v>
      </c>
      <c r="F12" s="64">
        <v>3.01</v>
      </c>
      <c r="G12" s="64">
        <v>148.86000000000001</v>
      </c>
      <c r="H12" s="64">
        <v>52.7</v>
      </c>
      <c r="I12" s="64">
        <v>1.49</v>
      </c>
      <c r="J12" s="64">
        <v>0.02</v>
      </c>
      <c r="K12" s="64">
        <v>184.58</v>
      </c>
      <c r="L12" s="64">
        <v>15.29</v>
      </c>
      <c r="M12" s="64">
        <v>75.19</v>
      </c>
      <c r="N12" s="64">
        <v>59.6</v>
      </c>
      <c r="O12" s="64">
        <v>0</v>
      </c>
      <c r="P12" s="64">
        <v>2.59</v>
      </c>
      <c r="Q12" s="64">
        <v>21.74</v>
      </c>
      <c r="R12" s="198"/>
      <c r="S12" s="198"/>
      <c r="T12" s="198"/>
      <c r="U12" s="198"/>
    </row>
    <row r="13" spans="1:21" s="12" customFormat="1" x14ac:dyDescent="0.25">
      <c r="A13" s="213" t="s">
        <v>539</v>
      </c>
      <c r="B13" s="64">
        <v>196.7</v>
      </c>
      <c r="C13" s="64">
        <v>61.91</v>
      </c>
      <c r="D13" s="64">
        <v>192.55</v>
      </c>
      <c r="E13" s="64">
        <v>0.37</v>
      </c>
      <c r="F13" s="64">
        <v>3</v>
      </c>
      <c r="G13" s="64">
        <v>148.86000000000001</v>
      </c>
      <c r="H13" s="64">
        <v>52.7</v>
      </c>
      <c r="I13" s="64">
        <v>1.48</v>
      </c>
      <c r="J13" s="64">
        <v>0.09</v>
      </c>
      <c r="K13" s="64">
        <v>247.7</v>
      </c>
      <c r="L13" s="64">
        <v>15.59</v>
      </c>
      <c r="M13" s="64">
        <v>74.760000000000005</v>
      </c>
      <c r="N13" s="64">
        <v>59.5</v>
      </c>
      <c r="O13" s="64">
        <v>0</v>
      </c>
      <c r="P13" s="64">
        <v>2.1800000000000002</v>
      </c>
      <c r="Q13" s="64">
        <v>21.12</v>
      </c>
      <c r="R13" s="198"/>
      <c r="S13" s="198"/>
      <c r="T13" s="198"/>
      <c r="U13" s="198"/>
    </row>
    <row r="14" spans="1:21" s="12" customFormat="1" x14ac:dyDescent="0.25">
      <c r="A14" s="213" t="s">
        <v>540</v>
      </c>
      <c r="B14" s="64">
        <v>188.61</v>
      </c>
      <c r="C14" s="64">
        <v>60.8</v>
      </c>
      <c r="D14" s="64">
        <v>185.45</v>
      </c>
      <c r="E14" s="64">
        <v>0.34</v>
      </c>
      <c r="F14" s="64">
        <v>2.99</v>
      </c>
      <c r="G14" s="64">
        <v>148.86000000000001</v>
      </c>
      <c r="H14" s="64">
        <v>52.7</v>
      </c>
      <c r="I14" s="64">
        <v>1.58</v>
      </c>
      <c r="J14" s="64">
        <v>0.1</v>
      </c>
      <c r="K14" s="64">
        <v>227.65</v>
      </c>
      <c r="L14" s="64">
        <v>15.6</v>
      </c>
      <c r="M14" s="64">
        <v>76.92</v>
      </c>
      <c r="N14" s="64">
        <v>59.9</v>
      </c>
      <c r="O14" s="64">
        <v>0</v>
      </c>
      <c r="P14" s="64">
        <v>2.23</v>
      </c>
      <c r="Q14" s="64">
        <v>20.45</v>
      </c>
      <c r="R14" s="198"/>
      <c r="S14" s="198"/>
      <c r="T14" s="198"/>
      <c r="U14" s="198"/>
    </row>
    <row r="15" spans="1:21" s="12" customFormat="1" x14ac:dyDescent="0.25">
      <c r="A15" s="213" t="s">
        <v>541</v>
      </c>
      <c r="B15" s="64">
        <v>182.16</v>
      </c>
      <c r="C15" s="64">
        <v>59.87</v>
      </c>
      <c r="D15" s="64">
        <v>179.76</v>
      </c>
      <c r="E15" s="64">
        <v>0.28999999999999998</v>
      </c>
      <c r="F15" s="64">
        <v>3</v>
      </c>
      <c r="G15" s="64">
        <v>127.46</v>
      </c>
      <c r="H15" s="64">
        <v>52.52</v>
      </c>
      <c r="I15" s="64">
        <v>1.57</v>
      </c>
      <c r="J15" s="64">
        <v>0.05</v>
      </c>
      <c r="K15" s="64">
        <v>71.44</v>
      </c>
      <c r="L15" s="64">
        <v>15.2</v>
      </c>
      <c r="M15" s="64">
        <v>79.14</v>
      </c>
      <c r="N15" s="64">
        <v>60.1</v>
      </c>
      <c r="O15" s="64">
        <v>0</v>
      </c>
      <c r="P15" s="64">
        <v>2.2000000000000002</v>
      </c>
      <c r="Q15" s="64">
        <v>19.93</v>
      </c>
      <c r="R15" s="198"/>
      <c r="S15" s="198"/>
      <c r="T15" s="198"/>
      <c r="U15" s="198"/>
    </row>
    <row r="16" spans="1:21" s="12" customFormat="1" x14ac:dyDescent="0.25">
      <c r="A16" s="213" t="s">
        <v>542</v>
      </c>
      <c r="B16" s="64">
        <v>177.23</v>
      </c>
      <c r="C16" s="64">
        <v>59.61</v>
      </c>
      <c r="D16" s="64">
        <v>175.67</v>
      </c>
      <c r="E16" s="64">
        <v>0.33</v>
      </c>
      <c r="F16" s="64">
        <v>3.07</v>
      </c>
      <c r="G16" s="64">
        <v>121.73</v>
      </c>
      <c r="H16" s="64">
        <v>52.52</v>
      </c>
      <c r="I16" s="64">
        <v>1.48</v>
      </c>
      <c r="J16" s="64">
        <v>0.08</v>
      </c>
      <c r="K16" s="64">
        <v>201.31</v>
      </c>
      <c r="L16" s="64">
        <v>14.8</v>
      </c>
      <c r="M16" s="64">
        <v>83.42</v>
      </c>
      <c r="N16" s="64">
        <v>60</v>
      </c>
      <c r="O16" s="64">
        <v>0</v>
      </c>
      <c r="P16" s="64">
        <v>2.1800000000000002</v>
      </c>
      <c r="Q16" s="64">
        <v>19.43</v>
      </c>
      <c r="R16" s="198"/>
      <c r="S16" s="198"/>
      <c r="T16" s="198"/>
      <c r="U16" s="198"/>
    </row>
    <row r="17" spans="1:21" s="12" customFormat="1" x14ac:dyDescent="0.25">
      <c r="A17" s="213" t="s">
        <v>543</v>
      </c>
      <c r="B17" s="64">
        <v>172.62</v>
      </c>
      <c r="C17" s="64">
        <v>59.68</v>
      </c>
      <c r="D17" s="64">
        <v>172.01</v>
      </c>
      <c r="E17" s="64">
        <v>0.36</v>
      </c>
      <c r="F17" s="64">
        <v>2.98</v>
      </c>
      <c r="G17" s="64">
        <v>121.73</v>
      </c>
      <c r="H17" s="64">
        <v>52.52</v>
      </c>
      <c r="I17" s="64">
        <v>1.48</v>
      </c>
      <c r="J17" s="64">
        <v>0.1</v>
      </c>
      <c r="K17" s="64">
        <v>277.92</v>
      </c>
      <c r="L17" s="64">
        <v>14.56</v>
      </c>
      <c r="M17" s="64">
        <v>86.29</v>
      </c>
      <c r="N17" s="64">
        <v>59.8</v>
      </c>
      <c r="O17" s="64">
        <v>0</v>
      </c>
      <c r="P17" s="64">
        <v>2.16</v>
      </c>
      <c r="Q17" s="64">
        <v>19.16</v>
      </c>
      <c r="R17" s="198"/>
      <c r="S17" s="198"/>
      <c r="T17" s="198"/>
      <c r="U17" s="198"/>
    </row>
    <row r="18" spans="1:21" s="12" customFormat="1" x14ac:dyDescent="0.25">
      <c r="A18" s="213" t="s">
        <v>544</v>
      </c>
      <c r="B18" s="64">
        <v>169.15</v>
      </c>
      <c r="C18" s="64">
        <v>59.44</v>
      </c>
      <c r="D18" s="64">
        <v>169.1</v>
      </c>
      <c r="E18" s="64">
        <v>0.36</v>
      </c>
      <c r="F18" s="64">
        <v>2.97</v>
      </c>
      <c r="G18" s="64">
        <v>121.73</v>
      </c>
      <c r="H18" s="64">
        <v>52.52</v>
      </c>
      <c r="I18" s="64">
        <v>1.55</v>
      </c>
      <c r="J18" s="64">
        <v>0.11</v>
      </c>
      <c r="K18" s="64">
        <v>296.95</v>
      </c>
      <c r="L18" s="64">
        <v>14.49</v>
      </c>
      <c r="M18" s="64">
        <v>87.86</v>
      </c>
      <c r="N18" s="64">
        <v>59.2</v>
      </c>
      <c r="O18" s="64">
        <v>0</v>
      </c>
      <c r="P18" s="64">
        <v>2.15</v>
      </c>
      <c r="Q18" s="64">
        <v>18.940000000000001</v>
      </c>
      <c r="R18" s="198"/>
      <c r="S18" s="198"/>
      <c r="T18" s="198"/>
      <c r="U18" s="198"/>
    </row>
    <row r="19" spans="1:21" s="12" customFormat="1" x14ac:dyDescent="0.25">
      <c r="A19" s="213" t="s">
        <v>545</v>
      </c>
      <c r="B19" s="64">
        <v>166.12</v>
      </c>
      <c r="C19" s="64">
        <v>59.17</v>
      </c>
      <c r="D19" s="64">
        <v>166.51</v>
      </c>
      <c r="E19" s="64">
        <v>0.35</v>
      </c>
      <c r="F19" s="64">
        <v>3.11</v>
      </c>
      <c r="G19" s="64">
        <v>170.06</v>
      </c>
      <c r="H19" s="64">
        <v>59.48</v>
      </c>
      <c r="I19" s="64">
        <v>1.51</v>
      </c>
      <c r="J19" s="64">
        <v>0.14000000000000001</v>
      </c>
      <c r="K19" s="64">
        <v>289.52999999999997</v>
      </c>
      <c r="L19" s="64">
        <v>14.21</v>
      </c>
      <c r="M19" s="64">
        <v>91.86</v>
      </c>
      <c r="N19" s="64">
        <v>59.4</v>
      </c>
      <c r="O19" s="64">
        <v>0</v>
      </c>
      <c r="P19" s="64">
        <v>2.15</v>
      </c>
      <c r="Q19" s="64">
        <v>18.78</v>
      </c>
      <c r="R19" s="198"/>
      <c r="S19" s="198"/>
      <c r="T19" s="198"/>
      <c r="U19" s="198"/>
    </row>
    <row r="20" spans="1:21" s="12" customFormat="1" x14ac:dyDescent="0.25">
      <c r="A20" s="213" t="s">
        <v>546</v>
      </c>
      <c r="B20" s="64">
        <v>163.74</v>
      </c>
      <c r="C20" s="64">
        <v>59.16</v>
      </c>
      <c r="D20" s="64">
        <v>164.6</v>
      </c>
      <c r="E20" s="64">
        <v>0.3</v>
      </c>
      <c r="F20" s="64">
        <v>2.9</v>
      </c>
      <c r="G20" s="64">
        <v>183</v>
      </c>
      <c r="H20" s="64">
        <v>59.48</v>
      </c>
      <c r="I20" s="64">
        <v>1.44</v>
      </c>
      <c r="J20" s="64">
        <v>0.16</v>
      </c>
      <c r="K20" s="64">
        <v>294.07</v>
      </c>
      <c r="L20" s="64">
        <v>14.27</v>
      </c>
      <c r="M20" s="64">
        <v>90.2</v>
      </c>
      <c r="N20" s="64">
        <v>59.2</v>
      </c>
      <c r="O20" s="64">
        <v>0</v>
      </c>
      <c r="P20" s="64">
        <v>2.13</v>
      </c>
      <c r="Q20" s="64">
        <v>18.600000000000001</v>
      </c>
      <c r="R20" s="198"/>
      <c r="S20" s="198"/>
      <c r="T20" s="198"/>
      <c r="U20" s="198"/>
    </row>
    <row r="21" spans="1:21" s="12" customFormat="1" x14ac:dyDescent="0.25">
      <c r="A21" s="213" t="s">
        <v>547</v>
      </c>
      <c r="B21" s="64">
        <v>161.53</v>
      </c>
      <c r="C21" s="64">
        <v>59.11</v>
      </c>
      <c r="D21" s="64">
        <v>162.80000000000001</v>
      </c>
      <c r="E21" s="64">
        <v>0.32</v>
      </c>
      <c r="F21" s="64">
        <v>3</v>
      </c>
      <c r="G21" s="64">
        <v>183</v>
      </c>
      <c r="H21" s="64">
        <v>59.48</v>
      </c>
      <c r="I21" s="64">
        <v>1.48</v>
      </c>
      <c r="J21" s="64">
        <v>0.11</v>
      </c>
      <c r="K21" s="64">
        <v>292.02</v>
      </c>
      <c r="L21" s="64">
        <v>14.05</v>
      </c>
      <c r="M21" s="64">
        <v>92.53</v>
      </c>
      <c r="N21" s="64">
        <v>59.4</v>
      </c>
      <c r="O21" s="64">
        <v>0</v>
      </c>
      <c r="P21" s="64">
        <v>2.12</v>
      </c>
      <c r="Q21" s="64">
        <v>18.5</v>
      </c>
      <c r="R21" s="198"/>
      <c r="S21" s="198"/>
      <c r="T21" s="198"/>
      <c r="U21" s="198"/>
    </row>
    <row r="22" spans="1:21" s="12" customFormat="1" x14ac:dyDescent="0.25">
      <c r="A22" s="213" t="s">
        <v>548</v>
      </c>
      <c r="B22" s="64">
        <v>159.80000000000001</v>
      </c>
      <c r="C22" s="64">
        <v>58.68</v>
      </c>
      <c r="D22" s="64">
        <v>161.18</v>
      </c>
      <c r="E22" s="64">
        <v>0.28000000000000003</v>
      </c>
      <c r="F22" s="64">
        <v>2.91</v>
      </c>
      <c r="G22" s="64">
        <v>183</v>
      </c>
      <c r="H22" s="64">
        <v>59.48</v>
      </c>
      <c r="I22" s="64">
        <v>1.51</v>
      </c>
      <c r="J22" s="64">
        <v>0.06</v>
      </c>
      <c r="K22" s="64">
        <v>225.74</v>
      </c>
      <c r="L22" s="64">
        <v>13.93</v>
      </c>
      <c r="M22" s="64">
        <v>91.56</v>
      </c>
      <c r="N22" s="64">
        <v>59.1</v>
      </c>
      <c r="O22" s="64">
        <v>0</v>
      </c>
      <c r="P22" s="64">
        <v>2.11</v>
      </c>
      <c r="Q22" s="64">
        <v>18.27</v>
      </c>
      <c r="R22" s="198"/>
      <c r="S22" s="198"/>
      <c r="T22" s="198"/>
      <c r="U22" s="198"/>
    </row>
    <row r="23" spans="1:21" s="12" customFormat="1" x14ac:dyDescent="0.25">
      <c r="A23" s="213" t="s">
        <v>549</v>
      </c>
      <c r="B23" s="64">
        <v>159.84</v>
      </c>
      <c r="C23" s="64">
        <v>58.64</v>
      </c>
      <c r="D23" s="64">
        <v>161.18</v>
      </c>
      <c r="E23" s="64">
        <v>0.33</v>
      </c>
      <c r="F23" s="64">
        <v>2.89</v>
      </c>
      <c r="G23" s="64">
        <v>169.81</v>
      </c>
      <c r="H23" s="64">
        <v>60.09</v>
      </c>
      <c r="I23" s="64">
        <v>1.43</v>
      </c>
      <c r="J23" s="64">
        <v>0.09</v>
      </c>
      <c r="K23" s="64">
        <v>257.75</v>
      </c>
      <c r="L23" s="64">
        <v>14.38</v>
      </c>
      <c r="M23" s="64">
        <v>89.17</v>
      </c>
      <c r="N23" s="64">
        <v>58.6</v>
      </c>
      <c r="O23" s="64">
        <v>0</v>
      </c>
      <c r="P23" s="64">
        <v>2.0699999999999998</v>
      </c>
      <c r="Q23" s="64">
        <v>18.239999999999998</v>
      </c>
      <c r="R23" s="198"/>
      <c r="S23" s="198"/>
      <c r="T23" s="198"/>
      <c r="U23" s="198"/>
    </row>
    <row r="24" spans="1:21" s="12" customFormat="1" x14ac:dyDescent="0.25">
      <c r="A24" s="213" t="s">
        <v>550</v>
      </c>
      <c r="B24" s="64">
        <v>159.33000000000001</v>
      </c>
      <c r="C24" s="64">
        <v>58.13</v>
      </c>
      <c r="D24" s="64">
        <v>160.5</v>
      </c>
      <c r="E24" s="64">
        <v>0.31</v>
      </c>
      <c r="F24" s="64">
        <v>2.84</v>
      </c>
      <c r="G24" s="64">
        <v>166.28</v>
      </c>
      <c r="H24" s="64">
        <v>60.09</v>
      </c>
      <c r="I24" s="64">
        <v>1.52</v>
      </c>
      <c r="J24" s="64">
        <v>0.05</v>
      </c>
      <c r="K24" s="64">
        <v>57.89</v>
      </c>
      <c r="L24" s="64">
        <v>14.29</v>
      </c>
      <c r="M24" s="64">
        <v>90.59</v>
      </c>
      <c r="N24" s="64">
        <v>59.3</v>
      </c>
      <c r="O24" s="64">
        <v>0</v>
      </c>
      <c r="P24" s="64">
        <v>2.04</v>
      </c>
      <c r="Q24" s="64">
        <v>18.239999999999998</v>
      </c>
      <c r="R24" s="198"/>
      <c r="S24" s="198"/>
      <c r="T24" s="198"/>
      <c r="U24" s="198"/>
    </row>
    <row r="25" spans="1:21" s="12" customFormat="1" x14ac:dyDescent="0.25">
      <c r="A25" s="213" t="s">
        <v>551</v>
      </c>
      <c r="B25" s="64">
        <v>157.11000000000001</v>
      </c>
      <c r="C25" s="64">
        <v>57.88</v>
      </c>
      <c r="D25" s="64">
        <v>158.58000000000001</v>
      </c>
      <c r="E25" s="64">
        <v>0.45</v>
      </c>
      <c r="F25" s="64">
        <v>2.85</v>
      </c>
      <c r="G25" s="64">
        <v>166.28</v>
      </c>
      <c r="H25" s="64">
        <v>60.09</v>
      </c>
      <c r="I25" s="64">
        <v>1.48</v>
      </c>
      <c r="J25" s="64">
        <v>0.08</v>
      </c>
      <c r="K25" s="64">
        <v>51.63</v>
      </c>
      <c r="L25" s="64">
        <v>14.49</v>
      </c>
      <c r="M25" s="64">
        <v>80.22</v>
      </c>
      <c r="N25" s="64">
        <v>58.9</v>
      </c>
      <c r="O25" s="64">
        <v>0</v>
      </c>
      <c r="P25" s="64">
        <v>2</v>
      </c>
      <c r="Q25" s="64">
        <v>18.21</v>
      </c>
      <c r="R25" s="198"/>
      <c r="S25" s="198"/>
      <c r="T25" s="198"/>
      <c r="U25" s="198"/>
    </row>
    <row r="26" spans="1:21" s="12" customFormat="1" x14ac:dyDescent="0.25">
      <c r="A26" s="213" t="s">
        <v>552</v>
      </c>
      <c r="B26" s="64">
        <v>152.51</v>
      </c>
      <c r="C26" s="64">
        <v>57.59</v>
      </c>
      <c r="D26" s="64">
        <v>154.72999999999999</v>
      </c>
      <c r="E26" s="64">
        <v>0.52</v>
      </c>
      <c r="F26" s="64">
        <v>3.24</v>
      </c>
      <c r="G26" s="64">
        <v>166.28</v>
      </c>
      <c r="H26" s="64">
        <v>60.09</v>
      </c>
      <c r="I26" s="64">
        <v>1.51</v>
      </c>
      <c r="J26" s="64">
        <v>0.16</v>
      </c>
      <c r="K26" s="64">
        <v>310.64999999999998</v>
      </c>
      <c r="L26" s="64">
        <v>14.41</v>
      </c>
      <c r="M26" s="64">
        <v>83.45</v>
      </c>
      <c r="N26" s="64">
        <v>59.6</v>
      </c>
      <c r="O26" s="64">
        <v>0</v>
      </c>
      <c r="P26" s="64">
        <v>1.97</v>
      </c>
      <c r="Q26" s="64">
        <v>17.95</v>
      </c>
      <c r="R26" s="198"/>
      <c r="S26" s="198"/>
      <c r="T26" s="198"/>
      <c r="U26" s="198"/>
    </row>
    <row r="27" spans="1:21" s="12" customFormat="1" x14ac:dyDescent="0.25">
      <c r="A27" s="213" t="s">
        <v>553</v>
      </c>
      <c r="B27" s="64">
        <v>148.21</v>
      </c>
      <c r="C27" s="64">
        <v>57.43</v>
      </c>
      <c r="D27" s="64">
        <v>151.19</v>
      </c>
      <c r="E27" s="64">
        <v>0.49</v>
      </c>
      <c r="F27" s="64">
        <v>3.36</v>
      </c>
      <c r="G27" s="64">
        <v>164.13</v>
      </c>
      <c r="H27" s="64">
        <v>58.05</v>
      </c>
      <c r="I27" s="64">
        <v>1.53</v>
      </c>
      <c r="J27" s="64">
        <v>0.13</v>
      </c>
      <c r="K27" s="64">
        <v>242.28</v>
      </c>
      <c r="L27" s="64">
        <v>14.34</v>
      </c>
      <c r="M27" s="64">
        <v>81.44</v>
      </c>
      <c r="N27" s="64">
        <v>59.7</v>
      </c>
      <c r="O27" s="64">
        <v>0</v>
      </c>
      <c r="P27" s="64">
        <v>1.93</v>
      </c>
      <c r="Q27" s="64">
        <v>17.75</v>
      </c>
      <c r="R27" s="198"/>
      <c r="S27" s="198"/>
      <c r="T27" s="198"/>
      <c r="U27" s="198"/>
    </row>
    <row r="28" spans="1:21" s="12" customFormat="1" x14ac:dyDescent="0.25">
      <c r="A28" s="213" t="s">
        <v>554</v>
      </c>
      <c r="B28" s="64">
        <v>143.05000000000001</v>
      </c>
      <c r="C28" s="64">
        <v>57.51</v>
      </c>
      <c r="D28" s="64">
        <v>147.1</v>
      </c>
      <c r="E28" s="64">
        <v>0.49</v>
      </c>
      <c r="F28" s="64">
        <v>2.98</v>
      </c>
      <c r="G28" s="64">
        <v>163.56</v>
      </c>
      <c r="H28" s="64">
        <v>58.05</v>
      </c>
      <c r="I28" s="64">
        <v>1.56</v>
      </c>
      <c r="J28" s="64">
        <v>0.13</v>
      </c>
      <c r="K28" s="64">
        <v>265.70999999999998</v>
      </c>
      <c r="L28" s="64">
        <v>14.15</v>
      </c>
      <c r="M28" s="64">
        <v>80.98</v>
      </c>
      <c r="N28" s="64">
        <v>59.6</v>
      </c>
      <c r="O28" s="64">
        <v>0</v>
      </c>
      <c r="P28" s="64">
        <v>1.87</v>
      </c>
      <c r="Q28" s="212" t="s">
        <v>42</v>
      </c>
      <c r="R28" s="198"/>
      <c r="S28" s="198"/>
      <c r="T28" s="198"/>
      <c r="U28" s="198"/>
    </row>
    <row r="29" spans="1:21" s="12" customFormat="1" x14ac:dyDescent="0.25">
      <c r="A29" s="213" t="s">
        <v>555</v>
      </c>
      <c r="B29" s="64">
        <v>138.71</v>
      </c>
      <c r="C29" s="64">
        <v>57.27</v>
      </c>
      <c r="D29" s="64">
        <v>143.47999999999999</v>
      </c>
      <c r="E29" s="64">
        <v>0.49</v>
      </c>
      <c r="F29" s="64">
        <v>2.91</v>
      </c>
      <c r="G29" s="64">
        <v>163.56</v>
      </c>
      <c r="H29" s="64">
        <v>58.05</v>
      </c>
      <c r="I29" s="64">
        <v>1.5</v>
      </c>
      <c r="J29" s="64">
        <v>0.18</v>
      </c>
      <c r="K29" s="64">
        <v>299.67</v>
      </c>
      <c r="L29" s="64">
        <v>13.78</v>
      </c>
      <c r="M29" s="64">
        <v>86.63</v>
      </c>
      <c r="N29" s="64">
        <v>59.6</v>
      </c>
      <c r="O29" s="64">
        <v>0</v>
      </c>
      <c r="P29" s="64">
        <v>1.81</v>
      </c>
      <c r="Q29" s="212" t="s">
        <v>42</v>
      </c>
      <c r="R29" s="198"/>
      <c r="S29" s="198"/>
      <c r="T29" s="198"/>
      <c r="U29" s="198"/>
    </row>
    <row r="30" spans="1:21" s="12" customFormat="1" x14ac:dyDescent="0.25">
      <c r="A30" s="213" t="s">
        <v>556</v>
      </c>
      <c r="B30" s="64">
        <v>135.06</v>
      </c>
      <c r="C30" s="64">
        <v>55.89</v>
      </c>
      <c r="D30" s="64">
        <v>139.80000000000001</v>
      </c>
      <c r="E30" s="64">
        <v>0.43</v>
      </c>
      <c r="F30" s="64">
        <v>3.06</v>
      </c>
      <c r="G30" s="64">
        <v>163.56</v>
      </c>
      <c r="H30" s="64">
        <v>58.05</v>
      </c>
      <c r="I30" s="64">
        <v>1.63</v>
      </c>
      <c r="J30" s="64">
        <v>7.0000000000000007E-2</v>
      </c>
      <c r="K30" s="64">
        <v>267.95999999999998</v>
      </c>
      <c r="L30" s="64">
        <v>13.48</v>
      </c>
      <c r="M30" s="64">
        <v>90.71</v>
      </c>
      <c r="N30" s="64">
        <v>59.7</v>
      </c>
      <c r="O30" s="64">
        <v>0</v>
      </c>
      <c r="P30" s="64">
        <v>1.75</v>
      </c>
      <c r="Q30" s="212" t="s">
        <v>42</v>
      </c>
      <c r="R30" s="198"/>
      <c r="S30" s="198"/>
      <c r="T30" s="198"/>
      <c r="U30" s="198"/>
    </row>
    <row r="31" spans="1:21" s="12" customFormat="1" x14ac:dyDescent="0.25">
      <c r="A31" s="213" t="s">
        <v>557</v>
      </c>
      <c r="B31" s="64">
        <v>132.76</v>
      </c>
      <c r="C31" s="64">
        <v>55.73</v>
      </c>
      <c r="D31" s="64">
        <v>137.86000000000001</v>
      </c>
      <c r="E31" s="64">
        <v>0.41</v>
      </c>
      <c r="F31" s="64">
        <v>3.02</v>
      </c>
      <c r="G31" s="64">
        <v>135.44999999999999</v>
      </c>
      <c r="H31" s="64">
        <v>49.36</v>
      </c>
      <c r="I31" s="64">
        <v>1.48</v>
      </c>
      <c r="J31" s="64">
        <v>0.1</v>
      </c>
      <c r="K31" s="64">
        <v>252.64</v>
      </c>
      <c r="L31" s="64">
        <v>13.4</v>
      </c>
      <c r="M31" s="64">
        <v>92.74</v>
      </c>
      <c r="N31" s="64">
        <v>59.4</v>
      </c>
      <c r="O31" s="64">
        <v>0</v>
      </c>
      <c r="P31" s="64">
        <v>1.69</v>
      </c>
      <c r="Q31" s="212" t="s">
        <v>42</v>
      </c>
      <c r="R31" s="198"/>
      <c r="S31" s="198"/>
      <c r="T31" s="198"/>
      <c r="U31" s="198"/>
    </row>
    <row r="32" spans="1:21" s="12" customFormat="1" x14ac:dyDescent="0.25">
      <c r="A32" s="213" t="s">
        <v>558</v>
      </c>
      <c r="B32" s="64">
        <v>132.76</v>
      </c>
      <c r="C32" s="64">
        <v>55.73</v>
      </c>
      <c r="D32" s="64">
        <v>137.86000000000001</v>
      </c>
      <c r="E32" s="64">
        <v>0.41</v>
      </c>
      <c r="F32" s="64">
        <v>3.02</v>
      </c>
      <c r="G32" s="64">
        <v>135.44999999999999</v>
      </c>
      <c r="H32" s="64">
        <v>49.36</v>
      </c>
      <c r="I32" s="64">
        <v>1.48</v>
      </c>
      <c r="J32" s="64">
        <v>0.1</v>
      </c>
      <c r="K32" s="64">
        <v>252.64</v>
      </c>
      <c r="L32" s="64">
        <v>13.4</v>
      </c>
      <c r="M32" s="64">
        <v>92.74</v>
      </c>
      <c r="N32" s="64">
        <v>59.4</v>
      </c>
      <c r="O32" s="64">
        <v>0</v>
      </c>
      <c r="P32" s="64">
        <v>1.69</v>
      </c>
      <c r="Q32" s="212" t="s">
        <v>42</v>
      </c>
      <c r="R32" s="198"/>
      <c r="S32" s="198"/>
      <c r="T32" s="198"/>
      <c r="U32" s="198"/>
    </row>
    <row r="33" spans="1:21" s="12" customFormat="1" x14ac:dyDescent="0.25">
      <c r="A33" s="213" t="s">
        <v>559</v>
      </c>
      <c r="B33" s="64">
        <v>133.84</v>
      </c>
      <c r="C33" s="64">
        <v>54.99</v>
      </c>
      <c r="D33" s="64">
        <v>138.32</v>
      </c>
      <c r="E33" s="64">
        <v>0.4</v>
      </c>
      <c r="F33" s="64">
        <v>2.95</v>
      </c>
      <c r="G33" s="64">
        <v>123.73</v>
      </c>
      <c r="H33" s="64">
        <v>49.36</v>
      </c>
      <c r="I33" s="64">
        <v>1.42</v>
      </c>
      <c r="J33" s="64">
        <v>0.08</v>
      </c>
      <c r="K33" s="64">
        <v>294.83</v>
      </c>
      <c r="L33" s="64">
        <v>13.49</v>
      </c>
      <c r="M33" s="64">
        <v>94.14</v>
      </c>
      <c r="N33" s="64">
        <v>59.6</v>
      </c>
      <c r="O33" s="64">
        <v>0</v>
      </c>
      <c r="P33" s="64">
        <v>1.61</v>
      </c>
      <c r="Q33" s="64">
        <v>16.09</v>
      </c>
      <c r="R33" s="198"/>
      <c r="S33" s="198"/>
      <c r="T33" s="198"/>
      <c r="U33" s="198"/>
    </row>
    <row r="34" spans="1:21" s="12" customFormat="1" x14ac:dyDescent="0.25">
      <c r="A34" s="213" t="s">
        <v>560</v>
      </c>
      <c r="B34" s="64">
        <v>137.85</v>
      </c>
      <c r="C34" s="64">
        <v>54.63</v>
      </c>
      <c r="D34" s="64">
        <v>141.34</v>
      </c>
      <c r="E34" s="64">
        <v>0.38</v>
      </c>
      <c r="F34" s="64">
        <v>3</v>
      </c>
      <c r="G34" s="64">
        <v>123.73</v>
      </c>
      <c r="H34" s="64">
        <v>49.36</v>
      </c>
      <c r="I34" s="64">
        <v>1.46</v>
      </c>
      <c r="J34" s="64">
        <v>0.12</v>
      </c>
      <c r="K34" s="64">
        <v>272.11</v>
      </c>
      <c r="L34" s="64">
        <v>13.31</v>
      </c>
      <c r="M34" s="64">
        <v>96.51</v>
      </c>
      <c r="N34" s="64">
        <v>61</v>
      </c>
      <c r="O34" s="64">
        <v>0</v>
      </c>
      <c r="P34" s="64">
        <v>1.57</v>
      </c>
      <c r="Q34" s="64">
        <v>16.18</v>
      </c>
      <c r="R34" s="198"/>
      <c r="S34" s="198"/>
      <c r="T34" s="198"/>
      <c r="U34" s="198"/>
    </row>
    <row r="35" spans="1:21" s="12" customFormat="1" x14ac:dyDescent="0.25">
      <c r="A35" s="213" t="s">
        <v>561</v>
      </c>
      <c r="B35" s="64">
        <v>142.38999999999999</v>
      </c>
      <c r="C35" s="64">
        <v>55.31</v>
      </c>
      <c r="D35" s="64">
        <v>145.35</v>
      </c>
      <c r="E35" s="64">
        <v>0.43</v>
      </c>
      <c r="F35" s="64">
        <v>2.86</v>
      </c>
      <c r="G35" s="64">
        <v>131.53</v>
      </c>
      <c r="H35" s="64">
        <v>51.65</v>
      </c>
      <c r="I35" s="64">
        <v>1.57</v>
      </c>
      <c r="J35" s="64">
        <v>0.1</v>
      </c>
      <c r="K35" s="64">
        <v>285.05</v>
      </c>
      <c r="L35" s="64">
        <v>13.78</v>
      </c>
      <c r="M35" s="64">
        <v>94.82</v>
      </c>
      <c r="N35" s="64">
        <v>68.099999999999994</v>
      </c>
      <c r="O35" s="64">
        <v>0</v>
      </c>
      <c r="P35" s="64">
        <v>1.54</v>
      </c>
      <c r="Q35" s="64">
        <v>16.420000000000002</v>
      </c>
      <c r="R35" s="198"/>
      <c r="S35" s="198"/>
      <c r="T35" s="198"/>
      <c r="U35" s="198"/>
    </row>
    <row r="36" spans="1:21" s="12" customFormat="1" x14ac:dyDescent="0.25">
      <c r="A36" s="213" t="s">
        <v>562</v>
      </c>
      <c r="B36" s="64">
        <v>148.04</v>
      </c>
      <c r="C36" s="64">
        <v>55.44</v>
      </c>
      <c r="D36" s="64">
        <v>149.96</v>
      </c>
      <c r="E36" s="64">
        <v>0.46</v>
      </c>
      <c r="F36" s="64">
        <v>3.2</v>
      </c>
      <c r="G36" s="64">
        <v>133.62</v>
      </c>
      <c r="H36" s="64">
        <v>51.65</v>
      </c>
      <c r="I36" s="64">
        <v>1.47</v>
      </c>
      <c r="J36" s="64">
        <v>0.11</v>
      </c>
      <c r="K36" s="64">
        <v>270.33999999999997</v>
      </c>
      <c r="L36" s="64">
        <v>13.82</v>
      </c>
      <c r="M36" s="64">
        <v>93.33</v>
      </c>
      <c r="N36" s="64">
        <v>82</v>
      </c>
      <c r="O36" s="64">
        <v>0</v>
      </c>
      <c r="P36" s="64">
        <v>1.52</v>
      </c>
      <c r="Q36" s="64">
        <v>16.75</v>
      </c>
      <c r="R36" s="198"/>
      <c r="S36" s="198"/>
      <c r="T36" s="198"/>
      <c r="U36" s="198"/>
    </row>
    <row r="37" spans="1:21" s="12" customFormat="1" x14ac:dyDescent="0.25">
      <c r="A37" s="213" t="s">
        <v>563</v>
      </c>
      <c r="B37" s="64">
        <v>153.28</v>
      </c>
      <c r="C37" s="64">
        <v>55.68</v>
      </c>
      <c r="D37" s="64">
        <v>154.30000000000001</v>
      </c>
      <c r="E37" s="64">
        <v>0.42</v>
      </c>
      <c r="F37" s="64">
        <v>3.14</v>
      </c>
      <c r="G37" s="64">
        <v>133.62</v>
      </c>
      <c r="H37" s="64">
        <v>51.65</v>
      </c>
      <c r="I37" s="64">
        <v>1.49</v>
      </c>
      <c r="J37" s="64">
        <v>0.08</v>
      </c>
      <c r="K37" s="64">
        <v>288.35000000000002</v>
      </c>
      <c r="L37" s="64">
        <v>14.15</v>
      </c>
      <c r="M37" s="64">
        <v>92.87</v>
      </c>
      <c r="N37" s="64">
        <v>98.5</v>
      </c>
      <c r="O37" s="64">
        <v>0</v>
      </c>
      <c r="P37" s="64">
        <v>1.53</v>
      </c>
      <c r="Q37" s="64">
        <v>17.09</v>
      </c>
      <c r="R37" s="198"/>
      <c r="S37" s="198"/>
      <c r="T37" s="198"/>
      <c r="U37" s="198"/>
    </row>
    <row r="38" spans="1:21" s="12" customFormat="1" x14ac:dyDescent="0.25">
      <c r="A38" s="213" t="s">
        <v>564</v>
      </c>
      <c r="B38" s="64">
        <v>157.55000000000001</v>
      </c>
      <c r="C38" s="64">
        <v>56.36</v>
      </c>
      <c r="D38" s="64">
        <v>158.09</v>
      </c>
      <c r="E38" s="64">
        <v>0.44</v>
      </c>
      <c r="F38" s="64">
        <v>3.21</v>
      </c>
      <c r="G38" s="64">
        <v>133.62</v>
      </c>
      <c r="H38" s="64">
        <v>51.65</v>
      </c>
      <c r="I38" s="64">
        <v>1.47</v>
      </c>
      <c r="J38" s="64">
        <v>0.05</v>
      </c>
      <c r="K38" s="64">
        <v>218.01</v>
      </c>
      <c r="L38" s="64">
        <v>14.82</v>
      </c>
      <c r="M38" s="64">
        <v>89.23</v>
      </c>
      <c r="N38" s="64">
        <v>117.4</v>
      </c>
      <c r="O38" s="64">
        <v>0</v>
      </c>
      <c r="P38" s="64">
        <v>1.61</v>
      </c>
      <c r="Q38" s="64">
        <v>17.48</v>
      </c>
      <c r="R38" s="198"/>
      <c r="S38" s="198"/>
      <c r="T38" s="198"/>
      <c r="U38" s="198"/>
    </row>
    <row r="39" spans="1:21" s="12" customFormat="1" x14ac:dyDescent="0.25">
      <c r="A39" s="213" t="s">
        <v>565</v>
      </c>
      <c r="B39" s="64">
        <v>156.38</v>
      </c>
      <c r="C39" s="64">
        <v>56.88</v>
      </c>
      <c r="D39" s="64">
        <v>157.44</v>
      </c>
      <c r="E39" s="64">
        <v>0.4</v>
      </c>
      <c r="F39" s="64">
        <v>3.06</v>
      </c>
      <c r="G39" s="64">
        <v>137.88</v>
      </c>
      <c r="H39" s="64">
        <v>51.61</v>
      </c>
      <c r="I39" s="64">
        <v>1.46</v>
      </c>
      <c r="J39" s="64">
        <v>0.08</v>
      </c>
      <c r="K39" s="64">
        <v>95.17</v>
      </c>
      <c r="L39" s="64">
        <v>16.37</v>
      </c>
      <c r="M39" s="64">
        <v>81.09</v>
      </c>
      <c r="N39" s="64">
        <v>210.7</v>
      </c>
      <c r="O39" s="64">
        <v>0</v>
      </c>
      <c r="P39" s="64">
        <v>1.59</v>
      </c>
      <c r="Q39" s="64">
        <v>17.579999999999998</v>
      </c>
      <c r="R39" s="198"/>
      <c r="S39" s="198"/>
      <c r="T39" s="198"/>
      <c r="U39" s="198"/>
    </row>
    <row r="40" spans="1:21" s="12" customFormat="1" x14ac:dyDescent="0.25">
      <c r="A40" s="213" t="s">
        <v>566</v>
      </c>
      <c r="B40" s="64">
        <v>153.87</v>
      </c>
      <c r="C40" s="64">
        <v>56.55</v>
      </c>
      <c r="D40" s="64">
        <v>155.25</v>
      </c>
      <c r="E40" s="64">
        <v>0.3</v>
      </c>
      <c r="F40" s="64">
        <v>2.98</v>
      </c>
      <c r="G40" s="64">
        <v>139.02000000000001</v>
      </c>
      <c r="H40" s="64">
        <v>51.61</v>
      </c>
      <c r="I40" s="64">
        <v>1.5</v>
      </c>
      <c r="J40" s="64">
        <v>0.11</v>
      </c>
      <c r="K40" s="64">
        <v>13.65</v>
      </c>
      <c r="L40" s="64">
        <v>19.22</v>
      </c>
      <c r="M40" s="64">
        <v>67.790000000000006</v>
      </c>
      <c r="N40" s="64">
        <v>276.3</v>
      </c>
      <c r="O40" s="64">
        <v>0</v>
      </c>
      <c r="P40" s="64">
        <v>1.57</v>
      </c>
      <c r="Q40" s="64">
        <v>17.59</v>
      </c>
      <c r="R40" s="198"/>
      <c r="S40" s="198"/>
      <c r="T40" s="198"/>
      <c r="U40" s="198"/>
    </row>
    <row r="41" spans="1:21" s="12" customFormat="1" x14ac:dyDescent="0.25">
      <c r="A41" s="213" t="s">
        <v>567</v>
      </c>
      <c r="B41" s="64">
        <v>150.44</v>
      </c>
      <c r="C41" s="64">
        <v>57.97</v>
      </c>
      <c r="D41" s="64">
        <v>153.28</v>
      </c>
      <c r="E41" s="64">
        <v>0.48</v>
      </c>
      <c r="F41" s="64">
        <v>3.24</v>
      </c>
      <c r="G41" s="64">
        <v>139.02000000000001</v>
      </c>
      <c r="H41" s="64">
        <v>51.61</v>
      </c>
      <c r="I41" s="64">
        <v>1.48</v>
      </c>
      <c r="J41" s="64">
        <v>0.21</v>
      </c>
      <c r="K41" s="64">
        <v>336.51</v>
      </c>
      <c r="L41" s="64">
        <v>21.8</v>
      </c>
      <c r="M41" s="64">
        <v>57.89</v>
      </c>
      <c r="N41" s="64">
        <v>331.1</v>
      </c>
      <c r="O41" s="64">
        <v>0</v>
      </c>
      <c r="P41" s="64">
        <v>1.57</v>
      </c>
      <c r="Q41" s="64">
        <v>17.41</v>
      </c>
      <c r="R41" s="198"/>
      <c r="S41" s="198"/>
      <c r="T41" s="198"/>
      <c r="U41" s="198"/>
    </row>
    <row r="42" spans="1:21" s="12" customFormat="1" x14ac:dyDescent="0.25">
      <c r="A42" s="213" t="s">
        <v>568</v>
      </c>
      <c r="B42" s="64">
        <v>145.91999999999999</v>
      </c>
      <c r="C42" s="64">
        <v>60.28</v>
      </c>
      <c r="D42" s="64">
        <v>150.93</v>
      </c>
      <c r="E42" s="64">
        <v>0.53</v>
      </c>
      <c r="F42" s="64">
        <v>3.08</v>
      </c>
      <c r="G42" s="64">
        <v>139.02000000000001</v>
      </c>
      <c r="H42" s="64">
        <v>51.61</v>
      </c>
      <c r="I42" s="64">
        <v>1.51</v>
      </c>
      <c r="J42" s="64">
        <v>0.17</v>
      </c>
      <c r="K42" s="64">
        <v>351.6</v>
      </c>
      <c r="L42" s="64">
        <v>22.63</v>
      </c>
      <c r="M42" s="64">
        <v>55.65</v>
      </c>
      <c r="N42" s="64">
        <v>381.1</v>
      </c>
      <c r="O42" s="64">
        <v>0</v>
      </c>
      <c r="P42" s="64">
        <v>1.57</v>
      </c>
      <c r="Q42" s="64">
        <v>17.2</v>
      </c>
      <c r="R42" s="198"/>
      <c r="S42" s="198"/>
      <c r="T42" s="198"/>
      <c r="U42" s="198"/>
    </row>
    <row r="43" spans="1:21" s="12" customFormat="1" x14ac:dyDescent="0.25">
      <c r="A43" s="213" t="s">
        <v>569</v>
      </c>
      <c r="B43" s="64">
        <v>139.12</v>
      </c>
      <c r="C43" s="64">
        <v>62.35</v>
      </c>
      <c r="D43" s="64">
        <v>146.63</v>
      </c>
      <c r="E43" s="64">
        <v>0.55000000000000004</v>
      </c>
      <c r="F43" s="64">
        <v>3.17</v>
      </c>
      <c r="G43" s="64">
        <v>147.93</v>
      </c>
      <c r="H43" s="64">
        <v>50.99</v>
      </c>
      <c r="I43" s="64">
        <v>1.6</v>
      </c>
      <c r="J43" s="64">
        <v>0.39</v>
      </c>
      <c r="K43" s="64">
        <v>149.93</v>
      </c>
      <c r="L43" s="64">
        <v>22.08</v>
      </c>
      <c r="M43" s="64">
        <v>57.27</v>
      </c>
      <c r="N43" s="64">
        <v>440.2</v>
      </c>
      <c r="O43" s="64">
        <v>0</v>
      </c>
      <c r="P43" s="64">
        <v>1.56</v>
      </c>
      <c r="Q43" s="64">
        <v>16.920000000000002</v>
      </c>
      <c r="R43" s="198"/>
      <c r="S43" s="198"/>
      <c r="T43" s="198"/>
      <c r="U43" s="198"/>
    </row>
    <row r="44" spans="1:21" s="12" customFormat="1" x14ac:dyDescent="0.25">
      <c r="A44" s="213" t="s">
        <v>570</v>
      </c>
      <c r="B44" s="64">
        <v>131.44999999999999</v>
      </c>
      <c r="C44" s="64">
        <v>63.98</v>
      </c>
      <c r="D44" s="64">
        <v>141.37</v>
      </c>
      <c r="E44" s="64">
        <v>0.42</v>
      </c>
      <c r="F44" s="64">
        <v>3.35</v>
      </c>
      <c r="G44" s="64">
        <v>150.31</v>
      </c>
      <c r="H44" s="64">
        <v>50.99</v>
      </c>
      <c r="I44" s="64">
        <v>1.51</v>
      </c>
      <c r="J44" s="64">
        <v>0.81</v>
      </c>
      <c r="K44" s="64">
        <v>146.6</v>
      </c>
      <c r="L44" s="64">
        <v>21.81</v>
      </c>
      <c r="M44" s="64">
        <v>56.96</v>
      </c>
      <c r="N44" s="64">
        <v>488.7</v>
      </c>
      <c r="O44" s="64">
        <v>0</v>
      </c>
      <c r="P44" s="64">
        <v>1.52</v>
      </c>
      <c r="Q44" s="64">
        <v>16.579999999999998</v>
      </c>
      <c r="R44" s="198"/>
      <c r="S44" s="198"/>
      <c r="T44" s="198"/>
      <c r="U44" s="198"/>
    </row>
    <row r="45" spans="1:21" s="12" customFormat="1" x14ac:dyDescent="0.25">
      <c r="A45" s="213" t="s">
        <v>571</v>
      </c>
      <c r="B45" s="64">
        <v>123.5</v>
      </c>
      <c r="C45" s="64">
        <v>66.010000000000005</v>
      </c>
      <c r="D45" s="64">
        <v>136.11000000000001</v>
      </c>
      <c r="E45" s="64">
        <v>0.47</v>
      </c>
      <c r="F45" s="64">
        <v>3.09</v>
      </c>
      <c r="G45" s="64">
        <v>150.31</v>
      </c>
      <c r="H45" s="64">
        <v>50.99</v>
      </c>
      <c r="I45" s="64">
        <v>1.48</v>
      </c>
      <c r="J45" s="64">
        <v>0.46</v>
      </c>
      <c r="K45" s="64">
        <v>153.44999999999999</v>
      </c>
      <c r="L45" s="64">
        <v>22.4</v>
      </c>
      <c r="M45" s="64">
        <v>50.4</v>
      </c>
      <c r="N45" s="64">
        <v>547.5</v>
      </c>
      <c r="O45" s="64">
        <v>0</v>
      </c>
      <c r="P45" s="64">
        <v>1.5</v>
      </c>
      <c r="Q45" s="64">
        <v>16.170000000000002</v>
      </c>
      <c r="R45" s="198"/>
      <c r="S45" s="198"/>
      <c r="T45" s="198"/>
      <c r="U45" s="198"/>
    </row>
    <row r="46" spans="1:21" s="12" customFormat="1" x14ac:dyDescent="0.25">
      <c r="A46" s="213" t="s">
        <v>572</v>
      </c>
      <c r="B46" s="64">
        <v>114.12</v>
      </c>
      <c r="C46" s="64">
        <v>68.44</v>
      </c>
      <c r="D46" s="64">
        <v>129.93</v>
      </c>
      <c r="E46" s="64">
        <v>0.43</v>
      </c>
      <c r="F46" s="64">
        <v>3.49</v>
      </c>
      <c r="G46" s="64">
        <v>150.31</v>
      </c>
      <c r="H46" s="64">
        <v>50.99</v>
      </c>
      <c r="I46" s="64">
        <v>1.46</v>
      </c>
      <c r="J46" s="64">
        <v>0.62</v>
      </c>
      <c r="K46" s="64">
        <v>155.93</v>
      </c>
      <c r="L46" s="64">
        <v>22.48</v>
      </c>
      <c r="M46" s="64">
        <v>43.74</v>
      </c>
      <c r="N46" s="64">
        <v>613.20000000000005</v>
      </c>
      <c r="O46" s="64">
        <v>0</v>
      </c>
      <c r="P46" s="64">
        <v>1.44</v>
      </c>
      <c r="Q46" s="64">
        <v>15.65</v>
      </c>
      <c r="R46" s="198"/>
      <c r="S46" s="198"/>
      <c r="T46" s="198"/>
      <c r="U46" s="198"/>
    </row>
    <row r="47" spans="1:21" s="12" customFormat="1" x14ac:dyDescent="0.25">
      <c r="A47" s="213" t="s">
        <v>573</v>
      </c>
      <c r="B47" s="64">
        <v>105.04</v>
      </c>
      <c r="C47" s="64">
        <v>70.39</v>
      </c>
      <c r="D47" s="64">
        <v>123.73</v>
      </c>
      <c r="E47" s="64">
        <v>0.41</v>
      </c>
      <c r="F47" s="64">
        <v>3.45</v>
      </c>
      <c r="G47" s="64">
        <v>124.56</v>
      </c>
      <c r="H47" s="64">
        <v>48.52</v>
      </c>
      <c r="I47" s="64">
        <v>1.5</v>
      </c>
      <c r="J47" s="64">
        <v>0.39</v>
      </c>
      <c r="K47" s="64">
        <v>141.5</v>
      </c>
      <c r="L47" s="64">
        <v>23.95</v>
      </c>
      <c r="M47" s="64">
        <v>38.69</v>
      </c>
      <c r="N47" s="64">
        <v>649.9</v>
      </c>
      <c r="O47" s="64">
        <v>0</v>
      </c>
      <c r="P47" s="64">
        <v>1.39</v>
      </c>
      <c r="Q47" s="64">
        <v>15.18</v>
      </c>
      <c r="R47" s="198"/>
      <c r="S47" s="198"/>
      <c r="T47" s="198"/>
      <c r="U47" s="198"/>
    </row>
    <row r="48" spans="1:21" s="12" customFormat="1" x14ac:dyDescent="0.25">
      <c r="A48" s="213" t="s">
        <v>574</v>
      </c>
      <c r="B48" s="64">
        <v>97.13</v>
      </c>
      <c r="C48" s="64">
        <v>71.260000000000005</v>
      </c>
      <c r="D48" s="64">
        <v>117.86</v>
      </c>
      <c r="E48" s="64">
        <v>0.45</v>
      </c>
      <c r="F48" s="64">
        <v>3.41</v>
      </c>
      <c r="G48" s="64">
        <v>117.67</v>
      </c>
      <c r="H48" s="64">
        <v>48.52</v>
      </c>
      <c r="I48" s="64">
        <v>1.55</v>
      </c>
      <c r="J48" s="64">
        <v>0.28000000000000003</v>
      </c>
      <c r="K48" s="64">
        <v>132.97999999999999</v>
      </c>
      <c r="L48" s="64">
        <v>25.22</v>
      </c>
      <c r="M48" s="64">
        <v>34.96</v>
      </c>
      <c r="N48" s="64">
        <v>684.9</v>
      </c>
      <c r="O48" s="64">
        <v>0</v>
      </c>
      <c r="P48" s="64">
        <v>1.35</v>
      </c>
      <c r="Q48" s="64">
        <v>14.72</v>
      </c>
      <c r="R48" s="198"/>
      <c r="S48" s="198"/>
      <c r="T48" s="198"/>
      <c r="U48" s="198"/>
    </row>
    <row r="49" spans="1:21" s="12" customFormat="1" x14ac:dyDescent="0.25">
      <c r="A49" s="213" t="s">
        <v>575</v>
      </c>
      <c r="B49" s="64">
        <v>88.2</v>
      </c>
      <c r="C49" s="64">
        <v>72.62</v>
      </c>
      <c r="D49" s="64">
        <v>111.45</v>
      </c>
      <c r="E49" s="64">
        <v>0.37</v>
      </c>
      <c r="F49" s="64">
        <v>3.18</v>
      </c>
      <c r="G49" s="64">
        <v>117.67</v>
      </c>
      <c r="H49" s="64">
        <v>48.52</v>
      </c>
      <c r="I49" s="64">
        <v>1.48</v>
      </c>
      <c r="J49" s="64">
        <v>0.53</v>
      </c>
      <c r="K49" s="64">
        <v>119.53</v>
      </c>
      <c r="L49" s="64">
        <v>24.89</v>
      </c>
      <c r="M49" s="64">
        <v>34.67</v>
      </c>
      <c r="N49" s="64">
        <v>716.9</v>
      </c>
      <c r="O49" s="64">
        <v>0</v>
      </c>
      <c r="P49" s="64">
        <v>1.29</v>
      </c>
      <c r="Q49" s="64">
        <v>14.2</v>
      </c>
      <c r="R49" s="198"/>
      <c r="S49" s="198"/>
      <c r="T49" s="198"/>
      <c r="U49" s="198"/>
    </row>
    <row r="50" spans="1:21" s="12" customFormat="1" x14ac:dyDescent="0.25">
      <c r="A50" s="213" t="s">
        <v>576</v>
      </c>
      <c r="B50" s="64">
        <v>81.900000000000006</v>
      </c>
      <c r="C50" s="64">
        <v>72.56</v>
      </c>
      <c r="D50" s="64">
        <v>106.37</v>
      </c>
      <c r="E50" s="64">
        <v>0.41</v>
      </c>
      <c r="F50" s="64">
        <v>2.97</v>
      </c>
      <c r="G50" s="64">
        <v>117.67</v>
      </c>
      <c r="H50" s="64">
        <v>48.52</v>
      </c>
      <c r="I50" s="64">
        <v>1.46</v>
      </c>
      <c r="J50" s="64">
        <v>0.19</v>
      </c>
      <c r="K50" s="64">
        <v>334.3</v>
      </c>
      <c r="L50" s="64">
        <v>27.97</v>
      </c>
      <c r="M50" s="64">
        <v>30.08</v>
      </c>
      <c r="N50" s="64">
        <v>742.6</v>
      </c>
      <c r="O50" s="64">
        <v>0</v>
      </c>
      <c r="P50" s="64">
        <v>1.25</v>
      </c>
      <c r="Q50" s="64">
        <v>13.66</v>
      </c>
      <c r="R50" s="198"/>
      <c r="S50" s="198"/>
      <c r="T50" s="198"/>
      <c r="U50" s="198"/>
    </row>
    <row r="51" spans="1:21" s="12" customFormat="1" x14ac:dyDescent="0.25">
      <c r="A51" s="213" t="s">
        <v>577</v>
      </c>
      <c r="B51" s="64">
        <v>76.25</v>
      </c>
      <c r="C51" s="64">
        <v>73.13</v>
      </c>
      <c r="D51" s="64">
        <v>102.15</v>
      </c>
      <c r="E51" s="64">
        <v>0.39</v>
      </c>
      <c r="F51" s="64">
        <v>3.1</v>
      </c>
      <c r="G51" s="64">
        <v>86.82</v>
      </c>
      <c r="H51" s="64">
        <v>40.54</v>
      </c>
      <c r="I51" s="64">
        <v>1.52</v>
      </c>
      <c r="J51" s="64">
        <v>0.52</v>
      </c>
      <c r="K51" s="64">
        <v>133.08000000000001</v>
      </c>
      <c r="L51" s="64">
        <v>26.37</v>
      </c>
      <c r="M51" s="64">
        <v>29.54</v>
      </c>
      <c r="N51" s="64">
        <v>770.3</v>
      </c>
      <c r="O51" s="64">
        <v>0</v>
      </c>
      <c r="P51" s="64">
        <v>1.22</v>
      </c>
      <c r="Q51" s="64">
        <v>13.25</v>
      </c>
      <c r="R51" s="198"/>
      <c r="S51" s="198"/>
      <c r="T51" s="198"/>
      <c r="U51" s="198"/>
    </row>
    <row r="52" spans="1:21" s="12" customFormat="1" x14ac:dyDescent="0.25">
      <c r="A52" s="213" t="s">
        <v>578</v>
      </c>
      <c r="B52" s="64">
        <v>69.760000000000005</v>
      </c>
      <c r="C52" s="64">
        <v>73.400000000000006</v>
      </c>
      <c r="D52" s="64">
        <v>97.1</v>
      </c>
      <c r="E52" s="64">
        <v>0.38</v>
      </c>
      <c r="F52" s="64">
        <v>3.03</v>
      </c>
      <c r="G52" s="64">
        <v>78.56</v>
      </c>
      <c r="H52" s="64">
        <v>40.54</v>
      </c>
      <c r="I52" s="64">
        <v>1.56</v>
      </c>
      <c r="J52" s="64">
        <v>0.51</v>
      </c>
      <c r="K52" s="64">
        <v>145.71</v>
      </c>
      <c r="L52" s="64">
        <v>25.87</v>
      </c>
      <c r="M52" s="64">
        <v>31.24</v>
      </c>
      <c r="N52" s="64">
        <v>789.8</v>
      </c>
      <c r="O52" s="64">
        <v>0</v>
      </c>
      <c r="P52" s="64">
        <v>1.17</v>
      </c>
      <c r="Q52" s="64">
        <v>12.81</v>
      </c>
      <c r="R52" s="198"/>
      <c r="S52" s="198"/>
      <c r="T52" s="198"/>
      <c r="U52" s="198"/>
    </row>
    <row r="53" spans="1:21" s="12" customFormat="1" x14ac:dyDescent="0.25">
      <c r="A53" s="213" t="s">
        <v>579</v>
      </c>
      <c r="B53" s="64">
        <v>62.53</v>
      </c>
      <c r="C53" s="64">
        <v>74.17</v>
      </c>
      <c r="D53" s="64">
        <v>91.72</v>
      </c>
      <c r="E53" s="64">
        <v>0.37</v>
      </c>
      <c r="F53" s="64">
        <v>3.3</v>
      </c>
      <c r="G53" s="64">
        <v>78.56</v>
      </c>
      <c r="H53" s="64">
        <v>40.54</v>
      </c>
      <c r="I53" s="64">
        <v>1.53</v>
      </c>
      <c r="J53" s="64">
        <v>0.64</v>
      </c>
      <c r="K53" s="64">
        <v>146.28</v>
      </c>
      <c r="L53" s="64">
        <v>26.26</v>
      </c>
      <c r="M53" s="64">
        <v>30.02</v>
      </c>
      <c r="N53" s="64">
        <v>816.1</v>
      </c>
      <c r="O53" s="64">
        <v>0</v>
      </c>
      <c r="P53" s="64">
        <v>1.1000000000000001</v>
      </c>
      <c r="Q53" s="64">
        <v>12.33</v>
      </c>
      <c r="R53" s="198"/>
      <c r="S53" s="198"/>
      <c r="T53" s="198"/>
      <c r="U53" s="198"/>
    </row>
    <row r="54" spans="1:21" s="12" customFormat="1" x14ac:dyDescent="0.25">
      <c r="A54" s="213" t="s">
        <v>580</v>
      </c>
      <c r="B54" s="64">
        <v>54.97</v>
      </c>
      <c r="C54" s="64">
        <v>74.849999999999994</v>
      </c>
      <c r="D54" s="64">
        <v>86.04</v>
      </c>
      <c r="E54" s="64">
        <v>0.36</v>
      </c>
      <c r="F54" s="64">
        <v>3.11</v>
      </c>
      <c r="G54" s="64">
        <v>78.56</v>
      </c>
      <c r="H54" s="64">
        <v>40.54</v>
      </c>
      <c r="I54" s="64">
        <v>1.53</v>
      </c>
      <c r="J54" s="64">
        <v>0.4</v>
      </c>
      <c r="K54" s="64">
        <v>123.58</v>
      </c>
      <c r="L54" s="64">
        <v>25.91</v>
      </c>
      <c r="M54" s="64">
        <v>29.35</v>
      </c>
      <c r="N54" s="64">
        <v>838</v>
      </c>
      <c r="O54" s="64">
        <v>0</v>
      </c>
      <c r="P54" s="64">
        <v>1.05</v>
      </c>
      <c r="Q54" s="64">
        <v>11.88</v>
      </c>
      <c r="R54" s="198"/>
      <c r="S54" s="198"/>
      <c r="T54" s="198"/>
      <c r="U54" s="198"/>
    </row>
    <row r="55" spans="1:21" s="12" customFormat="1" x14ac:dyDescent="0.25">
      <c r="A55" s="213" t="s">
        <v>581</v>
      </c>
      <c r="B55" s="64">
        <v>48.53</v>
      </c>
      <c r="C55" s="64">
        <v>74.75</v>
      </c>
      <c r="D55" s="64">
        <v>80.819999999999993</v>
      </c>
      <c r="E55" s="64">
        <v>0.3</v>
      </c>
      <c r="F55" s="64">
        <v>3.36</v>
      </c>
      <c r="G55" s="64">
        <v>55.63</v>
      </c>
      <c r="H55" s="64">
        <v>32.07</v>
      </c>
      <c r="I55" s="64">
        <v>1.48</v>
      </c>
      <c r="J55" s="64">
        <v>0.59</v>
      </c>
      <c r="K55" s="64">
        <v>127.82</v>
      </c>
      <c r="L55" s="64">
        <v>26.77</v>
      </c>
      <c r="M55" s="64">
        <v>28.65</v>
      </c>
      <c r="N55" s="64">
        <v>829.3</v>
      </c>
      <c r="O55" s="64">
        <v>0</v>
      </c>
      <c r="P55" s="64">
        <v>0.99</v>
      </c>
      <c r="Q55" s="64">
        <v>11.41</v>
      </c>
      <c r="R55" s="198"/>
      <c r="S55" s="198"/>
      <c r="T55" s="198"/>
      <c r="U55" s="198"/>
    </row>
    <row r="56" spans="1:21" s="12" customFormat="1" x14ac:dyDescent="0.25">
      <c r="A56" s="213" t="s">
        <v>582</v>
      </c>
      <c r="B56" s="64">
        <v>43.85</v>
      </c>
      <c r="C56" s="64">
        <v>74.2</v>
      </c>
      <c r="D56" s="64">
        <v>76.760000000000005</v>
      </c>
      <c r="E56" s="64">
        <v>0.01</v>
      </c>
      <c r="F56" s="64">
        <v>3.26</v>
      </c>
      <c r="G56" s="64">
        <v>49.5</v>
      </c>
      <c r="H56" s="64">
        <v>32.07</v>
      </c>
      <c r="I56" s="64">
        <v>1.5</v>
      </c>
      <c r="J56" s="64">
        <v>0.41</v>
      </c>
      <c r="K56" s="64">
        <v>349.74</v>
      </c>
      <c r="L56" s="64">
        <v>29.31</v>
      </c>
      <c r="M56" s="64">
        <v>26.11</v>
      </c>
      <c r="N56" s="64">
        <v>819.9</v>
      </c>
      <c r="O56" s="64">
        <v>0</v>
      </c>
      <c r="P56" s="64">
        <v>0.96</v>
      </c>
      <c r="Q56" s="64">
        <v>10.94</v>
      </c>
      <c r="R56" s="198"/>
      <c r="S56" s="198"/>
      <c r="T56" s="198"/>
      <c r="U56" s="198"/>
    </row>
    <row r="57" spans="1:21" s="12" customFormat="1" x14ac:dyDescent="0.25">
      <c r="A57" s="213" t="s">
        <v>583</v>
      </c>
      <c r="B57" s="64">
        <v>39.840000000000003</v>
      </c>
      <c r="C57" s="64">
        <v>74.87</v>
      </c>
      <c r="D57" s="64">
        <v>73.91</v>
      </c>
      <c r="E57" s="64">
        <v>0.17</v>
      </c>
      <c r="F57" s="64">
        <v>3.16</v>
      </c>
      <c r="G57" s="64">
        <v>49.5</v>
      </c>
      <c r="H57" s="64">
        <v>32.07</v>
      </c>
      <c r="I57" s="64">
        <v>1.49</v>
      </c>
      <c r="J57" s="64">
        <v>0.4</v>
      </c>
      <c r="K57" s="64">
        <v>341.49</v>
      </c>
      <c r="L57" s="64">
        <v>31.19</v>
      </c>
      <c r="M57" s="64">
        <v>23.04</v>
      </c>
      <c r="N57" s="64">
        <v>840</v>
      </c>
      <c r="O57" s="64">
        <v>0</v>
      </c>
      <c r="P57" s="64">
        <v>0.93</v>
      </c>
      <c r="Q57" s="64">
        <v>10.67</v>
      </c>
      <c r="R57" s="198"/>
      <c r="S57" s="198"/>
      <c r="T57" s="198"/>
      <c r="U57" s="198"/>
    </row>
    <row r="58" spans="1:21" s="12" customFormat="1" x14ac:dyDescent="0.25">
      <c r="A58" s="213" t="s">
        <v>584</v>
      </c>
      <c r="B58" s="64">
        <v>34.659999999999997</v>
      </c>
      <c r="C58" s="64">
        <v>75.599999999999994</v>
      </c>
      <c r="D58" s="64">
        <v>70.17</v>
      </c>
      <c r="E58" s="64">
        <v>0.14000000000000001</v>
      </c>
      <c r="F58" s="64">
        <v>3.16</v>
      </c>
      <c r="G58" s="64">
        <v>49.5</v>
      </c>
      <c r="H58" s="64">
        <v>32.07</v>
      </c>
      <c r="I58" s="64">
        <v>1.52</v>
      </c>
      <c r="J58" s="64">
        <v>0.42</v>
      </c>
      <c r="K58" s="64">
        <v>337.99</v>
      </c>
      <c r="L58" s="64">
        <v>31.42</v>
      </c>
      <c r="M58" s="64">
        <v>22</v>
      </c>
      <c r="N58" s="64">
        <v>833.1</v>
      </c>
      <c r="O58" s="64">
        <v>0</v>
      </c>
      <c r="P58" s="64">
        <v>0.9</v>
      </c>
      <c r="Q58" s="64">
        <v>10.33</v>
      </c>
      <c r="R58" s="198"/>
      <c r="S58" s="198"/>
      <c r="T58" s="198"/>
      <c r="U58" s="198"/>
    </row>
    <row r="59" spans="1:21" s="12" customFormat="1" x14ac:dyDescent="0.25">
      <c r="A59" s="213" t="s">
        <v>585</v>
      </c>
      <c r="B59" s="64">
        <v>29.47</v>
      </c>
      <c r="C59" s="64">
        <v>76.02</v>
      </c>
      <c r="D59" s="64">
        <v>66.239999999999995</v>
      </c>
      <c r="E59" s="64">
        <v>0.17</v>
      </c>
      <c r="F59" s="64">
        <v>3.2</v>
      </c>
      <c r="G59" s="64">
        <v>48.5</v>
      </c>
      <c r="H59" s="64">
        <v>35.74</v>
      </c>
      <c r="I59" s="64">
        <v>1.48</v>
      </c>
      <c r="J59" s="64">
        <v>0.38</v>
      </c>
      <c r="K59" s="64">
        <v>93.23</v>
      </c>
      <c r="L59" s="64">
        <v>28.38</v>
      </c>
      <c r="M59" s="64">
        <v>23.42</v>
      </c>
      <c r="N59" s="64">
        <v>820.2</v>
      </c>
      <c r="O59" s="64">
        <v>0</v>
      </c>
      <c r="P59" s="64">
        <v>0.85</v>
      </c>
      <c r="Q59" s="64">
        <v>9.94</v>
      </c>
      <c r="R59" s="198"/>
      <c r="S59" s="198"/>
      <c r="T59" s="198"/>
      <c r="U59" s="198"/>
    </row>
    <row r="60" spans="1:21" s="12" customFormat="1" x14ac:dyDescent="0.25">
      <c r="A60" s="213" t="s">
        <v>586</v>
      </c>
      <c r="B60" s="64">
        <v>24.14</v>
      </c>
      <c r="C60" s="64">
        <v>76.03</v>
      </c>
      <c r="D60" s="64">
        <v>61.97</v>
      </c>
      <c r="E60" s="64">
        <v>0.13</v>
      </c>
      <c r="F60" s="64">
        <v>3.39</v>
      </c>
      <c r="G60" s="64">
        <v>48.24</v>
      </c>
      <c r="H60" s="64">
        <v>35.74</v>
      </c>
      <c r="I60" s="64">
        <v>1.5</v>
      </c>
      <c r="J60" s="64">
        <v>0.69</v>
      </c>
      <c r="K60" s="64">
        <v>330.79</v>
      </c>
      <c r="L60" s="64">
        <v>30.21</v>
      </c>
      <c r="M60" s="64">
        <v>21.42</v>
      </c>
      <c r="N60" s="64">
        <v>807.2</v>
      </c>
      <c r="O60" s="64">
        <v>0</v>
      </c>
      <c r="P60" s="64">
        <v>0.81</v>
      </c>
      <c r="Q60" s="64">
        <v>9.52</v>
      </c>
      <c r="R60" s="198"/>
      <c r="S60" s="198"/>
      <c r="T60" s="198"/>
      <c r="U60" s="198"/>
    </row>
    <row r="61" spans="1:21" s="12" customFormat="1" x14ac:dyDescent="0.25">
      <c r="A61" s="213" t="s">
        <v>587</v>
      </c>
      <c r="B61" s="64">
        <v>19.46</v>
      </c>
      <c r="C61" s="64">
        <v>76.97</v>
      </c>
      <c r="D61" s="64">
        <v>58.73</v>
      </c>
      <c r="E61" s="64">
        <v>0.05</v>
      </c>
      <c r="F61" s="64">
        <v>3.69</v>
      </c>
      <c r="G61" s="64">
        <v>48.24</v>
      </c>
      <c r="H61" s="64">
        <v>35.74</v>
      </c>
      <c r="I61" s="64">
        <v>1.57</v>
      </c>
      <c r="J61" s="64">
        <v>0.72</v>
      </c>
      <c r="K61" s="64">
        <v>345.48</v>
      </c>
      <c r="L61" s="64">
        <v>31.44</v>
      </c>
      <c r="M61" s="64">
        <v>19.649999999999999</v>
      </c>
      <c r="N61" s="64">
        <v>771.2</v>
      </c>
      <c r="O61" s="64">
        <v>0</v>
      </c>
      <c r="P61" s="64">
        <v>0.8</v>
      </c>
      <c r="Q61" s="64">
        <v>9.07</v>
      </c>
      <c r="R61" s="198"/>
      <c r="S61" s="198"/>
      <c r="T61" s="198"/>
      <c r="U61" s="198"/>
    </row>
    <row r="62" spans="1:21" s="12" customFormat="1" x14ac:dyDescent="0.25">
      <c r="A62" s="213" t="s">
        <v>588</v>
      </c>
      <c r="B62" s="64">
        <v>15.85</v>
      </c>
      <c r="C62" s="64">
        <v>77.05</v>
      </c>
      <c r="D62" s="64">
        <v>55.88</v>
      </c>
      <c r="E62" s="64">
        <v>0.03</v>
      </c>
      <c r="F62" s="64">
        <v>3.67</v>
      </c>
      <c r="G62" s="64">
        <v>48.24</v>
      </c>
      <c r="H62" s="64">
        <v>35.74</v>
      </c>
      <c r="I62" s="64">
        <v>1.51</v>
      </c>
      <c r="J62" s="64">
        <v>0.36</v>
      </c>
      <c r="K62" s="64">
        <v>70.040000000000006</v>
      </c>
      <c r="L62" s="64">
        <v>29.18</v>
      </c>
      <c r="M62" s="64">
        <v>20.28</v>
      </c>
      <c r="N62" s="64">
        <v>763.8</v>
      </c>
      <c r="O62" s="64">
        <v>0</v>
      </c>
      <c r="P62" s="64">
        <v>0.82</v>
      </c>
      <c r="Q62" s="64">
        <v>8.7100000000000009</v>
      </c>
      <c r="R62" s="198"/>
      <c r="S62" s="198"/>
      <c r="T62" s="198"/>
      <c r="U62" s="198"/>
    </row>
    <row r="63" spans="1:21" s="12" customFormat="1" x14ac:dyDescent="0.25">
      <c r="A63" s="213" t="s">
        <v>589</v>
      </c>
      <c r="B63" s="64">
        <v>12.66</v>
      </c>
      <c r="C63" s="64">
        <v>75.91</v>
      </c>
      <c r="D63" s="64">
        <v>52.69</v>
      </c>
      <c r="E63" s="64">
        <v>0.05</v>
      </c>
      <c r="F63" s="64">
        <v>3.71</v>
      </c>
      <c r="G63" s="64">
        <v>37.950000000000003</v>
      </c>
      <c r="H63" s="64">
        <v>27.6</v>
      </c>
      <c r="I63" s="64">
        <v>1.47</v>
      </c>
      <c r="J63" s="64">
        <v>0.79</v>
      </c>
      <c r="K63" s="64">
        <v>350.71</v>
      </c>
      <c r="L63" s="64">
        <v>30.88</v>
      </c>
      <c r="M63" s="64">
        <v>19.47</v>
      </c>
      <c r="N63" s="64">
        <v>739.6</v>
      </c>
      <c r="O63" s="64">
        <v>0</v>
      </c>
      <c r="P63" s="64">
        <v>0.78</v>
      </c>
      <c r="Q63" s="64">
        <v>8.3000000000000007</v>
      </c>
      <c r="R63" s="198"/>
      <c r="S63" s="198"/>
      <c r="T63" s="198"/>
      <c r="U63" s="198"/>
    </row>
    <row r="64" spans="1:21" s="12" customFormat="1" x14ac:dyDescent="0.25">
      <c r="A64" s="213" t="s">
        <v>590</v>
      </c>
      <c r="B64" s="64">
        <v>9.8699999999999992</v>
      </c>
      <c r="C64" s="64">
        <v>74.91</v>
      </c>
      <c r="D64" s="64">
        <v>49.9</v>
      </c>
      <c r="E64" s="64">
        <v>0.08</v>
      </c>
      <c r="F64" s="64">
        <v>3.63</v>
      </c>
      <c r="G64" s="64">
        <v>35.200000000000003</v>
      </c>
      <c r="H64" s="64">
        <v>27.6</v>
      </c>
      <c r="I64" s="64">
        <v>1.52</v>
      </c>
      <c r="J64" s="64">
        <v>0.38</v>
      </c>
      <c r="K64" s="64">
        <v>100.77</v>
      </c>
      <c r="L64" s="64">
        <v>28.7</v>
      </c>
      <c r="M64" s="64">
        <v>20.94</v>
      </c>
      <c r="N64" s="64">
        <v>687.6</v>
      </c>
      <c r="O64" s="64">
        <v>0</v>
      </c>
      <c r="P64" s="64">
        <v>0.74</v>
      </c>
      <c r="Q64" s="64">
        <v>7.94</v>
      </c>
      <c r="R64" s="198"/>
      <c r="S64" s="198"/>
      <c r="T64" s="198"/>
      <c r="U64" s="198"/>
    </row>
    <row r="65" spans="1:21" s="12" customFormat="1" x14ac:dyDescent="0.25">
      <c r="A65" s="213" t="s">
        <v>591</v>
      </c>
      <c r="B65" s="64">
        <v>7.67</v>
      </c>
      <c r="C65" s="64">
        <v>73.56</v>
      </c>
      <c r="D65" s="64">
        <v>47.39</v>
      </c>
      <c r="E65" s="6" t="s">
        <v>42</v>
      </c>
      <c r="F65" s="64">
        <v>3.72</v>
      </c>
      <c r="G65" s="64">
        <v>35.200000000000003</v>
      </c>
      <c r="H65" s="64">
        <v>27.6</v>
      </c>
      <c r="I65" s="64">
        <v>1.47</v>
      </c>
      <c r="J65" s="64">
        <v>0.2</v>
      </c>
      <c r="K65" s="64">
        <v>355.87</v>
      </c>
      <c r="L65" s="64">
        <v>29.91</v>
      </c>
      <c r="M65" s="64">
        <v>20.74</v>
      </c>
      <c r="N65" s="64">
        <v>672.9</v>
      </c>
      <c r="O65" s="64">
        <v>0</v>
      </c>
      <c r="P65" s="64">
        <v>0.72</v>
      </c>
      <c r="Q65" s="64">
        <v>7.47</v>
      </c>
      <c r="R65" s="198"/>
      <c r="S65" s="198"/>
      <c r="T65" s="198"/>
      <c r="U65" s="198"/>
    </row>
    <row r="66" spans="1:21" s="12" customFormat="1" x14ac:dyDescent="0.25">
      <c r="A66" s="213" t="s">
        <v>592</v>
      </c>
      <c r="B66" s="64">
        <v>5.91</v>
      </c>
      <c r="C66" s="64">
        <v>72.260000000000005</v>
      </c>
      <c r="D66" s="64">
        <v>45.27</v>
      </c>
      <c r="E66" s="64">
        <v>0.04</v>
      </c>
      <c r="F66" s="64">
        <v>4.1900000000000004</v>
      </c>
      <c r="G66" s="64">
        <v>35.200000000000003</v>
      </c>
      <c r="H66" s="64">
        <v>27.6</v>
      </c>
      <c r="I66" s="64">
        <v>1.46</v>
      </c>
      <c r="J66" s="64">
        <v>0.13</v>
      </c>
      <c r="K66" s="64">
        <v>126.13</v>
      </c>
      <c r="L66" s="64">
        <v>27.9</v>
      </c>
      <c r="M66" s="64">
        <v>22.22</v>
      </c>
      <c r="N66" s="64">
        <v>636.79999999999995</v>
      </c>
      <c r="O66" s="64">
        <v>0</v>
      </c>
      <c r="P66" s="64">
        <v>0.69</v>
      </c>
      <c r="Q66" s="64">
        <v>6.9</v>
      </c>
      <c r="R66" s="198"/>
      <c r="S66" s="198"/>
      <c r="T66" s="198"/>
      <c r="U66" s="198"/>
    </row>
    <row r="67" spans="1:21" s="12" customFormat="1" x14ac:dyDescent="0.25">
      <c r="A67" s="213" t="s">
        <v>593</v>
      </c>
      <c r="B67" s="64">
        <v>4.25</v>
      </c>
      <c r="C67" s="64">
        <v>69.84</v>
      </c>
      <c r="D67" s="64">
        <v>42.6</v>
      </c>
      <c r="E67" s="64">
        <v>0.02</v>
      </c>
      <c r="F67" s="64">
        <v>4.1900000000000004</v>
      </c>
      <c r="G67" s="64">
        <v>34.82</v>
      </c>
      <c r="H67" s="64">
        <v>23.93</v>
      </c>
      <c r="I67" s="64">
        <v>1.51</v>
      </c>
      <c r="J67" s="64">
        <v>0.16</v>
      </c>
      <c r="K67" s="64">
        <v>342.11</v>
      </c>
      <c r="L67" s="64">
        <v>28.78</v>
      </c>
      <c r="M67" s="64">
        <v>21.7</v>
      </c>
      <c r="N67" s="64">
        <v>389.1</v>
      </c>
      <c r="O67" s="64">
        <v>0</v>
      </c>
      <c r="P67" s="64">
        <v>0.66</v>
      </c>
      <c r="Q67" s="64">
        <v>6.09</v>
      </c>
      <c r="R67" s="198"/>
      <c r="S67" s="198"/>
      <c r="T67" s="198"/>
      <c r="U67" s="198"/>
    </row>
    <row r="68" spans="1:21" s="12" customFormat="1" x14ac:dyDescent="0.25">
      <c r="A68" s="213" t="s">
        <v>594</v>
      </c>
      <c r="B68" s="64">
        <v>3.55</v>
      </c>
      <c r="C68" s="64">
        <v>67.930000000000007</v>
      </c>
      <c r="D68" s="64">
        <v>40.98</v>
      </c>
      <c r="E68" s="212" t="s">
        <v>42</v>
      </c>
      <c r="F68" s="64">
        <v>4.2699999999999996</v>
      </c>
      <c r="G68" s="64">
        <v>34.72</v>
      </c>
      <c r="H68" s="64">
        <v>23.93</v>
      </c>
      <c r="I68" s="64">
        <v>1.46</v>
      </c>
      <c r="J68" s="64">
        <v>0.41</v>
      </c>
      <c r="K68" s="64">
        <v>323.16000000000003</v>
      </c>
      <c r="L68" s="64">
        <v>29.92</v>
      </c>
      <c r="M68" s="64">
        <v>20.03</v>
      </c>
      <c r="N68" s="64">
        <v>314.60000000000002</v>
      </c>
      <c r="O68" s="64">
        <v>0</v>
      </c>
      <c r="P68" s="64">
        <v>0.64</v>
      </c>
      <c r="Q68" s="64">
        <v>5.07</v>
      </c>
      <c r="R68" s="198"/>
      <c r="S68" s="198"/>
      <c r="T68" s="198"/>
      <c r="U68" s="198"/>
    </row>
    <row r="69" spans="1:21" s="12" customFormat="1" x14ac:dyDescent="0.25">
      <c r="A69" s="213" t="s">
        <v>595</v>
      </c>
      <c r="B69" s="64">
        <v>2.95</v>
      </c>
      <c r="C69" s="64">
        <v>65.78</v>
      </c>
      <c r="D69" s="64">
        <v>39.32</v>
      </c>
      <c r="E69" s="212" t="s">
        <v>42</v>
      </c>
      <c r="F69" s="64">
        <v>4.6100000000000003</v>
      </c>
      <c r="G69" s="64">
        <v>34.72</v>
      </c>
      <c r="H69" s="64">
        <v>23.93</v>
      </c>
      <c r="I69" s="64">
        <v>1.46</v>
      </c>
      <c r="J69" s="64">
        <v>0.3</v>
      </c>
      <c r="K69" s="64">
        <v>152.27000000000001</v>
      </c>
      <c r="L69" s="64">
        <v>28.08</v>
      </c>
      <c r="M69" s="64">
        <v>20.84</v>
      </c>
      <c r="N69" s="64">
        <v>302.10000000000002</v>
      </c>
      <c r="O69" s="64">
        <v>0</v>
      </c>
      <c r="P69" s="64">
        <v>0.61</v>
      </c>
      <c r="Q69" s="64">
        <v>4.32</v>
      </c>
      <c r="R69" s="198"/>
      <c r="S69" s="198"/>
      <c r="T69" s="198"/>
      <c r="U69" s="198"/>
    </row>
    <row r="70" spans="1:21" s="12" customFormat="1" x14ac:dyDescent="0.25">
      <c r="A70" s="213" t="s">
        <v>596</v>
      </c>
      <c r="B70" s="64">
        <v>2.5299999999999998</v>
      </c>
      <c r="C70" s="64">
        <v>62.82</v>
      </c>
      <c r="D70" s="64">
        <v>37.35</v>
      </c>
      <c r="E70" s="212" t="s">
        <v>42</v>
      </c>
      <c r="F70" s="64">
        <v>4.7</v>
      </c>
      <c r="G70" s="64">
        <v>34.72</v>
      </c>
      <c r="H70" s="64">
        <v>23.93</v>
      </c>
      <c r="I70" s="64">
        <v>1.44</v>
      </c>
      <c r="J70" s="64">
        <v>0.06</v>
      </c>
      <c r="K70" s="64">
        <v>169.72</v>
      </c>
      <c r="L70" s="64">
        <v>27.4</v>
      </c>
      <c r="M70" s="64">
        <v>22.77</v>
      </c>
      <c r="N70" s="64">
        <v>181.5</v>
      </c>
      <c r="O70" s="64">
        <v>0</v>
      </c>
      <c r="P70" s="64">
        <v>0.57999999999999996</v>
      </c>
      <c r="Q70" s="64">
        <v>3.97</v>
      </c>
      <c r="R70" s="198"/>
      <c r="S70" s="198"/>
      <c r="T70" s="198"/>
      <c r="U70" s="198"/>
    </row>
    <row r="71" spans="1:21" s="12" customFormat="1" x14ac:dyDescent="0.25">
      <c r="A71" s="213" t="s">
        <v>597</v>
      </c>
      <c r="B71" s="64">
        <v>2.4700000000000002</v>
      </c>
      <c r="C71" s="64">
        <v>60.49</v>
      </c>
      <c r="D71" s="64">
        <v>36.01</v>
      </c>
      <c r="E71" s="212" t="s">
        <v>42</v>
      </c>
      <c r="F71" s="64">
        <v>4.72</v>
      </c>
      <c r="G71" s="64">
        <v>36.590000000000003</v>
      </c>
      <c r="H71" s="64">
        <v>21.35</v>
      </c>
      <c r="I71" s="64">
        <v>1.44</v>
      </c>
      <c r="J71" s="64">
        <v>0.59</v>
      </c>
      <c r="K71" s="64">
        <v>144.16</v>
      </c>
      <c r="L71" s="64">
        <v>26.66</v>
      </c>
      <c r="M71" s="64">
        <v>23.4</v>
      </c>
      <c r="N71" s="64">
        <v>156.5</v>
      </c>
      <c r="O71" s="64">
        <v>0</v>
      </c>
      <c r="P71" s="64">
        <v>0.56000000000000005</v>
      </c>
      <c r="Q71" s="64">
        <v>4.01</v>
      </c>
      <c r="R71" s="198"/>
      <c r="S71" s="198"/>
      <c r="T71" s="198"/>
      <c r="U71" s="198"/>
    </row>
    <row r="72" spans="1:21" s="12" customFormat="1" x14ac:dyDescent="0.25">
      <c r="A72" s="213" t="s">
        <v>598</v>
      </c>
      <c r="B72" s="64">
        <v>2.27</v>
      </c>
      <c r="C72" s="64">
        <v>58.11</v>
      </c>
      <c r="D72" s="64">
        <v>34.54</v>
      </c>
      <c r="E72" s="64">
        <v>0.05</v>
      </c>
      <c r="F72" s="64">
        <v>4.88</v>
      </c>
      <c r="G72" s="64">
        <v>37.090000000000003</v>
      </c>
      <c r="H72" s="64">
        <v>21.35</v>
      </c>
      <c r="I72" s="64">
        <v>1.5</v>
      </c>
      <c r="J72" s="64">
        <v>0.24</v>
      </c>
      <c r="K72" s="64">
        <v>178.8</v>
      </c>
      <c r="L72" s="64">
        <v>26.43</v>
      </c>
      <c r="M72" s="64">
        <v>23.44</v>
      </c>
      <c r="N72" s="64">
        <v>141.69999999999999</v>
      </c>
      <c r="O72" s="64">
        <v>0</v>
      </c>
      <c r="P72" s="64">
        <v>0.53</v>
      </c>
      <c r="Q72" s="64">
        <v>4.84</v>
      </c>
      <c r="R72" s="198"/>
      <c r="S72" s="198"/>
      <c r="T72" s="198"/>
      <c r="U72" s="198"/>
    </row>
    <row r="73" spans="1:21" s="12" customFormat="1" x14ac:dyDescent="0.25">
      <c r="A73" s="213" t="s">
        <v>599</v>
      </c>
      <c r="B73" s="64">
        <v>2.3199999999999998</v>
      </c>
      <c r="C73" s="64">
        <v>56.15</v>
      </c>
      <c r="D73" s="64">
        <v>33.49</v>
      </c>
      <c r="E73" s="64">
        <v>0.17</v>
      </c>
      <c r="F73" s="64">
        <v>4.47</v>
      </c>
      <c r="G73" s="64">
        <v>37.090000000000003</v>
      </c>
      <c r="H73" s="64">
        <v>21.35</v>
      </c>
      <c r="I73" s="64">
        <v>1.48</v>
      </c>
      <c r="J73" s="64">
        <v>0.04</v>
      </c>
      <c r="K73" s="64">
        <v>163.54</v>
      </c>
      <c r="L73" s="64">
        <v>26.31</v>
      </c>
      <c r="M73" s="64">
        <v>24.25</v>
      </c>
      <c r="N73" s="64">
        <v>131.80000000000001</v>
      </c>
      <c r="O73" s="64">
        <v>0</v>
      </c>
      <c r="P73" s="64">
        <v>0.49</v>
      </c>
      <c r="Q73" s="64">
        <v>6.65</v>
      </c>
      <c r="R73" s="198"/>
      <c r="S73" s="198"/>
      <c r="T73" s="198"/>
      <c r="U73" s="198"/>
    </row>
    <row r="74" spans="1:21" s="12" customFormat="1" x14ac:dyDescent="0.25">
      <c r="A74" s="213" t="s">
        <v>600</v>
      </c>
      <c r="B74" s="64">
        <v>2.46</v>
      </c>
      <c r="C74" s="64">
        <v>55.11</v>
      </c>
      <c r="D74" s="64">
        <v>33.03</v>
      </c>
      <c r="E74" s="64">
        <v>0.12</v>
      </c>
      <c r="F74" s="64">
        <v>4.5</v>
      </c>
      <c r="G74" s="64">
        <v>37.090000000000003</v>
      </c>
      <c r="H74" s="64">
        <v>21.35</v>
      </c>
      <c r="I74" s="64">
        <v>1.48</v>
      </c>
      <c r="J74" s="64">
        <v>0.09</v>
      </c>
      <c r="K74" s="64">
        <v>26.45</v>
      </c>
      <c r="L74" s="64">
        <v>26.14</v>
      </c>
      <c r="M74" s="64">
        <v>25.53</v>
      </c>
      <c r="N74" s="64">
        <v>122.8</v>
      </c>
      <c r="O74" s="64">
        <v>0</v>
      </c>
      <c r="P74" s="64">
        <v>0.5</v>
      </c>
      <c r="Q74" s="64">
        <v>9.01</v>
      </c>
      <c r="R74" s="198"/>
      <c r="S74" s="198"/>
      <c r="T74" s="198"/>
      <c r="U74" s="198"/>
    </row>
    <row r="75" spans="1:21" s="12" customFormat="1" x14ac:dyDescent="0.25">
      <c r="A75" s="213" t="s">
        <v>601</v>
      </c>
      <c r="B75" s="64">
        <v>2.62</v>
      </c>
      <c r="C75" s="64">
        <v>54.49</v>
      </c>
      <c r="D75" s="64">
        <v>32.82</v>
      </c>
      <c r="E75" s="64">
        <v>0.17</v>
      </c>
      <c r="F75" s="64">
        <v>4.4000000000000004</v>
      </c>
      <c r="G75" s="64">
        <v>33.130000000000003</v>
      </c>
      <c r="H75" s="64">
        <v>20.48</v>
      </c>
      <c r="I75" s="64">
        <v>1.53</v>
      </c>
      <c r="J75" s="64">
        <v>0.08</v>
      </c>
      <c r="K75" s="64">
        <v>218.87</v>
      </c>
      <c r="L75" s="64">
        <v>25.87</v>
      </c>
      <c r="M75" s="64">
        <v>25.32</v>
      </c>
      <c r="N75" s="64">
        <v>115.8</v>
      </c>
      <c r="O75" s="64">
        <v>0</v>
      </c>
      <c r="P75" s="64">
        <v>0.48</v>
      </c>
      <c r="Q75" s="64">
        <v>10.95</v>
      </c>
      <c r="R75" s="198"/>
      <c r="S75" s="198"/>
      <c r="T75" s="198"/>
      <c r="U75" s="198"/>
    </row>
    <row r="76" spans="1:21" s="12" customFormat="1" x14ac:dyDescent="0.25">
      <c r="A76" s="213" t="s">
        <v>602</v>
      </c>
      <c r="B76" s="64">
        <v>2.75</v>
      </c>
      <c r="C76" s="64">
        <v>53.8</v>
      </c>
      <c r="D76" s="64">
        <v>32.549999999999997</v>
      </c>
      <c r="E76" s="64">
        <v>0.08</v>
      </c>
      <c r="F76" s="64">
        <v>4.24</v>
      </c>
      <c r="G76" s="64">
        <v>32.07</v>
      </c>
      <c r="H76" s="64">
        <v>20.48</v>
      </c>
      <c r="I76" s="64">
        <v>1.44</v>
      </c>
      <c r="J76" s="64">
        <v>0.11</v>
      </c>
      <c r="K76" s="64">
        <v>184.92</v>
      </c>
      <c r="L76" s="64">
        <v>25.64</v>
      </c>
      <c r="M76" s="64">
        <v>25.59</v>
      </c>
      <c r="N76" s="64">
        <v>104.4</v>
      </c>
      <c r="O76" s="64">
        <v>0</v>
      </c>
      <c r="P76" s="64">
        <v>0.47</v>
      </c>
      <c r="Q76" s="64">
        <v>12.02</v>
      </c>
      <c r="R76" s="198"/>
      <c r="S76" s="198"/>
      <c r="T76" s="198"/>
      <c r="U76" s="198"/>
    </row>
    <row r="77" spans="1:21" s="12" customFormat="1" x14ac:dyDescent="0.25">
      <c r="A77" s="213" t="s">
        <v>603</v>
      </c>
      <c r="B77" s="64">
        <v>2.98</v>
      </c>
      <c r="C77" s="64">
        <v>53.36</v>
      </c>
      <c r="D77" s="64">
        <v>32.49</v>
      </c>
      <c r="E77" s="64">
        <v>0.2</v>
      </c>
      <c r="F77" s="64">
        <v>4.08</v>
      </c>
      <c r="G77" s="64">
        <v>32.07</v>
      </c>
      <c r="H77" s="64">
        <v>20.48</v>
      </c>
      <c r="I77" s="64">
        <v>1.44</v>
      </c>
      <c r="J77" s="64">
        <v>0.12</v>
      </c>
      <c r="K77" s="64">
        <v>207.2</v>
      </c>
      <c r="L77" s="64">
        <v>25.37</v>
      </c>
      <c r="M77" s="64">
        <v>26.61</v>
      </c>
      <c r="N77" s="64">
        <v>91.6</v>
      </c>
      <c r="O77" s="64">
        <v>0</v>
      </c>
      <c r="P77" s="64">
        <v>0.48</v>
      </c>
      <c r="Q77" s="64">
        <v>12.31</v>
      </c>
      <c r="R77" s="198"/>
      <c r="S77" s="198"/>
      <c r="T77" s="198"/>
      <c r="U77" s="198"/>
    </row>
    <row r="78" spans="1:21" s="12" customFormat="1" x14ac:dyDescent="0.25">
      <c r="A78" s="213" t="s">
        <v>604</v>
      </c>
      <c r="B78" s="64">
        <v>3.2</v>
      </c>
      <c r="C78" s="64">
        <v>53.21</v>
      </c>
      <c r="D78" s="64">
        <v>32.58</v>
      </c>
      <c r="E78" s="64">
        <v>0.16</v>
      </c>
      <c r="F78" s="64">
        <v>3.64</v>
      </c>
      <c r="G78" s="64">
        <v>32.07</v>
      </c>
      <c r="H78" s="64">
        <v>20.48</v>
      </c>
      <c r="I78" s="64">
        <v>1.44</v>
      </c>
      <c r="J78" s="64">
        <v>0.12</v>
      </c>
      <c r="K78" s="64">
        <v>231.88</v>
      </c>
      <c r="L78" s="64">
        <v>24.98</v>
      </c>
      <c r="M78" s="64">
        <v>27.52</v>
      </c>
      <c r="N78" s="64">
        <v>79.8</v>
      </c>
      <c r="O78" s="64">
        <v>0</v>
      </c>
      <c r="P78" s="64">
        <v>0.51</v>
      </c>
      <c r="Q78" s="64">
        <v>12.22</v>
      </c>
      <c r="R78" s="198"/>
      <c r="S78" s="198"/>
      <c r="T78" s="198"/>
      <c r="U78" s="198"/>
    </row>
    <row r="79" spans="1:21" s="12" customFormat="1" x14ac:dyDescent="0.25">
      <c r="A79" s="213" t="s">
        <v>605</v>
      </c>
      <c r="B79" s="64">
        <v>3.56</v>
      </c>
      <c r="C79" s="64">
        <v>53.5</v>
      </c>
      <c r="D79" s="64">
        <v>33.020000000000003</v>
      </c>
      <c r="E79" s="64">
        <v>0.12</v>
      </c>
      <c r="F79" s="64">
        <v>3.36</v>
      </c>
      <c r="G79" s="64">
        <v>44.97</v>
      </c>
      <c r="H79" s="64">
        <v>21.39</v>
      </c>
      <c r="I79" s="64">
        <v>1.48</v>
      </c>
      <c r="J79" s="64">
        <v>0.02</v>
      </c>
      <c r="K79" s="64">
        <v>105.14</v>
      </c>
      <c r="L79" s="64">
        <v>23.83</v>
      </c>
      <c r="M79" s="64">
        <v>37.64</v>
      </c>
      <c r="N79" s="64">
        <v>70.8</v>
      </c>
      <c r="O79" s="64">
        <v>0</v>
      </c>
      <c r="P79" s="64">
        <v>0.52</v>
      </c>
      <c r="Q79" s="64">
        <v>11.88</v>
      </c>
      <c r="R79" s="198"/>
      <c r="S79" s="198"/>
      <c r="T79" s="198"/>
      <c r="U79" s="198"/>
    </row>
    <row r="80" spans="1:21" s="12" customFormat="1" x14ac:dyDescent="0.25">
      <c r="A80" s="213" t="s">
        <v>606</v>
      </c>
      <c r="B80" s="64">
        <v>4.3600000000000003</v>
      </c>
      <c r="C80" s="64">
        <v>54.56</v>
      </c>
      <c r="D80" s="64">
        <v>34.25</v>
      </c>
      <c r="E80" s="64">
        <v>0.18</v>
      </c>
      <c r="F80" s="64">
        <v>3.58</v>
      </c>
      <c r="G80" s="64">
        <v>48.42</v>
      </c>
      <c r="H80" s="64">
        <v>21.39</v>
      </c>
      <c r="I80" s="64">
        <v>1.45</v>
      </c>
      <c r="J80" s="64">
        <v>0.12</v>
      </c>
      <c r="K80" s="64">
        <v>55.82</v>
      </c>
      <c r="L80" s="64">
        <v>22.55</v>
      </c>
      <c r="M80" s="64">
        <v>47.02</v>
      </c>
      <c r="N80" s="64">
        <v>65.900000000000006</v>
      </c>
      <c r="O80" s="64">
        <v>0</v>
      </c>
      <c r="P80" s="64">
        <v>0.53</v>
      </c>
      <c r="Q80" s="64">
        <v>11.6</v>
      </c>
      <c r="R80" s="198"/>
      <c r="S80" s="198"/>
      <c r="T80" s="198"/>
      <c r="U80" s="198"/>
    </row>
    <row r="81" spans="1:26" s="12" customFormat="1" x14ac:dyDescent="0.25">
      <c r="A81" s="213" t="s">
        <v>607</v>
      </c>
      <c r="B81" s="64">
        <v>5.93</v>
      </c>
      <c r="C81" s="64">
        <v>56.19</v>
      </c>
      <c r="D81" s="64">
        <v>36.409999999999997</v>
      </c>
      <c r="E81" s="64">
        <v>0.17</v>
      </c>
      <c r="F81" s="64">
        <v>3.26</v>
      </c>
      <c r="G81" s="64">
        <v>48.42</v>
      </c>
      <c r="H81" s="64">
        <v>21.39</v>
      </c>
      <c r="I81" s="64">
        <v>1.42</v>
      </c>
      <c r="J81" s="64">
        <v>0.03</v>
      </c>
      <c r="K81" s="64">
        <v>306.58</v>
      </c>
      <c r="L81" s="64">
        <v>22.04</v>
      </c>
      <c r="M81" s="64">
        <v>48.58</v>
      </c>
      <c r="N81" s="64">
        <v>64.8</v>
      </c>
      <c r="O81" s="64">
        <v>0</v>
      </c>
      <c r="P81" s="64">
        <v>0.56000000000000005</v>
      </c>
      <c r="Q81" s="64">
        <v>11.46</v>
      </c>
      <c r="R81" s="198"/>
      <c r="S81" s="198"/>
      <c r="T81" s="198"/>
      <c r="U81" s="198"/>
    </row>
    <row r="82" spans="1:26" s="12" customFormat="1" x14ac:dyDescent="0.25">
      <c r="A82" s="213" t="s">
        <v>608</v>
      </c>
      <c r="B82" s="64">
        <v>9.74</v>
      </c>
      <c r="C82" s="64">
        <v>58.03</v>
      </c>
      <c r="D82" s="64">
        <v>40.479999999999997</v>
      </c>
      <c r="E82" s="64">
        <v>0.23</v>
      </c>
      <c r="F82" s="64">
        <v>3.13</v>
      </c>
      <c r="G82" s="64">
        <v>48.42</v>
      </c>
      <c r="H82" s="64">
        <v>21.39</v>
      </c>
      <c r="I82" s="64">
        <v>1.42</v>
      </c>
      <c r="J82" s="64">
        <v>0.03</v>
      </c>
      <c r="K82" s="64">
        <v>292.64</v>
      </c>
      <c r="L82" s="64">
        <v>21.56</v>
      </c>
      <c r="M82" s="64">
        <v>58.01</v>
      </c>
      <c r="N82" s="64">
        <v>64.599999999999994</v>
      </c>
      <c r="O82" s="64">
        <v>0</v>
      </c>
      <c r="P82" s="64">
        <v>0.66</v>
      </c>
      <c r="Q82" s="64">
        <v>11.43</v>
      </c>
      <c r="R82" s="198"/>
      <c r="S82" s="198"/>
      <c r="T82" s="198"/>
      <c r="U82" s="198"/>
    </row>
    <row r="83" spans="1:26" s="12" customFormat="1" x14ac:dyDescent="0.25">
      <c r="A83" s="213" t="s">
        <v>609</v>
      </c>
      <c r="B83" s="64">
        <v>15.14</v>
      </c>
      <c r="C83" s="64">
        <v>59.58</v>
      </c>
      <c r="D83" s="64">
        <v>45.67</v>
      </c>
      <c r="E83" s="64">
        <v>0.21</v>
      </c>
      <c r="F83" s="64">
        <v>3.06</v>
      </c>
      <c r="G83" s="64">
        <v>67.61</v>
      </c>
      <c r="H83" s="64">
        <v>24.71</v>
      </c>
      <c r="I83" s="64">
        <v>1.49</v>
      </c>
      <c r="J83" s="64">
        <v>0.05</v>
      </c>
      <c r="K83" s="64">
        <v>224.83</v>
      </c>
      <c r="L83" s="64">
        <v>21.14</v>
      </c>
      <c r="M83" s="64">
        <v>59.12</v>
      </c>
      <c r="N83" s="64">
        <v>64.5</v>
      </c>
      <c r="O83" s="64">
        <v>0</v>
      </c>
      <c r="P83" s="64">
        <v>0.7</v>
      </c>
      <c r="Q83" s="64">
        <v>11.61</v>
      </c>
      <c r="R83" s="198"/>
      <c r="S83" s="198"/>
      <c r="T83" s="198"/>
      <c r="U83" s="198"/>
    </row>
    <row r="84" spans="1:26" s="12" customFormat="1" x14ac:dyDescent="0.25">
      <c r="A84" s="213" t="s">
        <v>610</v>
      </c>
      <c r="B84" s="64">
        <v>20.61</v>
      </c>
      <c r="C84" s="64">
        <v>60.94</v>
      </c>
      <c r="D84" s="64">
        <v>50.8</v>
      </c>
      <c r="E84" s="64">
        <v>0.16</v>
      </c>
      <c r="F84" s="64">
        <v>3.27</v>
      </c>
      <c r="G84" s="64">
        <v>72.75</v>
      </c>
      <c r="H84" s="64">
        <v>24.71</v>
      </c>
      <c r="I84" s="64">
        <v>1.49</v>
      </c>
      <c r="J84" s="64">
        <v>0.05</v>
      </c>
      <c r="K84" s="64">
        <v>258.02</v>
      </c>
      <c r="L84" s="64">
        <v>20.78</v>
      </c>
      <c r="M84" s="64">
        <v>51.09</v>
      </c>
      <c r="N84" s="64">
        <v>64.3</v>
      </c>
      <c r="O84" s="64">
        <v>0</v>
      </c>
      <c r="P84" s="64">
        <v>0.81</v>
      </c>
      <c r="Q84" s="64">
        <v>11.87</v>
      </c>
      <c r="R84" s="198"/>
      <c r="S84" s="198"/>
      <c r="T84" s="198"/>
      <c r="U84" s="198"/>
    </row>
    <row r="85" spans="1:26" s="12" customFormat="1" x14ac:dyDescent="0.25">
      <c r="A85" s="213" t="s">
        <v>611</v>
      </c>
      <c r="B85" s="64">
        <v>28.88</v>
      </c>
      <c r="C85" s="64">
        <v>62.73</v>
      </c>
      <c r="D85" s="64">
        <v>58.42</v>
      </c>
      <c r="E85" s="64">
        <v>0.18</v>
      </c>
      <c r="F85" s="64">
        <v>3.24</v>
      </c>
      <c r="G85" s="64">
        <v>72.75</v>
      </c>
      <c r="H85" s="64">
        <v>24.71</v>
      </c>
      <c r="I85" s="64">
        <v>1.47</v>
      </c>
      <c r="J85" s="64">
        <v>0.11</v>
      </c>
      <c r="K85" s="64">
        <v>265.98</v>
      </c>
      <c r="L85" s="64">
        <v>20.5</v>
      </c>
      <c r="M85" s="64">
        <v>50.27</v>
      </c>
      <c r="N85" s="64">
        <v>64.099999999999994</v>
      </c>
      <c r="O85" s="64">
        <v>0</v>
      </c>
      <c r="P85" s="64">
        <v>0.71</v>
      </c>
      <c r="Q85" s="64">
        <v>12.23</v>
      </c>
      <c r="R85" s="198"/>
      <c r="S85" s="198"/>
      <c r="T85" s="198"/>
      <c r="U85" s="198"/>
    </row>
    <row r="86" spans="1:26" s="12" customFormat="1" x14ac:dyDescent="0.25">
      <c r="A86" s="213" t="s">
        <v>612</v>
      </c>
      <c r="B86" s="64">
        <v>39.090000000000003</v>
      </c>
      <c r="C86" s="64">
        <v>65.73</v>
      </c>
      <c r="D86" s="64">
        <v>68.27</v>
      </c>
      <c r="E86" s="64">
        <v>0.23</v>
      </c>
      <c r="F86" s="64">
        <v>3.2</v>
      </c>
      <c r="G86" s="64">
        <v>72.75</v>
      </c>
      <c r="H86" s="64">
        <v>24.71</v>
      </c>
      <c r="I86" s="64">
        <v>1.47</v>
      </c>
      <c r="J86" s="64">
        <v>7.0000000000000007E-2</v>
      </c>
      <c r="K86" s="64">
        <v>54.74</v>
      </c>
      <c r="L86" s="64">
        <v>20.28</v>
      </c>
      <c r="M86" s="64">
        <v>52.7</v>
      </c>
      <c r="N86" s="64">
        <v>64.3</v>
      </c>
      <c r="O86" s="64">
        <v>0</v>
      </c>
      <c r="P86" s="64">
        <v>0.86</v>
      </c>
      <c r="Q86" s="64">
        <v>12.87</v>
      </c>
      <c r="R86" s="198"/>
      <c r="S86" s="198"/>
      <c r="T86" s="198"/>
      <c r="U86" s="198"/>
    </row>
    <row r="87" spans="1:26" s="12" customFormat="1" x14ac:dyDescent="0.25">
      <c r="A87" s="213" t="s">
        <v>613</v>
      </c>
      <c r="B87" s="64">
        <v>47.76</v>
      </c>
      <c r="C87" s="64">
        <v>68.239999999999995</v>
      </c>
      <c r="D87" s="64">
        <v>76.61</v>
      </c>
      <c r="E87" s="64">
        <v>0.25</v>
      </c>
      <c r="F87" s="64">
        <v>3.06</v>
      </c>
      <c r="G87" s="64">
        <v>149.51</v>
      </c>
      <c r="H87" s="64">
        <v>31.32</v>
      </c>
      <c r="I87" s="64">
        <v>1.58</v>
      </c>
      <c r="J87" s="64">
        <v>7.0000000000000007E-2</v>
      </c>
      <c r="K87" s="64">
        <v>89.35</v>
      </c>
      <c r="L87" s="64">
        <v>21.03</v>
      </c>
      <c r="M87" s="64">
        <v>42.11</v>
      </c>
      <c r="N87" s="64">
        <v>62.9</v>
      </c>
      <c r="O87" s="64">
        <v>0</v>
      </c>
      <c r="P87" s="64">
        <v>0.97</v>
      </c>
      <c r="Q87" s="64">
        <v>13.52</v>
      </c>
      <c r="R87" s="198"/>
      <c r="S87" s="198"/>
      <c r="T87" s="198"/>
      <c r="U87" s="198"/>
    </row>
    <row r="88" spans="1:26" s="12" customFormat="1" x14ac:dyDescent="0.25">
      <c r="A88" s="213" t="s">
        <v>614</v>
      </c>
      <c r="B88" s="64">
        <v>48.31</v>
      </c>
      <c r="C88" s="64">
        <v>69.430000000000007</v>
      </c>
      <c r="D88" s="64">
        <v>77.7</v>
      </c>
      <c r="E88" s="64">
        <v>0.12</v>
      </c>
      <c r="F88" s="64">
        <v>3.17</v>
      </c>
      <c r="G88" s="64">
        <v>170.05</v>
      </c>
      <c r="H88" s="64">
        <v>31.32</v>
      </c>
      <c r="I88" s="64">
        <v>1.49</v>
      </c>
      <c r="J88" s="64">
        <v>0.09</v>
      </c>
      <c r="K88" s="64">
        <v>275.04000000000002</v>
      </c>
      <c r="L88" s="64">
        <v>20.62</v>
      </c>
      <c r="M88" s="64">
        <v>43.99</v>
      </c>
      <c r="N88" s="64">
        <v>64.3</v>
      </c>
      <c r="O88" s="64">
        <v>0</v>
      </c>
      <c r="P88" s="64">
        <v>0.99</v>
      </c>
      <c r="Q88" s="64">
        <v>13.79</v>
      </c>
      <c r="R88" s="198"/>
      <c r="S88" s="198"/>
      <c r="T88" s="198"/>
      <c r="U88" s="198"/>
    </row>
    <row r="89" spans="1:26" s="12" customFormat="1" x14ac:dyDescent="0.25">
      <c r="A89" s="213" t="s">
        <v>615</v>
      </c>
      <c r="B89" s="64">
        <v>47.64</v>
      </c>
      <c r="C89" s="64">
        <v>70.19</v>
      </c>
      <c r="D89" s="64">
        <v>77.59</v>
      </c>
      <c r="E89" s="64">
        <v>0.22</v>
      </c>
      <c r="F89" s="64">
        <v>3.04</v>
      </c>
      <c r="G89" s="64">
        <v>170.05</v>
      </c>
      <c r="H89" s="64">
        <v>31.32</v>
      </c>
      <c r="I89" s="64">
        <v>1.51</v>
      </c>
      <c r="J89" s="64">
        <v>0.11</v>
      </c>
      <c r="K89" s="64">
        <v>292.89</v>
      </c>
      <c r="L89" s="64">
        <v>20.010000000000002</v>
      </c>
      <c r="M89" s="64">
        <v>51.38</v>
      </c>
      <c r="N89" s="64">
        <v>64.400000000000006</v>
      </c>
      <c r="O89" s="64">
        <v>0</v>
      </c>
      <c r="P89" s="64">
        <v>1.04</v>
      </c>
      <c r="Q89" s="64">
        <v>13.72</v>
      </c>
      <c r="R89" s="198"/>
      <c r="S89" s="198"/>
      <c r="T89" s="198"/>
      <c r="U89" s="198"/>
    </row>
    <row r="90" spans="1:26" s="12" customFormat="1" x14ac:dyDescent="0.25">
      <c r="A90" s="213" t="s">
        <v>616</v>
      </c>
      <c r="B90" s="64">
        <v>52.35</v>
      </c>
      <c r="C90" s="64">
        <v>71.03</v>
      </c>
      <c r="D90" s="64">
        <v>81.819999999999993</v>
      </c>
      <c r="E90" s="64">
        <v>0.22</v>
      </c>
      <c r="F90" s="64">
        <v>3.01</v>
      </c>
      <c r="G90" s="64">
        <v>170.05</v>
      </c>
      <c r="H90" s="64">
        <v>31.32</v>
      </c>
      <c r="I90" s="64">
        <v>1.46</v>
      </c>
      <c r="J90" s="64">
        <v>0.09</v>
      </c>
      <c r="K90" s="64">
        <v>287.88</v>
      </c>
      <c r="L90" s="64">
        <v>19.54</v>
      </c>
      <c r="M90" s="64">
        <v>49.76</v>
      </c>
      <c r="N90" s="64">
        <v>64.400000000000006</v>
      </c>
      <c r="O90" s="64">
        <v>0</v>
      </c>
      <c r="P90" s="64">
        <v>1.1200000000000001</v>
      </c>
      <c r="Q90" s="64">
        <v>13.62</v>
      </c>
      <c r="R90" s="198"/>
      <c r="S90" s="198"/>
      <c r="T90" s="198"/>
      <c r="U90" s="198"/>
    </row>
    <row r="91" spans="1:26" s="12" customFormat="1" x14ac:dyDescent="0.25">
      <c r="A91" s="213" t="s">
        <v>617</v>
      </c>
      <c r="B91" s="64">
        <v>57.77</v>
      </c>
      <c r="C91" s="64">
        <v>71.87</v>
      </c>
      <c r="D91" s="64">
        <v>86.63</v>
      </c>
      <c r="E91" s="64">
        <v>0.23</v>
      </c>
      <c r="F91" s="64">
        <v>2.5299999999999998</v>
      </c>
      <c r="G91" s="64">
        <v>112.81</v>
      </c>
      <c r="H91" s="64">
        <v>30.57</v>
      </c>
      <c r="I91" s="64">
        <v>1.48</v>
      </c>
      <c r="J91" s="64">
        <v>0.09</v>
      </c>
      <c r="K91" s="64">
        <v>262.99</v>
      </c>
      <c r="L91" s="64">
        <v>19.3</v>
      </c>
      <c r="M91" s="64">
        <v>51.48</v>
      </c>
      <c r="N91" s="64">
        <v>64.400000000000006</v>
      </c>
      <c r="O91" s="64">
        <v>0</v>
      </c>
      <c r="P91" s="64">
        <v>1.17</v>
      </c>
      <c r="Q91" s="64">
        <v>13.77</v>
      </c>
      <c r="R91" s="198"/>
      <c r="S91" s="198"/>
      <c r="T91" s="198"/>
      <c r="U91" s="198"/>
    </row>
    <row r="92" spans="1:26" s="12" customFormat="1" x14ac:dyDescent="0.25">
      <c r="A92" s="213" t="s">
        <v>618</v>
      </c>
      <c r="B92" s="64">
        <v>63.34</v>
      </c>
      <c r="C92" s="64">
        <v>72.41</v>
      </c>
      <c r="D92" s="64">
        <v>91.4</v>
      </c>
      <c r="E92" s="64">
        <v>0.2</v>
      </c>
      <c r="F92" s="64">
        <v>3.05</v>
      </c>
      <c r="G92" s="64">
        <v>97.49</v>
      </c>
      <c r="H92" s="64">
        <v>30.57</v>
      </c>
      <c r="I92" s="64">
        <v>1.5</v>
      </c>
      <c r="J92" s="64">
        <v>0.11</v>
      </c>
      <c r="K92" s="64">
        <v>328.32</v>
      </c>
      <c r="L92" s="64">
        <v>19.079999999999998</v>
      </c>
      <c r="M92" s="64">
        <v>56.57</v>
      </c>
      <c r="N92" s="64">
        <v>64.400000000000006</v>
      </c>
      <c r="O92" s="64">
        <v>0</v>
      </c>
      <c r="P92" s="64">
        <v>1.22</v>
      </c>
      <c r="Q92" s="64">
        <v>13.94</v>
      </c>
      <c r="R92" s="198"/>
      <c r="S92" s="198"/>
      <c r="T92" s="198"/>
      <c r="U92" s="198"/>
    </row>
    <row r="93" spans="1:26" s="12" customFormat="1" x14ac:dyDescent="0.25">
      <c r="A93" s="213" t="s">
        <v>619</v>
      </c>
      <c r="B93" s="64">
        <v>74.040000000000006</v>
      </c>
      <c r="C93" s="64">
        <v>73.290000000000006</v>
      </c>
      <c r="D93" s="64">
        <v>100.47</v>
      </c>
      <c r="E93" s="64">
        <v>0.31</v>
      </c>
      <c r="F93" s="64">
        <v>3.15</v>
      </c>
      <c r="G93" s="64">
        <v>97.49</v>
      </c>
      <c r="H93" s="64">
        <v>30.57</v>
      </c>
      <c r="I93" s="64">
        <v>1.5</v>
      </c>
      <c r="J93" s="64">
        <v>0.11</v>
      </c>
      <c r="K93" s="64">
        <v>84.13</v>
      </c>
      <c r="L93" s="64">
        <v>18.86</v>
      </c>
      <c r="M93" s="64">
        <v>59.2</v>
      </c>
      <c r="N93" s="64">
        <v>64.2</v>
      </c>
      <c r="O93" s="64">
        <v>0</v>
      </c>
      <c r="P93" s="64">
        <v>1.35</v>
      </c>
      <c r="Q93" s="64">
        <v>14.25</v>
      </c>
      <c r="R93" s="198"/>
      <c r="S93" s="198"/>
      <c r="T93" s="198"/>
      <c r="U93" s="198"/>
    </row>
    <row r="94" spans="1:26" s="12" customFormat="1" x14ac:dyDescent="0.25">
      <c r="A94" s="213" t="s">
        <v>620</v>
      </c>
      <c r="B94" s="64">
        <v>85.35</v>
      </c>
      <c r="C94" s="64">
        <v>74.680000000000007</v>
      </c>
      <c r="D94" s="64">
        <v>110.31</v>
      </c>
      <c r="E94" s="64">
        <v>0.28999999999999998</v>
      </c>
      <c r="F94" s="64">
        <v>3.17</v>
      </c>
      <c r="G94" s="64">
        <v>97.49</v>
      </c>
      <c r="H94" s="64">
        <v>30.57</v>
      </c>
      <c r="I94" s="64">
        <v>1.5</v>
      </c>
      <c r="J94" s="64">
        <v>0.08</v>
      </c>
      <c r="K94" s="64">
        <v>260.64</v>
      </c>
      <c r="L94" s="64">
        <v>19.149999999999999</v>
      </c>
      <c r="M94" s="64">
        <v>54.99</v>
      </c>
      <c r="N94" s="64">
        <v>63.9</v>
      </c>
      <c r="O94" s="64">
        <v>0</v>
      </c>
      <c r="P94" s="64">
        <v>1.45</v>
      </c>
      <c r="Q94" s="64">
        <v>14.87</v>
      </c>
      <c r="R94" s="198"/>
      <c r="S94" s="198"/>
      <c r="T94" s="198"/>
      <c r="U94" s="198"/>
    </row>
    <row r="95" spans="1:26" s="12" customFormat="1" x14ac:dyDescent="0.25">
      <c r="A95" s="213" t="s">
        <v>621</v>
      </c>
      <c r="B95" s="64">
        <v>94.07</v>
      </c>
      <c r="C95" s="64">
        <v>75.569999999999993</v>
      </c>
      <c r="D95" s="64">
        <v>117.79</v>
      </c>
      <c r="E95" s="64">
        <v>0.37</v>
      </c>
      <c r="F95" s="64">
        <v>3.31</v>
      </c>
      <c r="G95" s="64">
        <v>130.66</v>
      </c>
      <c r="H95" s="64">
        <v>36.08</v>
      </c>
      <c r="I95" s="64">
        <v>1.44</v>
      </c>
      <c r="J95" s="64">
        <v>0.05</v>
      </c>
      <c r="K95" s="64">
        <v>254.31</v>
      </c>
      <c r="L95" s="64">
        <v>18.79</v>
      </c>
      <c r="M95" s="64">
        <v>57.19</v>
      </c>
      <c r="N95" s="64">
        <v>64.2</v>
      </c>
      <c r="O95" s="64">
        <v>0</v>
      </c>
      <c r="P95" s="64">
        <v>1.5</v>
      </c>
      <c r="Q95" s="64">
        <v>15.48</v>
      </c>
      <c r="R95" s="198"/>
      <c r="S95" s="198"/>
      <c r="T95" s="198"/>
      <c r="U95" s="198"/>
    </row>
    <row r="96" spans="1:26" s="12" customFormat="1" x14ac:dyDescent="0.25">
      <c r="A96" s="213" t="s">
        <v>622</v>
      </c>
      <c r="B96" s="64">
        <v>101.07</v>
      </c>
      <c r="C96" s="64">
        <v>76.05</v>
      </c>
      <c r="D96" s="64">
        <v>123.67</v>
      </c>
      <c r="E96" s="64">
        <v>0.31</v>
      </c>
      <c r="F96" s="64">
        <v>3.36</v>
      </c>
      <c r="G96" s="64">
        <v>139.54</v>
      </c>
      <c r="H96" s="64">
        <v>36.08</v>
      </c>
      <c r="I96" s="64">
        <v>1.51</v>
      </c>
      <c r="J96" s="64">
        <v>0.09</v>
      </c>
      <c r="K96" s="64">
        <v>278.55</v>
      </c>
      <c r="L96" s="64">
        <v>18.48</v>
      </c>
      <c r="M96" s="64">
        <v>57.17</v>
      </c>
      <c r="N96" s="64">
        <v>64.400000000000006</v>
      </c>
      <c r="O96" s="64">
        <v>0</v>
      </c>
      <c r="P96" s="64">
        <v>1.55</v>
      </c>
      <c r="Q96" s="64">
        <v>15.87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623</v>
      </c>
      <c r="B97" s="64">
        <v>105.18</v>
      </c>
      <c r="C97" s="64">
        <v>76.48</v>
      </c>
      <c r="D97" s="64">
        <v>127.2</v>
      </c>
      <c r="E97" s="64">
        <v>0.3</v>
      </c>
      <c r="F97" s="64">
        <v>3.12</v>
      </c>
      <c r="G97" s="64">
        <v>139.54</v>
      </c>
      <c r="H97" s="64">
        <v>36.08</v>
      </c>
      <c r="I97" s="64">
        <v>1.5</v>
      </c>
      <c r="J97" s="64">
        <v>0.19</v>
      </c>
      <c r="K97" s="64">
        <v>320.73</v>
      </c>
      <c r="L97" s="64">
        <v>18.41</v>
      </c>
      <c r="M97" s="64">
        <v>60.88</v>
      </c>
      <c r="N97" s="64">
        <v>64.099999999999994</v>
      </c>
      <c r="O97" s="64">
        <v>0</v>
      </c>
      <c r="P97" s="64">
        <v>1.58</v>
      </c>
      <c r="Q97" s="64">
        <v>16.239999999999998</v>
      </c>
      <c r="R97" s="198"/>
      <c r="S97" s="198"/>
      <c r="T97" s="198"/>
      <c r="U97" s="198"/>
    </row>
    <row r="98" spans="1:33" s="12" customFormat="1" x14ac:dyDescent="0.25">
      <c r="A98" s="213" t="s">
        <v>624</v>
      </c>
      <c r="B98" s="64">
        <v>109.29</v>
      </c>
      <c r="C98" s="64">
        <v>76.47</v>
      </c>
      <c r="D98" s="64">
        <v>130.49</v>
      </c>
      <c r="E98" s="64">
        <v>0.32</v>
      </c>
      <c r="F98" s="64">
        <v>3.12</v>
      </c>
      <c r="G98" s="64">
        <v>139.54</v>
      </c>
      <c r="H98" s="64">
        <v>36.08</v>
      </c>
      <c r="I98" s="64">
        <v>1.52</v>
      </c>
      <c r="J98" s="64">
        <v>0.06</v>
      </c>
      <c r="K98" s="64">
        <v>269.57</v>
      </c>
      <c r="L98" s="64">
        <v>18.13</v>
      </c>
      <c r="M98" s="64">
        <v>61.66</v>
      </c>
      <c r="N98" s="64">
        <v>64.599999999999994</v>
      </c>
      <c r="O98" s="64">
        <v>0</v>
      </c>
      <c r="P98" s="64">
        <v>1.64</v>
      </c>
      <c r="Q98" s="64">
        <v>16.440000000000001</v>
      </c>
      <c r="R98" s="198"/>
      <c r="S98" s="198"/>
      <c r="T98" s="198"/>
      <c r="U98" s="198"/>
    </row>
    <row r="99" spans="1:33" s="12" customFormat="1" x14ac:dyDescent="0.25">
      <c r="A99" s="213" t="s">
        <v>625</v>
      </c>
      <c r="B99" s="64">
        <v>112.24</v>
      </c>
      <c r="C99" s="64">
        <v>76.23</v>
      </c>
      <c r="D99" s="64">
        <v>132.72</v>
      </c>
      <c r="E99" s="64">
        <v>0.31</v>
      </c>
      <c r="F99" s="64">
        <v>3.05</v>
      </c>
      <c r="G99" s="64">
        <v>125.11</v>
      </c>
      <c r="H99" s="64">
        <v>38.92</v>
      </c>
      <c r="I99" s="64">
        <v>1.5</v>
      </c>
      <c r="J99" s="64">
        <v>0.15</v>
      </c>
      <c r="K99" s="64">
        <v>274.52</v>
      </c>
      <c r="L99" s="64">
        <v>18.09</v>
      </c>
      <c r="M99" s="64">
        <v>57.91</v>
      </c>
      <c r="N99" s="64">
        <v>64.2</v>
      </c>
      <c r="O99" s="64">
        <v>0</v>
      </c>
      <c r="P99" s="64">
        <v>1.64</v>
      </c>
      <c r="Q99" s="64">
        <v>16.59</v>
      </c>
      <c r="R99" s="198"/>
      <c r="S99" s="198"/>
      <c r="T99" s="198"/>
      <c r="U99" s="198"/>
    </row>
    <row r="100" spans="1:33" s="12" customFormat="1" x14ac:dyDescent="0.25">
      <c r="A100" s="213" t="s">
        <v>626</v>
      </c>
      <c r="B100" s="64">
        <v>111.63</v>
      </c>
      <c r="C100" s="64">
        <v>75.849999999999994</v>
      </c>
      <c r="D100" s="64">
        <v>132.02000000000001</v>
      </c>
      <c r="E100" s="64">
        <v>0.36</v>
      </c>
      <c r="F100" s="64">
        <v>2.96</v>
      </c>
      <c r="G100" s="64">
        <v>121.26</v>
      </c>
      <c r="H100" s="64">
        <v>38.92</v>
      </c>
      <c r="I100" s="64">
        <v>1.4</v>
      </c>
      <c r="J100" s="64">
        <v>0.14000000000000001</v>
      </c>
      <c r="K100" s="64">
        <v>286.87</v>
      </c>
      <c r="L100" s="64">
        <v>18.079999999999998</v>
      </c>
      <c r="M100" s="64">
        <v>57.07</v>
      </c>
      <c r="N100" s="64">
        <v>64.3</v>
      </c>
      <c r="O100" s="64">
        <v>0</v>
      </c>
      <c r="P100" s="64">
        <v>1.58</v>
      </c>
      <c r="Q100" s="64">
        <v>16.63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627</v>
      </c>
      <c r="B101" s="64">
        <v>108.68</v>
      </c>
      <c r="C101" s="64">
        <v>74.75</v>
      </c>
      <c r="D101" s="64">
        <v>129.05000000000001</v>
      </c>
      <c r="E101" s="64">
        <v>0.36</v>
      </c>
      <c r="F101" s="64">
        <v>3.27</v>
      </c>
      <c r="G101" s="64">
        <v>121.26</v>
      </c>
      <c r="H101" s="64">
        <v>38.92</v>
      </c>
      <c r="I101" s="64">
        <v>1.44</v>
      </c>
      <c r="J101" s="64">
        <v>0.28999999999999998</v>
      </c>
      <c r="K101" s="64">
        <v>328.96</v>
      </c>
      <c r="L101" s="64">
        <v>18.03</v>
      </c>
      <c r="M101" s="64">
        <v>61.31</v>
      </c>
      <c r="N101" s="64">
        <v>64.2</v>
      </c>
      <c r="O101" s="64">
        <v>0</v>
      </c>
      <c r="P101" s="64">
        <v>1.56</v>
      </c>
      <c r="Q101" s="64">
        <v>16.45</v>
      </c>
      <c r="R101" s="198"/>
      <c r="S101" s="198"/>
      <c r="T101" s="198"/>
      <c r="U101" s="198"/>
    </row>
    <row r="102" spans="1:33" s="12" customFormat="1" x14ac:dyDescent="0.25">
      <c r="A102" s="213" t="s">
        <v>628</v>
      </c>
      <c r="B102" s="64">
        <v>106.36</v>
      </c>
      <c r="C102" s="64">
        <v>74.2</v>
      </c>
      <c r="D102" s="64">
        <v>126.89</v>
      </c>
      <c r="E102" s="64">
        <v>0.37</v>
      </c>
      <c r="F102" s="64">
        <v>3.28</v>
      </c>
      <c r="G102" s="64">
        <v>121.26</v>
      </c>
      <c r="H102" s="64">
        <v>38.92</v>
      </c>
      <c r="I102" s="64">
        <v>1.47</v>
      </c>
      <c r="J102" s="64">
        <v>0.17</v>
      </c>
      <c r="K102" s="64">
        <v>315.99</v>
      </c>
      <c r="L102" s="64">
        <v>17.62</v>
      </c>
      <c r="M102" s="64">
        <v>63.04</v>
      </c>
      <c r="N102" s="64">
        <v>64.8</v>
      </c>
      <c r="O102" s="64">
        <v>0</v>
      </c>
      <c r="P102" s="64">
        <v>1.56</v>
      </c>
      <c r="Q102" s="64">
        <v>16.23</v>
      </c>
      <c r="R102" s="198"/>
      <c r="S102" s="198"/>
      <c r="T102" s="198"/>
      <c r="U102" s="198"/>
    </row>
    <row r="103" spans="1:33" s="12" customFormat="1" x14ac:dyDescent="0.25">
      <c r="A103" s="213" t="s">
        <v>629</v>
      </c>
      <c r="B103" s="64">
        <v>104.72</v>
      </c>
      <c r="C103" s="64">
        <v>73.040000000000006</v>
      </c>
      <c r="D103" s="64">
        <v>124.94</v>
      </c>
      <c r="E103" s="64">
        <v>0.28000000000000003</v>
      </c>
      <c r="F103" s="64">
        <v>3.02</v>
      </c>
      <c r="G103" s="64">
        <v>90.26</v>
      </c>
      <c r="H103" s="64">
        <v>35.51</v>
      </c>
      <c r="I103" s="64">
        <v>1.49</v>
      </c>
      <c r="J103" s="64">
        <v>0.14000000000000001</v>
      </c>
      <c r="K103" s="64">
        <v>296.14</v>
      </c>
      <c r="L103" s="64">
        <v>17.23</v>
      </c>
      <c r="M103" s="64">
        <v>63.32</v>
      </c>
      <c r="N103" s="64">
        <v>64.7</v>
      </c>
      <c r="O103" s="64">
        <v>0</v>
      </c>
      <c r="P103" s="64">
        <v>1.55</v>
      </c>
      <c r="Q103" s="64">
        <v>16.03</v>
      </c>
      <c r="R103" s="198"/>
      <c r="S103" s="198"/>
      <c r="T103" s="198"/>
      <c r="U103" s="198"/>
    </row>
    <row r="104" spans="1:33" s="12" customFormat="1" x14ac:dyDescent="0.25">
      <c r="A104" s="213" t="s">
        <v>630</v>
      </c>
      <c r="B104" s="64">
        <v>103.41</v>
      </c>
      <c r="C104" s="64">
        <v>71.37</v>
      </c>
      <c r="D104" s="64">
        <v>122.96</v>
      </c>
      <c r="E104" s="64">
        <v>0.15</v>
      </c>
      <c r="F104" s="64">
        <v>3.19</v>
      </c>
      <c r="G104" s="64">
        <v>81.97</v>
      </c>
      <c r="H104" s="64">
        <v>35.51</v>
      </c>
      <c r="I104" s="64">
        <v>1.54</v>
      </c>
      <c r="J104" s="64">
        <v>0.08</v>
      </c>
      <c r="K104" s="64">
        <v>289.32</v>
      </c>
      <c r="L104" s="64">
        <v>16.93</v>
      </c>
      <c r="M104" s="64">
        <v>65.13</v>
      </c>
      <c r="N104" s="64">
        <v>64.8</v>
      </c>
      <c r="O104" s="64">
        <v>0</v>
      </c>
      <c r="P104" s="64">
        <v>1.52</v>
      </c>
      <c r="Q104" s="64">
        <v>15.83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2.27</v>
      </c>
      <c r="C106" s="67">
        <f>MIN(C9:C104)</f>
        <v>53.21</v>
      </c>
      <c r="D106" s="67">
        <f t="shared" ref="D106:Q106" si="0">MIN(D9:D104)</f>
        <v>32.49</v>
      </c>
      <c r="E106" s="67">
        <f t="shared" si="0"/>
        <v>0.01</v>
      </c>
      <c r="F106" s="67">
        <f t="shared" si="0"/>
        <v>2.5299999999999998</v>
      </c>
      <c r="G106" s="67">
        <f t="shared" si="0"/>
        <v>32.07</v>
      </c>
      <c r="H106" s="67">
        <f t="shared" si="0"/>
        <v>20.48</v>
      </c>
      <c r="I106" s="67">
        <f t="shared" si="0"/>
        <v>1.4</v>
      </c>
      <c r="J106" s="67">
        <f t="shared" si="0"/>
        <v>0.02</v>
      </c>
      <c r="K106" s="67">
        <f t="shared" si="0"/>
        <v>13.65</v>
      </c>
      <c r="L106" s="67">
        <f t="shared" si="0"/>
        <v>13.31</v>
      </c>
      <c r="M106" s="67">
        <f t="shared" si="0"/>
        <v>19.47</v>
      </c>
      <c r="N106" s="67">
        <f t="shared" si="0"/>
        <v>58.6</v>
      </c>
      <c r="O106" s="67">
        <f t="shared" si="0"/>
        <v>0</v>
      </c>
      <c r="P106" s="67">
        <f t="shared" si="0"/>
        <v>0.47</v>
      </c>
      <c r="Q106" s="67">
        <f t="shared" si="0"/>
        <v>3.97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226.53</v>
      </c>
      <c r="C107" s="66">
        <f t="shared" ref="C107:Q107" si="1">MAX(C9:C104)</f>
        <v>77.05</v>
      </c>
      <c r="D107" s="66">
        <f t="shared" si="1"/>
        <v>218.6</v>
      </c>
      <c r="E107" s="66">
        <f t="shared" si="1"/>
        <v>0.55000000000000004</v>
      </c>
      <c r="F107" s="66">
        <f t="shared" si="1"/>
        <v>4.88</v>
      </c>
      <c r="G107" s="66">
        <f t="shared" si="1"/>
        <v>203.44</v>
      </c>
      <c r="H107" s="66">
        <f t="shared" si="1"/>
        <v>60.09</v>
      </c>
      <c r="I107" s="66">
        <f t="shared" si="1"/>
        <v>1.63</v>
      </c>
      <c r="J107" s="66">
        <f t="shared" si="1"/>
        <v>0.81</v>
      </c>
      <c r="K107" s="66">
        <f t="shared" si="1"/>
        <v>355.87</v>
      </c>
      <c r="L107" s="66">
        <f t="shared" si="1"/>
        <v>31.44</v>
      </c>
      <c r="M107" s="66">
        <f t="shared" si="1"/>
        <v>96.51</v>
      </c>
      <c r="N107" s="66">
        <f t="shared" si="1"/>
        <v>840</v>
      </c>
      <c r="O107" s="66">
        <f t="shared" si="1"/>
        <v>0</v>
      </c>
      <c r="P107" s="66">
        <f t="shared" si="1"/>
        <v>2.82</v>
      </c>
      <c r="Q107" s="66">
        <f t="shared" si="1"/>
        <v>23.08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90.369375000000034</v>
      </c>
      <c r="C108" s="67">
        <f t="shared" ref="C108:Q108" si="2">AVERAGE(C9:C104)</f>
        <v>64.974374999999966</v>
      </c>
      <c r="D108" s="67">
        <f t="shared" si="2"/>
        <v>108.97343749999997</v>
      </c>
      <c r="E108" s="67">
        <f t="shared" si="2"/>
        <v>0.29846153846153856</v>
      </c>
      <c r="F108" s="67">
        <f t="shared" si="2"/>
        <v>3.3134374999999996</v>
      </c>
      <c r="G108" s="67">
        <f t="shared" si="2"/>
        <v>106.89104166666671</v>
      </c>
      <c r="H108" s="67">
        <f t="shared" si="2"/>
        <v>40.237291666666657</v>
      </c>
      <c r="I108" s="67">
        <f t="shared" si="2"/>
        <v>1.4924999999999997</v>
      </c>
      <c r="J108" s="67">
        <f t="shared" si="2"/>
        <v>0.20468750000000002</v>
      </c>
      <c r="K108" s="67">
        <f t="shared" si="2"/>
        <v>226.51916666666671</v>
      </c>
      <c r="L108" s="67">
        <f t="shared" si="2"/>
        <v>20.768020833333331</v>
      </c>
      <c r="M108" s="67">
        <f t="shared" si="2"/>
        <v>55.216979166666668</v>
      </c>
      <c r="N108" s="67">
        <f t="shared" si="2"/>
        <v>252.56666666666661</v>
      </c>
      <c r="O108" s="67">
        <f t="shared" si="2"/>
        <v>0</v>
      </c>
      <c r="P108" s="67">
        <f t="shared" si="2"/>
        <v>1.350208333333333</v>
      </c>
      <c r="Q108" s="67">
        <f t="shared" si="2"/>
        <v>14.145494505494506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65.963813489909526</v>
      </c>
      <c r="C109" s="67">
        <f t="shared" ref="C109:Q109" si="3">STDEV(C9:C104)</f>
        <v>7.9887200493146624</v>
      </c>
      <c r="D109" s="67">
        <f t="shared" si="3"/>
        <v>51.952783377705508</v>
      </c>
      <c r="E109" s="67">
        <f t="shared" si="3"/>
        <v>0.13643006411037978</v>
      </c>
      <c r="F109" s="67">
        <f t="shared" si="3"/>
        <v>0.48331275288912801</v>
      </c>
      <c r="G109" s="67">
        <f t="shared" si="3"/>
        <v>50.710158444140326</v>
      </c>
      <c r="H109" s="67">
        <f t="shared" si="3"/>
        <v>13.150191151635934</v>
      </c>
      <c r="I109" s="67">
        <f t="shared" si="3"/>
        <v>4.2401588848085724E-2</v>
      </c>
      <c r="J109" s="67">
        <f t="shared" si="3"/>
        <v>0.19161338885754742</v>
      </c>
      <c r="K109" s="67">
        <f t="shared" si="3"/>
        <v>92.180138466587763</v>
      </c>
      <c r="L109" s="67">
        <f t="shared" si="3"/>
        <v>5.6343220055938827</v>
      </c>
      <c r="M109" s="67">
        <f t="shared" si="3"/>
        <v>25.575486541435346</v>
      </c>
      <c r="N109" s="67">
        <f t="shared" si="3"/>
        <v>285.97193593139679</v>
      </c>
      <c r="O109" s="67">
        <f t="shared" si="3"/>
        <v>0</v>
      </c>
      <c r="P109" s="67">
        <f t="shared" si="3"/>
        <v>0.5964279268527134</v>
      </c>
      <c r="Q109" s="67">
        <f t="shared" si="3"/>
        <v>4.4472304149727151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COUNT(E9:E104)+5</f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COUNT(Q9:Q104)+5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631</v>
      </c>
      <c r="B9" s="64">
        <v>101.36</v>
      </c>
      <c r="C9" s="64">
        <v>70.680000000000007</v>
      </c>
      <c r="D9" s="64">
        <v>120.94</v>
      </c>
      <c r="E9" s="64">
        <v>0.2</v>
      </c>
      <c r="F9" s="64">
        <v>3.26</v>
      </c>
      <c r="G9" s="64">
        <v>81.97</v>
      </c>
      <c r="H9" s="64">
        <v>35.51</v>
      </c>
      <c r="I9" s="64">
        <v>1.49</v>
      </c>
      <c r="J9" s="64">
        <v>0.14000000000000001</v>
      </c>
      <c r="K9" s="64">
        <v>308.56</v>
      </c>
      <c r="L9" s="64">
        <v>16.850000000000001</v>
      </c>
      <c r="M9" s="64">
        <v>67.05</v>
      </c>
      <c r="N9" s="64">
        <v>64.400000000000006</v>
      </c>
      <c r="O9" s="64">
        <v>0</v>
      </c>
      <c r="P9" s="64">
        <v>1.5</v>
      </c>
      <c r="Q9" s="64">
        <v>15.71</v>
      </c>
      <c r="R9" s="198"/>
      <c r="S9" s="198"/>
      <c r="T9" s="198"/>
      <c r="U9" s="198"/>
    </row>
    <row r="10" spans="1:21" s="12" customFormat="1" x14ac:dyDescent="0.25">
      <c r="A10" s="213" t="s">
        <v>632</v>
      </c>
      <c r="B10" s="64">
        <v>98.15</v>
      </c>
      <c r="C10" s="64">
        <v>69.849999999999994</v>
      </c>
      <c r="D10" s="64">
        <v>117.9</v>
      </c>
      <c r="E10" s="64">
        <v>0.24</v>
      </c>
      <c r="F10" s="64">
        <v>3.18</v>
      </c>
      <c r="G10" s="64">
        <v>81.97</v>
      </c>
      <c r="H10" s="64">
        <v>35.51</v>
      </c>
      <c r="I10" s="64">
        <v>1.52</v>
      </c>
      <c r="J10" s="64">
        <v>0.15</v>
      </c>
      <c r="K10" s="64">
        <v>228.57</v>
      </c>
      <c r="L10" s="64">
        <v>17.63</v>
      </c>
      <c r="M10" s="64">
        <v>58.85</v>
      </c>
      <c r="N10" s="64">
        <v>63.4</v>
      </c>
      <c r="O10" s="64">
        <v>0</v>
      </c>
      <c r="P10" s="64">
        <v>1.44</v>
      </c>
      <c r="Q10" s="64">
        <v>15.43</v>
      </c>
      <c r="R10" s="198"/>
      <c r="S10" s="198"/>
      <c r="T10" s="198"/>
      <c r="U10" s="198"/>
    </row>
    <row r="11" spans="1:21" s="12" customFormat="1" x14ac:dyDescent="0.25">
      <c r="A11" s="213" t="s">
        <v>633</v>
      </c>
      <c r="B11" s="64">
        <v>93.48</v>
      </c>
      <c r="C11" s="64">
        <v>68.8</v>
      </c>
      <c r="D11" s="64">
        <v>113.58</v>
      </c>
      <c r="E11" s="64">
        <v>0.2</v>
      </c>
      <c r="F11" s="64">
        <v>2.83</v>
      </c>
      <c r="G11" s="64">
        <v>89.21</v>
      </c>
      <c r="H11" s="64">
        <v>31.96</v>
      </c>
      <c r="I11" s="64">
        <v>1.43</v>
      </c>
      <c r="J11" s="64">
        <v>0.21</v>
      </c>
      <c r="K11" s="64">
        <v>171.88</v>
      </c>
      <c r="L11" s="64">
        <v>18.12</v>
      </c>
      <c r="M11" s="64">
        <v>58.65</v>
      </c>
      <c r="N11" s="64">
        <v>63.7</v>
      </c>
      <c r="O11" s="64">
        <v>0</v>
      </c>
      <c r="P11" s="64">
        <v>1.41</v>
      </c>
      <c r="Q11" s="64">
        <v>15.08</v>
      </c>
      <c r="R11" s="198"/>
      <c r="S11" s="198"/>
      <c r="T11" s="198"/>
      <c r="U11" s="198"/>
    </row>
    <row r="12" spans="1:21" s="12" customFormat="1" x14ac:dyDescent="0.25">
      <c r="A12" s="213" t="s">
        <v>634</v>
      </c>
      <c r="B12" s="64">
        <v>88.24</v>
      </c>
      <c r="C12" s="64">
        <v>67.97</v>
      </c>
      <c r="D12" s="64">
        <v>108.92</v>
      </c>
      <c r="E12" s="64">
        <v>0.21</v>
      </c>
      <c r="F12" s="64">
        <v>3.02</v>
      </c>
      <c r="G12" s="64">
        <v>91.14</v>
      </c>
      <c r="H12" s="64">
        <v>31.96</v>
      </c>
      <c r="I12" s="64">
        <v>1.48</v>
      </c>
      <c r="J12" s="64">
        <v>0.38</v>
      </c>
      <c r="K12" s="64">
        <v>154.85</v>
      </c>
      <c r="L12" s="64">
        <v>17.920000000000002</v>
      </c>
      <c r="M12" s="64">
        <v>65.59</v>
      </c>
      <c r="N12" s="64">
        <v>63.8</v>
      </c>
      <c r="O12" s="64">
        <v>0</v>
      </c>
      <c r="P12" s="64">
        <v>1.34</v>
      </c>
      <c r="Q12" s="64">
        <v>14.72</v>
      </c>
      <c r="R12" s="198"/>
      <c r="S12" s="198"/>
      <c r="T12" s="198"/>
      <c r="U12" s="198"/>
    </row>
    <row r="13" spans="1:21" s="12" customFormat="1" x14ac:dyDescent="0.25">
      <c r="A13" s="213" t="s">
        <v>635</v>
      </c>
      <c r="B13" s="64">
        <v>83.3</v>
      </c>
      <c r="C13" s="64">
        <v>66.8</v>
      </c>
      <c r="D13" s="64">
        <v>104.31</v>
      </c>
      <c r="E13" s="64">
        <v>0.22</v>
      </c>
      <c r="F13" s="64">
        <v>3.06</v>
      </c>
      <c r="G13" s="64">
        <v>91.14</v>
      </c>
      <c r="H13" s="64">
        <v>31.96</v>
      </c>
      <c r="I13" s="64">
        <v>1.52</v>
      </c>
      <c r="J13" s="64">
        <v>0.09</v>
      </c>
      <c r="K13" s="64">
        <v>144.01</v>
      </c>
      <c r="L13" s="64">
        <v>17.68</v>
      </c>
      <c r="M13" s="64">
        <v>68.44</v>
      </c>
      <c r="N13" s="64">
        <v>64.5</v>
      </c>
      <c r="O13" s="64">
        <v>0</v>
      </c>
      <c r="P13" s="64">
        <v>1.21</v>
      </c>
      <c r="Q13" s="64">
        <v>14.39</v>
      </c>
      <c r="R13" s="198"/>
      <c r="S13" s="198"/>
      <c r="T13" s="198"/>
      <c r="U13" s="198"/>
    </row>
    <row r="14" spans="1:21" s="12" customFormat="1" x14ac:dyDescent="0.25">
      <c r="A14" s="213" t="s">
        <v>636</v>
      </c>
      <c r="B14" s="64">
        <v>78.42</v>
      </c>
      <c r="C14" s="64">
        <v>65.63</v>
      </c>
      <c r="D14" s="64">
        <v>99.75</v>
      </c>
      <c r="E14" s="64">
        <v>0.23</v>
      </c>
      <c r="F14" s="64">
        <v>3.17</v>
      </c>
      <c r="G14" s="64">
        <v>91.14</v>
      </c>
      <c r="H14" s="64">
        <v>31.96</v>
      </c>
      <c r="I14" s="64">
        <v>1.54</v>
      </c>
      <c r="J14" s="64">
        <v>0.1</v>
      </c>
      <c r="K14" s="64">
        <v>332.91</v>
      </c>
      <c r="L14" s="64">
        <v>17.48</v>
      </c>
      <c r="M14" s="64">
        <v>70.33</v>
      </c>
      <c r="N14" s="64">
        <v>64.8</v>
      </c>
      <c r="O14" s="64">
        <v>0</v>
      </c>
      <c r="P14" s="64">
        <v>1.22</v>
      </c>
      <c r="Q14" s="64">
        <v>13.93</v>
      </c>
      <c r="R14" s="198"/>
      <c r="S14" s="198"/>
      <c r="T14" s="198"/>
      <c r="U14" s="198"/>
    </row>
    <row r="15" spans="1:21" s="12" customFormat="1" x14ac:dyDescent="0.25">
      <c r="A15" s="213" t="s">
        <v>637</v>
      </c>
      <c r="B15" s="64">
        <v>74.23</v>
      </c>
      <c r="C15" s="64">
        <v>64.72</v>
      </c>
      <c r="D15" s="64">
        <v>95.89</v>
      </c>
      <c r="E15" s="64">
        <v>0.23</v>
      </c>
      <c r="F15" s="64">
        <v>3.14</v>
      </c>
      <c r="G15" s="64">
        <v>63.4</v>
      </c>
      <c r="H15" s="64">
        <v>30.76</v>
      </c>
      <c r="I15" s="64">
        <v>1.51</v>
      </c>
      <c r="J15" s="64">
        <v>0.1</v>
      </c>
      <c r="K15" s="64">
        <v>284.35000000000002</v>
      </c>
      <c r="L15" s="64">
        <v>16.88</v>
      </c>
      <c r="M15" s="64">
        <v>75.069999999999993</v>
      </c>
      <c r="N15" s="64">
        <v>64.900000000000006</v>
      </c>
      <c r="O15" s="64">
        <v>0</v>
      </c>
      <c r="P15" s="64">
        <v>1.1599999999999999</v>
      </c>
      <c r="Q15" s="64">
        <v>13.56</v>
      </c>
      <c r="R15" s="198"/>
      <c r="S15" s="198"/>
      <c r="T15" s="198"/>
      <c r="U15" s="198"/>
    </row>
    <row r="16" spans="1:21" s="12" customFormat="1" x14ac:dyDescent="0.25">
      <c r="A16" s="213" t="s">
        <v>638</v>
      </c>
      <c r="B16" s="64">
        <v>70.13</v>
      </c>
      <c r="C16" s="64">
        <v>64.040000000000006</v>
      </c>
      <c r="D16" s="64">
        <v>92.22</v>
      </c>
      <c r="E16" s="64">
        <v>0.17</v>
      </c>
      <c r="F16" s="64">
        <v>3.19</v>
      </c>
      <c r="G16" s="64">
        <v>55.97</v>
      </c>
      <c r="H16" s="64">
        <v>30.76</v>
      </c>
      <c r="I16" s="64">
        <v>1.46</v>
      </c>
      <c r="J16" s="64">
        <v>0.12</v>
      </c>
      <c r="K16" s="64">
        <v>299.3</v>
      </c>
      <c r="L16" s="64">
        <v>16.3</v>
      </c>
      <c r="M16" s="64">
        <v>80.53</v>
      </c>
      <c r="N16" s="64">
        <v>65</v>
      </c>
      <c r="O16" s="64">
        <v>0</v>
      </c>
      <c r="P16" s="64">
        <v>1.1299999999999999</v>
      </c>
      <c r="Q16" s="64">
        <v>13.23</v>
      </c>
      <c r="R16" s="198"/>
      <c r="S16" s="198"/>
      <c r="T16" s="198"/>
      <c r="U16" s="198"/>
    </row>
    <row r="17" spans="1:21" s="12" customFormat="1" x14ac:dyDescent="0.25">
      <c r="A17" s="213" t="s">
        <v>639</v>
      </c>
      <c r="B17" s="64">
        <v>66.180000000000007</v>
      </c>
      <c r="C17" s="64">
        <v>62.25</v>
      </c>
      <c r="D17" s="64">
        <v>88.08</v>
      </c>
      <c r="E17" s="64">
        <v>0.19</v>
      </c>
      <c r="F17" s="64">
        <v>3.09</v>
      </c>
      <c r="G17" s="64">
        <v>55.97</v>
      </c>
      <c r="H17" s="64">
        <v>30.76</v>
      </c>
      <c r="I17" s="64">
        <v>1.45</v>
      </c>
      <c r="J17" s="64">
        <v>0.01</v>
      </c>
      <c r="K17" s="64">
        <v>138.16</v>
      </c>
      <c r="L17" s="64">
        <v>16.55</v>
      </c>
      <c r="M17" s="64">
        <v>77.02</v>
      </c>
      <c r="N17" s="64">
        <v>64.3</v>
      </c>
      <c r="O17" s="64">
        <v>0</v>
      </c>
      <c r="P17" s="64">
        <v>1.08</v>
      </c>
      <c r="Q17" s="64">
        <v>12.88</v>
      </c>
      <c r="R17" s="198"/>
      <c r="S17" s="198"/>
      <c r="T17" s="198"/>
      <c r="U17" s="198"/>
    </row>
    <row r="18" spans="1:21" s="12" customFormat="1" x14ac:dyDescent="0.25">
      <c r="A18" s="213" t="s">
        <v>640</v>
      </c>
      <c r="B18" s="64">
        <v>61.82</v>
      </c>
      <c r="C18" s="64">
        <v>61.35</v>
      </c>
      <c r="D18" s="64">
        <v>84.08</v>
      </c>
      <c r="E18" s="64">
        <v>0.15</v>
      </c>
      <c r="F18" s="64">
        <v>3.17</v>
      </c>
      <c r="G18" s="64">
        <v>55.97</v>
      </c>
      <c r="H18" s="64">
        <v>30.76</v>
      </c>
      <c r="I18" s="64">
        <v>1.44</v>
      </c>
      <c r="J18" s="64">
        <v>0.06</v>
      </c>
      <c r="K18" s="64">
        <v>279.64999999999998</v>
      </c>
      <c r="L18" s="64">
        <v>16.309999999999999</v>
      </c>
      <c r="M18" s="64">
        <v>77.239999999999995</v>
      </c>
      <c r="N18" s="64">
        <v>64.7</v>
      </c>
      <c r="O18" s="64">
        <v>0</v>
      </c>
      <c r="P18" s="64">
        <v>1.04</v>
      </c>
      <c r="Q18" s="64">
        <v>12.51</v>
      </c>
      <c r="R18" s="198"/>
      <c r="S18" s="198"/>
      <c r="T18" s="198"/>
      <c r="U18" s="198"/>
    </row>
    <row r="19" spans="1:21" s="12" customFormat="1" x14ac:dyDescent="0.25">
      <c r="A19" s="213" t="s">
        <v>641</v>
      </c>
      <c r="B19" s="64">
        <v>57.8</v>
      </c>
      <c r="C19" s="64">
        <v>60.78</v>
      </c>
      <c r="D19" s="64">
        <v>80.540000000000006</v>
      </c>
      <c r="E19" s="64">
        <v>0.12</v>
      </c>
      <c r="F19" s="64">
        <v>3.06</v>
      </c>
      <c r="G19" s="64">
        <v>48.54</v>
      </c>
      <c r="H19" s="64">
        <v>25.08</v>
      </c>
      <c r="I19" s="64">
        <v>1.58</v>
      </c>
      <c r="J19" s="64">
        <v>0.14000000000000001</v>
      </c>
      <c r="K19" s="64">
        <v>186.83</v>
      </c>
      <c r="L19" s="64">
        <v>16.11</v>
      </c>
      <c r="M19" s="64">
        <v>77.31</v>
      </c>
      <c r="N19" s="64">
        <v>64.400000000000006</v>
      </c>
      <c r="O19" s="64">
        <v>0</v>
      </c>
      <c r="P19" s="64">
        <v>1</v>
      </c>
      <c r="Q19" s="64">
        <v>12.11</v>
      </c>
      <c r="R19" s="198"/>
      <c r="S19" s="198"/>
      <c r="T19" s="198"/>
      <c r="U19" s="198"/>
    </row>
    <row r="20" spans="1:21" s="12" customFormat="1" x14ac:dyDescent="0.25">
      <c r="A20" s="213" t="s">
        <v>642</v>
      </c>
      <c r="B20" s="64">
        <v>53.96</v>
      </c>
      <c r="C20" s="64">
        <v>59.66</v>
      </c>
      <c r="D20" s="64">
        <v>76.84</v>
      </c>
      <c r="E20" s="64">
        <v>0.14000000000000001</v>
      </c>
      <c r="F20" s="64">
        <v>3.16</v>
      </c>
      <c r="G20" s="64">
        <v>46.55</v>
      </c>
      <c r="H20" s="64">
        <v>25.08</v>
      </c>
      <c r="I20" s="64">
        <v>1.48</v>
      </c>
      <c r="J20" s="64">
        <v>0.09</v>
      </c>
      <c r="K20" s="64">
        <v>282.95</v>
      </c>
      <c r="L20" s="64">
        <v>15.94</v>
      </c>
      <c r="M20" s="64">
        <v>79.34</v>
      </c>
      <c r="N20" s="64">
        <v>65</v>
      </c>
      <c r="O20" s="64">
        <v>0</v>
      </c>
      <c r="P20" s="64">
        <v>0.95</v>
      </c>
      <c r="Q20" s="64">
        <v>11.68</v>
      </c>
      <c r="R20" s="198"/>
      <c r="S20" s="198"/>
      <c r="T20" s="198"/>
      <c r="U20" s="198"/>
    </row>
    <row r="21" spans="1:21" s="12" customFormat="1" x14ac:dyDescent="0.25">
      <c r="A21" s="213" t="s">
        <v>643</v>
      </c>
      <c r="B21" s="64">
        <v>50.67</v>
      </c>
      <c r="C21" s="64">
        <v>58.95</v>
      </c>
      <c r="D21" s="64">
        <v>73.81</v>
      </c>
      <c r="E21" s="64">
        <v>0.13</v>
      </c>
      <c r="F21" s="64">
        <v>3.07</v>
      </c>
      <c r="G21" s="64">
        <v>46.55</v>
      </c>
      <c r="H21" s="64">
        <v>25.08</v>
      </c>
      <c r="I21" s="64">
        <v>1.52</v>
      </c>
      <c r="J21" s="64">
        <v>0.06</v>
      </c>
      <c r="K21" s="64">
        <v>263.85000000000002</v>
      </c>
      <c r="L21" s="64">
        <v>15.51</v>
      </c>
      <c r="M21" s="64">
        <v>82.52</v>
      </c>
      <c r="N21" s="64">
        <v>65.099999999999994</v>
      </c>
      <c r="O21" s="64">
        <v>0</v>
      </c>
      <c r="P21" s="64">
        <v>0.92</v>
      </c>
      <c r="Q21" s="64">
        <v>11.36</v>
      </c>
      <c r="R21" s="198"/>
      <c r="S21" s="198"/>
      <c r="T21" s="198"/>
      <c r="U21" s="198"/>
    </row>
    <row r="22" spans="1:21" s="12" customFormat="1" x14ac:dyDescent="0.25">
      <c r="A22" s="213" t="s">
        <v>644</v>
      </c>
      <c r="B22" s="64">
        <v>47.67</v>
      </c>
      <c r="C22" s="64">
        <v>58.3</v>
      </c>
      <c r="D22" s="64">
        <v>71.05</v>
      </c>
      <c r="E22" s="64">
        <v>0.11</v>
      </c>
      <c r="F22" s="64">
        <v>2.97</v>
      </c>
      <c r="G22" s="64">
        <v>46.55</v>
      </c>
      <c r="H22" s="64">
        <v>25.08</v>
      </c>
      <c r="I22" s="64">
        <v>1.39</v>
      </c>
      <c r="J22" s="64">
        <v>0.02</v>
      </c>
      <c r="K22" s="64">
        <v>192.39</v>
      </c>
      <c r="L22" s="64">
        <v>15.12</v>
      </c>
      <c r="M22" s="64">
        <v>86.01</v>
      </c>
      <c r="N22" s="64">
        <v>65</v>
      </c>
      <c r="O22" s="64">
        <v>0</v>
      </c>
      <c r="P22" s="64">
        <v>0.89</v>
      </c>
      <c r="Q22" s="64">
        <v>11.07</v>
      </c>
      <c r="R22" s="198"/>
      <c r="S22" s="198"/>
      <c r="T22" s="198"/>
      <c r="U22" s="198"/>
    </row>
    <row r="23" spans="1:21" s="12" customFormat="1" x14ac:dyDescent="0.25">
      <c r="A23" s="213" t="s">
        <v>645</v>
      </c>
      <c r="B23" s="64">
        <v>45.25</v>
      </c>
      <c r="C23" s="64">
        <v>58.1</v>
      </c>
      <c r="D23" s="64">
        <v>69</v>
      </c>
      <c r="E23" s="64">
        <v>0.13</v>
      </c>
      <c r="F23" s="64">
        <v>3.1</v>
      </c>
      <c r="G23" s="64">
        <v>48.4</v>
      </c>
      <c r="H23" s="64">
        <v>23.21</v>
      </c>
      <c r="I23" s="64">
        <v>1.52</v>
      </c>
      <c r="J23" s="64">
        <v>0.12</v>
      </c>
      <c r="K23" s="64">
        <v>271.58999999999997</v>
      </c>
      <c r="L23" s="64">
        <v>14.95</v>
      </c>
      <c r="M23" s="64">
        <v>85.5</v>
      </c>
      <c r="N23" s="64">
        <v>64.8</v>
      </c>
      <c r="O23" s="64">
        <v>0</v>
      </c>
      <c r="P23" s="64">
        <v>0.87</v>
      </c>
      <c r="Q23" s="64">
        <v>10.82</v>
      </c>
      <c r="R23" s="198"/>
      <c r="S23" s="198"/>
      <c r="T23" s="198"/>
      <c r="U23" s="198"/>
    </row>
    <row r="24" spans="1:21" s="12" customFormat="1" x14ac:dyDescent="0.25">
      <c r="A24" s="213" t="s">
        <v>646</v>
      </c>
      <c r="B24" s="64">
        <v>43.31</v>
      </c>
      <c r="C24" s="64">
        <v>57.67</v>
      </c>
      <c r="D24" s="64">
        <v>67.2</v>
      </c>
      <c r="E24" s="64">
        <v>7.0000000000000007E-2</v>
      </c>
      <c r="F24" s="64">
        <v>2.88</v>
      </c>
      <c r="G24" s="64">
        <v>48.89</v>
      </c>
      <c r="H24" s="64">
        <v>23.21</v>
      </c>
      <c r="I24" s="64">
        <v>1.49</v>
      </c>
      <c r="J24" s="64">
        <v>0.16</v>
      </c>
      <c r="K24" s="64">
        <v>355.48</v>
      </c>
      <c r="L24" s="64">
        <v>14.86</v>
      </c>
      <c r="M24" s="64">
        <v>89.36</v>
      </c>
      <c r="N24" s="64">
        <v>65</v>
      </c>
      <c r="O24" s="64">
        <v>0</v>
      </c>
      <c r="P24" s="64">
        <v>0.84</v>
      </c>
      <c r="Q24" s="64">
        <v>10.56</v>
      </c>
      <c r="R24" s="198"/>
      <c r="S24" s="198"/>
      <c r="T24" s="198"/>
      <c r="U24" s="198"/>
    </row>
    <row r="25" spans="1:21" s="12" customFormat="1" x14ac:dyDescent="0.25">
      <c r="A25" s="213" t="s">
        <v>647</v>
      </c>
      <c r="B25" s="64">
        <v>42.24</v>
      </c>
      <c r="C25" s="64">
        <v>57.43</v>
      </c>
      <c r="D25" s="64">
        <v>66.209999999999994</v>
      </c>
      <c r="E25" s="64">
        <v>0.14000000000000001</v>
      </c>
      <c r="F25" s="64">
        <v>3.23</v>
      </c>
      <c r="G25" s="64">
        <v>48.89</v>
      </c>
      <c r="H25" s="64">
        <v>23.21</v>
      </c>
      <c r="I25" s="64">
        <v>1.5</v>
      </c>
      <c r="J25" s="64">
        <v>7.0000000000000007E-2</v>
      </c>
      <c r="K25" s="64">
        <v>56.92</v>
      </c>
      <c r="L25" s="64">
        <v>14.76</v>
      </c>
      <c r="M25" s="64">
        <v>84.97</v>
      </c>
      <c r="N25" s="64">
        <v>65</v>
      </c>
      <c r="O25" s="64">
        <v>0</v>
      </c>
      <c r="P25" s="64">
        <v>0.82</v>
      </c>
      <c r="Q25" s="64">
        <v>10.4</v>
      </c>
      <c r="R25" s="198"/>
      <c r="S25" s="198"/>
      <c r="T25" s="198"/>
      <c r="U25" s="198"/>
    </row>
    <row r="26" spans="1:21" s="12" customFormat="1" x14ac:dyDescent="0.25">
      <c r="A26" s="213" t="s">
        <v>648</v>
      </c>
      <c r="B26" s="64">
        <v>41.75</v>
      </c>
      <c r="C26" s="64">
        <v>57.43</v>
      </c>
      <c r="D26" s="64">
        <v>65.819999999999993</v>
      </c>
      <c r="E26" s="64">
        <v>0.17</v>
      </c>
      <c r="F26" s="64">
        <v>2.92</v>
      </c>
      <c r="G26" s="64">
        <v>48.89</v>
      </c>
      <c r="H26" s="64">
        <v>23.21</v>
      </c>
      <c r="I26" s="64">
        <v>1.46</v>
      </c>
      <c r="J26" s="64">
        <v>0.18</v>
      </c>
      <c r="K26" s="64">
        <v>237.46</v>
      </c>
      <c r="L26" s="64">
        <v>15.06</v>
      </c>
      <c r="M26" s="64">
        <v>83.04</v>
      </c>
      <c r="N26" s="64">
        <v>64.3</v>
      </c>
      <c r="O26" s="64">
        <v>0</v>
      </c>
      <c r="P26" s="64">
        <v>0.79</v>
      </c>
      <c r="Q26" s="64">
        <v>10.28</v>
      </c>
      <c r="R26" s="198"/>
      <c r="S26" s="198"/>
      <c r="T26" s="198"/>
      <c r="U26" s="198"/>
    </row>
    <row r="27" spans="1:21" s="12" customFormat="1" x14ac:dyDescent="0.25">
      <c r="A27" s="213" t="s">
        <v>649</v>
      </c>
      <c r="B27" s="64">
        <v>41.51</v>
      </c>
      <c r="C27" s="64">
        <v>58</v>
      </c>
      <c r="D27" s="64">
        <v>65.94</v>
      </c>
      <c r="E27" s="64">
        <v>0.15</v>
      </c>
      <c r="F27" s="64">
        <v>2.8</v>
      </c>
      <c r="G27" s="64">
        <v>48.34</v>
      </c>
      <c r="H27" s="64">
        <v>19.97</v>
      </c>
      <c r="I27" s="64">
        <v>1.55</v>
      </c>
      <c r="J27" s="64">
        <v>0.11</v>
      </c>
      <c r="K27" s="64">
        <v>301.95999999999998</v>
      </c>
      <c r="L27" s="64">
        <v>15.19</v>
      </c>
      <c r="M27" s="64">
        <v>84.28</v>
      </c>
      <c r="N27" s="64">
        <v>64.8</v>
      </c>
      <c r="O27" s="64">
        <v>0</v>
      </c>
      <c r="P27" s="64">
        <v>0.77</v>
      </c>
      <c r="Q27" s="64">
        <v>10.11</v>
      </c>
      <c r="R27" s="198"/>
      <c r="S27" s="198"/>
      <c r="T27" s="198"/>
      <c r="U27" s="198"/>
    </row>
    <row r="28" spans="1:21" s="12" customFormat="1" x14ac:dyDescent="0.25">
      <c r="A28" s="213" t="s">
        <v>650</v>
      </c>
      <c r="B28" s="64">
        <v>43.39</v>
      </c>
      <c r="C28" s="64">
        <v>57.84</v>
      </c>
      <c r="D28" s="64">
        <v>67.36</v>
      </c>
      <c r="E28" s="64">
        <v>0.14000000000000001</v>
      </c>
      <c r="F28" s="64">
        <v>3.02</v>
      </c>
      <c r="G28" s="64">
        <v>48.2</v>
      </c>
      <c r="H28" s="64">
        <v>19.97</v>
      </c>
      <c r="I28" s="64">
        <v>1.45</v>
      </c>
      <c r="J28" s="64">
        <v>0.03</v>
      </c>
      <c r="K28" s="64">
        <v>228.4</v>
      </c>
      <c r="L28" s="64">
        <v>14.94</v>
      </c>
      <c r="M28" s="64">
        <v>84.55</v>
      </c>
      <c r="N28" s="64">
        <v>64.8</v>
      </c>
      <c r="O28" s="64">
        <v>0</v>
      </c>
      <c r="P28" s="64">
        <v>0.76</v>
      </c>
      <c r="Q28" s="64">
        <v>10.130000000000001</v>
      </c>
      <c r="R28" s="198"/>
      <c r="S28" s="198"/>
      <c r="T28" s="198"/>
      <c r="U28" s="198"/>
    </row>
    <row r="29" spans="1:21" s="12" customFormat="1" x14ac:dyDescent="0.25">
      <c r="A29" s="213" t="s">
        <v>651</v>
      </c>
      <c r="B29" s="64">
        <v>45.09</v>
      </c>
      <c r="C29" s="64">
        <v>57.79</v>
      </c>
      <c r="D29" s="64">
        <v>68.7</v>
      </c>
      <c r="E29" s="64">
        <v>0.16</v>
      </c>
      <c r="F29" s="64">
        <v>2.9</v>
      </c>
      <c r="G29" s="64">
        <v>48.2</v>
      </c>
      <c r="H29" s="64">
        <v>19.97</v>
      </c>
      <c r="I29" s="64">
        <v>1.5</v>
      </c>
      <c r="J29" s="64">
        <v>7.0000000000000007E-2</v>
      </c>
      <c r="K29" s="64">
        <v>305.01</v>
      </c>
      <c r="L29" s="64">
        <v>14.99</v>
      </c>
      <c r="M29" s="64">
        <v>85.1</v>
      </c>
      <c r="N29" s="64">
        <v>64.8</v>
      </c>
      <c r="O29" s="64">
        <v>0</v>
      </c>
      <c r="P29" s="64">
        <v>0.76</v>
      </c>
      <c r="Q29" s="64">
        <v>10.220000000000001</v>
      </c>
      <c r="R29" s="198"/>
      <c r="S29" s="198"/>
      <c r="T29" s="198"/>
      <c r="U29" s="198"/>
    </row>
    <row r="30" spans="1:21" s="12" customFormat="1" x14ac:dyDescent="0.25">
      <c r="A30" s="213" t="s">
        <v>652</v>
      </c>
      <c r="B30" s="64">
        <v>47.31</v>
      </c>
      <c r="C30" s="64">
        <v>58</v>
      </c>
      <c r="D30" s="64">
        <v>70.59</v>
      </c>
      <c r="E30" s="64">
        <v>0.13</v>
      </c>
      <c r="F30" s="64">
        <v>2.91</v>
      </c>
      <c r="G30" s="64">
        <v>48.2</v>
      </c>
      <c r="H30" s="64">
        <v>19.97</v>
      </c>
      <c r="I30" s="64">
        <v>1.53</v>
      </c>
      <c r="J30" s="64">
        <v>0.06</v>
      </c>
      <c r="K30" s="64">
        <v>239.97</v>
      </c>
      <c r="L30" s="64">
        <v>15.06</v>
      </c>
      <c r="M30" s="64">
        <v>83.75</v>
      </c>
      <c r="N30" s="64">
        <v>64.7</v>
      </c>
      <c r="O30" s="64">
        <v>0</v>
      </c>
      <c r="P30" s="64">
        <v>0.75</v>
      </c>
      <c r="Q30" s="64">
        <v>10.31</v>
      </c>
      <c r="R30" s="198"/>
      <c r="S30" s="198"/>
      <c r="T30" s="198"/>
      <c r="U30" s="198"/>
    </row>
    <row r="31" spans="1:21" s="12" customFormat="1" x14ac:dyDescent="0.25">
      <c r="A31" s="213" t="s">
        <v>653</v>
      </c>
      <c r="B31" s="64">
        <v>48.93</v>
      </c>
      <c r="C31" s="64">
        <v>58.3</v>
      </c>
      <c r="D31" s="64">
        <v>72.06</v>
      </c>
      <c r="E31" s="64">
        <v>0.14000000000000001</v>
      </c>
      <c r="F31" s="64">
        <v>2.73</v>
      </c>
      <c r="G31" s="64">
        <v>73.349999999999994</v>
      </c>
      <c r="H31" s="64">
        <v>23.92</v>
      </c>
      <c r="I31" s="64">
        <v>1.53</v>
      </c>
      <c r="J31" s="64">
        <v>0.1</v>
      </c>
      <c r="K31" s="64">
        <v>239.4</v>
      </c>
      <c r="L31" s="64">
        <v>15.04</v>
      </c>
      <c r="M31" s="64">
        <v>85.4</v>
      </c>
      <c r="N31" s="64">
        <v>65</v>
      </c>
      <c r="O31" s="64">
        <v>0</v>
      </c>
      <c r="P31" s="64">
        <v>0.75</v>
      </c>
      <c r="Q31" s="64">
        <v>10.42</v>
      </c>
      <c r="R31" s="198"/>
      <c r="S31" s="198"/>
      <c r="T31" s="198"/>
      <c r="U31" s="198"/>
    </row>
    <row r="32" spans="1:21" s="12" customFormat="1" x14ac:dyDescent="0.25">
      <c r="A32" s="213" t="s">
        <v>654</v>
      </c>
      <c r="B32" s="64">
        <v>52.38</v>
      </c>
      <c r="C32" s="64">
        <v>58.65</v>
      </c>
      <c r="D32" s="64">
        <v>75.02</v>
      </c>
      <c r="E32" s="64">
        <v>0.18</v>
      </c>
      <c r="F32" s="64">
        <v>3.05</v>
      </c>
      <c r="G32" s="64">
        <v>80.08</v>
      </c>
      <c r="H32" s="64">
        <v>23.92</v>
      </c>
      <c r="I32" s="64">
        <v>1.48</v>
      </c>
      <c r="J32" s="64">
        <v>0.12</v>
      </c>
      <c r="K32" s="64">
        <v>216.97</v>
      </c>
      <c r="L32" s="64">
        <v>15.22</v>
      </c>
      <c r="M32" s="64">
        <v>86.87</v>
      </c>
      <c r="N32" s="64">
        <v>64.5</v>
      </c>
      <c r="O32" s="64">
        <v>0</v>
      </c>
      <c r="P32" s="64">
        <v>0.74</v>
      </c>
      <c r="Q32" s="64">
        <v>10.53</v>
      </c>
      <c r="R32" s="198"/>
      <c r="S32" s="198"/>
      <c r="T32" s="198"/>
      <c r="U32" s="198"/>
    </row>
    <row r="33" spans="1:21" s="12" customFormat="1" x14ac:dyDescent="0.25">
      <c r="A33" s="213" t="s">
        <v>655</v>
      </c>
      <c r="B33" s="64">
        <v>56.88</v>
      </c>
      <c r="C33" s="64">
        <v>59.34</v>
      </c>
      <c r="D33" s="64">
        <v>79.010000000000005</v>
      </c>
      <c r="E33" s="64">
        <v>0.14000000000000001</v>
      </c>
      <c r="F33" s="64">
        <v>3.19</v>
      </c>
      <c r="G33" s="64">
        <v>80.08</v>
      </c>
      <c r="H33" s="64">
        <v>23.92</v>
      </c>
      <c r="I33" s="64">
        <v>1.44</v>
      </c>
      <c r="J33" s="64">
        <v>0.23</v>
      </c>
      <c r="K33" s="64">
        <v>211.39</v>
      </c>
      <c r="L33" s="64">
        <v>15.64</v>
      </c>
      <c r="M33" s="64">
        <v>82.75</v>
      </c>
      <c r="N33" s="64">
        <v>64.2</v>
      </c>
      <c r="O33" s="64">
        <v>0</v>
      </c>
      <c r="P33" s="64">
        <v>0.74</v>
      </c>
      <c r="Q33" s="64">
        <v>10.86</v>
      </c>
      <c r="R33" s="198"/>
      <c r="S33" s="198"/>
      <c r="T33" s="198"/>
      <c r="U33" s="198"/>
    </row>
    <row r="34" spans="1:21" s="12" customFormat="1" x14ac:dyDescent="0.25">
      <c r="A34" s="213" t="s">
        <v>656</v>
      </c>
      <c r="B34" s="64">
        <v>59.58</v>
      </c>
      <c r="C34" s="64">
        <v>60.12</v>
      </c>
      <c r="D34" s="64">
        <v>81.599999999999994</v>
      </c>
      <c r="E34" s="64">
        <v>0.09</v>
      </c>
      <c r="F34" s="64">
        <v>3.29</v>
      </c>
      <c r="G34" s="64">
        <v>80.08</v>
      </c>
      <c r="H34" s="64">
        <v>23.92</v>
      </c>
      <c r="I34" s="64">
        <v>1.53</v>
      </c>
      <c r="J34" s="64">
        <v>0.19</v>
      </c>
      <c r="K34" s="64">
        <v>153.6</v>
      </c>
      <c r="L34" s="64">
        <v>16.02</v>
      </c>
      <c r="M34" s="64">
        <v>79.180000000000007</v>
      </c>
      <c r="N34" s="64">
        <v>66</v>
      </c>
      <c r="O34" s="64">
        <v>0</v>
      </c>
      <c r="P34" s="64">
        <v>0.72</v>
      </c>
      <c r="Q34" s="64">
        <v>11.14</v>
      </c>
      <c r="R34" s="198"/>
      <c r="S34" s="198"/>
      <c r="T34" s="198"/>
      <c r="U34" s="198"/>
    </row>
    <row r="35" spans="1:21" s="12" customFormat="1" x14ac:dyDescent="0.25">
      <c r="A35" s="213" t="s">
        <v>657</v>
      </c>
      <c r="B35" s="64">
        <v>59.46</v>
      </c>
      <c r="C35" s="64">
        <v>60.74</v>
      </c>
      <c r="D35" s="64">
        <v>81.849999999999994</v>
      </c>
      <c r="E35" s="64">
        <v>0.13</v>
      </c>
      <c r="F35" s="64">
        <v>3.12</v>
      </c>
      <c r="G35" s="64">
        <v>81.64</v>
      </c>
      <c r="H35" s="64">
        <v>22.65</v>
      </c>
      <c r="I35" s="64">
        <v>1.51</v>
      </c>
      <c r="J35" s="64">
        <v>0.42</v>
      </c>
      <c r="K35" s="64">
        <v>184.2</v>
      </c>
      <c r="L35" s="64">
        <v>16</v>
      </c>
      <c r="M35" s="64">
        <v>78.16</v>
      </c>
      <c r="N35" s="64">
        <v>73.599999999999994</v>
      </c>
      <c r="O35" s="64">
        <v>0</v>
      </c>
      <c r="P35" s="64">
        <v>0.71</v>
      </c>
      <c r="Q35" s="64">
        <v>11.31</v>
      </c>
      <c r="R35" s="198"/>
      <c r="S35" s="198"/>
      <c r="T35" s="198"/>
      <c r="U35" s="198"/>
    </row>
    <row r="36" spans="1:21" s="12" customFormat="1" x14ac:dyDescent="0.25">
      <c r="A36" s="213" t="s">
        <v>658</v>
      </c>
      <c r="B36" s="64">
        <v>57.89</v>
      </c>
      <c r="C36" s="64">
        <v>60.66</v>
      </c>
      <c r="D36" s="64">
        <v>80.55</v>
      </c>
      <c r="E36" s="64">
        <v>0.24</v>
      </c>
      <c r="F36" s="64">
        <v>3.09</v>
      </c>
      <c r="G36" s="64">
        <v>82.05</v>
      </c>
      <c r="H36" s="64">
        <v>22.65</v>
      </c>
      <c r="I36" s="64">
        <v>1.54</v>
      </c>
      <c r="J36" s="64">
        <v>0.31</v>
      </c>
      <c r="K36" s="64">
        <v>185</v>
      </c>
      <c r="L36" s="64">
        <v>16.02</v>
      </c>
      <c r="M36" s="64">
        <v>79.599999999999994</v>
      </c>
      <c r="N36" s="64">
        <v>88.6</v>
      </c>
      <c r="O36" s="64">
        <v>0</v>
      </c>
      <c r="P36" s="64">
        <v>0.69</v>
      </c>
      <c r="Q36" s="64">
        <v>11.3</v>
      </c>
      <c r="R36" s="198"/>
      <c r="S36" s="198"/>
      <c r="T36" s="198"/>
      <c r="U36" s="198"/>
    </row>
    <row r="37" spans="1:21" s="12" customFormat="1" x14ac:dyDescent="0.25">
      <c r="A37" s="213" t="s">
        <v>659</v>
      </c>
      <c r="B37" s="64">
        <v>57.07</v>
      </c>
      <c r="C37" s="64">
        <v>60.8</v>
      </c>
      <c r="D37" s="64">
        <v>79.959999999999994</v>
      </c>
      <c r="E37" s="64">
        <v>0.2</v>
      </c>
      <c r="F37" s="64">
        <v>3</v>
      </c>
      <c r="G37" s="64">
        <v>82.05</v>
      </c>
      <c r="H37" s="64">
        <v>22.65</v>
      </c>
      <c r="I37" s="64">
        <v>1.51</v>
      </c>
      <c r="J37" s="64">
        <v>0.27</v>
      </c>
      <c r="K37" s="64">
        <v>170.35</v>
      </c>
      <c r="L37" s="64">
        <v>16.3</v>
      </c>
      <c r="M37" s="64">
        <v>79.44</v>
      </c>
      <c r="N37" s="64">
        <v>105.6</v>
      </c>
      <c r="O37" s="64">
        <v>0</v>
      </c>
      <c r="P37" s="64">
        <v>0.71</v>
      </c>
      <c r="Q37" s="64">
        <v>11.16</v>
      </c>
      <c r="R37" s="198"/>
      <c r="S37" s="198"/>
      <c r="T37" s="198"/>
      <c r="U37" s="198"/>
    </row>
    <row r="38" spans="1:21" s="12" customFormat="1" x14ac:dyDescent="0.25">
      <c r="A38" s="213" t="s">
        <v>660</v>
      </c>
      <c r="B38" s="64">
        <v>56.39</v>
      </c>
      <c r="C38" s="64">
        <v>61.19</v>
      </c>
      <c r="D38" s="64">
        <v>79.64</v>
      </c>
      <c r="E38" s="64">
        <v>0.16</v>
      </c>
      <c r="F38" s="64">
        <v>3.12</v>
      </c>
      <c r="G38" s="64">
        <v>82.05</v>
      </c>
      <c r="H38" s="64">
        <v>22.65</v>
      </c>
      <c r="I38" s="64">
        <v>1.51</v>
      </c>
      <c r="J38" s="64">
        <v>0.46</v>
      </c>
      <c r="K38" s="64">
        <v>177.16</v>
      </c>
      <c r="L38" s="64">
        <v>16.739999999999998</v>
      </c>
      <c r="M38" s="64">
        <v>77.75</v>
      </c>
      <c r="N38" s="64">
        <v>130.69999999999999</v>
      </c>
      <c r="O38" s="64">
        <v>0</v>
      </c>
      <c r="P38" s="64">
        <v>0.75</v>
      </c>
      <c r="Q38" s="64">
        <v>11.09</v>
      </c>
      <c r="R38" s="198"/>
      <c r="S38" s="198"/>
      <c r="T38" s="198"/>
      <c r="U38" s="198"/>
    </row>
    <row r="39" spans="1:21" s="12" customFormat="1" x14ac:dyDescent="0.25">
      <c r="A39" s="213" t="s">
        <v>661</v>
      </c>
      <c r="B39" s="64">
        <v>54.63</v>
      </c>
      <c r="C39" s="64">
        <v>61.58</v>
      </c>
      <c r="D39" s="64">
        <v>78.44</v>
      </c>
      <c r="E39" s="64">
        <v>0.27</v>
      </c>
      <c r="F39" s="64">
        <v>3.02</v>
      </c>
      <c r="G39" s="64">
        <v>64.61</v>
      </c>
      <c r="H39" s="64">
        <v>26.06</v>
      </c>
      <c r="I39" s="64">
        <v>1.45</v>
      </c>
      <c r="J39" s="64">
        <v>1.07</v>
      </c>
      <c r="K39" s="64">
        <v>151.49</v>
      </c>
      <c r="L39" s="64">
        <v>17.07</v>
      </c>
      <c r="M39" s="64">
        <v>75.89</v>
      </c>
      <c r="N39" s="64">
        <v>217.9</v>
      </c>
      <c r="O39" s="64">
        <v>0</v>
      </c>
      <c r="P39" s="64">
        <v>0.74</v>
      </c>
      <c r="Q39" s="64">
        <v>10.95</v>
      </c>
      <c r="R39" s="198"/>
      <c r="S39" s="198"/>
      <c r="T39" s="198"/>
      <c r="U39" s="198"/>
    </row>
    <row r="40" spans="1:21" s="12" customFormat="1" x14ac:dyDescent="0.25">
      <c r="A40" s="213" t="s">
        <v>662</v>
      </c>
      <c r="B40" s="64">
        <v>51.74</v>
      </c>
      <c r="C40" s="64">
        <v>61.58</v>
      </c>
      <c r="D40" s="64">
        <v>76.12</v>
      </c>
      <c r="E40" s="64">
        <v>0.18</v>
      </c>
      <c r="F40" s="64">
        <v>2.84</v>
      </c>
      <c r="G40" s="64">
        <v>59.94</v>
      </c>
      <c r="H40" s="64">
        <v>26.06</v>
      </c>
      <c r="I40" s="64">
        <v>1.44</v>
      </c>
      <c r="J40" s="64">
        <v>0.75</v>
      </c>
      <c r="K40" s="64">
        <v>158.16999999999999</v>
      </c>
      <c r="L40" s="64">
        <v>18.13</v>
      </c>
      <c r="M40" s="64">
        <v>70.94</v>
      </c>
      <c r="N40" s="64">
        <v>291.39999999999998</v>
      </c>
      <c r="O40" s="64">
        <v>0</v>
      </c>
      <c r="P40" s="64">
        <v>0.73</v>
      </c>
      <c r="Q40" s="64">
        <v>10.7</v>
      </c>
      <c r="R40" s="198"/>
      <c r="S40" s="198"/>
      <c r="T40" s="198"/>
      <c r="U40" s="198"/>
    </row>
    <row r="41" spans="1:21" s="12" customFormat="1" x14ac:dyDescent="0.25">
      <c r="A41" s="213" t="s">
        <v>663</v>
      </c>
      <c r="B41" s="64">
        <v>48.77</v>
      </c>
      <c r="C41" s="64">
        <v>61.59</v>
      </c>
      <c r="D41" s="64">
        <v>73.739999999999995</v>
      </c>
      <c r="E41" s="64">
        <v>0.16</v>
      </c>
      <c r="F41" s="64">
        <v>3.02</v>
      </c>
      <c r="G41" s="64">
        <v>59.94</v>
      </c>
      <c r="H41" s="64">
        <v>26.06</v>
      </c>
      <c r="I41" s="64">
        <v>1.45</v>
      </c>
      <c r="J41" s="64">
        <v>0.72</v>
      </c>
      <c r="K41" s="64">
        <v>152.82</v>
      </c>
      <c r="L41" s="64">
        <v>19.27</v>
      </c>
      <c r="M41" s="64">
        <v>64.37</v>
      </c>
      <c r="N41" s="64">
        <v>348.7</v>
      </c>
      <c r="O41" s="64">
        <v>0</v>
      </c>
      <c r="P41" s="64">
        <v>0.72</v>
      </c>
      <c r="Q41" s="64">
        <v>10.46</v>
      </c>
      <c r="R41" s="198"/>
      <c r="S41" s="198"/>
      <c r="T41" s="198"/>
      <c r="U41" s="198"/>
    </row>
    <row r="42" spans="1:21" s="12" customFormat="1" x14ac:dyDescent="0.25">
      <c r="A42" s="213" t="s">
        <v>664</v>
      </c>
      <c r="B42" s="64">
        <v>45.65</v>
      </c>
      <c r="C42" s="64">
        <v>61.7</v>
      </c>
      <c r="D42" s="64">
        <v>71.3</v>
      </c>
      <c r="E42" s="64">
        <v>0.21</v>
      </c>
      <c r="F42" s="64">
        <v>3.33</v>
      </c>
      <c r="G42" s="64">
        <v>59.94</v>
      </c>
      <c r="H42" s="64">
        <v>26.06</v>
      </c>
      <c r="I42" s="64">
        <v>1.45</v>
      </c>
      <c r="J42" s="64">
        <v>0.56999999999999995</v>
      </c>
      <c r="K42" s="64">
        <v>179.71</v>
      </c>
      <c r="L42" s="64">
        <v>19.850000000000001</v>
      </c>
      <c r="M42" s="64">
        <v>60.3</v>
      </c>
      <c r="N42" s="64">
        <v>405.4</v>
      </c>
      <c r="O42" s="64">
        <v>0</v>
      </c>
      <c r="P42" s="64">
        <v>0.7</v>
      </c>
      <c r="Q42" s="64">
        <v>10.25</v>
      </c>
      <c r="R42" s="198"/>
      <c r="S42" s="198"/>
      <c r="T42" s="198"/>
      <c r="U42" s="198"/>
    </row>
    <row r="43" spans="1:21" s="12" customFormat="1" x14ac:dyDescent="0.25">
      <c r="A43" s="213" t="s">
        <v>665</v>
      </c>
      <c r="B43" s="64">
        <v>41.71</v>
      </c>
      <c r="C43" s="64">
        <v>62.02</v>
      </c>
      <c r="D43" s="64">
        <v>68.319999999999993</v>
      </c>
      <c r="E43" s="64">
        <v>0.17</v>
      </c>
      <c r="F43" s="64">
        <v>3.05</v>
      </c>
      <c r="G43" s="64">
        <v>51.19</v>
      </c>
      <c r="H43" s="64">
        <v>22.31</v>
      </c>
      <c r="I43" s="64">
        <v>1.5</v>
      </c>
      <c r="J43" s="64">
        <v>0.32</v>
      </c>
      <c r="K43" s="64">
        <v>173.8</v>
      </c>
      <c r="L43" s="64">
        <v>20.64</v>
      </c>
      <c r="M43" s="64">
        <v>58.67</v>
      </c>
      <c r="N43" s="64">
        <v>457.5</v>
      </c>
      <c r="O43" s="64">
        <v>0</v>
      </c>
      <c r="P43" s="64">
        <v>0.68</v>
      </c>
      <c r="Q43" s="64">
        <v>9.9499999999999993</v>
      </c>
      <c r="R43" s="198"/>
      <c r="S43" s="198"/>
      <c r="T43" s="198"/>
      <c r="U43" s="198"/>
    </row>
    <row r="44" spans="1:21" s="12" customFormat="1" x14ac:dyDescent="0.25">
      <c r="A44" s="213" t="s">
        <v>666</v>
      </c>
      <c r="B44" s="64">
        <v>37.86</v>
      </c>
      <c r="C44" s="64">
        <v>62.13</v>
      </c>
      <c r="D44" s="64">
        <v>65.290000000000006</v>
      </c>
      <c r="E44" s="64">
        <v>0.22</v>
      </c>
      <c r="F44" s="64">
        <v>3.02</v>
      </c>
      <c r="G44" s="64">
        <v>48.85</v>
      </c>
      <c r="H44" s="64">
        <v>22.31</v>
      </c>
      <c r="I44" s="64">
        <v>1.51</v>
      </c>
      <c r="J44" s="64">
        <v>0.05</v>
      </c>
      <c r="K44" s="64">
        <v>213.8</v>
      </c>
      <c r="L44" s="64">
        <v>21.82</v>
      </c>
      <c r="M44" s="64">
        <v>54.83</v>
      </c>
      <c r="N44" s="64">
        <v>508</v>
      </c>
      <c r="O44" s="64">
        <v>0</v>
      </c>
      <c r="P44" s="64">
        <v>0.67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3" t="s">
        <v>667</v>
      </c>
      <c r="B45" s="64">
        <v>34.94</v>
      </c>
      <c r="C45" s="64">
        <v>61.52</v>
      </c>
      <c r="D45" s="64">
        <v>62.62</v>
      </c>
      <c r="E45" s="64">
        <v>0.12</v>
      </c>
      <c r="F45" s="64">
        <v>3.03</v>
      </c>
      <c r="G45" s="64">
        <v>48.85</v>
      </c>
      <c r="H45" s="64">
        <v>22.31</v>
      </c>
      <c r="I45" s="64">
        <v>1.5</v>
      </c>
      <c r="J45" s="64">
        <v>0.26</v>
      </c>
      <c r="K45" s="64">
        <v>332.21</v>
      </c>
      <c r="L45" s="64">
        <v>24.94</v>
      </c>
      <c r="M45" s="64">
        <v>46.73</v>
      </c>
      <c r="N45" s="64">
        <v>551.6</v>
      </c>
      <c r="O45" s="64">
        <v>0</v>
      </c>
      <c r="P45" s="64">
        <v>0.67</v>
      </c>
      <c r="Q45" s="64">
        <v>9.36</v>
      </c>
      <c r="R45" s="198"/>
      <c r="S45" s="198"/>
      <c r="T45" s="198"/>
      <c r="U45" s="198"/>
    </row>
    <row r="46" spans="1:21" s="12" customFormat="1" x14ac:dyDescent="0.25">
      <c r="A46" s="213" t="s">
        <v>668</v>
      </c>
      <c r="B46" s="64">
        <v>31.86</v>
      </c>
      <c r="C46" s="64">
        <v>62.37</v>
      </c>
      <c r="D46" s="64">
        <v>60.62</v>
      </c>
      <c r="E46" s="64">
        <v>0.18</v>
      </c>
      <c r="F46" s="64">
        <v>3.02</v>
      </c>
      <c r="G46" s="64">
        <v>48.85</v>
      </c>
      <c r="H46" s="64">
        <v>22.31</v>
      </c>
      <c r="I46" s="64">
        <v>1.48</v>
      </c>
      <c r="J46" s="64">
        <v>0.1</v>
      </c>
      <c r="K46" s="64">
        <v>343.08</v>
      </c>
      <c r="L46" s="64">
        <v>25.07</v>
      </c>
      <c r="M46" s="64">
        <v>45.97</v>
      </c>
      <c r="N46" s="64">
        <v>596.29999999999995</v>
      </c>
      <c r="O46" s="64">
        <v>0</v>
      </c>
      <c r="P46" s="64">
        <v>0.66</v>
      </c>
      <c r="Q46" s="64">
        <v>9.17</v>
      </c>
      <c r="R46" s="198"/>
      <c r="S46" s="198"/>
      <c r="T46" s="198"/>
      <c r="U46" s="198"/>
    </row>
    <row r="47" spans="1:21" s="12" customFormat="1" x14ac:dyDescent="0.25">
      <c r="A47" s="213" t="s">
        <v>669</v>
      </c>
      <c r="B47" s="64">
        <v>28.74</v>
      </c>
      <c r="C47" s="64">
        <v>63.37</v>
      </c>
      <c r="D47" s="64">
        <v>58.67</v>
      </c>
      <c r="E47" s="64">
        <v>0.18</v>
      </c>
      <c r="F47" s="64">
        <v>3.18</v>
      </c>
      <c r="G47" s="64">
        <v>45.83</v>
      </c>
      <c r="H47" s="64">
        <v>22.03</v>
      </c>
      <c r="I47" s="64">
        <v>1.43</v>
      </c>
      <c r="J47" s="64">
        <v>0.36</v>
      </c>
      <c r="K47" s="64">
        <v>338.81</v>
      </c>
      <c r="L47" s="64">
        <v>26.47</v>
      </c>
      <c r="M47" s="64">
        <v>43.23</v>
      </c>
      <c r="N47" s="64">
        <v>634.5</v>
      </c>
      <c r="O47" s="64">
        <v>0</v>
      </c>
      <c r="P47" s="64">
        <v>0.66</v>
      </c>
      <c r="Q47" s="64">
        <v>8.98</v>
      </c>
      <c r="R47" s="198"/>
      <c r="S47" s="198"/>
      <c r="T47" s="198"/>
      <c r="U47" s="198"/>
    </row>
    <row r="48" spans="1:21" s="12" customFormat="1" x14ac:dyDescent="0.25">
      <c r="A48" s="213" t="s">
        <v>670</v>
      </c>
      <c r="B48" s="64">
        <v>26.39</v>
      </c>
      <c r="C48" s="64">
        <v>64.45</v>
      </c>
      <c r="D48" s="64">
        <v>57.38</v>
      </c>
      <c r="E48" s="64">
        <v>0.17</v>
      </c>
      <c r="F48" s="64">
        <v>3.11</v>
      </c>
      <c r="G48" s="64">
        <v>45.02</v>
      </c>
      <c r="H48" s="64">
        <v>22.03</v>
      </c>
      <c r="I48" s="64">
        <v>1.49</v>
      </c>
      <c r="J48" s="64">
        <v>0.32</v>
      </c>
      <c r="K48" s="64">
        <v>316.52999999999997</v>
      </c>
      <c r="L48" s="64">
        <v>28.66</v>
      </c>
      <c r="M48" s="64">
        <v>38.5</v>
      </c>
      <c r="N48" s="64">
        <v>670.4</v>
      </c>
      <c r="O48" s="64">
        <v>0</v>
      </c>
      <c r="P48" s="64">
        <v>0.67</v>
      </c>
      <c r="Q48" s="64">
        <v>8.81</v>
      </c>
      <c r="R48" s="198"/>
      <c r="S48" s="198"/>
      <c r="T48" s="198"/>
      <c r="U48" s="198"/>
    </row>
    <row r="49" spans="1:21" s="12" customFormat="1" x14ac:dyDescent="0.25">
      <c r="A49" s="213" t="s">
        <v>671</v>
      </c>
      <c r="B49" s="64">
        <v>23.43</v>
      </c>
      <c r="C49" s="64">
        <v>65.849999999999994</v>
      </c>
      <c r="D49" s="64">
        <v>55.78</v>
      </c>
      <c r="E49" s="64">
        <v>0.21</v>
      </c>
      <c r="F49" s="64">
        <v>3.22</v>
      </c>
      <c r="G49" s="64">
        <v>45.02</v>
      </c>
      <c r="H49" s="64">
        <v>22.03</v>
      </c>
      <c r="I49" s="64">
        <v>1.52</v>
      </c>
      <c r="J49" s="64">
        <v>0.3</v>
      </c>
      <c r="K49" s="64">
        <v>326.22000000000003</v>
      </c>
      <c r="L49" s="64">
        <v>29.82</v>
      </c>
      <c r="M49" s="64">
        <v>36.520000000000003</v>
      </c>
      <c r="N49" s="64">
        <v>706.8</v>
      </c>
      <c r="O49" s="64">
        <v>0</v>
      </c>
      <c r="P49" s="64">
        <v>0.67</v>
      </c>
      <c r="Q49" s="64">
        <v>8.7100000000000009</v>
      </c>
      <c r="R49" s="198"/>
      <c r="S49" s="198"/>
      <c r="T49" s="198"/>
      <c r="U49" s="198"/>
    </row>
    <row r="50" spans="1:21" s="12" customFormat="1" x14ac:dyDescent="0.25">
      <c r="A50" s="213" t="s">
        <v>672</v>
      </c>
      <c r="B50" s="64">
        <v>19.61</v>
      </c>
      <c r="C50" s="64">
        <v>67.400000000000006</v>
      </c>
      <c r="D50" s="64">
        <v>53.57</v>
      </c>
      <c r="E50" s="64">
        <v>0.16</v>
      </c>
      <c r="F50" s="64">
        <v>3.39</v>
      </c>
      <c r="G50" s="64">
        <v>45.02</v>
      </c>
      <c r="H50" s="64">
        <v>22.03</v>
      </c>
      <c r="I50" s="64">
        <v>1.42</v>
      </c>
      <c r="J50" s="64">
        <v>0.33</v>
      </c>
      <c r="K50" s="64">
        <v>329.13</v>
      </c>
      <c r="L50" s="64">
        <v>29.74</v>
      </c>
      <c r="M50" s="64">
        <v>37.82</v>
      </c>
      <c r="N50" s="64">
        <v>732.8</v>
      </c>
      <c r="O50" s="64">
        <v>0</v>
      </c>
      <c r="P50" s="64">
        <v>0.65</v>
      </c>
      <c r="Q50" s="64">
        <v>8.5500000000000007</v>
      </c>
      <c r="R50" s="198"/>
      <c r="S50" s="198"/>
      <c r="T50" s="198"/>
      <c r="U50" s="198"/>
    </row>
    <row r="51" spans="1:21" s="12" customFormat="1" x14ac:dyDescent="0.25">
      <c r="A51" s="213" t="s">
        <v>673</v>
      </c>
      <c r="B51" s="64">
        <v>13.54</v>
      </c>
      <c r="C51" s="64">
        <v>71.63</v>
      </c>
      <c r="D51" s="64">
        <v>51.03</v>
      </c>
      <c r="E51" s="64">
        <v>0.21</v>
      </c>
      <c r="F51" s="64">
        <v>4.26</v>
      </c>
      <c r="G51" s="64">
        <v>34.840000000000003</v>
      </c>
      <c r="H51" s="64">
        <v>19.88</v>
      </c>
      <c r="I51" s="64">
        <v>1.46</v>
      </c>
      <c r="J51" s="64">
        <v>0.22</v>
      </c>
      <c r="K51" s="64">
        <v>347.15</v>
      </c>
      <c r="L51" s="64">
        <v>28.56</v>
      </c>
      <c r="M51" s="64">
        <v>41.34</v>
      </c>
      <c r="N51" s="64">
        <v>751</v>
      </c>
      <c r="O51" s="64">
        <v>0</v>
      </c>
      <c r="P51" s="64">
        <v>0.63</v>
      </c>
      <c r="Q51" s="64">
        <v>8.43</v>
      </c>
      <c r="R51" s="198"/>
      <c r="S51" s="198"/>
      <c r="T51" s="198"/>
      <c r="U51" s="198"/>
    </row>
    <row r="52" spans="1:21" s="12" customFormat="1" x14ac:dyDescent="0.25">
      <c r="A52" s="213" t="s">
        <v>674</v>
      </c>
      <c r="B52" s="64">
        <v>7.23</v>
      </c>
      <c r="C52" s="64">
        <v>73.069999999999993</v>
      </c>
      <c r="D52" s="64">
        <v>46.77</v>
      </c>
      <c r="E52" s="64">
        <v>0.21</v>
      </c>
      <c r="F52" s="64">
        <v>4.54</v>
      </c>
      <c r="G52" s="64">
        <v>32.119999999999997</v>
      </c>
      <c r="H52" s="64">
        <v>19.88</v>
      </c>
      <c r="I52" s="64">
        <v>1.54</v>
      </c>
      <c r="J52" s="64">
        <v>0.28000000000000003</v>
      </c>
      <c r="K52" s="64">
        <v>323.27999999999997</v>
      </c>
      <c r="L52" s="64">
        <v>27.68</v>
      </c>
      <c r="M52" s="64">
        <v>43.79</v>
      </c>
      <c r="N52" s="64">
        <v>766.9</v>
      </c>
      <c r="O52" s="64">
        <v>0</v>
      </c>
      <c r="P52" s="64">
        <v>0.62</v>
      </c>
      <c r="Q52" s="64">
        <v>8.1</v>
      </c>
      <c r="R52" s="198"/>
      <c r="S52" s="198"/>
      <c r="T52" s="198"/>
      <c r="U52" s="198"/>
    </row>
    <row r="53" spans="1:21" s="12" customFormat="1" x14ac:dyDescent="0.25">
      <c r="A53" s="213" t="s">
        <v>675</v>
      </c>
      <c r="B53" s="64">
        <v>4.1500000000000004</v>
      </c>
      <c r="C53" s="64">
        <v>69.45</v>
      </c>
      <c r="D53" s="64">
        <v>42.3</v>
      </c>
      <c r="E53" s="64">
        <v>0.23</v>
      </c>
      <c r="F53" s="64">
        <v>5.08</v>
      </c>
      <c r="G53" s="64">
        <v>32.119999999999997</v>
      </c>
      <c r="H53" s="64">
        <v>19.88</v>
      </c>
      <c r="I53" s="64">
        <v>1.43</v>
      </c>
      <c r="J53" s="64">
        <v>0.28000000000000003</v>
      </c>
      <c r="K53" s="64">
        <v>336.39</v>
      </c>
      <c r="L53" s="64">
        <v>29.15</v>
      </c>
      <c r="M53" s="64">
        <v>39.979999999999997</v>
      </c>
      <c r="N53" s="64">
        <v>766</v>
      </c>
      <c r="O53" s="64">
        <v>0</v>
      </c>
      <c r="P53" s="64">
        <v>0.63</v>
      </c>
      <c r="Q53" s="64">
        <v>7.25</v>
      </c>
      <c r="R53" s="198"/>
      <c r="S53" s="198"/>
      <c r="T53" s="198"/>
      <c r="U53" s="198"/>
    </row>
    <row r="54" spans="1:21" s="12" customFormat="1" x14ac:dyDescent="0.25">
      <c r="A54" s="213" t="s">
        <v>676</v>
      </c>
      <c r="B54" s="64">
        <v>3.03</v>
      </c>
      <c r="C54" s="64">
        <v>66.09</v>
      </c>
      <c r="D54" s="64">
        <v>39.549999999999997</v>
      </c>
      <c r="E54" s="64">
        <v>0.22</v>
      </c>
      <c r="F54" s="64">
        <v>5.69</v>
      </c>
      <c r="G54" s="64">
        <v>32.119999999999997</v>
      </c>
      <c r="H54" s="64">
        <v>19.88</v>
      </c>
      <c r="I54" s="64">
        <v>1.52</v>
      </c>
      <c r="J54" s="64">
        <v>0.28999999999999998</v>
      </c>
      <c r="K54" s="64">
        <v>343.63</v>
      </c>
      <c r="L54" s="64">
        <v>30.91</v>
      </c>
      <c r="M54" s="64">
        <v>35.67</v>
      </c>
      <c r="N54" s="64">
        <v>786</v>
      </c>
      <c r="O54" s="64">
        <v>0</v>
      </c>
      <c r="P54" s="64">
        <v>0.62</v>
      </c>
      <c r="Q54" s="64">
        <v>6.7</v>
      </c>
      <c r="R54" s="198"/>
      <c r="S54" s="198"/>
      <c r="T54" s="198"/>
      <c r="U54" s="198"/>
    </row>
    <row r="55" spans="1:21" s="12" customFormat="1" x14ac:dyDescent="0.25">
      <c r="A55" s="213" t="s">
        <v>677</v>
      </c>
      <c r="B55" s="64">
        <v>2.69</v>
      </c>
      <c r="C55" s="64">
        <v>64.23</v>
      </c>
      <c r="D55" s="64">
        <v>38.25</v>
      </c>
      <c r="E55" s="64">
        <v>0.22</v>
      </c>
      <c r="F55" s="64">
        <v>6.03</v>
      </c>
      <c r="G55" s="64">
        <v>62.12</v>
      </c>
      <c r="H55" s="64">
        <v>23.16</v>
      </c>
      <c r="I55" s="64">
        <v>1.5</v>
      </c>
      <c r="J55" s="64">
        <v>0.57999999999999996</v>
      </c>
      <c r="K55" s="64">
        <v>313.89999999999998</v>
      </c>
      <c r="L55" s="64">
        <v>31.66</v>
      </c>
      <c r="M55" s="64">
        <v>34</v>
      </c>
      <c r="N55" s="64">
        <v>793.5</v>
      </c>
      <c r="O55" s="64">
        <v>0</v>
      </c>
      <c r="P55" s="64">
        <v>0.6</v>
      </c>
      <c r="Q55" s="64">
        <v>6.42</v>
      </c>
      <c r="R55" s="198"/>
      <c r="S55" s="198"/>
      <c r="T55" s="198"/>
      <c r="U55" s="198"/>
    </row>
    <row r="56" spans="1:21" s="12" customFormat="1" x14ac:dyDescent="0.25">
      <c r="A56" s="213" t="s">
        <v>678</v>
      </c>
      <c r="B56" s="64">
        <v>2.39</v>
      </c>
      <c r="C56" s="64">
        <v>59.78</v>
      </c>
      <c r="D56" s="64">
        <v>35.549999999999997</v>
      </c>
      <c r="E56" s="64">
        <v>0.11</v>
      </c>
      <c r="F56" s="64">
        <v>7.29</v>
      </c>
      <c r="G56" s="64">
        <v>70.150000000000006</v>
      </c>
      <c r="H56" s="64">
        <v>23.16</v>
      </c>
      <c r="I56" s="64">
        <v>1.5</v>
      </c>
      <c r="J56" s="64">
        <v>0.35</v>
      </c>
      <c r="K56" s="64">
        <v>341.7</v>
      </c>
      <c r="L56" s="64">
        <v>30.92</v>
      </c>
      <c r="M56" s="64">
        <v>34.450000000000003</v>
      </c>
      <c r="N56" s="64">
        <v>796.1</v>
      </c>
      <c r="O56" s="64">
        <v>0</v>
      </c>
      <c r="P56" s="64">
        <v>0.56000000000000005</v>
      </c>
      <c r="Q56" s="64">
        <v>6.12</v>
      </c>
      <c r="R56" s="198"/>
      <c r="S56" s="198"/>
      <c r="T56" s="198"/>
      <c r="U56" s="198"/>
    </row>
    <row r="57" spans="1:21" s="12" customFormat="1" x14ac:dyDescent="0.25">
      <c r="A57" s="213" t="s">
        <v>679</v>
      </c>
      <c r="B57" s="64">
        <v>1.91</v>
      </c>
      <c r="C57" s="64">
        <v>56.36</v>
      </c>
      <c r="D57" s="64">
        <v>33.28</v>
      </c>
      <c r="E57" s="64">
        <v>0.2</v>
      </c>
      <c r="F57" s="64">
        <v>10.53</v>
      </c>
      <c r="G57" s="64">
        <v>70.150000000000006</v>
      </c>
      <c r="H57" s="64">
        <v>23.16</v>
      </c>
      <c r="I57" s="64">
        <v>1.55</v>
      </c>
      <c r="J57" s="64">
        <v>0.03</v>
      </c>
      <c r="K57" s="64">
        <v>182.08</v>
      </c>
      <c r="L57" s="64">
        <v>28.77</v>
      </c>
      <c r="M57" s="64">
        <v>36.409999999999997</v>
      </c>
      <c r="N57" s="64">
        <v>807.5</v>
      </c>
      <c r="O57" s="64">
        <v>0</v>
      </c>
      <c r="P57" s="64">
        <v>0.51</v>
      </c>
      <c r="Q57" s="64">
        <v>5.46</v>
      </c>
      <c r="R57" s="198"/>
      <c r="S57" s="198"/>
      <c r="T57" s="198"/>
      <c r="U57" s="198"/>
    </row>
    <row r="58" spans="1:21" s="12" customFormat="1" x14ac:dyDescent="0.25">
      <c r="A58" s="213" t="s">
        <v>680</v>
      </c>
      <c r="B58" s="64">
        <v>1.4</v>
      </c>
      <c r="C58" s="64">
        <v>50.24</v>
      </c>
      <c r="D58" s="64">
        <v>29.49</v>
      </c>
      <c r="E58" s="64">
        <v>0.28000000000000003</v>
      </c>
      <c r="F58" s="64">
        <v>16.96</v>
      </c>
      <c r="G58" s="64">
        <v>70.150000000000006</v>
      </c>
      <c r="H58" s="64">
        <v>23.16</v>
      </c>
      <c r="I58" s="64">
        <v>1.54</v>
      </c>
      <c r="J58" s="64">
        <v>0.31</v>
      </c>
      <c r="K58" s="64">
        <v>350.96</v>
      </c>
      <c r="L58" s="64">
        <v>29.24</v>
      </c>
      <c r="M58" s="64">
        <v>35.94</v>
      </c>
      <c r="N58" s="64">
        <v>784.6</v>
      </c>
      <c r="O58" s="64">
        <v>0</v>
      </c>
      <c r="P58" s="64">
        <v>0.42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3" t="s">
        <v>681</v>
      </c>
      <c r="B59" s="64">
        <v>1.33</v>
      </c>
      <c r="C59" s="64">
        <v>50.96</v>
      </c>
      <c r="D59" s="64">
        <v>29.84</v>
      </c>
      <c r="E59" s="64">
        <v>0.26</v>
      </c>
      <c r="F59" s="64">
        <v>11.97</v>
      </c>
      <c r="G59" s="64">
        <v>47.64</v>
      </c>
      <c r="H59" s="64">
        <v>20.350000000000001</v>
      </c>
      <c r="I59" s="64">
        <v>1.48</v>
      </c>
      <c r="J59" s="64">
        <v>0.34</v>
      </c>
      <c r="K59" s="64">
        <v>0.37</v>
      </c>
      <c r="L59" s="64">
        <v>29.48</v>
      </c>
      <c r="M59" s="64">
        <v>36.56</v>
      </c>
      <c r="N59" s="64">
        <v>750</v>
      </c>
      <c r="O59" s="64">
        <v>0</v>
      </c>
      <c r="P59" s="64">
        <v>0.5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3" t="s">
        <v>682</v>
      </c>
      <c r="B60" s="64">
        <v>1.45</v>
      </c>
      <c r="C60" s="64">
        <v>54.76</v>
      </c>
      <c r="D60" s="64">
        <v>32.03</v>
      </c>
      <c r="E60" s="64">
        <v>0.32</v>
      </c>
      <c r="F60" s="64">
        <v>9.94</v>
      </c>
      <c r="G60" s="64">
        <v>41.61</v>
      </c>
      <c r="H60" s="64">
        <v>20.350000000000001</v>
      </c>
      <c r="I60" s="64">
        <v>1.49</v>
      </c>
      <c r="J60" s="64">
        <v>0.28000000000000003</v>
      </c>
      <c r="K60" s="64">
        <v>358.56</v>
      </c>
      <c r="L60" s="64">
        <v>29.08</v>
      </c>
      <c r="M60" s="64">
        <v>36.74</v>
      </c>
      <c r="N60" s="64">
        <v>748.9</v>
      </c>
      <c r="O60" s="64">
        <v>0</v>
      </c>
      <c r="P60" s="64">
        <v>0.6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3" t="s">
        <v>683</v>
      </c>
      <c r="B61" s="64">
        <v>1.63</v>
      </c>
      <c r="C61" s="64">
        <v>57.2</v>
      </c>
      <c r="D61" s="64">
        <v>33.520000000000003</v>
      </c>
      <c r="E61" s="64">
        <v>0.33</v>
      </c>
      <c r="F61" s="64">
        <v>9.11</v>
      </c>
      <c r="G61" s="64">
        <v>41.61</v>
      </c>
      <c r="H61" s="64">
        <v>20.350000000000001</v>
      </c>
      <c r="I61" s="64">
        <v>1.48</v>
      </c>
      <c r="J61" s="64">
        <v>0.1</v>
      </c>
      <c r="K61" s="64">
        <v>15.97</v>
      </c>
      <c r="L61" s="64">
        <v>28.98</v>
      </c>
      <c r="M61" s="64">
        <v>34.979999999999997</v>
      </c>
      <c r="N61" s="64">
        <v>741.1</v>
      </c>
      <c r="O61" s="64">
        <v>0</v>
      </c>
      <c r="P61" s="64">
        <v>0.62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3" t="s">
        <v>684</v>
      </c>
      <c r="B62" s="64">
        <v>1.52</v>
      </c>
      <c r="C62" s="64">
        <v>56.75</v>
      </c>
      <c r="D62" s="64">
        <v>33.19</v>
      </c>
      <c r="E62" s="64">
        <v>0.27</v>
      </c>
      <c r="F62" s="64">
        <v>8.4499999999999993</v>
      </c>
      <c r="G62" s="64">
        <v>41.61</v>
      </c>
      <c r="H62" s="64">
        <v>20.350000000000001</v>
      </c>
      <c r="I62" s="64">
        <v>1.49</v>
      </c>
      <c r="J62" s="64">
        <v>0.25</v>
      </c>
      <c r="K62" s="64">
        <v>346.41</v>
      </c>
      <c r="L62" s="64">
        <v>30.11</v>
      </c>
      <c r="M62" s="64">
        <v>32.93</v>
      </c>
      <c r="N62" s="64">
        <v>725.1</v>
      </c>
      <c r="O62" s="64">
        <v>0</v>
      </c>
      <c r="P62" s="64">
        <v>0.65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685</v>
      </c>
      <c r="B63" s="64">
        <v>1.63</v>
      </c>
      <c r="C63" s="64">
        <v>56.2</v>
      </c>
      <c r="D63" s="64">
        <v>32.97</v>
      </c>
      <c r="E63" s="64">
        <v>0.4</v>
      </c>
      <c r="F63" s="64">
        <v>7.69</v>
      </c>
      <c r="G63" s="64">
        <v>55.29</v>
      </c>
      <c r="H63" s="64">
        <v>21.15</v>
      </c>
      <c r="I63" s="64">
        <v>1.46</v>
      </c>
      <c r="J63" s="64">
        <v>0.32</v>
      </c>
      <c r="K63" s="64">
        <v>344.27</v>
      </c>
      <c r="L63" s="64">
        <v>29.43</v>
      </c>
      <c r="M63" s="64">
        <v>33.15</v>
      </c>
      <c r="N63" s="64">
        <v>694.3</v>
      </c>
      <c r="O63" s="64">
        <v>0</v>
      </c>
      <c r="P63" s="64">
        <v>0.64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3" t="s">
        <v>686</v>
      </c>
      <c r="B64" s="64">
        <v>1.64</v>
      </c>
      <c r="C64" s="64">
        <v>55.4</v>
      </c>
      <c r="D64" s="64">
        <v>32.54</v>
      </c>
      <c r="E64" s="64">
        <v>0.24</v>
      </c>
      <c r="F64" s="64">
        <v>7.24</v>
      </c>
      <c r="G64" s="64">
        <v>58.95</v>
      </c>
      <c r="H64" s="64">
        <v>21.15</v>
      </c>
      <c r="I64" s="64">
        <v>1.51</v>
      </c>
      <c r="J64" s="64">
        <v>0.28000000000000003</v>
      </c>
      <c r="K64" s="64">
        <v>353.17</v>
      </c>
      <c r="L64" s="64">
        <v>29.8</v>
      </c>
      <c r="M64" s="64">
        <v>30.92</v>
      </c>
      <c r="N64" s="64">
        <v>607.4</v>
      </c>
      <c r="O64" s="64">
        <v>0</v>
      </c>
      <c r="P64" s="64">
        <v>0.61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3" t="s">
        <v>687</v>
      </c>
      <c r="B65" s="64">
        <v>1.73</v>
      </c>
      <c r="C65" s="64">
        <v>54.76</v>
      </c>
      <c r="D65" s="64">
        <v>32.26</v>
      </c>
      <c r="E65" s="64">
        <v>0.27</v>
      </c>
      <c r="F65" s="64">
        <v>6.56</v>
      </c>
      <c r="G65" s="64">
        <v>58.95</v>
      </c>
      <c r="H65" s="64">
        <v>21.15</v>
      </c>
      <c r="I65" s="64">
        <v>1.53</v>
      </c>
      <c r="J65" s="64">
        <v>0.33</v>
      </c>
      <c r="K65" s="64">
        <v>341.64</v>
      </c>
      <c r="L65" s="64">
        <v>30.09</v>
      </c>
      <c r="M65" s="64">
        <v>30.54</v>
      </c>
      <c r="N65" s="64">
        <v>621.29999999999995</v>
      </c>
      <c r="O65" s="64">
        <v>0</v>
      </c>
      <c r="P65" s="64">
        <v>0.57999999999999996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3" t="s">
        <v>688</v>
      </c>
      <c r="B66" s="64">
        <v>1.76</v>
      </c>
      <c r="C66" s="64">
        <v>54.49</v>
      </c>
      <c r="D66" s="64">
        <v>32.130000000000003</v>
      </c>
      <c r="E66" s="64">
        <v>0.28000000000000003</v>
      </c>
      <c r="F66" s="64">
        <v>6.57</v>
      </c>
      <c r="G66" s="64">
        <v>58.95</v>
      </c>
      <c r="H66" s="64">
        <v>21.15</v>
      </c>
      <c r="I66" s="64">
        <v>1.47</v>
      </c>
      <c r="J66" s="64">
        <v>0.19</v>
      </c>
      <c r="K66" s="64">
        <v>344.02</v>
      </c>
      <c r="L66" s="64">
        <v>29.55</v>
      </c>
      <c r="M66" s="64">
        <v>33.22</v>
      </c>
      <c r="N66" s="64">
        <v>571.1</v>
      </c>
      <c r="O66" s="64">
        <v>0</v>
      </c>
      <c r="P66" s="64">
        <v>0.56000000000000005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3" t="s">
        <v>689</v>
      </c>
      <c r="B67" s="64">
        <v>1.91</v>
      </c>
      <c r="C67" s="64">
        <v>55.68</v>
      </c>
      <c r="D67" s="64">
        <v>32.909999999999997</v>
      </c>
      <c r="E67" s="64">
        <v>0.31</v>
      </c>
      <c r="F67" s="64">
        <v>6.54</v>
      </c>
      <c r="G67" s="64">
        <v>53.27</v>
      </c>
      <c r="H67" s="64">
        <v>22.12</v>
      </c>
      <c r="I67" s="64">
        <v>1.53</v>
      </c>
      <c r="J67" s="64">
        <v>0.16</v>
      </c>
      <c r="K67" s="64">
        <v>342.19</v>
      </c>
      <c r="L67" s="64">
        <v>29.68</v>
      </c>
      <c r="M67" s="64">
        <v>33.17</v>
      </c>
      <c r="N67" s="64">
        <v>392.6</v>
      </c>
      <c r="O67" s="64">
        <v>0</v>
      </c>
      <c r="P67" s="64">
        <v>0.56999999999999995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3" t="s">
        <v>690</v>
      </c>
      <c r="B68" s="64">
        <v>1.69</v>
      </c>
      <c r="C68" s="64">
        <v>55.55</v>
      </c>
      <c r="D68" s="64">
        <v>32.659999999999997</v>
      </c>
      <c r="E68" s="64">
        <v>0.31</v>
      </c>
      <c r="F68" s="64">
        <v>7.41</v>
      </c>
      <c r="G68" s="64">
        <v>51.75</v>
      </c>
      <c r="H68" s="64">
        <v>22.12</v>
      </c>
      <c r="I68" s="64">
        <v>1.48</v>
      </c>
      <c r="J68" s="64">
        <v>0.08</v>
      </c>
      <c r="K68" s="64">
        <v>206.06</v>
      </c>
      <c r="L68" s="64">
        <v>28.93</v>
      </c>
      <c r="M68" s="64">
        <v>34.5</v>
      </c>
      <c r="N68" s="64">
        <v>320.5</v>
      </c>
      <c r="O68" s="64">
        <v>0</v>
      </c>
      <c r="P68" s="64">
        <v>0.59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3" t="s">
        <v>691</v>
      </c>
      <c r="B69" s="64">
        <v>1.51</v>
      </c>
      <c r="C69" s="64">
        <v>55.3</v>
      </c>
      <c r="D69" s="64">
        <v>32.380000000000003</v>
      </c>
      <c r="E69" s="64">
        <v>0.28000000000000003</v>
      </c>
      <c r="F69" s="64">
        <v>8.01</v>
      </c>
      <c r="G69" s="64">
        <v>51.75</v>
      </c>
      <c r="H69" s="64">
        <v>22.12</v>
      </c>
      <c r="I69" s="64">
        <v>1.5</v>
      </c>
      <c r="J69" s="64">
        <v>0.11</v>
      </c>
      <c r="K69" s="64">
        <v>17.829999999999998</v>
      </c>
      <c r="L69" s="64">
        <v>28.68</v>
      </c>
      <c r="M69" s="64">
        <v>36.619999999999997</v>
      </c>
      <c r="N69" s="64">
        <v>338.1</v>
      </c>
      <c r="O69" s="64">
        <v>0</v>
      </c>
      <c r="P69" s="64">
        <v>0.61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3" t="s">
        <v>692</v>
      </c>
      <c r="B70" s="64">
        <v>1.48</v>
      </c>
      <c r="C70" s="64">
        <v>55.3</v>
      </c>
      <c r="D70" s="64">
        <v>32.35</v>
      </c>
      <c r="E70" s="64">
        <v>0.26</v>
      </c>
      <c r="F70" s="64">
        <v>7.21</v>
      </c>
      <c r="G70" s="64">
        <v>51.75</v>
      </c>
      <c r="H70" s="64">
        <v>22.12</v>
      </c>
      <c r="I70" s="64">
        <v>1.5</v>
      </c>
      <c r="J70" s="64">
        <v>0.18</v>
      </c>
      <c r="K70" s="64">
        <v>347.87</v>
      </c>
      <c r="L70" s="64">
        <v>28.5</v>
      </c>
      <c r="M70" s="64">
        <v>38.229999999999997</v>
      </c>
      <c r="N70" s="64">
        <v>228.1</v>
      </c>
      <c r="O70" s="64">
        <v>0</v>
      </c>
      <c r="P70" s="64">
        <v>0.6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3" t="s">
        <v>693</v>
      </c>
      <c r="B71" s="64">
        <v>2.66</v>
      </c>
      <c r="C71" s="64">
        <v>54.4</v>
      </c>
      <c r="D71" s="64">
        <v>32.799999999999997</v>
      </c>
      <c r="E71" s="64">
        <v>0.17</v>
      </c>
      <c r="F71" s="64">
        <v>5.34</v>
      </c>
      <c r="G71" s="64">
        <v>50.51</v>
      </c>
      <c r="H71" s="64">
        <v>15.67</v>
      </c>
      <c r="I71" s="64">
        <v>1.53</v>
      </c>
      <c r="J71" s="64">
        <v>0.17</v>
      </c>
      <c r="K71" s="64">
        <v>5.27</v>
      </c>
      <c r="L71" s="64">
        <v>28.5</v>
      </c>
      <c r="M71" s="64">
        <v>37.42</v>
      </c>
      <c r="N71" s="64">
        <v>187.7</v>
      </c>
      <c r="O71" s="64">
        <v>0</v>
      </c>
      <c r="P71" s="64">
        <v>0.59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3" t="s">
        <v>694</v>
      </c>
      <c r="B72" s="64">
        <v>5.4</v>
      </c>
      <c r="C72" s="64">
        <v>51.71</v>
      </c>
      <c r="D72" s="64">
        <v>33.51</v>
      </c>
      <c r="E72" s="64">
        <v>0.19</v>
      </c>
      <c r="F72" s="64">
        <v>4.8899999999999997</v>
      </c>
      <c r="G72" s="64">
        <v>50.18</v>
      </c>
      <c r="H72" s="64">
        <v>15.67</v>
      </c>
      <c r="I72" s="64">
        <v>1.47</v>
      </c>
      <c r="J72" s="64">
        <v>0.13</v>
      </c>
      <c r="K72" s="64">
        <v>22.73</v>
      </c>
      <c r="L72" s="64">
        <v>28.32</v>
      </c>
      <c r="M72" s="64">
        <v>38.630000000000003</v>
      </c>
      <c r="N72" s="64">
        <v>171</v>
      </c>
      <c r="O72" s="64">
        <v>0</v>
      </c>
      <c r="P72" s="64">
        <v>0.59</v>
      </c>
      <c r="Q72" s="64">
        <v>5.39</v>
      </c>
      <c r="R72" s="198"/>
      <c r="S72" s="198"/>
      <c r="T72" s="198"/>
      <c r="U72" s="198"/>
    </row>
    <row r="73" spans="1:21" s="12" customFormat="1" x14ac:dyDescent="0.25">
      <c r="A73" s="213" t="s">
        <v>695</v>
      </c>
      <c r="B73" s="64">
        <v>5.38</v>
      </c>
      <c r="C73" s="64">
        <v>47.77</v>
      </c>
      <c r="D73" s="64">
        <v>31.32</v>
      </c>
      <c r="E73" s="64">
        <v>0.14000000000000001</v>
      </c>
      <c r="F73" s="64">
        <v>5.0999999999999996</v>
      </c>
      <c r="G73" s="64">
        <v>50.18</v>
      </c>
      <c r="H73" s="64">
        <v>15.67</v>
      </c>
      <c r="I73" s="64">
        <v>1.52</v>
      </c>
      <c r="J73" s="64">
        <v>0.17</v>
      </c>
      <c r="K73" s="64">
        <v>14.6</v>
      </c>
      <c r="L73" s="64">
        <v>27.71</v>
      </c>
      <c r="M73" s="64">
        <v>39.65</v>
      </c>
      <c r="N73" s="64">
        <v>157.19999999999999</v>
      </c>
      <c r="O73" s="64">
        <v>0</v>
      </c>
      <c r="P73" s="64">
        <v>0.57999999999999996</v>
      </c>
      <c r="Q73" s="64">
        <v>5.88</v>
      </c>
      <c r="R73" s="198"/>
      <c r="S73" s="198"/>
      <c r="T73" s="198"/>
      <c r="U73" s="198"/>
    </row>
    <row r="74" spans="1:21" s="12" customFormat="1" x14ac:dyDescent="0.25">
      <c r="A74" s="213" t="s">
        <v>696</v>
      </c>
      <c r="B74" s="64">
        <v>4.92</v>
      </c>
      <c r="C74" s="64">
        <v>45.16</v>
      </c>
      <c r="D74" s="64">
        <v>29.51</v>
      </c>
      <c r="E74" s="64">
        <v>0.13</v>
      </c>
      <c r="F74" s="64">
        <v>5.04</v>
      </c>
      <c r="G74" s="64">
        <v>50.18</v>
      </c>
      <c r="H74" s="64">
        <v>15.67</v>
      </c>
      <c r="I74" s="64">
        <v>1.52</v>
      </c>
      <c r="J74" s="64">
        <v>0.24</v>
      </c>
      <c r="K74" s="64">
        <v>22.57</v>
      </c>
      <c r="L74" s="64">
        <v>27.77</v>
      </c>
      <c r="M74" s="64">
        <v>39.869999999999997</v>
      </c>
      <c r="N74" s="64">
        <v>144.1</v>
      </c>
      <c r="O74" s="64">
        <v>0</v>
      </c>
      <c r="P74" s="64">
        <v>0.59</v>
      </c>
      <c r="Q74" s="64">
        <v>5.94</v>
      </c>
      <c r="R74" s="198"/>
      <c r="S74" s="198"/>
      <c r="T74" s="198"/>
      <c r="U74" s="198"/>
    </row>
    <row r="75" spans="1:21" s="12" customFormat="1" x14ac:dyDescent="0.25">
      <c r="A75" s="213" t="s">
        <v>697</v>
      </c>
      <c r="B75" s="64">
        <v>4.5199999999999996</v>
      </c>
      <c r="C75" s="64">
        <v>50.56</v>
      </c>
      <c r="D75" s="64">
        <v>32.18</v>
      </c>
      <c r="E75" s="64">
        <v>0.09</v>
      </c>
      <c r="F75" s="64">
        <v>4.84</v>
      </c>
      <c r="G75" s="64">
        <v>46.34</v>
      </c>
      <c r="H75" s="64">
        <v>15.24</v>
      </c>
      <c r="I75" s="64">
        <v>1.54</v>
      </c>
      <c r="J75" s="64">
        <v>0.13</v>
      </c>
      <c r="K75" s="64">
        <v>14.2</v>
      </c>
      <c r="L75" s="64">
        <v>27.45</v>
      </c>
      <c r="M75" s="64">
        <v>39.57</v>
      </c>
      <c r="N75" s="64">
        <v>124.3</v>
      </c>
      <c r="O75" s="64">
        <v>0</v>
      </c>
      <c r="P75" s="64">
        <v>0.59</v>
      </c>
      <c r="Q75" s="64">
        <v>6.13</v>
      </c>
      <c r="R75" s="198"/>
      <c r="S75" s="198"/>
      <c r="T75" s="198"/>
      <c r="U75" s="198"/>
    </row>
    <row r="76" spans="1:21" s="12" customFormat="1" x14ac:dyDescent="0.25">
      <c r="A76" s="213" t="s">
        <v>698</v>
      </c>
      <c r="B76" s="64">
        <v>4.08</v>
      </c>
      <c r="C76" s="64">
        <v>51.42</v>
      </c>
      <c r="D76" s="64">
        <v>32.299999999999997</v>
      </c>
      <c r="E76" s="64">
        <v>0.11</v>
      </c>
      <c r="F76" s="64">
        <v>5.5</v>
      </c>
      <c r="G76" s="64">
        <v>45.32</v>
      </c>
      <c r="H76" s="64">
        <v>15.24</v>
      </c>
      <c r="I76" s="64">
        <v>1.54</v>
      </c>
      <c r="J76" s="64">
        <v>0.13</v>
      </c>
      <c r="K76" s="64">
        <v>26.52</v>
      </c>
      <c r="L76" s="64">
        <v>27.27</v>
      </c>
      <c r="M76" s="64">
        <v>40.82</v>
      </c>
      <c r="N76" s="64">
        <v>108.4</v>
      </c>
      <c r="O76" s="64">
        <v>0</v>
      </c>
      <c r="P76" s="64">
        <v>0.56000000000000005</v>
      </c>
      <c r="Q76" s="64">
        <v>6.29</v>
      </c>
      <c r="R76" s="198"/>
      <c r="S76" s="198"/>
      <c r="T76" s="198"/>
      <c r="U76" s="198"/>
    </row>
    <row r="77" spans="1:21" s="12" customFormat="1" x14ac:dyDescent="0.25">
      <c r="A77" s="213" t="s">
        <v>699</v>
      </c>
      <c r="B77" s="64">
        <v>3.42</v>
      </c>
      <c r="C77" s="64">
        <v>53.61</v>
      </c>
      <c r="D77" s="64">
        <v>32.979999999999997</v>
      </c>
      <c r="E77" s="64">
        <v>0.13</v>
      </c>
      <c r="F77" s="64">
        <v>6.88</v>
      </c>
      <c r="G77" s="64">
        <v>45.32</v>
      </c>
      <c r="H77" s="64">
        <v>15.24</v>
      </c>
      <c r="I77" s="64">
        <v>1.48</v>
      </c>
      <c r="J77" s="64">
        <v>0.12</v>
      </c>
      <c r="K77" s="64">
        <v>24.12</v>
      </c>
      <c r="L77" s="64">
        <v>26.79</v>
      </c>
      <c r="M77" s="64">
        <v>44.15</v>
      </c>
      <c r="N77" s="64">
        <v>92.4</v>
      </c>
      <c r="O77" s="64">
        <v>0</v>
      </c>
      <c r="P77" s="64">
        <v>0.55000000000000004</v>
      </c>
      <c r="Q77" s="64">
        <v>6.33</v>
      </c>
      <c r="R77" s="198"/>
      <c r="S77" s="198"/>
      <c r="T77" s="198"/>
      <c r="U77" s="198"/>
    </row>
    <row r="78" spans="1:21" s="12" customFormat="1" x14ac:dyDescent="0.25">
      <c r="A78" s="213" t="s">
        <v>700</v>
      </c>
      <c r="B78" s="64">
        <v>3.3</v>
      </c>
      <c r="C78" s="64">
        <v>56.61</v>
      </c>
      <c r="D78" s="64">
        <v>34.53</v>
      </c>
      <c r="E78" s="64">
        <v>0.15</v>
      </c>
      <c r="F78" s="64">
        <v>4.6900000000000004</v>
      </c>
      <c r="G78" s="64">
        <v>45.32</v>
      </c>
      <c r="H78" s="64">
        <v>15.24</v>
      </c>
      <c r="I78" s="64">
        <v>1.43</v>
      </c>
      <c r="J78" s="64">
        <v>0.17</v>
      </c>
      <c r="K78" s="64">
        <v>12.18</v>
      </c>
      <c r="L78" s="64">
        <v>26</v>
      </c>
      <c r="M78" s="64">
        <v>50.57</v>
      </c>
      <c r="N78" s="64">
        <v>80.400000000000006</v>
      </c>
      <c r="O78" s="64">
        <v>0</v>
      </c>
      <c r="P78" s="64">
        <v>0.56000000000000005</v>
      </c>
      <c r="Q78" s="64">
        <v>6.36</v>
      </c>
      <c r="R78" s="198"/>
      <c r="S78" s="198"/>
      <c r="T78" s="198"/>
      <c r="U78" s="198"/>
    </row>
    <row r="79" spans="1:21" s="12" customFormat="1" x14ac:dyDescent="0.25">
      <c r="A79" s="213" t="s">
        <v>701</v>
      </c>
      <c r="B79" s="64">
        <v>3.53</v>
      </c>
      <c r="C79" s="64">
        <v>58.33</v>
      </c>
      <c r="D79" s="64">
        <v>35.67</v>
      </c>
      <c r="E79" s="64">
        <v>0.08</v>
      </c>
      <c r="F79" s="64">
        <v>3.98</v>
      </c>
      <c r="G79" s="64">
        <v>50.81</v>
      </c>
      <c r="H79" s="64">
        <v>18.55</v>
      </c>
      <c r="I79" s="64">
        <v>1.55</v>
      </c>
      <c r="J79" s="64">
        <v>0.18</v>
      </c>
      <c r="K79" s="64">
        <v>350.07</v>
      </c>
      <c r="L79" s="64">
        <v>25.35</v>
      </c>
      <c r="M79" s="64">
        <v>56.48</v>
      </c>
      <c r="N79" s="64">
        <v>70.5</v>
      </c>
      <c r="O79" s="64">
        <v>0</v>
      </c>
      <c r="P79" s="64">
        <v>0.57999999999999996</v>
      </c>
      <c r="Q79" s="64">
        <v>6.44</v>
      </c>
      <c r="R79" s="198"/>
      <c r="S79" s="198"/>
      <c r="T79" s="198"/>
      <c r="U79" s="198"/>
    </row>
    <row r="80" spans="1:21" s="12" customFormat="1" x14ac:dyDescent="0.25">
      <c r="A80" s="213" t="s">
        <v>702</v>
      </c>
      <c r="B80" s="64">
        <v>3.76</v>
      </c>
      <c r="C80" s="64">
        <v>58.75</v>
      </c>
      <c r="D80" s="64">
        <v>36.08</v>
      </c>
      <c r="E80" s="64">
        <v>0.09</v>
      </c>
      <c r="F80" s="64">
        <v>4.3499999999999996</v>
      </c>
      <c r="G80" s="64">
        <v>52.27</v>
      </c>
      <c r="H80" s="64">
        <v>18.55</v>
      </c>
      <c r="I80" s="64">
        <v>1.52</v>
      </c>
      <c r="J80" s="64">
        <v>0.2</v>
      </c>
      <c r="K80" s="64">
        <v>332.15</v>
      </c>
      <c r="L80" s="64">
        <v>24.84</v>
      </c>
      <c r="M80" s="64">
        <v>59.48</v>
      </c>
      <c r="N80" s="64">
        <v>65.599999999999994</v>
      </c>
      <c r="O80" s="64">
        <v>0</v>
      </c>
      <c r="P80" s="64">
        <v>0.62</v>
      </c>
      <c r="Q80" s="64">
        <v>6.47</v>
      </c>
      <c r="R80" s="198"/>
      <c r="S80" s="198"/>
      <c r="T80" s="198"/>
      <c r="U80" s="198"/>
    </row>
    <row r="81" spans="1:26" s="12" customFormat="1" x14ac:dyDescent="0.25">
      <c r="A81" s="213" t="s">
        <v>703</v>
      </c>
      <c r="B81" s="64">
        <v>4.7</v>
      </c>
      <c r="C81" s="64">
        <v>60.83</v>
      </c>
      <c r="D81" s="64">
        <v>37.99</v>
      </c>
      <c r="E81" s="64">
        <v>0.13</v>
      </c>
      <c r="F81" s="64">
        <v>4.04</v>
      </c>
      <c r="G81" s="64">
        <v>52.27</v>
      </c>
      <c r="H81" s="64">
        <v>18.55</v>
      </c>
      <c r="I81" s="64">
        <v>1.53</v>
      </c>
      <c r="J81" s="64">
        <v>0.18</v>
      </c>
      <c r="K81" s="64">
        <v>324.54000000000002</v>
      </c>
      <c r="L81" s="64">
        <v>24.5</v>
      </c>
      <c r="M81" s="64">
        <v>60.98</v>
      </c>
      <c r="N81" s="64">
        <v>64.400000000000006</v>
      </c>
      <c r="O81" s="64">
        <v>0</v>
      </c>
      <c r="P81" s="64">
        <v>0.67</v>
      </c>
      <c r="Q81" s="64">
        <v>6.57</v>
      </c>
      <c r="R81" s="198"/>
      <c r="S81" s="198"/>
      <c r="T81" s="198"/>
      <c r="U81" s="198"/>
    </row>
    <row r="82" spans="1:26" s="12" customFormat="1" x14ac:dyDescent="0.25">
      <c r="A82" s="213" t="s">
        <v>704</v>
      </c>
      <c r="B82" s="64">
        <v>6.07</v>
      </c>
      <c r="C82" s="64">
        <v>63.41</v>
      </c>
      <c r="D82" s="64">
        <v>40.51</v>
      </c>
      <c r="E82" s="64">
        <v>0.13</v>
      </c>
      <c r="F82" s="64">
        <v>3.62</v>
      </c>
      <c r="G82" s="64">
        <v>52.27</v>
      </c>
      <c r="H82" s="64">
        <v>18.55</v>
      </c>
      <c r="I82" s="64">
        <v>1.51</v>
      </c>
      <c r="J82" s="64">
        <v>0.12</v>
      </c>
      <c r="K82" s="64">
        <v>336.7</v>
      </c>
      <c r="L82" s="64">
        <v>24.37</v>
      </c>
      <c r="M82" s="64">
        <v>59.6</v>
      </c>
      <c r="N82" s="64">
        <v>64.2</v>
      </c>
      <c r="O82" s="64">
        <v>0</v>
      </c>
      <c r="P82" s="64">
        <v>0.72</v>
      </c>
      <c r="Q82" s="64">
        <v>6.75</v>
      </c>
      <c r="R82" s="198"/>
      <c r="S82" s="198"/>
      <c r="T82" s="198"/>
      <c r="U82" s="198"/>
    </row>
    <row r="83" spans="1:26" s="12" customFormat="1" x14ac:dyDescent="0.25">
      <c r="A83" s="213" t="s">
        <v>705</v>
      </c>
      <c r="B83" s="64">
        <v>6.43</v>
      </c>
      <c r="C83" s="64">
        <v>65.34</v>
      </c>
      <c r="D83" s="64">
        <v>41.86</v>
      </c>
      <c r="E83" s="64">
        <v>0.15</v>
      </c>
      <c r="F83" s="64">
        <v>3.4</v>
      </c>
      <c r="G83" s="64">
        <v>57.25</v>
      </c>
      <c r="H83" s="64">
        <v>22.66</v>
      </c>
      <c r="I83" s="64">
        <v>1.54</v>
      </c>
      <c r="J83" s="64">
        <v>7.0000000000000007E-2</v>
      </c>
      <c r="K83" s="64">
        <v>354.84</v>
      </c>
      <c r="L83" s="64">
        <v>24.74</v>
      </c>
      <c r="M83" s="64">
        <v>50.04</v>
      </c>
      <c r="N83" s="64">
        <v>63.8</v>
      </c>
      <c r="O83" s="64">
        <v>0</v>
      </c>
      <c r="P83" s="64">
        <v>0.73</v>
      </c>
      <c r="Q83" s="64">
        <v>6.9</v>
      </c>
      <c r="R83" s="198"/>
      <c r="S83" s="198"/>
      <c r="T83" s="198"/>
      <c r="U83" s="198"/>
    </row>
    <row r="84" spans="1:26" s="12" customFormat="1" x14ac:dyDescent="0.25">
      <c r="A84" s="213" t="s">
        <v>706</v>
      </c>
      <c r="B84" s="64">
        <v>5.88</v>
      </c>
      <c r="C84" s="64">
        <v>65.72</v>
      </c>
      <c r="D84" s="64">
        <v>41.63</v>
      </c>
      <c r="E84" s="64">
        <v>0.13</v>
      </c>
      <c r="F84" s="64">
        <v>3.49</v>
      </c>
      <c r="G84" s="64">
        <v>58.58</v>
      </c>
      <c r="H84" s="64">
        <v>22.66</v>
      </c>
      <c r="I84" s="64">
        <v>1.49</v>
      </c>
      <c r="J84" s="64">
        <v>0.13</v>
      </c>
      <c r="K84" s="64">
        <v>17.62</v>
      </c>
      <c r="L84" s="64">
        <v>24.77</v>
      </c>
      <c r="M84" s="64">
        <v>50.34</v>
      </c>
      <c r="N84" s="64">
        <v>63.9</v>
      </c>
      <c r="O84" s="64">
        <v>0</v>
      </c>
      <c r="P84" s="64">
        <v>0.74</v>
      </c>
      <c r="Q84" s="64">
        <v>6.94</v>
      </c>
      <c r="R84" s="198"/>
      <c r="S84" s="198"/>
      <c r="T84" s="198"/>
      <c r="U84" s="198"/>
    </row>
    <row r="85" spans="1:26" s="12" customFormat="1" x14ac:dyDescent="0.25">
      <c r="A85" s="213" t="s">
        <v>707</v>
      </c>
      <c r="B85" s="64">
        <v>5.81</v>
      </c>
      <c r="C85" s="64">
        <v>65.489999999999995</v>
      </c>
      <c r="D85" s="64">
        <v>41.45</v>
      </c>
      <c r="E85" s="64">
        <v>0.1</v>
      </c>
      <c r="F85" s="64">
        <v>3.6</v>
      </c>
      <c r="G85" s="64">
        <v>58.58</v>
      </c>
      <c r="H85" s="64">
        <v>22.66</v>
      </c>
      <c r="I85" s="64">
        <v>1.45</v>
      </c>
      <c r="J85" s="64">
        <v>0.1</v>
      </c>
      <c r="K85" s="64">
        <v>348.8</v>
      </c>
      <c r="L85" s="64">
        <v>24.41</v>
      </c>
      <c r="M85" s="64">
        <v>52.6</v>
      </c>
      <c r="N85" s="64">
        <v>64.3</v>
      </c>
      <c r="O85" s="64">
        <v>0</v>
      </c>
      <c r="P85" s="64">
        <v>0.77</v>
      </c>
      <c r="Q85" s="64">
        <v>6.99</v>
      </c>
      <c r="R85" s="198"/>
      <c r="S85" s="198"/>
      <c r="T85" s="198"/>
      <c r="U85" s="198"/>
    </row>
    <row r="86" spans="1:26" s="12" customFormat="1" x14ac:dyDescent="0.25">
      <c r="A86" s="213" t="s">
        <v>708</v>
      </c>
      <c r="B86" s="64">
        <v>6.53</v>
      </c>
      <c r="C86" s="64">
        <v>67.05</v>
      </c>
      <c r="D86" s="64">
        <v>42.89</v>
      </c>
      <c r="E86" s="64">
        <v>0.1</v>
      </c>
      <c r="F86" s="64">
        <v>3.37</v>
      </c>
      <c r="G86" s="64">
        <v>58.58</v>
      </c>
      <c r="H86" s="64">
        <v>22.66</v>
      </c>
      <c r="I86" s="64">
        <v>1.45</v>
      </c>
      <c r="J86" s="64">
        <v>0.04</v>
      </c>
      <c r="K86" s="64">
        <v>291.48</v>
      </c>
      <c r="L86" s="64">
        <v>24.04</v>
      </c>
      <c r="M86" s="64">
        <v>53.63</v>
      </c>
      <c r="N86" s="64">
        <v>64</v>
      </c>
      <c r="O86" s="64">
        <v>0</v>
      </c>
      <c r="P86" s="64">
        <v>0.84</v>
      </c>
      <c r="Q86" s="64">
        <v>7.08</v>
      </c>
      <c r="R86" s="198"/>
      <c r="S86" s="198"/>
      <c r="T86" s="198"/>
      <c r="U86" s="198"/>
    </row>
    <row r="87" spans="1:26" s="12" customFormat="1" x14ac:dyDescent="0.25">
      <c r="A87" s="213" t="s">
        <v>709</v>
      </c>
      <c r="B87" s="64">
        <v>7.47</v>
      </c>
      <c r="C87" s="64">
        <v>68.569999999999993</v>
      </c>
      <c r="D87" s="64">
        <v>44.48</v>
      </c>
      <c r="E87" s="64">
        <v>0.15</v>
      </c>
      <c r="F87" s="64">
        <v>3.11</v>
      </c>
      <c r="G87" s="64">
        <v>63.77</v>
      </c>
      <c r="H87" s="64">
        <v>23.57</v>
      </c>
      <c r="I87" s="64">
        <v>1.49</v>
      </c>
      <c r="J87" s="64">
        <v>0.11</v>
      </c>
      <c r="K87" s="64">
        <v>297.73</v>
      </c>
      <c r="L87" s="64">
        <v>23.72</v>
      </c>
      <c r="M87" s="64">
        <v>55.45</v>
      </c>
      <c r="N87" s="64">
        <v>64.2</v>
      </c>
      <c r="O87" s="64">
        <v>0</v>
      </c>
      <c r="P87" s="64">
        <v>1.02</v>
      </c>
      <c r="Q87" s="64">
        <v>7.14</v>
      </c>
      <c r="R87" s="198"/>
      <c r="S87" s="198"/>
      <c r="T87" s="198"/>
      <c r="U87" s="198"/>
    </row>
    <row r="88" spans="1:26" s="12" customFormat="1" x14ac:dyDescent="0.25">
      <c r="A88" s="213" t="s">
        <v>710</v>
      </c>
      <c r="B88" s="64">
        <v>8.82</v>
      </c>
      <c r="C88" s="64">
        <v>69.3</v>
      </c>
      <c r="D88" s="64">
        <v>45.97</v>
      </c>
      <c r="E88" s="64">
        <v>0.15</v>
      </c>
      <c r="F88" s="64">
        <v>3.11</v>
      </c>
      <c r="G88" s="64">
        <v>65.150000000000006</v>
      </c>
      <c r="H88" s="64">
        <v>23.57</v>
      </c>
      <c r="I88" s="64">
        <v>1.54</v>
      </c>
      <c r="J88" s="64">
        <v>0.05</v>
      </c>
      <c r="K88" s="64">
        <v>7.83</v>
      </c>
      <c r="L88" s="64">
        <v>23.74</v>
      </c>
      <c r="M88" s="64">
        <v>54.98</v>
      </c>
      <c r="N88" s="64">
        <v>63.9</v>
      </c>
      <c r="O88" s="64">
        <v>0</v>
      </c>
      <c r="P88" s="64">
        <v>0.98</v>
      </c>
      <c r="Q88" s="64">
        <v>7.29</v>
      </c>
      <c r="R88" s="198"/>
      <c r="S88" s="198"/>
      <c r="T88" s="198"/>
      <c r="U88" s="198"/>
    </row>
    <row r="89" spans="1:26" s="12" customFormat="1" x14ac:dyDescent="0.25">
      <c r="A89" s="213" t="s">
        <v>711</v>
      </c>
      <c r="B89" s="64">
        <v>9.5500000000000007</v>
      </c>
      <c r="C89" s="64">
        <v>68.89</v>
      </c>
      <c r="D89" s="64">
        <v>46.32</v>
      </c>
      <c r="E89" s="64">
        <v>0.32</v>
      </c>
      <c r="F89" s="64">
        <v>3.27</v>
      </c>
      <c r="G89" s="64">
        <v>65.150000000000006</v>
      </c>
      <c r="H89" s="64">
        <v>23.57</v>
      </c>
      <c r="I89" s="64">
        <v>1.5</v>
      </c>
      <c r="J89" s="64">
        <v>0.11</v>
      </c>
      <c r="K89" s="64">
        <v>309.42</v>
      </c>
      <c r="L89" s="64">
        <v>23.9</v>
      </c>
      <c r="M89" s="64">
        <v>55.2</v>
      </c>
      <c r="N89" s="64">
        <v>64.099999999999994</v>
      </c>
      <c r="O89" s="64">
        <v>0</v>
      </c>
      <c r="P89" s="64">
        <v>1.02</v>
      </c>
      <c r="Q89" s="64">
        <v>7.42</v>
      </c>
      <c r="R89" s="198"/>
      <c r="S89" s="198"/>
      <c r="T89" s="198"/>
      <c r="U89" s="198"/>
    </row>
    <row r="90" spans="1:26" s="12" customFormat="1" x14ac:dyDescent="0.25">
      <c r="A90" s="213" t="s">
        <v>712</v>
      </c>
      <c r="B90" s="64">
        <v>10.92</v>
      </c>
      <c r="C90" s="64">
        <v>68.38</v>
      </c>
      <c r="D90" s="64">
        <v>47.14</v>
      </c>
      <c r="E90" s="64">
        <v>0.39</v>
      </c>
      <c r="F90" s="64">
        <v>3.22</v>
      </c>
      <c r="G90" s="64">
        <v>65.150000000000006</v>
      </c>
      <c r="H90" s="64">
        <v>23.57</v>
      </c>
      <c r="I90" s="64">
        <v>1.52</v>
      </c>
      <c r="J90" s="64">
        <v>0.11</v>
      </c>
      <c r="K90" s="64">
        <v>320.11</v>
      </c>
      <c r="L90" s="64">
        <v>23.25</v>
      </c>
      <c r="M90" s="64">
        <v>58.18</v>
      </c>
      <c r="N90" s="64">
        <v>64.5</v>
      </c>
      <c r="O90" s="64">
        <v>0</v>
      </c>
      <c r="P90" s="64">
        <v>1.07</v>
      </c>
      <c r="Q90" s="64">
        <v>7.51</v>
      </c>
      <c r="R90" s="198"/>
      <c r="S90" s="198"/>
      <c r="T90" s="198"/>
      <c r="U90" s="198"/>
    </row>
    <row r="91" spans="1:26" s="12" customFormat="1" x14ac:dyDescent="0.25">
      <c r="A91" s="213" t="s">
        <v>713</v>
      </c>
      <c r="B91" s="64">
        <v>12.12</v>
      </c>
      <c r="C91" s="64">
        <v>67.709999999999994</v>
      </c>
      <c r="D91" s="64">
        <v>47.73</v>
      </c>
      <c r="E91" s="64">
        <v>0.3</v>
      </c>
      <c r="F91" s="64">
        <v>3.08</v>
      </c>
      <c r="G91" s="64">
        <v>70.739999999999995</v>
      </c>
      <c r="H91" s="64">
        <v>25.37</v>
      </c>
      <c r="I91" s="64">
        <v>1.54</v>
      </c>
      <c r="J91" s="64">
        <v>0.13</v>
      </c>
      <c r="K91" s="64">
        <v>300.16000000000003</v>
      </c>
      <c r="L91" s="64">
        <v>23.18</v>
      </c>
      <c r="M91" s="64">
        <v>59.18</v>
      </c>
      <c r="N91" s="64">
        <v>64.5</v>
      </c>
      <c r="O91" s="64">
        <v>0</v>
      </c>
      <c r="P91" s="64">
        <v>1.02</v>
      </c>
      <c r="Q91" s="64">
        <v>7.61</v>
      </c>
      <c r="R91" s="198"/>
      <c r="S91" s="198"/>
      <c r="T91" s="198"/>
      <c r="U91" s="198"/>
    </row>
    <row r="92" spans="1:26" s="12" customFormat="1" x14ac:dyDescent="0.25">
      <c r="A92" s="213" t="s">
        <v>714</v>
      </c>
      <c r="B92" s="64">
        <v>13.31</v>
      </c>
      <c r="C92" s="64">
        <v>67.2</v>
      </c>
      <c r="D92" s="64">
        <v>48.41</v>
      </c>
      <c r="E92" s="64">
        <v>0.3</v>
      </c>
      <c r="F92" s="64">
        <v>3.2</v>
      </c>
      <c r="G92" s="64">
        <v>72.23</v>
      </c>
      <c r="H92" s="64">
        <v>25.37</v>
      </c>
      <c r="I92" s="64">
        <v>1.51</v>
      </c>
      <c r="J92" s="64">
        <v>0.09</v>
      </c>
      <c r="K92" s="64">
        <v>284.52999999999997</v>
      </c>
      <c r="L92" s="64">
        <v>22.69</v>
      </c>
      <c r="M92" s="64">
        <v>61.67</v>
      </c>
      <c r="N92" s="64">
        <v>64.599999999999994</v>
      </c>
      <c r="O92" s="64">
        <v>0</v>
      </c>
      <c r="P92" s="64">
        <v>1.05</v>
      </c>
      <c r="Q92" s="64">
        <v>7.72</v>
      </c>
      <c r="R92" s="198"/>
      <c r="S92" s="198"/>
      <c r="T92" s="198"/>
      <c r="U92" s="198"/>
    </row>
    <row r="93" spans="1:26" s="12" customFormat="1" x14ac:dyDescent="0.25">
      <c r="A93" s="213" t="s">
        <v>715</v>
      </c>
      <c r="B93" s="64">
        <v>14.23</v>
      </c>
      <c r="C93" s="64">
        <v>66.53</v>
      </c>
      <c r="D93" s="64">
        <v>48.77</v>
      </c>
      <c r="E93" s="64">
        <v>0.36</v>
      </c>
      <c r="F93" s="64">
        <v>3.29</v>
      </c>
      <c r="G93" s="64">
        <v>72.23</v>
      </c>
      <c r="H93" s="64">
        <v>25.37</v>
      </c>
      <c r="I93" s="64">
        <v>1.47</v>
      </c>
      <c r="J93" s="64">
        <v>0.08</v>
      </c>
      <c r="K93" s="64">
        <v>311.32</v>
      </c>
      <c r="L93" s="64">
        <v>22.38</v>
      </c>
      <c r="M93" s="64">
        <v>63.22</v>
      </c>
      <c r="N93" s="64">
        <v>64.599999999999994</v>
      </c>
      <c r="O93" s="64">
        <v>0</v>
      </c>
      <c r="P93" s="64">
        <v>1.04</v>
      </c>
      <c r="Q93" s="64">
        <v>7.82</v>
      </c>
      <c r="R93" s="198"/>
      <c r="S93" s="198"/>
      <c r="T93" s="198"/>
      <c r="U93" s="198"/>
    </row>
    <row r="94" spans="1:26" s="12" customFormat="1" x14ac:dyDescent="0.25">
      <c r="A94" s="213" t="s">
        <v>716</v>
      </c>
      <c r="B94" s="64">
        <v>15.73</v>
      </c>
      <c r="C94" s="64">
        <v>66.06</v>
      </c>
      <c r="D94" s="64">
        <v>49.71</v>
      </c>
      <c r="E94" s="64">
        <v>0.35</v>
      </c>
      <c r="F94" s="64">
        <v>3.03</v>
      </c>
      <c r="G94" s="64">
        <v>72.23</v>
      </c>
      <c r="H94" s="64">
        <v>25.37</v>
      </c>
      <c r="I94" s="64">
        <v>1.49</v>
      </c>
      <c r="J94" s="64">
        <v>7.0000000000000007E-2</v>
      </c>
      <c r="K94" s="64">
        <v>146.99</v>
      </c>
      <c r="L94" s="64">
        <v>21.95</v>
      </c>
      <c r="M94" s="64">
        <v>66.17</v>
      </c>
      <c r="N94" s="64">
        <v>64.7</v>
      </c>
      <c r="O94" s="64">
        <v>0</v>
      </c>
      <c r="P94" s="64">
        <v>1.08</v>
      </c>
      <c r="Q94" s="64">
        <v>7.89</v>
      </c>
      <c r="R94" s="198"/>
      <c r="S94" s="198"/>
      <c r="T94" s="198"/>
      <c r="U94" s="198"/>
    </row>
    <row r="95" spans="1:26" s="12" customFormat="1" x14ac:dyDescent="0.25">
      <c r="A95" s="213" t="s">
        <v>717</v>
      </c>
      <c r="B95" s="64">
        <v>17.8</v>
      </c>
      <c r="C95" s="64">
        <v>65.739999999999995</v>
      </c>
      <c r="D95" s="64">
        <v>51.2</v>
      </c>
      <c r="E95" s="64">
        <v>0.37</v>
      </c>
      <c r="F95" s="64">
        <v>3.14</v>
      </c>
      <c r="G95" s="64">
        <v>73.63</v>
      </c>
      <c r="H95" s="64">
        <v>26.37</v>
      </c>
      <c r="I95" s="64">
        <v>1.49</v>
      </c>
      <c r="J95" s="64">
        <v>0.04</v>
      </c>
      <c r="K95" s="64">
        <v>301.77</v>
      </c>
      <c r="L95" s="64">
        <v>21.67</v>
      </c>
      <c r="M95" s="64">
        <v>69.430000000000007</v>
      </c>
      <c r="N95" s="64">
        <v>64.5</v>
      </c>
      <c r="O95" s="64">
        <v>0</v>
      </c>
      <c r="P95" s="64">
        <v>1.05</v>
      </c>
      <c r="Q95" s="64">
        <v>8.01</v>
      </c>
      <c r="R95" s="198"/>
      <c r="S95" s="198"/>
      <c r="T95" s="198"/>
      <c r="U95" s="198"/>
    </row>
    <row r="96" spans="1:26" s="12" customFormat="1" x14ac:dyDescent="0.25">
      <c r="A96" s="213" t="s">
        <v>718</v>
      </c>
      <c r="B96" s="64">
        <v>19.809999999999999</v>
      </c>
      <c r="C96" s="64">
        <v>65.27</v>
      </c>
      <c r="D96" s="64">
        <v>52.55</v>
      </c>
      <c r="E96" s="64">
        <v>0.36</v>
      </c>
      <c r="F96" s="64">
        <v>3</v>
      </c>
      <c r="G96" s="64">
        <v>74.010000000000005</v>
      </c>
      <c r="H96" s="64">
        <v>26.37</v>
      </c>
      <c r="I96" s="64">
        <v>1.52</v>
      </c>
      <c r="J96" s="64">
        <v>0.09</v>
      </c>
      <c r="K96" s="64">
        <v>149.12</v>
      </c>
      <c r="L96" s="64">
        <v>21.23</v>
      </c>
      <c r="M96" s="64">
        <v>72.17</v>
      </c>
      <c r="N96" s="64">
        <v>64.7</v>
      </c>
      <c r="O96" s="64">
        <v>0</v>
      </c>
      <c r="P96" s="64">
        <v>1.0900000000000001</v>
      </c>
      <c r="Q96" s="64">
        <v>8.14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719</v>
      </c>
      <c r="B97" s="64">
        <v>22.05</v>
      </c>
      <c r="C97" s="64">
        <v>64.92</v>
      </c>
      <c r="D97" s="64">
        <v>54.16</v>
      </c>
      <c r="E97" s="64">
        <v>0.39</v>
      </c>
      <c r="F97" s="64">
        <v>2.98</v>
      </c>
      <c r="G97" s="64">
        <v>74.010000000000005</v>
      </c>
      <c r="H97" s="64">
        <v>26.37</v>
      </c>
      <c r="I97" s="64">
        <v>1.51</v>
      </c>
      <c r="J97" s="64">
        <v>0.05</v>
      </c>
      <c r="K97" s="64">
        <v>298.49</v>
      </c>
      <c r="L97" s="64">
        <v>20.94</v>
      </c>
      <c r="M97" s="64">
        <v>74.75</v>
      </c>
      <c r="N97" s="64">
        <v>64.400000000000006</v>
      </c>
      <c r="O97" s="64">
        <v>0</v>
      </c>
      <c r="P97" s="64">
        <v>1.08</v>
      </c>
      <c r="Q97" s="64">
        <v>8.36</v>
      </c>
      <c r="R97" s="198"/>
      <c r="S97" s="198"/>
      <c r="T97" s="198"/>
      <c r="U97" s="198"/>
    </row>
    <row r="98" spans="1:33" s="12" customFormat="1" x14ac:dyDescent="0.25">
      <c r="A98" s="213" t="s">
        <v>720</v>
      </c>
      <c r="B98" s="64">
        <v>25.65</v>
      </c>
      <c r="C98" s="64">
        <v>64.62</v>
      </c>
      <c r="D98" s="64">
        <v>56.88</v>
      </c>
      <c r="E98" s="64">
        <v>0.43</v>
      </c>
      <c r="F98" s="64">
        <v>3.17</v>
      </c>
      <c r="G98" s="64">
        <v>74.010000000000005</v>
      </c>
      <c r="H98" s="64">
        <v>26.37</v>
      </c>
      <c r="I98" s="64">
        <v>1.48</v>
      </c>
      <c r="J98" s="64">
        <v>0.1</v>
      </c>
      <c r="K98" s="64">
        <v>246.77</v>
      </c>
      <c r="L98" s="64">
        <v>20.63</v>
      </c>
      <c r="M98" s="64">
        <v>78.88</v>
      </c>
      <c r="N98" s="64">
        <v>64.599999999999994</v>
      </c>
      <c r="O98" s="64">
        <v>0</v>
      </c>
      <c r="P98" s="64">
        <v>1.18</v>
      </c>
      <c r="Q98" s="64">
        <v>8.5299999999999994</v>
      </c>
      <c r="R98" s="198"/>
      <c r="S98" s="198"/>
      <c r="T98" s="198"/>
      <c r="U98" s="198"/>
    </row>
    <row r="99" spans="1:33" s="12" customFormat="1" x14ac:dyDescent="0.25">
      <c r="A99" s="213" t="s">
        <v>721</v>
      </c>
      <c r="B99" s="64">
        <v>29.12</v>
      </c>
      <c r="C99" s="64">
        <v>64.22</v>
      </c>
      <c r="D99" s="64">
        <v>59.44</v>
      </c>
      <c r="E99" s="64">
        <v>0.46</v>
      </c>
      <c r="F99" s="64">
        <v>3</v>
      </c>
      <c r="G99" s="64">
        <v>82.68</v>
      </c>
      <c r="H99" s="64">
        <v>28.09</v>
      </c>
      <c r="I99" s="64">
        <v>1.53</v>
      </c>
      <c r="J99" s="64">
        <v>0.32</v>
      </c>
      <c r="K99" s="64">
        <v>149.51</v>
      </c>
      <c r="L99" s="64">
        <v>20.95</v>
      </c>
      <c r="M99" s="64">
        <v>73.45</v>
      </c>
      <c r="N99" s="64">
        <v>63.5</v>
      </c>
      <c r="O99" s="64">
        <v>0</v>
      </c>
      <c r="P99" s="64">
        <v>1.07</v>
      </c>
      <c r="Q99" s="64">
        <v>8.76</v>
      </c>
      <c r="R99" s="198"/>
      <c r="S99" s="198"/>
      <c r="T99" s="198"/>
      <c r="U99" s="198"/>
    </row>
    <row r="100" spans="1:33" s="12" customFormat="1" x14ac:dyDescent="0.25">
      <c r="A100" s="213" t="s">
        <v>722</v>
      </c>
      <c r="B100" s="64">
        <v>30.01</v>
      </c>
      <c r="C100" s="64">
        <v>62.88</v>
      </c>
      <c r="D100" s="64">
        <v>59.41</v>
      </c>
      <c r="E100" s="64">
        <v>0.41</v>
      </c>
      <c r="F100" s="64">
        <v>3.06</v>
      </c>
      <c r="G100" s="64">
        <v>85.01</v>
      </c>
      <c r="H100" s="64">
        <v>28.09</v>
      </c>
      <c r="I100" s="64">
        <v>1.53</v>
      </c>
      <c r="J100" s="64">
        <v>0.38</v>
      </c>
      <c r="K100" s="64">
        <v>158.19</v>
      </c>
      <c r="L100" s="64">
        <v>21.32</v>
      </c>
      <c r="M100" s="64">
        <v>70.430000000000007</v>
      </c>
      <c r="N100" s="64">
        <v>63.9</v>
      </c>
      <c r="O100" s="64">
        <v>0</v>
      </c>
      <c r="P100" s="64">
        <v>1.05</v>
      </c>
      <c r="Q100" s="64">
        <v>8.9600000000000009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723</v>
      </c>
      <c r="B101" s="64">
        <v>28.61</v>
      </c>
      <c r="C101" s="64">
        <v>59.75</v>
      </c>
      <c r="D101" s="64">
        <v>56.57</v>
      </c>
      <c r="E101" s="64">
        <v>0.32</v>
      </c>
      <c r="F101" s="64">
        <v>3.29</v>
      </c>
      <c r="G101" s="64">
        <v>85.01</v>
      </c>
      <c r="H101" s="64">
        <v>28.09</v>
      </c>
      <c r="I101" s="64">
        <v>1.54</v>
      </c>
      <c r="J101" s="64">
        <v>0.14000000000000001</v>
      </c>
      <c r="K101" s="64">
        <v>178.96</v>
      </c>
      <c r="L101" s="64">
        <v>21.12</v>
      </c>
      <c r="M101" s="64">
        <v>71.77</v>
      </c>
      <c r="N101" s="64">
        <v>64.5</v>
      </c>
      <c r="O101" s="64">
        <v>0</v>
      </c>
      <c r="P101" s="64">
        <v>1.05</v>
      </c>
      <c r="Q101" s="64">
        <v>8.8699999999999992</v>
      </c>
      <c r="R101" s="198"/>
      <c r="S101" s="198"/>
      <c r="T101" s="198"/>
      <c r="U101" s="198"/>
    </row>
    <row r="102" spans="1:33" s="12" customFormat="1" x14ac:dyDescent="0.25">
      <c r="A102" s="213" t="s">
        <v>724</v>
      </c>
      <c r="B102" s="64">
        <v>26.74</v>
      </c>
      <c r="C102" s="64">
        <v>59.47</v>
      </c>
      <c r="D102" s="64">
        <v>54.91</v>
      </c>
      <c r="E102" s="64">
        <v>0.38</v>
      </c>
      <c r="F102" s="64">
        <v>2.98</v>
      </c>
      <c r="G102" s="64">
        <v>85.01</v>
      </c>
      <c r="H102" s="64">
        <v>28.09</v>
      </c>
      <c r="I102" s="64">
        <v>1.54</v>
      </c>
      <c r="J102" s="64">
        <v>0.05</v>
      </c>
      <c r="K102" s="64">
        <v>252.66</v>
      </c>
      <c r="L102" s="64">
        <v>20.7</v>
      </c>
      <c r="M102" s="64">
        <v>75.349999999999994</v>
      </c>
      <c r="N102" s="64">
        <v>64.8</v>
      </c>
      <c r="O102" s="64">
        <v>0</v>
      </c>
      <c r="P102" s="64">
        <v>1.02</v>
      </c>
      <c r="Q102" s="64">
        <v>8.7100000000000009</v>
      </c>
      <c r="R102" s="198"/>
      <c r="S102" s="198"/>
      <c r="T102" s="198"/>
      <c r="U102" s="198"/>
    </row>
    <row r="103" spans="1:33" s="12" customFormat="1" x14ac:dyDescent="0.25">
      <c r="A103" s="213" t="s">
        <v>725</v>
      </c>
      <c r="B103" s="64">
        <v>25.06</v>
      </c>
      <c r="C103" s="64">
        <v>59.85</v>
      </c>
      <c r="D103" s="64">
        <v>53.77</v>
      </c>
      <c r="E103" s="64">
        <v>0.39</v>
      </c>
      <c r="F103" s="64">
        <v>3.16</v>
      </c>
      <c r="G103" s="64">
        <v>74.11</v>
      </c>
      <c r="H103" s="64">
        <v>28.73</v>
      </c>
      <c r="I103" s="64">
        <v>1.5</v>
      </c>
      <c r="J103" s="64">
        <v>0.14000000000000001</v>
      </c>
      <c r="K103" s="64">
        <v>296.91000000000003</v>
      </c>
      <c r="L103" s="64">
        <v>20.260000000000002</v>
      </c>
      <c r="M103" s="64">
        <v>78.2</v>
      </c>
      <c r="N103" s="64">
        <v>64.8</v>
      </c>
      <c r="O103" s="64">
        <v>0</v>
      </c>
      <c r="P103" s="64">
        <v>0.99</v>
      </c>
      <c r="Q103" s="64">
        <v>8.56</v>
      </c>
      <c r="R103" s="198"/>
      <c r="S103" s="198"/>
      <c r="T103" s="198"/>
      <c r="U103" s="198"/>
    </row>
    <row r="104" spans="1:33" s="12" customFormat="1" x14ac:dyDescent="0.25">
      <c r="A104" s="213" t="s">
        <v>726</v>
      </c>
      <c r="B104" s="64">
        <v>24.25</v>
      </c>
      <c r="C104" s="64">
        <v>59.58</v>
      </c>
      <c r="D104" s="64">
        <v>52.97</v>
      </c>
      <c r="E104" s="64">
        <v>0.23</v>
      </c>
      <c r="F104" s="64">
        <v>2.89</v>
      </c>
      <c r="G104" s="64">
        <v>71.19</v>
      </c>
      <c r="H104" s="64">
        <v>28.73</v>
      </c>
      <c r="I104" s="64">
        <v>1.4</v>
      </c>
      <c r="J104" s="64">
        <v>0.11</v>
      </c>
      <c r="K104" s="64">
        <v>308.02</v>
      </c>
      <c r="L104" s="64">
        <v>20.03</v>
      </c>
      <c r="M104" s="64">
        <v>80.790000000000006</v>
      </c>
      <c r="N104" s="64">
        <v>64.7</v>
      </c>
      <c r="O104" s="64">
        <v>0</v>
      </c>
      <c r="P104" s="64">
        <v>0.98</v>
      </c>
      <c r="Q104" s="64">
        <v>8.4499999999999993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1.33</v>
      </c>
      <c r="C106" s="67">
        <f>MIN(C9:C104)</f>
        <v>45.16</v>
      </c>
      <c r="D106" s="67">
        <f t="shared" ref="D106:Q106" si="0">MIN(D9:D104)</f>
        <v>29.49</v>
      </c>
      <c r="E106" s="67">
        <f t="shared" si="0"/>
        <v>7.0000000000000007E-2</v>
      </c>
      <c r="F106" s="67">
        <f t="shared" si="0"/>
        <v>2.73</v>
      </c>
      <c r="G106" s="67">
        <f t="shared" si="0"/>
        <v>32.119999999999997</v>
      </c>
      <c r="H106" s="67">
        <f t="shared" si="0"/>
        <v>15.24</v>
      </c>
      <c r="I106" s="67">
        <f t="shared" si="0"/>
        <v>1.39</v>
      </c>
      <c r="J106" s="67">
        <f t="shared" si="0"/>
        <v>0.01</v>
      </c>
      <c r="K106" s="67">
        <f t="shared" si="0"/>
        <v>0.37</v>
      </c>
      <c r="L106" s="67">
        <f t="shared" si="0"/>
        <v>14.76</v>
      </c>
      <c r="M106" s="67">
        <f t="shared" si="0"/>
        <v>30.54</v>
      </c>
      <c r="N106" s="67">
        <f t="shared" si="0"/>
        <v>63.4</v>
      </c>
      <c r="O106" s="67">
        <f t="shared" si="0"/>
        <v>0</v>
      </c>
      <c r="P106" s="67">
        <f t="shared" si="0"/>
        <v>0.42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101.36</v>
      </c>
      <c r="C107" s="66">
        <f t="shared" ref="C107:Q107" si="1">MAX(C9:C104)</f>
        <v>73.069999999999993</v>
      </c>
      <c r="D107" s="66">
        <f t="shared" si="1"/>
        <v>120.94</v>
      </c>
      <c r="E107" s="66">
        <f t="shared" si="1"/>
        <v>0.46</v>
      </c>
      <c r="F107" s="66">
        <f t="shared" si="1"/>
        <v>16.96</v>
      </c>
      <c r="G107" s="66">
        <f t="shared" si="1"/>
        <v>91.14</v>
      </c>
      <c r="H107" s="66">
        <f t="shared" si="1"/>
        <v>35.51</v>
      </c>
      <c r="I107" s="66">
        <f t="shared" si="1"/>
        <v>1.58</v>
      </c>
      <c r="J107" s="66">
        <f t="shared" si="1"/>
        <v>1.07</v>
      </c>
      <c r="K107" s="66">
        <f t="shared" si="1"/>
        <v>358.56</v>
      </c>
      <c r="L107" s="66">
        <f t="shared" si="1"/>
        <v>31.66</v>
      </c>
      <c r="M107" s="66">
        <f t="shared" si="1"/>
        <v>89.36</v>
      </c>
      <c r="N107" s="66">
        <f t="shared" si="1"/>
        <v>807.5</v>
      </c>
      <c r="O107" s="66">
        <f t="shared" si="1"/>
        <v>0</v>
      </c>
      <c r="P107" s="66">
        <f t="shared" si="1"/>
        <v>1.5</v>
      </c>
      <c r="Q107" s="66">
        <f t="shared" si="1"/>
        <v>15.71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28.566979166666687</v>
      </c>
      <c r="C108" s="67">
        <f t="shared" ref="C108:Q108" si="2">AVERAGE(C9:C104)</f>
        <v>60.99687500000001</v>
      </c>
      <c r="D108" s="67">
        <f t="shared" si="2"/>
        <v>57.217395833333342</v>
      </c>
      <c r="E108" s="67">
        <f t="shared" si="2"/>
        <v>0.21281250000000007</v>
      </c>
      <c r="F108" s="67">
        <f t="shared" si="2"/>
        <v>4.3139583333333347</v>
      </c>
      <c r="G108" s="67">
        <f t="shared" si="2"/>
        <v>60.048958333333324</v>
      </c>
      <c r="H108" s="67">
        <f t="shared" si="2"/>
        <v>23.427083333333329</v>
      </c>
      <c r="I108" s="67">
        <f t="shared" si="2"/>
        <v>1.4961458333333335</v>
      </c>
      <c r="J108" s="67">
        <f t="shared" si="2"/>
        <v>0.19927083333333329</v>
      </c>
      <c r="K108" s="67">
        <f t="shared" si="2"/>
        <v>231.17937499999996</v>
      </c>
      <c r="L108" s="67">
        <f t="shared" si="2"/>
        <v>22.524583333333339</v>
      </c>
      <c r="M108" s="67">
        <f t="shared" si="2"/>
        <v>59.308958333333351</v>
      </c>
      <c r="N108" s="67">
        <f t="shared" si="2"/>
        <v>249.33854166666663</v>
      </c>
      <c r="O108" s="67">
        <f t="shared" si="2"/>
        <v>0</v>
      </c>
      <c r="P108" s="67">
        <f t="shared" si="2"/>
        <v>0.80750000000000022</v>
      </c>
      <c r="Q108" s="67">
        <f t="shared" si="2"/>
        <v>8.7235416666666747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26.68160671875474</v>
      </c>
      <c r="C109" s="67">
        <f t="shared" ref="C109:Q109" si="3">STDEV(C9:C104)</f>
        <v>5.5420728237917016</v>
      </c>
      <c r="D109" s="67">
        <f t="shared" si="3"/>
        <v>22.526552344185898</v>
      </c>
      <c r="E109" s="67">
        <f t="shared" si="3"/>
        <v>9.2117809295888323E-2</v>
      </c>
      <c r="F109" s="67">
        <f t="shared" si="3"/>
        <v>2.3319594106635808</v>
      </c>
      <c r="G109" s="67">
        <f t="shared" si="3"/>
        <v>15.057473645592813</v>
      </c>
      <c r="H109" s="67">
        <f t="shared" si="3"/>
        <v>4.3728338196226222</v>
      </c>
      <c r="I109" s="67">
        <f t="shared" si="3"/>
        <v>3.7483183363846269E-2</v>
      </c>
      <c r="J109" s="67">
        <f t="shared" si="3"/>
        <v>0.1686993263747614</v>
      </c>
      <c r="K109" s="67">
        <f t="shared" si="3"/>
        <v>111.10953975635239</v>
      </c>
      <c r="L109" s="67">
        <f t="shared" si="3"/>
        <v>5.4136171226710355</v>
      </c>
      <c r="M109" s="67">
        <f t="shared" si="3"/>
        <v>18.420757255087956</v>
      </c>
      <c r="N109" s="67">
        <f t="shared" si="3"/>
        <v>270.46256998346627</v>
      </c>
      <c r="O109" s="67">
        <f t="shared" si="3"/>
        <v>0</v>
      </c>
      <c r="P109" s="67">
        <f t="shared" si="3"/>
        <v>0.23432321357699981</v>
      </c>
      <c r="Q109" s="67">
        <f t="shared" si="3"/>
        <v>2.742681353852805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727</v>
      </c>
      <c r="B9" s="64">
        <v>23.43</v>
      </c>
      <c r="C9" s="64">
        <v>59.58</v>
      </c>
      <c r="D9" s="64">
        <v>52.32</v>
      </c>
      <c r="E9" s="64">
        <v>0.33</v>
      </c>
      <c r="F9" s="64">
        <v>3.04</v>
      </c>
      <c r="G9" s="64">
        <v>71.19</v>
      </c>
      <c r="H9" s="64">
        <v>28.73</v>
      </c>
      <c r="I9" s="64">
        <v>1.48</v>
      </c>
      <c r="J9" s="64">
        <v>0.28000000000000003</v>
      </c>
      <c r="K9" s="64">
        <v>153.1</v>
      </c>
      <c r="L9" s="64">
        <v>20.059999999999999</v>
      </c>
      <c r="M9" s="64">
        <v>79.53</v>
      </c>
      <c r="N9" s="64">
        <v>64.099999999999994</v>
      </c>
      <c r="O9" s="64">
        <v>0</v>
      </c>
      <c r="P9" s="64">
        <v>0.96</v>
      </c>
      <c r="Q9" s="64">
        <v>8.39</v>
      </c>
      <c r="R9" s="198"/>
      <c r="S9" s="198"/>
      <c r="T9" s="198"/>
      <c r="U9" s="198"/>
    </row>
    <row r="10" spans="1:21" s="12" customFormat="1" x14ac:dyDescent="0.25">
      <c r="A10" s="213" t="s">
        <v>728</v>
      </c>
      <c r="B10" s="64">
        <v>21.74</v>
      </c>
      <c r="C10" s="64">
        <v>58.84</v>
      </c>
      <c r="D10" s="64">
        <v>50.55</v>
      </c>
      <c r="E10" s="64">
        <v>0.35</v>
      </c>
      <c r="F10" s="64">
        <v>3.11</v>
      </c>
      <c r="G10" s="64">
        <v>71.19</v>
      </c>
      <c r="H10" s="64">
        <v>28.73</v>
      </c>
      <c r="I10" s="64">
        <v>1.53</v>
      </c>
      <c r="J10" s="64">
        <v>0.09</v>
      </c>
      <c r="K10" s="64">
        <v>160.16999999999999</v>
      </c>
      <c r="L10" s="64">
        <v>20.28</v>
      </c>
      <c r="M10" s="64">
        <v>77.83</v>
      </c>
      <c r="N10" s="64">
        <v>64.5</v>
      </c>
      <c r="O10" s="64">
        <v>0</v>
      </c>
      <c r="P10" s="64">
        <v>0.91</v>
      </c>
      <c r="Q10" s="64">
        <v>8.34</v>
      </c>
      <c r="R10" s="198"/>
      <c r="S10" s="198"/>
      <c r="T10" s="198"/>
      <c r="U10" s="198"/>
    </row>
    <row r="11" spans="1:21" s="12" customFormat="1" x14ac:dyDescent="0.25">
      <c r="A11" s="213" t="s">
        <v>729</v>
      </c>
      <c r="B11" s="64">
        <v>19.989999999999998</v>
      </c>
      <c r="C11" s="64">
        <v>57.92</v>
      </c>
      <c r="D11" s="64">
        <v>48.64</v>
      </c>
      <c r="E11" s="64">
        <v>0.32</v>
      </c>
      <c r="F11" s="64">
        <v>3.05</v>
      </c>
      <c r="G11" s="64">
        <v>65.400000000000006</v>
      </c>
      <c r="H11" s="64">
        <v>25.71</v>
      </c>
      <c r="I11" s="64">
        <v>1.45</v>
      </c>
      <c r="J11" s="64">
        <v>0.05</v>
      </c>
      <c r="K11" s="64">
        <v>229.32</v>
      </c>
      <c r="L11" s="64">
        <v>20.059999999999999</v>
      </c>
      <c r="M11" s="64">
        <v>79.61</v>
      </c>
      <c r="N11" s="64">
        <v>64.599999999999994</v>
      </c>
      <c r="O11" s="64">
        <v>0</v>
      </c>
      <c r="P11" s="64">
        <v>0.88</v>
      </c>
      <c r="Q11" s="64">
        <v>8.25</v>
      </c>
      <c r="R11" s="198"/>
      <c r="S11" s="198"/>
      <c r="T11" s="198"/>
      <c r="U11" s="198"/>
    </row>
    <row r="12" spans="1:21" s="12" customFormat="1" x14ac:dyDescent="0.25">
      <c r="A12" s="213" t="s">
        <v>730</v>
      </c>
      <c r="B12" s="64">
        <v>18.43</v>
      </c>
      <c r="C12" s="64">
        <v>57.44</v>
      </c>
      <c r="D12" s="64">
        <v>47.13</v>
      </c>
      <c r="E12" s="64">
        <v>0.33</v>
      </c>
      <c r="F12" s="64">
        <v>3.07</v>
      </c>
      <c r="G12" s="64">
        <v>63.85</v>
      </c>
      <c r="H12" s="64">
        <v>25.71</v>
      </c>
      <c r="I12" s="64">
        <v>1.54</v>
      </c>
      <c r="J12" s="64">
        <v>0.15</v>
      </c>
      <c r="K12" s="64">
        <v>316.67</v>
      </c>
      <c r="L12" s="64">
        <v>19.899999999999999</v>
      </c>
      <c r="M12" s="64">
        <v>80.78</v>
      </c>
      <c r="N12" s="64">
        <v>64.599999999999994</v>
      </c>
      <c r="O12" s="64">
        <v>0</v>
      </c>
      <c r="P12" s="64">
        <v>0.85</v>
      </c>
      <c r="Q12" s="64">
        <v>8.07</v>
      </c>
      <c r="R12" s="198"/>
      <c r="S12" s="198"/>
      <c r="T12" s="198"/>
      <c r="U12" s="198"/>
    </row>
    <row r="13" spans="1:21" s="12" customFormat="1" x14ac:dyDescent="0.25">
      <c r="A13" s="213" t="s">
        <v>731</v>
      </c>
      <c r="B13" s="64">
        <v>17.14</v>
      </c>
      <c r="C13" s="64">
        <v>56.87</v>
      </c>
      <c r="D13" s="64">
        <v>45.78</v>
      </c>
      <c r="E13" s="64">
        <v>0.32</v>
      </c>
      <c r="F13" s="64">
        <v>2.99</v>
      </c>
      <c r="G13" s="64">
        <v>63.85</v>
      </c>
      <c r="H13" s="64">
        <v>25.71</v>
      </c>
      <c r="I13" s="64">
        <v>1.55</v>
      </c>
      <c r="J13" s="64">
        <v>0.08</v>
      </c>
      <c r="K13" s="64">
        <v>292.77</v>
      </c>
      <c r="L13" s="64">
        <v>19.77</v>
      </c>
      <c r="M13" s="64">
        <v>81.02</v>
      </c>
      <c r="N13" s="64">
        <v>64.599999999999994</v>
      </c>
      <c r="O13" s="64">
        <v>0</v>
      </c>
      <c r="P13" s="64">
        <v>0.8</v>
      </c>
      <c r="Q13" s="64">
        <v>7.94</v>
      </c>
      <c r="R13" s="198"/>
      <c r="S13" s="198"/>
      <c r="T13" s="198"/>
      <c r="U13" s="198"/>
    </row>
    <row r="14" spans="1:21" s="12" customFormat="1" x14ac:dyDescent="0.25">
      <c r="A14" s="213" t="s">
        <v>732</v>
      </c>
      <c r="B14" s="64">
        <v>15.78</v>
      </c>
      <c r="C14" s="64">
        <v>55.99</v>
      </c>
      <c r="D14" s="64">
        <v>44.2</v>
      </c>
      <c r="E14" s="64">
        <v>0.37</v>
      </c>
      <c r="F14" s="64">
        <v>3.08</v>
      </c>
      <c r="G14" s="64">
        <v>63.85</v>
      </c>
      <c r="H14" s="64">
        <v>25.71</v>
      </c>
      <c r="I14" s="64">
        <v>1.47</v>
      </c>
      <c r="J14" s="64">
        <v>0.01</v>
      </c>
      <c r="K14" s="64">
        <v>272.69</v>
      </c>
      <c r="L14" s="64">
        <v>19.62</v>
      </c>
      <c r="M14" s="64">
        <v>82</v>
      </c>
      <c r="N14" s="64">
        <v>64.5</v>
      </c>
      <c r="O14" s="64">
        <v>0</v>
      </c>
      <c r="P14" s="64">
        <v>0.79</v>
      </c>
      <c r="Q14" s="64">
        <v>7.77</v>
      </c>
      <c r="R14" s="198"/>
      <c r="S14" s="198"/>
      <c r="T14" s="198"/>
      <c r="U14" s="198"/>
    </row>
    <row r="15" spans="1:21" s="12" customFormat="1" x14ac:dyDescent="0.25">
      <c r="A15" s="213" t="s">
        <v>733</v>
      </c>
      <c r="B15" s="64">
        <v>14.44</v>
      </c>
      <c r="C15" s="64">
        <v>55.37</v>
      </c>
      <c r="D15" s="64">
        <v>42.79</v>
      </c>
      <c r="E15" s="64">
        <v>0.3</v>
      </c>
      <c r="F15" s="64">
        <v>3.28</v>
      </c>
      <c r="G15" s="64">
        <v>54.61</v>
      </c>
      <c r="H15" s="64">
        <v>23.7</v>
      </c>
      <c r="I15" s="64">
        <v>1.52</v>
      </c>
      <c r="J15" s="64">
        <v>0.05</v>
      </c>
      <c r="K15" s="64">
        <v>225.56</v>
      </c>
      <c r="L15" s="64">
        <v>19.579999999999998</v>
      </c>
      <c r="M15" s="64">
        <v>81.72</v>
      </c>
      <c r="N15" s="64">
        <v>64.3</v>
      </c>
      <c r="O15" s="64">
        <v>0</v>
      </c>
      <c r="P15" s="64">
        <v>0.77</v>
      </c>
      <c r="Q15" s="64">
        <v>7.7</v>
      </c>
      <c r="R15" s="198"/>
      <c r="S15" s="198"/>
      <c r="T15" s="198"/>
      <c r="U15" s="198"/>
    </row>
    <row r="16" spans="1:21" s="12" customFormat="1" x14ac:dyDescent="0.25">
      <c r="A16" s="213" t="s">
        <v>734</v>
      </c>
      <c r="B16" s="64">
        <v>13.18</v>
      </c>
      <c r="C16" s="64">
        <v>54.77</v>
      </c>
      <c r="D16" s="64">
        <v>41.44</v>
      </c>
      <c r="E16" s="64">
        <v>0.28000000000000003</v>
      </c>
      <c r="F16" s="64">
        <v>3.23</v>
      </c>
      <c r="G16" s="64">
        <v>52.13</v>
      </c>
      <c r="H16" s="64">
        <v>23.7</v>
      </c>
      <c r="I16" s="64">
        <v>1.46</v>
      </c>
      <c r="J16" s="64">
        <v>0.05</v>
      </c>
      <c r="K16" s="64">
        <v>201.38</v>
      </c>
      <c r="L16" s="64">
        <v>19.510000000000002</v>
      </c>
      <c r="M16" s="64">
        <v>81.41</v>
      </c>
      <c r="N16" s="64">
        <v>64.400000000000006</v>
      </c>
      <c r="O16" s="64">
        <v>0</v>
      </c>
      <c r="P16" s="64">
        <v>0.74</v>
      </c>
      <c r="Q16" s="64">
        <v>7.62</v>
      </c>
      <c r="R16" s="198"/>
      <c r="S16" s="198"/>
      <c r="T16" s="198"/>
      <c r="U16" s="198"/>
    </row>
    <row r="17" spans="1:21" s="12" customFormat="1" x14ac:dyDescent="0.25">
      <c r="A17" s="213" t="s">
        <v>735</v>
      </c>
      <c r="B17" s="64">
        <v>12.04</v>
      </c>
      <c r="C17" s="64">
        <v>53.96</v>
      </c>
      <c r="D17" s="64">
        <v>40.08</v>
      </c>
      <c r="E17" s="64">
        <v>0.32</v>
      </c>
      <c r="F17" s="64">
        <v>3.19</v>
      </c>
      <c r="G17" s="64">
        <v>52.13</v>
      </c>
      <c r="H17" s="64">
        <v>23.7</v>
      </c>
      <c r="I17" s="64">
        <v>1.53</v>
      </c>
      <c r="J17" s="64">
        <v>0.06</v>
      </c>
      <c r="K17" s="64">
        <v>190.05</v>
      </c>
      <c r="L17" s="64">
        <v>19.2</v>
      </c>
      <c r="M17" s="64">
        <v>82.94</v>
      </c>
      <c r="N17" s="64">
        <v>64.599999999999994</v>
      </c>
      <c r="O17" s="64">
        <v>0</v>
      </c>
      <c r="P17" s="64">
        <v>0.71</v>
      </c>
      <c r="Q17" s="64">
        <v>7.48</v>
      </c>
      <c r="R17" s="198"/>
      <c r="S17" s="198"/>
      <c r="T17" s="198"/>
      <c r="U17" s="198"/>
    </row>
    <row r="18" spans="1:21" s="12" customFormat="1" x14ac:dyDescent="0.25">
      <c r="A18" s="213" t="s">
        <v>736</v>
      </c>
      <c r="B18" s="64">
        <v>10.99</v>
      </c>
      <c r="C18" s="64">
        <v>53.17</v>
      </c>
      <c r="D18" s="64">
        <v>38.799999999999997</v>
      </c>
      <c r="E18" s="64">
        <v>0.26</v>
      </c>
      <c r="F18" s="64">
        <v>3.11</v>
      </c>
      <c r="G18" s="64">
        <v>52.13</v>
      </c>
      <c r="H18" s="64">
        <v>23.7</v>
      </c>
      <c r="I18" s="64">
        <v>1.57</v>
      </c>
      <c r="J18" s="64">
        <v>0.06</v>
      </c>
      <c r="K18" s="64">
        <v>230.58</v>
      </c>
      <c r="L18" s="64">
        <v>18.93</v>
      </c>
      <c r="M18" s="64">
        <v>85.14</v>
      </c>
      <c r="N18" s="64">
        <v>64.7</v>
      </c>
      <c r="O18" s="64">
        <v>0</v>
      </c>
      <c r="P18" s="64">
        <v>0.69</v>
      </c>
      <c r="Q18" s="64">
        <v>7.33</v>
      </c>
      <c r="R18" s="198"/>
      <c r="S18" s="198"/>
      <c r="T18" s="198"/>
      <c r="U18" s="198"/>
    </row>
    <row r="19" spans="1:21" s="12" customFormat="1" x14ac:dyDescent="0.25">
      <c r="A19" s="213" t="s">
        <v>737</v>
      </c>
      <c r="B19" s="64">
        <v>10.32</v>
      </c>
      <c r="C19" s="64">
        <v>52.88</v>
      </c>
      <c r="D19" s="64">
        <v>38.11</v>
      </c>
      <c r="E19" s="64">
        <v>0.31</v>
      </c>
      <c r="F19" s="64">
        <v>3.17</v>
      </c>
      <c r="G19" s="64">
        <v>53.78</v>
      </c>
      <c r="H19" s="64">
        <v>22.14</v>
      </c>
      <c r="I19" s="64">
        <v>1.52</v>
      </c>
      <c r="J19" s="64">
        <v>0.16</v>
      </c>
      <c r="K19" s="64">
        <v>167.95</v>
      </c>
      <c r="L19" s="64">
        <v>18.72</v>
      </c>
      <c r="M19" s="64">
        <v>86.55</v>
      </c>
      <c r="N19" s="64">
        <v>64.5</v>
      </c>
      <c r="O19" s="64">
        <v>0</v>
      </c>
      <c r="P19" s="64">
        <v>0.66</v>
      </c>
      <c r="Q19" s="64">
        <v>7.29</v>
      </c>
      <c r="R19" s="198"/>
      <c r="S19" s="198"/>
      <c r="T19" s="198"/>
      <c r="U19" s="198"/>
    </row>
    <row r="20" spans="1:21" s="12" customFormat="1" x14ac:dyDescent="0.25">
      <c r="A20" s="213" t="s">
        <v>738</v>
      </c>
      <c r="B20" s="64">
        <v>10.29</v>
      </c>
      <c r="C20" s="64">
        <v>54.41</v>
      </c>
      <c r="D20" s="64">
        <v>38.93</v>
      </c>
      <c r="E20" s="64">
        <v>0.31</v>
      </c>
      <c r="F20" s="64">
        <v>3.57</v>
      </c>
      <c r="G20" s="64">
        <v>54.22</v>
      </c>
      <c r="H20" s="64">
        <v>22.14</v>
      </c>
      <c r="I20" s="64">
        <v>1.37</v>
      </c>
      <c r="J20" s="64">
        <v>0.15</v>
      </c>
      <c r="K20" s="64">
        <v>159.97999999999999</v>
      </c>
      <c r="L20" s="64">
        <v>18.66</v>
      </c>
      <c r="M20" s="64">
        <v>86.7</v>
      </c>
      <c r="N20" s="64">
        <v>64.400000000000006</v>
      </c>
      <c r="O20" s="64">
        <v>0</v>
      </c>
      <c r="P20" s="64">
        <v>0.64</v>
      </c>
      <c r="Q20" s="64">
        <v>7.3</v>
      </c>
      <c r="R20" s="198"/>
      <c r="S20" s="198"/>
      <c r="T20" s="198"/>
      <c r="U20" s="198"/>
    </row>
    <row r="21" spans="1:21" s="12" customFormat="1" x14ac:dyDescent="0.25">
      <c r="A21" s="213" t="s">
        <v>739</v>
      </c>
      <c r="B21" s="64">
        <v>10.52</v>
      </c>
      <c r="C21" s="64">
        <v>54.45</v>
      </c>
      <c r="D21" s="64">
        <v>39.130000000000003</v>
      </c>
      <c r="E21" s="64">
        <v>0.3</v>
      </c>
      <c r="F21" s="64">
        <v>3.29</v>
      </c>
      <c r="G21" s="64">
        <v>54.22</v>
      </c>
      <c r="H21" s="64">
        <v>22.14</v>
      </c>
      <c r="I21" s="64">
        <v>1.52</v>
      </c>
      <c r="J21" s="64">
        <v>0.05</v>
      </c>
      <c r="K21" s="64">
        <v>278.7</v>
      </c>
      <c r="L21" s="64">
        <v>18.54</v>
      </c>
      <c r="M21" s="64">
        <v>87.81</v>
      </c>
      <c r="N21" s="64">
        <v>64.8</v>
      </c>
      <c r="O21" s="64">
        <v>0</v>
      </c>
      <c r="P21" s="64">
        <v>0.62</v>
      </c>
      <c r="Q21" s="64">
        <v>7.34</v>
      </c>
      <c r="R21" s="198"/>
      <c r="S21" s="198"/>
      <c r="T21" s="198"/>
      <c r="U21" s="198"/>
    </row>
    <row r="22" spans="1:21" s="12" customFormat="1" x14ac:dyDescent="0.25">
      <c r="A22" s="213" t="s">
        <v>740</v>
      </c>
      <c r="B22" s="64">
        <v>11.12</v>
      </c>
      <c r="C22" s="64">
        <v>54.35</v>
      </c>
      <c r="D22" s="64">
        <v>39.549999999999997</v>
      </c>
      <c r="E22" s="64">
        <v>0.3</v>
      </c>
      <c r="F22" s="64">
        <v>3.38</v>
      </c>
      <c r="G22" s="64">
        <v>54.22</v>
      </c>
      <c r="H22" s="64">
        <v>22.14</v>
      </c>
      <c r="I22" s="64">
        <v>1.45</v>
      </c>
      <c r="J22" s="64">
        <v>0.1</v>
      </c>
      <c r="K22" s="64">
        <v>299.83999999999997</v>
      </c>
      <c r="L22" s="64">
        <v>18.190000000000001</v>
      </c>
      <c r="M22" s="64">
        <v>90.44</v>
      </c>
      <c r="N22" s="64">
        <v>64.7</v>
      </c>
      <c r="O22" s="64">
        <v>0</v>
      </c>
      <c r="P22" s="64">
        <v>0.61</v>
      </c>
      <c r="Q22" s="64">
        <v>7.39</v>
      </c>
      <c r="R22" s="198"/>
      <c r="S22" s="198"/>
      <c r="T22" s="198"/>
      <c r="U22" s="198"/>
    </row>
    <row r="23" spans="1:21" s="12" customFormat="1" x14ac:dyDescent="0.25">
      <c r="A23" s="213" t="s">
        <v>741</v>
      </c>
      <c r="B23" s="64">
        <v>12.08</v>
      </c>
      <c r="C23" s="64">
        <v>54.82</v>
      </c>
      <c r="D23" s="64">
        <v>40.590000000000003</v>
      </c>
      <c r="E23" s="64">
        <v>0.25</v>
      </c>
      <c r="F23" s="64">
        <v>3.27</v>
      </c>
      <c r="G23" s="64">
        <v>51.92</v>
      </c>
      <c r="H23" s="64">
        <v>22.75</v>
      </c>
      <c r="I23" s="64">
        <v>1.57</v>
      </c>
      <c r="J23" s="64">
        <v>0.03</v>
      </c>
      <c r="K23" s="64">
        <v>309.45999999999998</v>
      </c>
      <c r="L23" s="64">
        <v>17.89</v>
      </c>
      <c r="M23" s="64">
        <v>92.35</v>
      </c>
      <c r="N23" s="64">
        <v>64.900000000000006</v>
      </c>
      <c r="O23" s="64">
        <v>0</v>
      </c>
      <c r="P23" s="64">
        <v>0.6</v>
      </c>
      <c r="Q23" s="64">
        <v>7.52</v>
      </c>
      <c r="R23" s="198"/>
      <c r="S23" s="198"/>
      <c r="T23" s="198"/>
      <c r="U23" s="198"/>
    </row>
    <row r="24" spans="1:21" s="12" customFormat="1" x14ac:dyDescent="0.25">
      <c r="A24" s="213" t="s">
        <v>742</v>
      </c>
      <c r="B24" s="64">
        <v>13.13</v>
      </c>
      <c r="C24" s="64">
        <v>54.69</v>
      </c>
      <c r="D24" s="64">
        <v>41.36</v>
      </c>
      <c r="E24" s="64">
        <v>0.02</v>
      </c>
      <c r="F24" s="64">
        <v>3.39</v>
      </c>
      <c r="G24" s="64">
        <v>51.3</v>
      </c>
      <c r="H24" s="64">
        <v>22.75</v>
      </c>
      <c r="I24" s="64">
        <v>1.56</v>
      </c>
      <c r="J24" s="64">
        <v>0.02</v>
      </c>
      <c r="K24" s="64">
        <v>66.36</v>
      </c>
      <c r="L24" s="64">
        <v>17.760000000000002</v>
      </c>
      <c r="M24" s="64">
        <v>93.91</v>
      </c>
      <c r="N24" s="64">
        <v>64.7</v>
      </c>
      <c r="O24" s="64">
        <v>0</v>
      </c>
      <c r="P24" s="64">
        <v>0.59</v>
      </c>
      <c r="Q24" s="64">
        <v>7.6</v>
      </c>
      <c r="R24" s="198"/>
      <c r="S24" s="198"/>
      <c r="T24" s="198"/>
      <c r="U24" s="198"/>
    </row>
    <row r="25" spans="1:21" s="12" customFormat="1" x14ac:dyDescent="0.25">
      <c r="A25" s="213" t="s">
        <v>743</v>
      </c>
      <c r="B25" s="64">
        <v>14.46</v>
      </c>
      <c r="C25" s="64">
        <v>54.81</v>
      </c>
      <c r="D25" s="64">
        <v>42.49</v>
      </c>
      <c r="E25" s="64">
        <v>0.06</v>
      </c>
      <c r="F25" s="64">
        <v>3.2</v>
      </c>
      <c r="G25" s="64">
        <v>51.3</v>
      </c>
      <c r="H25" s="64">
        <v>22.75</v>
      </c>
      <c r="I25" s="64">
        <v>1.55</v>
      </c>
      <c r="J25" s="64">
        <v>0.11</v>
      </c>
      <c r="K25" s="64">
        <v>312.72000000000003</v>
      </c>
      <c r="L25" s="64">
        <v>17.72</v>
      </c>
      <c r="M25" s="64">
        <v>95.23</v>
      </c>
      <c r="N25" s="64">
        <v>64.7</v>
      </c>
      <c r="O25" s="64">
        <v>0</v>
      </c>
      <c r="P25" s="64">
        <v>0.59</v>
      </c>
      <c r="Q25" s="64">
        <v>7.67</v>
      </c>
      <c r="R25" s="198"/>
      <c r="S25" s="198"/>
      <c r="T25" s="198"/>
      <c r="U25" s="198"/>
    </row>
    <row r="26" spans="1:21" s="12" customFormat="1" x14ac:dyDescent="0.25">
      <c r="A26" s="213" t="s">
        <v>744</v>
      </c>
      <c r="B26" s="64">
        <v>16.39</v>
      </c>
      <c r="C26" s="64">
        <v>54.88</v>
      </c>
      <c r="D26" s="64">
        <v>44.08</v>
      </c>
      <c r="E26" s="64">
        <v>0.18</v>
      </c>
      <c r="F26" s="64">
        <v>3.06</v>
      </c>
      <c r="G26" s="64">
        <v>51.3</v>
      </c>
      <c r="H26" s="64">
        <v>22.75</v>
      </c>
      <c r="I26" s="64">
        <v>1.57</v>
      </c>
      <c r="J26" s="64">
        <v>0.06</v>
      </c>
      <c r="K26" s="64">
        <v>227.11</v>
      </c>
      <c r="L26" s="64">
        <v>17.7</v>
      </c>
      <c r="M26" s="64">
        <v>95.6</v>
      </c>
      <c r="N26" s="64">
        <v>64.599999999999994</v>
      </c>
      <c r="O26" s="64">
        <v>0</v>
      </c>
      <c r="P26" s="64">
        <v>0.59</v>
      </c>
      <c r="Q26" s="64">
        <v>7.79</v>
      </c>
      <c r="R26" s="198"/>
      <c r="S26" s="198"/>
      <c r="T26" s="198"/>
      <c r="U26" s="198"/>
    </row>
    <row r="27" spans="1:21" s="12" customFormat="1" x14ac:dyDescent="0.25">
      <c r="A27" s="213" t="s">
        <v>745</v>
      </c>
      <c r="B27" s="64">
        <v>18.260000000000002</v>
      </c>
      <c r="C27" s="64">
        <v>54.95</v>
      </c>
      <c r="D27" s="64">
        <v>45.62</v>
      </c>
      <c r="E27" s="64">
        <v>0.17</v>
      </c>
      <c r="F27" s="64">
        <v>3.18</v>
      </c>
      <c r="G27" s="64">
        <v>58.01</v>
      </c>
      <c r="H27" s="64">
        <v>23.23</v>
      </c>
      <c r="I27" s="64">
        <v>1.47</v>
      </c>
      <c r="J27" s="64">
        <v>0.16</v>
      </c>
      <c r="K27" s="64">
        <v>343.36</v>
      </c>
      <c r="L27" s="64">
        <v>17.66</v>
      </c>
      <c r="M27" s="64">
        <v>96.15</v>
      </c>
      <c r="N27" s="64">
        <v>64.599999999999994</v>
      </c>
      <c r="O27" s="64">
        <v>0</v>
      </c>
      <c r="P27" s="64">
        <v>0.59</v>
      </c>
      <c r="Q27" s="64">
        <v>7.95</v>
      </c>
      <c r="R27" s="198"/>
      <c r="S27" s="198"/>
      <c r="T27" s="198"/>
      <c r="U27" s="198"/>
    </row>
    <row r="28" spans="1:21" s="12" customFormat="1" x14ac:dyDescent="0.25">
      <c r="A28" s="213" t="s">
        <v>746</v>
      </c>
      <c r="B28" s="64">
        <v>20.55</v>
      </c>
      <c r="C28" s="64">
        <v>54.83</v>
      </c>
      <c r="D28" s="64">
        <v>47.38</v>
      </c>
      <c r="E28" s="64">
        <v>0.2</v>
      </c>
      <c r="F28" s="64">
        <v>3.19</v>
      </c>
      <c r="G28" s="64">
        <v>59.81</v>
      </c>
      <c r="H28" s="64">
        <v>23.23</v>
      </c>
      <c r="I28" s="64">
        <v>1.51</v>
      </c>
      <c r="J28" s="64">
        <v>0.08</v>
      </c>
      <c r="K28" s="64">
        <v>110.14</v>
      </c>
      <c r="L28" s="64">
        <v>17.600000000000001</v>
      </c>
      <c r="M28" s="64">
        <v>97.84</v>
      </c>
      <c r="N28" s="64">
        <v>64.599999999999994</v>
      </c>
      <c r="O28" s="64">
        <v>0</v>
      </c>
      <c r="P28" s="64">
        <v>0.61</v>
      </c>
      <c r="Q28" s="64">
        <v>8.09</v>
      </c>
      <c r="R28" s="198"/>
      <c r="S28" s="198"/>
      <c r="T28" s="198"/>
      <c r="U28" s="198"/>
    </row>
    <row r="29" spans="1:21" s="12" customFormat="1" x14ac:dyDescent="0.25">
      <c r="A29" s="213" t="s">
        <v>747</v>
      </c>
      <c r="B29" s="64">
        <v>21.74</v>
      </c>
      <c r="C29" s="64">
        <v>54.96</v>
      </c>
      <c r="D29" s="64">
        <v>48.41</v>
      </c>
      <c r="E29" s="64">
        <v>0.15</v>
      </c>
      <c r="F29" s="64">
        <v>3.18</v>
      </c>
      <c r="G29" s="64">
        <v>59.81</v>
      </c>
      <c r="H29" s="64">
        <v>23.23</v>
      </c>
      <c r="I29" s="64">
        <v>1.56</v>
      </c>
      <c r="J29" s="64">
        <v>0.12</v>
      </c>
      <c r="K29" s="64">
        <v>343.29</v>
      </c>
      <c r="L29" s="64">
        <v>17.86</v>
      </c>
      <c r="M29" s="64">
        <v>95.4</v>
      </c>
      <c r="N29" s="64">
        <v>64.5</v>
      </c>
      <c r="O29" s="64">
        <v>0</v>
      </c>
      <c r="P29" s="64">
        <v>0.57999999999999996</v>
      </c>
      <c r="Q29" s="64">
        <v>8.23</v>
      </c>
      <c r="R29" s="198"/>
      <c r="S29" s="198"/>
      <c r="T29" s="198"/>
      <c r="U29" s="198"/>
    </row>
    <row r="30" spans="1:21" s="12" customFormat="1" x14ac:dyDescent="0.25">
      <c r="A30" s="213" t="s">
        <v>748</v>
      </c>
      <c r="B30" s="64">
        <v>22.51</v>
      </c>
      <c r="C30" s="64">
        <v>54.69</v>
      </c>
      <c r="D30" s="64">
        <v>48.88</v>
      </c>
      <c r="E30" s="64">
        <v>0.14000000000000001</v>
      </c>
      <c r="F30" s="64">
        <v>3.08</v>
      </c>
      <c r="G30" s="64">
        <v>59.81</v>
      </c>
      <c r="H30" s="64">
        <v>23.23</v>
      </c>
      <c r="I30" s="64">
        <v>1.5</v>
      </c>
      <c r="J30" s="64">
        <v>0.08</v>
      </c>
      <c r="K30" s="64">
        <v>342.84</v>
      </c>
      <c r="L30" s="64">
        <v>17.920000000000002</v>
      </c>
      <c r="M30" s="64">
        <v>94.59</v>
      </c>
      <c r="N30" s="64">
        <v>64.5</v>
      </c>
      <c r="O30" s="64">
        <v>0</v>
      </c>
      <c r="P30" s="64">
        <v>0.57999999999999996</v>
      </c>
      <c r="Q30" s="64">
        <v>8.32</v>
      </c>
      <c r="R30" s="198"/>
      <c r="S30" s="198"/>
      <c r="T30" s="198"/>
      <c r="U30" s="198"/>
    </row>
    <row r="31" spans="1:21" s="12" customFormat="1" x14ac:dyDescent="0.25">
      <c r="A31" s="213" t="s">
        <v>749</v>
      </c>
      <c r="B31" s="64">
        <v>23.27</v>
      </c>
      <c r="C31" s="64">
        <v>55.01</v>
      </c>
      <c r="D31" s="64">
        <v>49.66</v>
      </c>
      <c r="E31" s="64">
        <v>0.18</v>
      </c>
      <c r="F31" s="64">
        <v>3.08</v>
      </c>
      <c r="G31" s="64">
        <v>56.24</v>
      </c>
      <c r="H31" s="64">
        <v>22.33</v>
      </c>
      <c r="I31" s="64">
        <v>1.49</v>
      </c>
      <c r="J31" s="64">
        <v>7.0000000000000007E-2</v>
      </c>
      <c r="K31" s="64">
        <v>9.67</v>
      </c>
      <c r="L31" s="64">
        <v>18.059999999999999</v>
      </c>
      <c r="M31" s="64">
        <v>93.32</v>
      </c>
      <c r="N31" s="64">
        <v>64.400000000000006</v>
      </c>
      <c r="O31" s="64">
        <v>0</v>
      </c>
      <c r="P31" s="64">
        <v>0.57999999999999996</v>
      </c>
      <c r="Q31" s="64">
        <v>8.4</v>
      </c>
      <c r="R31" s="198"/>
      <c r="S31" s="198"/>
      <c r="T31" s="198"/>
      <c r="U31" s="198"/>
    </row>
    <row r="32" spans="1:21" s="12" customFormat="1" x14ac:dyDescent="0.25">
      <c r="A32" s="213" t="s">
        <v>750</v>
      </c>
      <c r="B32" s="64">
        <v>24.42</v>
      </c>
      <c r="C32" s="64">
        <v>53.71</v>
      </c>
      <c r="D32" s="64">
        <v>49.88</v>
      </c>
      <c r="E32" s="64">
        <v>0.15</v>
      </c>
      <c r="F32" s="64">
        <v>3.28</v>
      </c>
      <c r="G32" s="64">
        <v>55.29</v>
      </c>
      <c r="H32" s="64">
        <v>22.33</v>
      </c>
      <c r="I32" s="64">
        <v>1.51</v>
      </c>
      <c r="J32" s="64">
        <v>0.15</v>
      </c>
      <c r="K32" s="64">
        <v>71.27</v>
      </c>
      <c r="L32" s="64">
        <v>18.11</v>
      </c>
      <c r="M32" s="64">
        <v>93.68</v>
      </c>
      <c r="N32" s="64">
        <v>64.400000000000006</v>
      </c>
      <c r="O32" s="64">
        <v>0</v>
      </c>
      <c r="P32" s="64">
        <v>0.57999999999999996</v>
      </c>
      <c r="Q32" s="64">
        <v>8.51</v>
      </c>
      <c r="R32" s="198"/>
      <c r="S32" s="198"/>
      <c r="T32" s="198"/>
      <c r="U32" s="198"/>
    </row>
    <row r="33" spans="1:21" s="12" customFormat="1" x14ac:dyDescent="0.25">
      <c r="A33" s="213" t="s">
        <v>751</v>
      </c>
      <c r="B33" s="64">
        <v>25.13</v>
      </c>
      <c r="C33" s="64">
        <v>51.69</v>
      </c>
      <c r="D33" s="64">
        <v>49.32</v>
      </c>
      <c r="E33" s="64">
        <v>0.17</v>
      </c>
      <c r="F33" s="64">
        <v>3.32</v>
      </c>
      <c r="G33" s="64">
        <v>55.29</v>
      </c>
      <c r="H33" s="64">
        <v>22.33</v>
      </c>
      <c r="I33" s="64">
        <v>1.53</v>
      </c>
      <c r="J33" s="64">
        <v>0.09</v>
      </c>
      <c r="K33" s="64">
        <v>87.93</v>
      </c>
      <c r="L33" s="64">
        <v>18.12</v>
      </c>
      <c r="M33" s="64">
        <v>93.19</v>
      </c>
      <c r="N33" s="64">
        <v>64.8</v>
      </c>
      <c r="O33" s="64">
        <v>0</v>
      </c>
      <c r="P33" s="64">
        <v>0.59</v>
      </c>
      <c r="Q33" s="64">
        <v>8.4499999999999993</v>
      </c>
      <c r="R33" s="198"/>
      <c r="S33" s="198"/>
      <c r="T33" s="198"/>
      <c r="U33" s="198"/>
    </row>
    <row r="34" spans="1:21" s="12" customFormat="1" x14ac:dyDescent="0.25">
      <c r="A34" s="213" t="s">
        <v>752</v>
      </c>
      <c r="B34" s="64">
        <v>25.94</v>
      </c>
      <c r="C34" s="64">
        <v>51.63</v>
      </c>
      <c r="D34" s="64">
        <v>49.94</v>
      </c>
      <c r="E34" s="64">
        <v>0.16</v>
      </c>
      <c r="F34" s="64">
        <v>3.16</v>
      </c>
      <c r="G34" s="64">
        <v>55.29</v>
      </c>
      <c r="H34" s="64">
        <v>22.33</v>
      </c>
      <c r="I34" s="64">
        <v>1.56</v>
      </c>
      <c r="J34" s="64">
        <v>0.05</v>
      </c>
      <c r="K34" s="64">
        <v>242.72</v>
      </c>
      <c r="L34" s="64">
        <v>17.98</v>
      </c>
      <c r="M34" s="64">
        <v>95.36</v>
      </c>
      <c r="N34" s="64">
        <v>66.099999999999994</v>
      </c>
      <c r="O34" s="64">
        <v>0</v>
      </c>
      <c r="P34" s="64">
        <v>0.59</v>
      </c>
      <c r="Q34" s="64">
        <v>8.42</v>
      </c>
      <c r="R34" s="198"/>
      <c r="S34" s="198"/>
      <c r="T34" s="198"/>
      <c r="U34" s="198"/>
    </row>
    <row r="35" spans="1:21" s="12" customFormat="1" x14ac:dyDescent="0.25">
      <c r="A35" s="213" t="s">
        <v>753</v>
      </c>
      <c r="B35" s="64">
        <v>29.89</v>
      </c>
      <c r="C35" s="64">
        <v>52.56</v>
      </c>
      <c r="D35" s="64">
        <v>53.62</v>
      </c>
      <c r="E35" s="64">
        <v>0.23</v>
      </c>
      <c r="F35" s="64">
        <v>3.22</v>
      </c>
      <c r="G35" s="64">
        <v>76.52</v>
      </c>
      <c r="H35" s="64">
        <v>28.88</v>
      </c>
      <c r="I35" s="64">
        <v>1.54</v>
      </c>
      <c r="J35" s="64">
        <v>0.12</v>
      </c>
      <c r="K35" s="64">
        <v>259.63</v>
      </c>
      <c r="L35" s="64">
        <v>18.02</v>
      </c>
      <c r="M35" s="64">
        <v>96.31</v>
      </c>
      <c r="N35" s="64">
        <v>72.2</v>
      </c>
      <c r="O35" s="64">
        <v>0</v>
      </c>
      <c r="P35" s="64">
        <v>0.61</v>
      </c>
      <c r="Q35" s="64">
        <v>8.5299999999999994</v>
      </c>
      <c r="R35" s="198"/>
      <c r="S35" s="198"/>
      <c r="T35" s="198"/>
      <c r="U35" s="198"/>
    </row>
    <row r="36" spans="1:21" s="12" customFormat="1" x14ac:dyDescent="0.25">
      <c r="A36" s="213" t="s">
        <v>754</v>
      </c>
      <c r="B36" s="64">
        <v>35.42</v>
      </c>
      <c r="C36" s="64">
        <v>52.09</v>
      </c>
      <c r="D36" s="64">
        <v>57.8</v>
      </c>
      <c r="E36" s="64">
        <v>0.18</v>
      </c>
      <c r="F36" s="64">
        <v>3.04</v>
      </c>
      <c r="G36" s="64">
        <v>82.2</v>
      </c>
      <c r="H36" s="64">
        <v>28.88</v>
      </c>
      <c r="I36" s="64">
        <v>1.47</v>
      </c>
      <c r="J36" s="64">
        <v>0.04</v>
      </c>
      <c r="K36" s="64">
        <v>195.17</v>
      </c>
      <c r="L36" s="64">
        <v>17.93</v>
      </c>
      <c r="M36" s="64">
        <v>97.81</v>
      </c>
      <c r="N36" s="64">
        <v>85.4</v>
      </c>
      <c r="O36" s="64">
        <v>0</v>
      </c>
      <c r="P36" s="64">
        <v>0.65</v>
      </c>
      <c r="Q36" s="64">
        <v>8.75</v>
      </c>
      <c r="R36" s="198"/>
      <c r="S36" s="198"/>
      <c r="T36" s="198"/>
      <c r="U36" s="198"/>
    </row>
    <row r="37" spans="1:21" s="12" customFormat="1" x14ac:dyDescent="0.25">
      <c r="A37" s="213" t="s">
        <v>755</v>
      </c>
      <c r="B37" s="64">
        <v>41.57</v>
      </c>
      <c r="C37" s="64">
        <v>52.15</v>
      </c>
      <c r="D37" s="64">
        <v>62.76</v>
      </c>
      <c r="E37" s="64">
        <v>0.2</v>
      </c>
      <c r="F37" s="64">
        <v>2.82</v>
      </c>
      <c r="G37" s="64">
        <v>82.2</v>
      </c>
      <c r="H37" s="64">
        <v>28.88</v>
      </c>
      <c r="I37" s="64">
        <v>1.45</v>
      </c>
      <c r="J37" s="64">
        <v>0.1</v>
      </c>
      <c r="K37" s="64">
        <v>341.51</v>
      </c>
      <c r="L37" s="64">
        <v>18.329999999999998</v>
      </c>
      <c r="M37" s="64">
        <v>96.58</v>
      </c>
      <c r="N37" s="64">
        <v>105.2</v>
      </c>
      <c r="O37" s="64">
        <v>0</v>
      </c>
      <c r="P37" s="64">
        <v>0.67</v>
      </c>
      <c r="Q37" s="64">
        <v>9.09</v>
      </c>
      <c r="R37" s="198"/>
      <c r="S37" s="198"/>
      <c r="T37" s="198"/>
      <c r="U37" s="198"/>
    </row>
    <row r="38" spans="1:21" s="12" customFormat="1" x14ac:dyDescent="0.25">
      <c r="A38" s="213" t="s">
        <v>756</v>
      </c>
      <c r="B38" s="64">
        <v>49.97</v>
      </c>
      <c r="C38" s="64">
        <v>53.47</v>
      </c>
      <c r="D38" s="64">
        <v>70.22</v>
      </c>
      <c r="E38" s="64">
        <v>0.21</v>
      </c>
      <c r="F38" s="64">
        <v>2.17</v>
      </c>
      <c r="G38" s="64">
        <v>82.2</v>
      </c>
      <c r="H38" s="64">
        <v>28.88</v>
      </c>
      <c r="I38" s="64">
        <v>1.51</v>
      </c>
      <c r="J38" s="64">
        <v>0.05</v>
      </c>
      <c r="K38" s="64">
        <v>130.9</v>
      </c>
      <c r="L38" s="64">
        <v>19</v>
      </c>
      <c r="M38" s="64">
        <v>93.71</v>
      </c>
      <c r="N38" s="64">
        <v>130.4</v>
      </c>
      <c r="O38" s="64">
        <v>0</v>
      </c>
      <c r="P38" s="64">
        <v>0.77</v>
      </c>
      <c r="Q38" s="64">
        <v>9.5299999999999994</v>
      </c>
      <c r="R38" s="198"/>
      <c r="S38" s="198"/>
      <c r="T38" s="198"/>
      <c r="U38" s="198"/>
    </row>
    <row r="39" spans="1:21" s="12" customFormat="1" x14ac:dyDescent="0.25">
      <c r="A39" s="213" t="s">
        <v>757</v>
      </c>
      <c r="B39" s="64">
        <v>58.54</v>
      </c>
      <c r="C39" s="64">
        <v>56.1</v>
      </c>
      <c r="D39" s="64">
        <v>78.55</v>
      </c>
      <c r="E39" s="64">
        <v>0.19</v>
      </c>
      <c r="F39" s="64">
        <v>2.89</v>
      </c>
      <c r="G39" s="64">
        <v>105.9</v>
      </c>
      <c r="H39" s="64">
        <v>38.75</v>
      </c>
      <c r="I39" s="64">
        <v>1.46</v>
      </c>
      <c r="J39" s="64">
        <v>0.02</v>
      </c>
      <c r="K39" s="64">
        <v>12.68</v>
      </c>
      <c r="L39" s="64">
        <v>20.100000000000001</v>
      </c>
      <c r="M39" s="64">
        <v>87.05</v>
      </c>
      <c r="N39" s="64">
        <v>174.2</v>
      </c>
      <c r="O39" s="64">
        <v>0</v>
      </c>
      <c r="P39" s="64">
        <v>0.83</v>
      </c>
      <c r="Q39" s="64">
        <v>10.199999999999999</v>
      </c>
      <c r="R39" s="198"/>
      <c r="S39" s="198"/>
      <c r="T39" s="198"/>
      <c r="U39" s="198"/>
    </row>
    <row r="40" spans="1:21" s="12" customFormat="1" x14ac:dyDescent="0.25">
      <c r="A40" s="213" t="s">
        <v>758</v>
      </c>
      <c r="B40" s="64">
        <v>62.22</v>
      </c>
      <c r="C40" s="64">
        <v>56.46</v>
      </c>
      <c r="D40" s="64">
        <v>81.7</v>
      </c>
      <c r="E40" s="64">
        <v>0.17</v>
      </c>
      <c r="F40" s="64">
        <v>3.17</v>
      </c>
      <c r="G40" s="64">
        <v>112.25</v>
      </c>
      <c r="H40" s="64">
        <v>38.75</v>
      </c>
      <c r="I40" s="64">
        <v>1.6</v>
      </c>
      <c r="J40" s="64">
        <v>0.08</v>
      </c>
      <c r="K40" s="64">
        <v>335.65</v>
      </c>
      <c r="L40" s="64">
        <v>21.39</v>
      </c>
      <c r="M40" s="64">
        <v>78.48</v>
      </c>
      <c r="N40" s="64">
        <v>220.5</v>
      </c>
      <c r="O40" s="64">
        <v>0</v>
      </c>
      <c r="P40" s="64">
        <v>0.85</v>
      </c>
      <c r="Q40" s="64">
        <v>10.77</v>
      </c>
      <c r="R40" s="198"/>
      <c r="S40" s="198"/>
      <c r="T40" s="198"/>
      <c r="U40" s="198"/>
    </row>
    <row r="41" spans="1:21" s="12" customFormat="1" x14ac:dyDescent="0.25">
      <c r="A41" s="213" t="s">
        <v>759</v>
      </c>
      <c r="B41" s="64">
        <v>62.06</v>
      </c>
      <c r="C41" s="64">
        <v>56.98</v>
      </c>
      <c r="D41" s="64">
        <v>81.86</v>
      </c>
      <c r="E41" s="64">
        <v>0.17</v>
      </c>
      <c r="F41" s="64">
        <v>3.02</v>
      </c>
      <c r="G41" s="64">
        <v>112.25</v>
      </c>
      <c r="H41" s="64">
        <v>38.75</v>
      </c>
      <c r="I41" s="64">
        <v>1.47</v>
      </c>
      <c r="J41" s="64">
        <v>0.17</v>
      </c>
      <c r="K41" s="64">
        <v>333.15</v>
      </c>
      <c r="L41" s="64">
        <v>22.76</v>
      </c>
      <c r="M41" s="64">
        <v>71.92</v>
      </c>
      <c r="N41" s="64">
        <v>258.7</v>
      </c>
      <c r="O41" s="64">
        <v>0</v>
      </c>
      <c r="P41" s="64">
        <v>0.87</v>
      </c>
      <c r="Q41" s="64">
        <v>10.95</v>
      </c>
      <c r="R41" s="198"/>
      <c r="S41" s="198"/>
      <c r="T41" s="198"/>
      <c r="U41" s="198"/>
    </row>
    <row r="42" spans="1:21" s="12" customFormat="1" x14ac:dyDescent="0.25">
      <c r="A42" s="213" t="s">
        <v>760</v>
      </c>
      <c r="B42" s="64">
        <v>59.34</v>
      </c>
      <c r="C42" s="64">
        <v>57.69</v>
      </c>
      <c r="D42" s="64">
        <v>80.069999999999993</v>
      </c>
      <c r="E42" s="64">
        <v>0.15</v>
      </c>
      <c r="F42" s="64">
        <v>3.27</v>
      </c>
      <c r="G42" s="64">
        <v>112.25</v>
      </c>
      <c r="H42" s="64">
        <v>38.75</v>
      </c>
      <c r="I42" s="64">
        <v>1.56</v>
      </c>
      <c r="J42" s="64">
        <v>0.12</v>
      </c>
      <c r="K42" s="64">
        <v>326.81</v>
      </c>
      <c r="L42" s="64">
        <v>23.95</v>
      </c>
      <c r="M42" s="64">
        <v>66.400000000000006</v>
      </c>
      <c r="N42" s="64">
        <v>317.2</v>
      </c>
      <c r="O42" s="64">
        <v>0</v>
      </c>
      <c r="P42" s="64">
        <v>0.87</v>
      </c>
      <c r="Q42" s="64">
        <v>10.96</v>
      </c>
      <c r="R42" s="198"/>
      <c r="S42" s="198"/>
      <c r="T42" s="198"/>
      <c r="U42" s="198"/>
    </row>
    <row r="43" spans="1:21" s="12" customFormat="1" x14ac:dyDescent="0.25">
      <c r="A43" s="213" t="s">
        <v>761</v>
      </c>
      <c r="B43" s="64">
        <v>55.71</v>
      </c>
      <c r="C43" s="64">
        <v>58.61</v>
      </c>
      <c r="D43" s="64">
        <v>77.67</v>
      </c>
      <c r="E43" s="64">
        <v>0.16</v>
      </c>
      <c r="F43" s="64">
        <v>3.16</v>
      </c>
      <c r="G43" s="64">
        <v>104.97</v>
      </c>
      <c r="H43" s="64">
        <v>34.28</v>
      </c>
      <c r="I43" s="64">
        <v>1.53</v>
      </c>
      <c r="J43" s="64">
        <v>0.12</v>
      </c>
      <c r="K43" s="64">
        <v>10.11</v>
      </c>
      <c r="L43" s="64">
        <v>22.96</v>
      </c>
      <c r="M43" s="64">
        <v>70.53</v>
      </c>
      <c r="N43" s="64">
        <v>368.5</v>
      </c>
      <c r="O43" s="64">
        <v>0</v>
      </c>
      <c r="P43" s="64">
        <v>0.86</v>
      </c>
      <c r="Q43" s="64">
        <v>10.82</v>
      </c>
      <c r="R43" s="198"/>
      <c r="S43" s="198"/>
      <c r="T43" s="198"/>
      <c r="U43" s="198"/>
    </row>
    <row r="44" spans="1:21" s="12" customFormat="1" x14ac:dyDescent="0.25">
      <c r="A44" s="213" t="s">
        <v>762</v>
      </c>
      <c r="B44" s="64">
        <v>51.12</v>
      </c>
      <c r="C44" s="64">
        <v>59.16</v>
      </c>
      <c r="D44" s="64">
        <v>74.290000000000006</v>
      </c>
      <c r="E44" s="64">
        <v>0.18</v>
      </c>
      <c r="F44" s="64">
        <v>3.15</v>
      </c>
      <c r="G44" s="64">
        <v>103.02</v>
      </c>
      <c r="H44" s="64">
        <v>34.28</v>
      </c>
      <c r="I44" s="64">
        <v>1.5</v>
      </c>
      <c r="J44" s="64">
        <v>7.0000000000000007E-2</v>
      </c>
      <c r="K44" s="64">
        <v>322.16000000000003</v>
      </c>
      <c r="L44" s="64">
        <v>23.74</v>
      </c>
      <c r="M44" s="64">
        <v>66.86</v>
      </c>
      <c r="N44" s="64">
        <v>416.3</v>
      </c>
      <c r="O44" s="64">
        <v>0</v>
      </c>
      <c r="P44" s="64">
        <v>0.86</v>
      </c>
      <c r="Q44" s="64">
        <v>10.63</v>
      </c>
      <c r="R44" s="198"/>
      <c r="S44" s="198"/>
      <c r="T44" s="198"/>
      <c r="U44" s="198"/>
    </row>
    <row r="45" spans="1:21" s="12" customFormat="1" x14ac:dyDescent="0.25">
      <c r="A45" s="213" t="s">
        <v>763</v>
      </c>
      <c r="B45" s="64">
        <v>45.69</v>
      </c>
      <c r="C45" s="64">
        <v>60.22</v>
      </c>
      <c r="D45" s="64">
        <v>70.52</v>
      </c>
      <c r="E45" s="64">
        <v>0.23</v>
      </c>
      <c r="F45" s="64">
        <v>3.01</v>
      </c>
      <c r="G45" s="64">
        <v>103.02</v>
      </c>
      <c r="H45" s="64">
        <v>34.28</v>
      </c>
      <c r="I45" s="64">
        <v>1.53</v>
      </c>
      <c r="J45" s="64">
        <v>0.19</v>
      </c>
      <c r="K45" s="64">
        <v>351.65</v>
      </c>
      <c r="L45" s="64">
        <v>24.9</v>
      </c>
      <c r="M45" s="64">
        <v>63.15</v>
      </c>
      <c r="N45" s="64">
        <v>466.3</v>
      </c>
      <c r="O45" s="64">
        <v>0</v>
      </c>
      <c r="P45" s="64">
        <v>0.85</v>
      </c>
      <c r="Q45" s="64">
        <v>10.29</v>
      </c>
      <c r="R45" s="198"/>
      <c r="S45" s="198"/>
      <c r="T45" s="198"/>
      <c r="U45" s="198"/>
    </row>
    <row r="46" spans="1:21" s="12" customFormat="1" x14ac:dyDescent="0.25">
      <c r="A46" s="213" t="s">
        <v>764</v>
      </c>
      <c r="B46" s="64">
        <v>40.15</v>
      </c>
      <c r="C46" s="64">
        <v>60.87</v>
      </c>
      <c r="D46" s="64">
        <v>66.44</v>
      </c>
      <c r="E46" s="64">
        <v>0.1</v>
      </c>
      <c r="F46" s="64">
        <v>2.87</v>
      </c>
      <c r="G46" s="64">
        <v>103.02</v>
      </c>
      <c r="H46" s="64">
        <v>34.28</v>
      </c>
      <c r="I46" s="64">
        <v>1.48</v>
      </c>
      <c r="J46" s="64">
        <v>0.06</v>
      </c>
      <c r="K46" s="64">
        <v>305.99</v>
      </c>
      <c r="L46" s="64">
        <v>25.25</v>
      </c>
      <c r="M46" s="64">
        <v>61.78</v>
      </c>
      <c r="N46" s="64">
        <v>520.20000000000005</v>
      </c>
      <c r="O46" s="64">
        <v>0</v>
      </c>
      <c r="P46" s="64">
        <v>0.85</v>
      </c>
      <c r="Q46" s="64">
        <v>9.98</v>
      </c>
      <c r="R46" s="198"/>
      <c r="S46" s="198"/>
      <c r="T46" s="198"/>
      <c r="U46" s="198"/>
    </row>
    <row r="47" spans="1:21" s="12" customFormat="1" x14ac:dyDescent="0.25">
      <c r="A47" s="213" t="s">
        <v>765</v>
      </c>
      <c r="B47" s="64">
        <v>33.200000000000003</v>
      </c>
      <c r="C47" s="64">
        <v>64.430000000000007</v>
      </c>
      <c r="D47" s="64">
        <v>62.83</v>
      </c>
      <c r="E47" s="64">
        <v>0.15</v>
      </c>
      <c r="F47" s="64">
        <v>3.24</v>
      </c>
      <c r="G47" s="64">
        <v>83.53</v>
      </c>
      <c r="H47" s="64">
        <v>33.99</v>
      </c>
      <c r="I47" s="64">
        <v>1.5</v>
      </c>
      <c r="J47" s="64">
        <v>0.24</v>
      </c>
      <c r="K47" s="64">
        <v>23.29</v>
      </c>
      <c r="L47" s="64">
        <v>25.3</v>
      </c>
      <c r="M47" s="64">
        <v>61.69</v>
      </c>
      <c r="N47" s="64">
        <v>570</v>
      </c>
      <c r="O47" s="64">
        <v>0</v>
      </c>
      <c r="P47" s="64">
        <v>0.8</v>
      </c>
      <c r="Q47" s="64">
        <v>9.69</v>
      </c>
      <c r="R47" s="198"/>
      <c r="S47" s="198"/>
      <c r="T47" s="198"/>
      <c r="U47" s="198"/>
    </row>
    <row r="48" spans="1:21" s="12" customFormat="1" x14ac:dyDescent="0.25">
      <c r="A48" s="213" t="s">
        <v>766</v>
      </c>
      <c r="B48" s="64">
        <v>23.72</v>
      </c>
      <c r="C48" s="64">
        <v>68.17</v>
      </c>
      <c r="D48" s="64">
        <v>57.29</v>
      </c>
      <c r="E48" s="64">
        <v>0.13</v>
      </c>
      <c r="F48" s="64">
        <v>3.63</v>
      </c>
      <c r="G48" s="64">
        <v>78.319999999999993</v>
      </c>
      <c r="H48" s="64">
        <v>33.99</v>
      </c>
      <c r="I48" s="64">
        <v>1.52</v>
      </c>
      <c r="J48" s="64">
        <v>0.28999999999999998</v>
      </c>
      <c r="K48" s="64">
        <v>16.809999999999999</v>
      </c>
      <c r="L48" s="64">
        <v>25.73</v>
      </c>
      <c r="M48" s="64">
        <v>60.53</v>
      </c>
      <c r="N48" s="64">
        <v>610.79999999999995</v>
      </c>
      <c r="O48" s="64">
        <v>0</v>
      </c>
      <c r="P48" s="64">
        <v>0.74</v>
      </c>
      <c r="Q48" s="64">
        <v>9.33</v>
      </c>
      <c r="R48" s="198"/>
      <c r="S48" s="198"/>
      <c r="T48" s="198"/>
      <c r="U48" s="198"/>
    </row>
    <row r="49" spans="1:21" s="12" customFormat="1" x14ac:dyDescent="0.25">
      <c r="A49" s="213" t="s">
        <v>767</v>
      </c>
      <c r="B49" s="64">
        <v>15.36</v>
      </c>
      <c r="C49" s="64">
        <v>70.05</v>
      </c>
      <c r="D49" s="64">
        <v>51.62</v>
      </c>
      <c r="E49" s="64">
        <v>0.08</v>
      </c>
      <c r="F49" s="64">
        <v>4.12</v>
      </c>
      <c r="G49" s="64">
        <v>78.319999999999993</v>
      </c>
      <c r="H49" s="64">
        <v>33.99</v>
      </c>
      <c r="I49" s="64">
        <v>1.49</v>
      </c>
      <c r="J49" s="64">
        <v>0.36</v>
      </c>
      <c r="K49" s="64">
        <v>19.2</v>
      </c>
      <c r="L49" s="64">
        <v>26.05</v>
      </c>
      <c r="M49" s="64">
        <v>58.84</v>
      </c>
      <c r="N49" s="64">
        <v>637.9</v>
      </c>
      <c r="O49" s="64">
        <v>0</v>
      </c>
      <c r="P49" s="64">
        <v>0.69</v>
      </c>
      <c r="Q49" s="64">
        <v>8.94</v>
      </c>
      <c r="R49" s="198"/>
      <c r="S49" s="198"/>
      <c r="T49" s="198"/>
      <c r="U49" s="198"/>
    </row>
    <row r="50" spans="1:21" s="12" customFormat="1" x14ac:dyDescent="0.25">
      <c r="A50" s="213" t="s">
        <v>768</v>
      </c>
      <c r="B50" s="64">
        <v>8.18</v>
      </c>
      <c r="C50" s="64">
        <v>69.8</v>
      </c>
      <c r="D50" s="64">
        <v>45.73</v>
      </c>
      <c r="E50" s="64">
        <v>0.15</v>
      </c>
      <c r="F50" s="64">
        <v>4.92</v>
      </c>
      <c r="G50" s="64">
        <v>78.319999999999993</v>
      </c>
      <c r="H50" s="64">
        <v>33.99</v>
      </c>
      <c r="I50" s="64">
        <v>1.46</v>
      </c>
      <c r="J50" s="64">
        <v>0.02</v>
      </c>
      <c r="K50" s="64">
        <v>312.24</v>
      </c>
      <c r="L50" s="64">
        <v>25.85</v>
      </c>
      <c r="M50" s="64">
        <v>59.18</v>
      </c>
      <c r="N50" s="64">
        <v>653.29999999999995</v>
      </c>
      <c r="O50" s="64">
        <v>0</v>
      </c>
      <c r="P50" s="64">
        <v>0.62</v>
      </c>
      <c r="Q50" s="64">
        <v>8.51</v>
      </c>
      <c r="R50" s="198"/>
      <c r="S50" s="198"/>
      <c r="T50" s="198"/>
      <c r="U50" s="198"/>
    </row>
    <row r="51" spans="1:21" s="12" customFormat="1" x14ac:dyDescent="0.25">
      <c r="A51" s="213" t="s">
        <v>769</v>
      </c>
      <c r="B51" s="64">
        <v>4.26</v>
      </c>
      <c r="C51" s="64">
        <v>67.5</v>
      </c>
      <c r="D51" s="64">
        <v>41.31</v>
      </c>
      <c r="E51" s="64">
        <v>7.0000000000000007E-2</v>
      </c>
      <c r="F51" s="64">
        <v>6.09</v>
      </c>
      <c r="G51" s="64">
        <v>71.97</v>
      </c>
      <c r="H51" s="64">
        <v>27.21</v>
      </c>
      <c r="I51" s="64">
        <v>1.45</v>
      </c>
      <c r="J51" s="64">
        <v>0.31</v>
      </c>
      <c r="K51" s="64">
        <v>17.45</v>
      </c>
      <c r="L51" s="64">
        <v>26.83</v>
      </c>
      <c r="M51" s="64">
        <v>56.41</v>
      </c>
      <c r="N51" s="64">
        <v>684.8</v>
      </c>
      <c r="O51" s="64">
        <v>0</v>
      </c>
      <c r="P51" s="64">
        <v>0.56000000000000005</v>
      </c>
      <c r="Q51" s="64">
        <v>8.11</v>
      </c>
      <c r="R51" s="198"/>
      <c r="S51" s="198"/>
      <c r="T51" s="198"/>
      <c r="U51" s="198"/>
    </row>
    <row r="52" spans="1:21" s="12" customFormat="1" x14ac:dyDescent="0.25">
      <c r="A52" s="213" t="s">
        <v>770</v>
      </c>
      <c r="B52" s="64">
        <v>2.89</v>
      </c>
      <c r="C52" s="64">
        <v>61.92</v>
      </c>
      <c r="D52" s="64">
        <v>37.130000000000003</v>
      </c>
      <c r="E52" s="64">
        <v>0.15</v>
      </c>
      <c r="F52" s="64">
        <v>8.49</v>
      </c>
      <c r="G52" s="64">
        <v>70.28</v>
      </c>
      <c r="H52" s="64">
        <v>27.21</v>
      </c>
      <c r="I52" s="64">
        <v>1.58</v>
      </c>
      <c r="J52" s="64">
        <v>0.34</v>
      </c>
      <c r="K52" s="64">
        <v>24.05</v>
      </c>
      <c r="L52" s="64">
        <v>27.36</v>
      </c>
      <c r="M52" s="64">
        <v>54.49</v>
      </c>
      <c r="N52" s="64">
        <v>706.3</v>
      </c>
      <c r="O52" s="64">
        <v>0</v>
      </c>
      <c r="P52" s="64">
        <v>0.51</v>
      </c>
      <c r="Q52" s="64">
        <v>7.75</v>
      </c>
      <c r="R52" s="198"/>
      <c r="S52" s="198"/>
      <c r="T52" s="198"/>
      <c r="U52" s="198"/>
    </row>
    <row r="53" spans="1:21" s="12" customFormat="1" x14ac:dyDescent="0.25">
      <c r="A53" s="213" t="s">
        <v>771</v>
      </c>
      <c r="B53" s="64">
        <v>2.41</v>
      </c>
      <c r="C53" s="64">
        <v>56.74</v>
      </c>
      <c r="D53" s="64">
        <v>33.89</v>
      </c>
      <c r="E53" s="64">
        <v>0.16</v>
      </c>
      <c r="F53" s="64">
        <v>9.31</v>
      </c>
      <c r="G53" s="64">
        <v>70.28</v>
      </c>
      <c r="H53" s="64">
        <v>27.21</v>
      </c>
      <c r="I53" s="64">
        <v>1.55</v>
      </c>
      <c r="J53" s="64">
        <v>0.4</v>
      </c>
      <c r="K53" s="64">
        <v>11.48</v>
      </c>
      <c r="L53" s="64">
        <v>27.43</v>
      </c>
      <c r="M53" s="64">
        <v>54.09</v>
      </c>
      <c r="N53" s="64">
        <v>719.6</v>
      </c>
      <c r="O53" s="64">
        <v>0</v>
      </c>
      <c r="P53" s="64">
        <v>0.46</v>
      </c>
      <c r="Q53" s="64">
        <v>7.48</v>
      </c>
      <c r="R53" s="198"/>
      <c r="S53" s="198"/>
      <c r="T53" s="198"/>
      <c r="U53" s="198"/>
    </row>
    <row r="54" spans="1:21" s="12" customFormat="1" x14ac:dyDescent="0.25">
      <c r="A54" s="213" t="s">
        <v>772</v>
      </c>
      <c r="B54" s="64">
        <v>2.13</v>
      </c>
      <c r="C54" s="64">
        <v>52.56</v>
      </c>
      <c r="D54" s="64">
        <v>31.36</v>
      </c>
      <c r="E54" s="64">
        <v>0.17</v>
      </c>
      <c r="F54" s="64">
        <v>9.66</v>
      </c>
      <c r="G54" s="64">
        <v>70.28</v>
      </c>
      <c r="H54" s="64">
        <v>27.21</v>
      </c>
      <c r="I54" s="64">
        <v>1.47</v>
      </c>
      <c r="J54" s="64">
        <v>0.24</v>
      </c>
      <c r="K54" s="64">
        <v>16.600000000000001</v>
      </c>
      <c r="L54" s="64">
        <v>27.55</v>
      </c>
      <c r="M54" s="64">
        <v>51.83</v>
      </c>
      <c r="N54" s="64">
        <v>744.1</v>
      </c>
      <c r="O54" s="64">
        <v>0</v>
      </c>
      <c r="P54" s="64">
        <v>0.42</v>
      </c>
      <c r="Q54" s="64">
        <v>7.19</v>
      </c>
      <c r="R54" s="198"/>
      <c r="S54" s="198"/>
      <c r="T54" s="198"/>
      <c r="U54" s="198"/>
    </row>
    <row r="55" spans="1:21" s="12" customFormat="1" x14ac:dyDescent="0.25">
      <c r="A55" s="213" t="s">
        <v>773</v>
      </c>
      <c r="B55" s="64">
        <v>1.92</v>
      </c>
      <c r="C55" s="64">
        <v>51.63</v>
      </c>
      <c r="D55" s="64">
        <v>30.68</v>
      </c>
      <c r="E55" s="64">
        <v>0.19</v>
      </c>
      <c r="F55" s="64">
        <v>8.8000000000000007</v>
      </c>
      <c r="G55" s="64">
        <v>58.7</v>
      </c>
      <c r="H55" s="64">
        <v>25.75</v>
      </c>
      <c r="I55" s="64">
        <v>1.39</v>
      </c>
      <c r="J55" s="64">
        <v>0.26</v>
      </c>
      <c r="K55" s="64">
        <v>8.36</v>
      </c>
      <c r="L55" s="64">
        <v>28.5</v>
      </c>
      <c r="M55" s="64">
        <v>49.22</v>
      </c>
      <c r="N55" s="64">
        <v>749.4</v>
      </c>
      <c r="O55" s="64">
        <v>0</v>
      </c>
      <c r="P55" s="64">
        <v>0.4</v>
      </c>
      <c r="Q55" s="64">
        <v>6.95</v>
      </c>
      <c r="R55" s="198"/>
      <c r="S55" s="198"/>
      <c r="T55" s="198"/>
      <c r="U55" s="198"/>
    </row>
    <row r="56" spans="1:21" s="12" customFormat="1" x14ac:dyDescent="0.25">
      <c r="A56" s="213" t="s">
        <v>774</v>
      </c>
      <c r="B56" s="64">
        <v>2.08</v>
      </c>
      <c r="C56" s="64">
        <v>50.55</v>
      </c>
      <c r="D56" s="64">
        <v>30.21</v>
      </c>
      <c r="E56" s="64">
        <v>0.04</v>
      </c>
      <c r="F56" s="64">
        <v>7</v>
      </c>
      <c r="G56" s="64">
        <v>55.6</v>
      </c>
      <c r="H56" s="64">
        <v>25.75</v>
      </c>
      <c r="I56" s="64">
        <v>1.46</v>
      </c>
      <c r="J56" s="64">
        <v>0.37</v>
      </c>
      <c r="K56" s="64">
        <v>22.11</v>
      </c>
      <c r="L56" s="64">
        <v>29.01</v>
      </c>
      <c r="M56" s="64">
        <v>47.25</v>
      </c>
      <c r="N56" s="64">
        <v>761.1</v>
      </c>
      <c r="O56" s="64">
        <v>0</v>
      </c>
      <c r="P56" s="64">
        <v>0.4</v>
      </c>
      <c r="Q56" s="64">
        <v>6.77</v>
      </c>
      <c r="R56" s="198"/>
      <c r="S56" s="198"/>
      <c r="T56" s="198"/>
      <c r="U56" s="198"/>
    </row>
    <row r="57" spans="1:21" s="12" customFormat="1" x14ac:dyDescent="0.25">
      <c r="A57" s="213" t="s">
        <v>775</v>
      </c>
      <c r="B57" s="64">
        <v>2.09</v>
      </c>
      <c r="C57" s="64">
        <v>49.09</v>
      </c>
      <c r="D57" s="64">
        <v>29.42</v>
      </c>
      <c r="E57" s="64">
        <v>0.09</v>
      </c>
      <c r="F57" s="64">
        <v>8.14</v>
      </c>
      <c r="G57" s="64">
        <v>55.6</v>
      </c>
      <c r="H57" s="64">
        <v>25.75</v>
      </c>
      <c r="I57" s="64">
        <v>1.48</v>
      </c>
      <c r="J57" s="64">
        <v>0.3</v>
      </c>
      <c r="K57" s="64">
        <v>24.54</v>
      </c>
      <c r="L57" s="64">
        <v>28.95</v>
      </c>
      <c r="M57" s="64">
        <v>44.81</v>
      </c>
      <c r="N57" s="64">
        <v>786.1</v>
      </c>
      <c r="O57" s="64">
        <v>0</v>
      </c>
      <c r="P57" s="64">
        <v>0.39</v>
      </c>
      <c r="Q57" s="64">
        <v>6.5</v>
      </c>
      <c r="R57" s="198"/>
      <c r="S57" s="198"/>
      <c r="T57" s="198"/>
      <c r="U57" s="198"/>
    </row>
    <row r="58" spans="1:21" s="12" customFormat="1" x14ac:dyDescent="0.25">
      <c r="A58" s="213" t="s">
        <v>776</v>
      </c>
      <c r="B58" s="64">
        <v>1.84</v>
      </c>
      <c r="C58" s="64">
        <v>48.79</v>
      </c>
      <c r="D58" s="64">
        <v>29.05</v>
      </c>
      <c r="E58" s="64">
        <v>0.09</v>
      </c>
      <c r="F58" s="64">
        <v>11.04</v>
      </c>
      <c r="G58" s="64">
        <v>55.6</v>
      </c>
      <c r="H58" s="64">
        <v>25.75</v>
      </c>
      <c r="I58" s="64">
        <v>1.49</v>
      </c>
      <c r="J58" s="64">
        <v>0.33</v>
      </c>
      <c r="K58" s="64">
        <v>4.26</v>
      </c>
      <c r="L58" s="64">
        <v>29.16</v>
      </c>
      <c r="M58" s="64">
        <v>42.79</v>
      </c>
      <c r="N58" s="64">
        <v>770.2</v>
      </c>
      <c r="O58" s="64">
        <v>0</v>
      </c>
      <c r="P58" s="64">
        <v>0.37</v>
      </c>
      <c r="Q58" s="64">
        <v>6.35</v>
      </c>
      <c r="R58" s="198"/>
      <c r="S58" s="198"/>
      <c r="T58" s="198"/>
      <c r="U58" s="198"/>
    </row>
    <row r="59" spans="1:21" s="12" customFormat="1" x14ac:dyDescent="0.25">
      <c r="A59" s="213" t="s">
        <v>777</v>
      </c>
      <c r="B59" s="64">
        <v>1.65</v>
      </c>
      <c r="C59" s="64">
        <v>47.86</v>
      </c>
      <c r="D59" s="64">
        <v>28.38</v>
      </c>
      <c r="E59" s="64">
        <v>0.09</v>
      </c>
      <c r="F59" s="64">
        <v>12.24</v>
      </c>
      <c r="G59" s="64">
        <v>65.510000000000005</v>
      </c>
      <c r="H59" s="64">
        <v>23.27</v>
      </c>
      <c r="I59" s="64">
        <v>1.52</v>
      </c>
      <c r="J59" s="64">
        <v>0.38</v>
      </c>
      <c r="K59" s="64">
        <v>354.65</v>
      </c>
      <c r="L59" s="64">
        <v>30.23</v>
      </c>
      <c r="M59" s="64">
        <v>39.42</v>
      </c>
      <c r="N59" s="64">
        <v>765.8</v>
      </c>
      <c r="O59" s="64">
        <v>0</v>
      </c>
      <c r="P59" s="64">
        <v>0.36</v>
      </c>
      <c r="Q59" s="64">
        <v>5.98</v>
      </c>
      <c r="R59" s="198"/>
      <c r="S59" s="198"/>
      <c r="T59" s="198"/>
      <c r="U59" s="198"/>
    </row>
    <row r="60" spans="1:21" s="12" customFormat="1" x14ac:dyDescent="0.25">
      <c r="A60" s="213" t="s">
        <v>778</v>
      </c>
      <c r="B60" s="64">
        <v>1.7</v>
      </c>
      <c r="C60" s="64">
        <v>49.49</v>
      </c>
      <c r="D60" s="64">
        <v>29.32</v>
      </c>
      <c r="E60" s="64">
        <v>0.12</v>
      </c>
      <c r="F60" s="64">
        <v>8.6999999999999993</v>
      </c>
      <c r="G60" s="64">
        <v>68.16</v>
      </c>
      <c r="H60" s="64">
        <v>23.27</v>
      </c>
      <c r="I60" s="64">
        <v>1.48</v>
      </c>
      <c r="J60" s="64">
        <v>0.35</v>
      </c>
      <c r="K60" s="64">
        <v>5.62</v>
      </c>
      <c r="L60" s="64">
        <v>29.68</v>
      </c>
      <c r="M60" s="64">
        <v>41.3</v>
      </c>
      <c r="N60" s="64">
        <v>736.4</v>
      </c>
      <c r="O60" s="64">
        <v>0</v>
      </c>
      <c r="P60" s="64">
        <v>0.35</v>
      </c>
      <c r="Q60" s="64">
        <v>5.88</v>
      </c>
      <c r="R60" s="198"/>
      <c r="S60" s="198"/>
      <c r="T60" s="198"/>
      <c r="U60" s="198"/>
    </row>
    <row r="61" spans="1:21" s="12" customFormat="1" x14ac:dyDescent="0.25">
      <c r="A61" s="213" t="s">
        <v>779</v>
      </c>
      <c r="B61" s="64">
        <v>1.75</v>
      </c>
      <c r="C61" s="64">
        <v>41.33</v>
      </c>
      <c r="D61" s="64">
        <v>24.86</v>
      </c>
      <c r="E61" s="64">
        <v>7.0000000000000007E-2</v>
      </c>
      <c r="F61" s="64">
        <v>7.83</v>
      </c>
      <c r="G61" s="64">
        <v>68.16</v>
      </c>
      <c r="H61" s="64">
        <v>23.27</v>
      </c>
      <c r="I61" s="64">
        <v>1.53</v>
      </c>
      <c r="J61" s="64">
        <v>0.42</v>
      </c>
      <c r="K61" s="64">
        <v>334.66</v>
      </c>
      <c r="L61" s="64">
        <v>30.75</v>
      </c>
      <c r="M61" s="64">
        <v>36.619999999999997</v>
      </c>
      <c r="N61" s="64">
        <v>734.9</v>
      </c>
      <c r="O61" s="64">
        <v>0</v>
      </c>
      <c r="P61" s="64">
        <v>0.35</v>
      </c>
      <c r="Q61" s="64">
        <v>5.32</v>
      </c>
      <c r="R61" s="198"/>
      <c r="S61" s="198"/>
      <c r="T61" s="198"/>
      <c r="U61" s="198"/>
    </row>
    <row r="62" spans="1:21" s="12" customFormat="1" x14ac:dyDescent="0.25">
      <c r="A62" s="213" t="s">
        <v>780</v>
      </c>
      <c r="B62" s="64">
        <v>1.67</v>
      </c>
      <c r="C62" s="64">
        <v>37.26</v>
      </c>
      <c r="D62" s="64">
        <v>22.55</v>
      </c>
      <c r="E62" s="64">
        <v>0.16</v>
      </c>
      <c r="F62" s="64">
        <v>8.73</v>
      </c>
      <c r="G62" s="64">
        <v>68.16</v>
      </c>
      <c r="H62" s="64">
        <v>23.27</v>
      </c>
      <c r="I62" s="64">
        <v>1.52</v>
      </c>
      <c r="J62" s="64">
        <v>0.34</v>
      </c>
      <c r="K62" s="64">
        <v>7.56</v>
      </c>
      <c r="L62" s="64">
        <v>30</v>
      </c>
      <c r="M62" s="64">
        <v>35.68</v>
      </c>
      <c r="N62" s="64">
        <v>725.3</v>
      </c>
      <c r="O62" s="64">
        <v>0</v>
      </c>
      <c r="P62" s="64">
        <v>0.38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781</v>
      </c>
      <c r="B63" s="64">
        <v>1.8</v>
      </c>
      <c r="C63" s="64">
        <v>50.21</v>
      </c>
      <c r="D63" s="64">
        <v>29.8</v>
      </c>
      <c r="E63" s="64">
        <v>0.28999999999999998</v>
      </c>
      <c r="F63" s="64">
        <v>8.4700000000000006</v>
      </c>
      <c r="G63" s="64">
        <v>63.13</v>
      </c>
      <c r="H63" s="64">
        <v>25.32</v>
      </c>
      <c r="I63" s="64">
        <v>1.49</v>
      </c>
      <c r="J63" s="64">
        <v>0.32</v>
      </c>
      <c r="K63" s="64">
        <v>11.07</v>
      </c>
      <c r="L63" s="64">
        <v>29.66</v>
      </c>
      <c r="M63" s="64">
        <v>36.909999999999997</v>
      </c>
      <c r="N63" s="64">
        <v>698.7</v>
      </c>
      <c r="O63" s="64">
        <v>0</v>
      </c>
      <c r="P63" s="64">
        <v>0.39</v>
      </c>
      <c r="Q63" s="64">
        <v>5.24</v>
      </c>
      <c r="R63" s="198"/>
      <c r="S63" s="198"/>
      <c r="T63" s="198"/>
      <c r="U63" s="198"/>
    </row>
    <row r="64" spans="1:21" s="12" customFormat="1" x14ac:dyDescent="0.25">
      <c r="A64" s="213" t="s">
        <v>782</v>
      </c>
      <c r="B64" s="64">
        <v>1.53</v>
      </c>
      <c r="C64" s="64">
        <v>42.28</v>
      </c>
      <c r="D64" s="64">
        <v>25.21</v>
      </c>
      <c r="E64" s="64">
        <v>0.16</v>
      </c>
      <c r="F64" s="64">
        <v>12</v>
      </c>
      <c r="G64" s="64">
        <v>61.78</v>
      </c>
      <c r="H64" s="64">
        <v>25.32</v>
      </c>
      <c r="I64" s="64">
        <v>1.45</v>
      </c>
      <c r="J64" s="64">
        <v>0.21</v>
      </c>
      <c r="K64" s="64">
        <v>358.34</v>
      </c>
      <c r="L64" s="64">
        <v>28.99</v>
      </c>
      <c r="M64" s="64">
        <v>38.69</v>
      </c>
      <c r="N64" s="64">
        <v>612.1</v>
      </c>
      <c r="O64" s="64">
        <v>0</v>
      </c>
      <c r="P64" s="64">
        <v>0.37</v>
      </c>
      <c r="Q64" s="64">
        <v>5.22</v>
      </c>
      <c r="R64" s="198"/>
      <c r="S64" s="198"/>
      <c r="T64" s="198"/>
      <c r="U64" s="198"/>
    </row>
    <row r="65" spans="1:21" s="12" customFormat="1" x14ac:dyDescent="0.25">
      <c r="A65" s="213" t="s">
        <v>783</v>
      </c>
      <c r="B65" s="64">
        <v>1.34</v>
      </c>
      <c r="C65" s="64">
        <v>43.38</v>
      </c>
      <c r="D65" s="64">
        <v>25.66</v>
      </c>
      <c r="E65" s="64">
        <v>0.11</v>
      </c>
      <c r="F65" s="64">
        <v>17.899999999999999</v>
      </c>
      <c r="G65" s="64">
        <v>61.78</v>
      </c>
      <c r="H65" s="64">
        <v>25.32</v>
      </c>
      <c r="I65" s="64">
        <v>1.52</v>
      </c>
      <c r="J65" s="64">
        <v>0.33</v>
      </c>
      <c r="K65" s="64">
        <v>355.29</v>
      </c>
      <c r="L65" s="64">
        <v>29.31</v>
      </c>
      <c r="M65" s="64">
        <v>38.85</v>
      </c>
      <c r="N65" s="64">
        <v>609.1</v>
      </c>
      <c r="O65" s="64">
        <v>0</v>
      </c>
      <c r="P65" s="64">
        <v>0.38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3" t="s">
        <v>784</v>
      </c>
      <c r="B66" s="64">
        <v>1.3</v>
      </c>
      <c r="C66" s="64">
        <v>46.16</v>
      </c>
      <c r="D66" s="64">
        <v>27.16</v>
      </c>
      <c r="E66" s="64">
        <v>0.09</v>
      </c>
      <c r="F66" s="64">
        <v>19.309999999999999</v>
      </c>
      <c r="G66" s="64">
        <v>61.78</v>
      </c>
      <c r="H66" s="64">
        <v>25.32</v>
      </c>
      <c r="I66" s="64">
        <v>1.45</v>
      </c>
      <c r="J66" s="64">
        <v>0.28999999999999998</v>
      </c>
      <c r="K66" s="64">
        <v>349.23</v>
      </c>
      <c r="L66" s="64">
        <v>29.78</v>
      </c>
      <c r="M66" s="64">
        <v>37.770000000000003</v>
      </c>
      <c r="N66" s="64">
        <v>528.5</v>
      </c>
      <c r="O66" s="64">
        <v>0</v>
      </c>
      <c r="P66" s="64">
        <v>0.42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3" t="s">
        <v>785</v>
      </c>
      <c r="B67" s="64">
        <v>1.3</v>
      </c>
      <c r="C67" s="64">
        <v>48.16</v>
      </c>
      <c r="D67" s="64">
        <v>28.26</v>
      </c>
      <c r="E67" s="64">
        <v>0.08</v>
      </c>
      <c r="F67" s="64">
        <v>15.52</v>
      </c>
      <c r="G67" s="64">
        <v>61.33</v>
      </c>
      <c r="H67" s="64">
        <v>25.63</v>
      </c>
      <c r="I67" s="64">
        <v>1.5</v>
      </c>
      <c r="J67" s="64">
        <v>0.27</v>
      </c>
      <c r="K67" s="64">
        <v>356.3</v>
      </c>
      <c r="L67" s="64">
        <v>29.69</v>
      </c>
      <c r="M67" s="64">
        <v>37.700000000000003</v>
      </c>
      <c r="N67" s="64">
        <v>402.8</v>
      </c>
      <c r="O67" s="64">
        <v>0</v>
      </c>
      <c r="P67" s="64">
        <v>0.43</v>
      </c>
      <c r="Q67" s="64">
        <v>5.22</v>
      </c>
      <c r="R67" s="198"/>
      <c r="S67" s="198"/>
      <c r="T67" s="198"/>
      <c r="U67" s="198"/>
    </row>
    <row r="68" spans="1:21" s="12" customFormat="1" x14ac:dyDescent="0.25">
      <c r="A68" s="213" t="s">
        <v>786</v>
      </c>
      <c r="B68" s="64">
        <v>1.43</v>
      </c>
      <c r="C68" s="64">
        <v>52.48</v>
      </c>
      <c r="D68" s="64">
        <v>30.76</v>
      </c>
      <c r="E68" s="64">
        <v>0.09</v>
      </c>
      <c r="F68" s="64">
        <v>8.59</v>
      </c>
      <c r="G68" s="64">
        <v>61.21</v>
      </c>
      <c r="H68" s="64">
        <v>25.63</v>
      </c>
      <c r="I68" s="64">
        <v>1.45</v>
      </c>
      <c r="J68" s="64">
        <v>0.26</v>
      </c>
      <c r="K68" s="64">
        <v>17.21</v>
      </c>
      <c r="L68" s="64">
        <v>29.57</v>
      </c>
      <c r="M68" s="64">
        <v>38.26</v>
      </c>
      <c r="N68" s="64">
        <v>299.60000000000002</v>
      </c>
      <c r="O68" s="64">
        <v>0</v>
      </c>
      <c r="P68" s="64">
        <v>0.44</v>
      </c>
      <c r="Q68" s="64">
        <v>5.4</v>
      </c>
      <c r="R68" s="198"/>
      <c r="S68" s="198"/>
      <c r="T68" s="198"/>
      <c r="U68" s="198"/>
    </row>
    <row r="69" spans="1:21" s="12" customFormat="1" x14ac:dyDescent="0.25">
      <c r="A69" s="213" t="s">
        <v>787</v>
      </c>
      <c r="B69" s="64">
        <v>1.64</v>
      </c>
      <c r="C69" s="64">
        <v>48.46</v>
      </c>
      <c r="D69" s="64">
        <v>28.7</v>
      </c>
      <c r="E69" s="64">
        <v>0.1</v>
      </c>
      <c r="F69" s="64">
        <v>7.16</v>
      </c>
      <c r="G69" s="64">
        <v>61.21</v>
      </c>
      <c r="H69" s="64">
        <v>25.63</v>
      </c>
      <c r="I69" s="64">
        <v>1.45</v>
      </c>
      <c r="J69" s="64">
        <v>0.21</v>
      </c>
      <c r="K69" s="64">
        <v>15.96</v>
      </c>
      <c r="L69" s="64">
        <v>29.21</v>
      </c>
      <c r="M69" s="64">
        <v>38.19</v>
      </c>
      <c r="N69" s="64">
        <v>315.5</v>
      </c>
      <c r="O69" s="64">
        <v>0</v>
      </c>
      <c r="P69" s="64">
        <v>0.44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3" t="s">
        <v>788</v>
      </c>
      <c r="B70" s="64">
        <v>1.68</v>
      </c>
      <c r="C70" s="64">
        <v>48.54</v>
      </c>
      <c r="D70" s="64">
        <v>28.79</v>
      </c>
      <c r="E70" s="64">
        <v>7.0000000000000007E-2</v>
      </c>
      <c r="F70" s="64">
        <v>7.58</v>
      </c>
      <c r="G70" s="64">
        <v>61.21</v>
      </c>
      <c r="H70" s="64">
        <v>25.63</v>
      </c>
      <c r="I70" s="64">
        <v>1.5</v>
      </c>
      <c r="J70" s="64">
        <v>0.28999999999999998</v>
      </c>
      <c r="K70" s="64">
        <v>357.72</v>
      </c>
      <c r="L70" s="64">
        <v>28.99</v>
      </c>
      <c r="M70" s="64">
        <v>39.090000000000003</v>
      </c>
      <c r="N70" s="64">
        <v>265.89999999999998</v>
      </c>
      <c r="O70" s="64">
        <v>0</v>
      </c>
      <c r="P70" s="64">
        <v>0.44</v>
      </c>
      <c r="Q70" s="64">
        <v>5.25</v>
      </c>
      <c r="R70" s="198"/>
      <c r="S70" s="198"/>
      <c r="T70" s="198"/>
      <c r="U70" s="198"/>
    </row>
    <row r="71" spans="1:21" s="12" customFormat="1" x14ac:dyDescent="0.25">
      <c r="A71" s="213" t="s">
        <v>789</v>
      </c>
      <c r="B71" s="64">
        <v>1.69</v>
      </c>
      <c r="C71" s="64">
        <v>51.23</v>
      </c>
      <c r="D71" s="64">
        <v>30.28</v>
      </c>
      <c r="E71" s="64">
        <v>0.05</v>
      </c>
      <c r="F71" s="64">
        <v>7.3</v>
      </c>
      <c r="G71" s="64">
        <v>52.52</v>
      </c>
      <c r="H71" s="64">
        <v>24.62</v>
      </c>
      <c r="I71" s="64">
        <v>1.48</v>
      </c>
      <c r="J71" s="64">
        <v>0.13</v>
      </c>
      <c r="K71" s="64">
        <v>23.46</v>
      </c>
      <c r="L71" s="64">
        <v>28.81</v>
      </c>
      <c r="M71" s="64">
        <v>39.15</v>
      </c>
      <c r="N71" s="64">
        <v>206.1</v>
      </c>
      <c r="O71" s="64">
        <v>0</v>
      </c>
      <c r="P71" s="64">
        <v>0.45</v>
      </c>
      <c r="Q71" s="64">
        <v>5.27</v>
      </c>
      <c r="R71" s="198"/>
      <c r="S71" s="198"/>
      <c r="T71" s="198"/>
      <c r="U71" s="198"/>
    </row>
    <row r="72" spans="1:21" s="12" customFormat="1" x14ac:dyDescent="0.25">
      <c r="A72" s="213" t="s">
        <v>790</v>
      </c>
      <c r="B72" s="64">
        <v>1.7</v>
      </c>
      <c r="C72" s="64">
        <v>47.23</v>
      </c>
      <c r="D72" s="64">
        <v>28.08</v>
      </c>
      <c r="E72" s="64">
        <v>0.15</v>
      </c>
      <c r="F72" s="64">
        <v>6.84</v>
      </c>
      <c r="G72" s="64">
        <v>50.2</v>
      </c>
      <c r="H72" s="64">
        <v>24.62</v>
      </c>
      <c r="I72" s="64">
        <v>1.54</v>
      </c>
      <c r="J72" s="64">
        <v>0.23</v>
      </c>
      <c r="K72" s="64">
        <v>13.14</v>
      </c>
      <c r="L72" s="64">
        <v>28.54</v>
      </c>
      <c r="M72" s="64">
        <v>39.590000000000003</v>
      </c>
      <c r="N72" s="64">
        <v>184.9</v>
      </c>
      <c r="O72" s="64">
        <v>0</v>
      </c>
      <c r="P72" s="64">
        <v>0.44</v>
      </c>
      <c r="Q72" s="64">
        <v>5.23</v>
      </c>
      <c r="R72" s="198"/>
      <c r="S72" s="198"/>
      <c r="T72" s="198"/>
      <c r="U72" s="198"/>
    </row>
    <row r="73" spans="1:21" s="12" customFormat="1" x14ac:dyDescent="0.25">
      <c r="A73" s="213" t="s">
        <v>791</v>
      </c>
      <c r="B73" s="64">
        <v>1.79</v>
      </c>
      <c r="C73" s="64">
        <v>48.66</v>
      </c>
      <c r="D73" s="64">
        <v>28.94</v>
      </c>
      <c r="E73" s="64">
        <v>0.17</v>
      </c>
      <c r="F73" s="64">
        <v>6.24</v>
      </c>
      <c r="G73" s="64">
        <v>50.2</v>
      </c>
      <c r="H73" s="64">
        <v>24.62</v>
      </c>
      <c r="I73" s="64">
        <v>1.5</v>
      </c>
      <c r="J73" s="64">
        <v>0.16</v>
      </c>
      <c r="K73" s="64">
        <v>358.82</v>
      </c>
      <c r="L73" s="64">
        <v>28.42</v>
      </c>
      <c r="M73" s="64">
        <v>39.03</v>
      </c>
      <c r="N73" s="64">
        <v>154.30000000000001</v>
      </c>
      <c r="O73" s="64">
        <v>0</v>
      </c>
      <c r="P73" s="64">
        <v>0.45</v>
      </c>
      <c r="Q73" s="64">
        <v>5.22</v>
      </c>
      <c r="R73" s="198"/>
      <c r="S73" s="198"/>
      <c r="T73" s="198"/>
      <c r="U73" s="198"/>
    </row>
    <row r="74" spans="1:21" s="12" customFormat="1" x14ac:dyDescent="0.25">
      <c r="A74" s="213" t="s">
        <v>792</v>
      </c>
      <c r="B74" s="64">
        <v>2.0699999999999998</v>
      </c>
      <c r="C74" s="64">
        <v>46.54</v>
      </c>
      <c r="D74" s="64">
        <v>27.99</v>
      </c>
      <c r="E74" s="64">
        <v>0.18</v>
      </c>
      <c r="F74" s="64">
        <v>6.03</v>
      </c>
      <c r="G74" s="64">
        <v>50.2</v>
      </c>
      <c r="H74" s="64">
        <v>24.62</v>
      </c>
      <c r="I74" s="64">
        <v>1.48</v>
      </c>
      <c r="J74" s="64">
        <v>0.22</v>
      </c>
      <c r="K74" s="64">
        <v>8.0299999999999994</v>
      </c>
      <c r="L74" s="64">
        <v>28.26</v>
      </c>
      <c r="M74" s="64">
        <v>40.049999999999997</v>
      </c>
      <c r="N74" s="64">
        <v>139.19999999999999</v>
      </c>
      <c r="O74" s="64">
        <v>0</v>
      </c>
      <c r="P74" s="64">
        <v>0.46</v>
      </c>
      <c r="Q74" s="64">
        <v>5.22</v>
      </c>
      <c r="R74" s="198"/>
      <c r="S74" s="198"/>
      <c r="T74" s="198"/>
      <c r="U74" s="198"/>
    </row>
    <row r="75" spans="1:21" s="12" customFormat="1" x14ac:dyDescent="0.25">
      <c r="A75" s="213" t="s">
        <v>793</v>
      </c>
      <c r="B75" s="64">
        <v>2.08</v>
      </c>
      <c r="C75" s="64">
        <v>53.44</v>
      </c>
      <c r="D75" s="64">
        <v>31.81</v>
      </c>
      <c r="E75" s="64">
        <v>0.16</v>
      </c>
      <c r="F75" s="64">
        <v>5.74</v>
      </c>
      <c r="G75" s="64">
        <v>47.34</v>
      </c>
      <c r="H75" s="64">
        <v>20.9</v>
      </c>
      <c r="I75" s="64">
        <v>1.5</v>
      </c>
      <c r="J75" s="64">
        <v>0.19</v>
      </c>
      <c r="K75" s="64">
        <v>20.64</v>
      </c>
      <c r="L75" s="64">
        <v>28.01</v>
      </c>
      <c r="M75" s="64">
        <v>40.619999999999997</v>
      </c>
      <c r="N75" s="64">
        <v>123.8</v>
      </c>
      <c r="O75" s="64">
        <v>0</v>
      </c>
      <c r="P75" s="64">
        <v>0.46</v>
      </c>
      <c r="Q75" s="64">
        <v>5.45</v>
      </c>
      <c r="R75" s="198"/>
      <c r="S75" s="198"/>
      <c r="T75" s="198"/>
      <c r="U75" s="198"/>
    </row>
    <row r="76" spans="1:21" s="12" customFormat="1" x14ac:dyDescent="0.25">
      <c r="A76" s="213" t="s">
        <v>794</v>
      </c>
      <c r="B76" s="64">
        <v>2.0699999999999998</v>
      </c>
      <c r="C76" s="64">
        <v>54.43</v>
      </c>
      <c r="D76" s="64">
        <v>32.340000000000003</v>
      </c>
      <c r="E76" s="64">
        <v>0.24</v>
      </c>
      <c r="F76" s="64">
        <v>5.89</v>
      </c>
      <c r="G76" s="64">
        <v>46.58</v>
      </c>
      <c r="H76" s="64">
        <v>20.9</v>
      </c>
      <c r="I76" s="64">
        <v>1.49</v>
      </c>
      <c r="J76" s="64">
        <v>0.16</v>
      </c>
      <c r="K76" s="64">
        <v>26.81</v>
      </c>
      <c r="L76" s="64">
        <v>27.82</v>
      </c>
      <c r="M76" s="64">
        <v>41.86</v>
      </c>
      <c r="N76" s="64">
        <v>113.2</v>
      </c>
      <c r="O76" s="64">
        <v>0</v>
      </c>
      <c r="P76" s="64">
        <v>0.48</v>
      </c>
      <c r="Q76" s="64">
        <v>5.64</v>
      </c>
      <c r="R76" s="198"/>
      <c r="S76" s="198"/>
      <c r="T76" s="198"/>
      <c r="U76" s="198"/>
    </row>
    <row r="77" spans="1:21" s="12" customFormat="1" x14ac:dyDescent="0.25">
      <c r="A77" s="213" t="s">
        <v>795</v>
      </c>
      <c r="B77" s="64">
        <v>2.21</v>
      </c>
      <c r="C77" s="64">
        <v>55.74</v>
      </c>
      <c r="D77" s="64">
        <v>33.19</v>
      </c>
      <c r="E77" s="64">
        <v>0.19</v>
      </c>
      <c r="F77" s="64">
        <v>5.88</v>
      </c>
      <c r="G77" s="64">
        <v>46.58</v>
      </c>
      <c r="H77" s="64">
        <v>20.9</v>
      </c>
      <c r="I77" s="64">
        <v>1.53</v>
      </c>
      <c r="J77" s="64">
        <v>0.15</v>
      </c>
      <c r="K77" s="64">
        <v>13.64</v>
      </c>
      <c r="L77" s="64">
        <v>27.5</v>
      </c>
      <c r="M77" s="64">
        <v>43</v>
      </c>
      <c r="N77" s="64">
        <v>90.1</v>
      </c>
      <c r="O77" s="64">
        <v>0</v>
      </c>
      <c r="P77" s="64">
        <v>0.55000000000000004</v>
      </c>
      <c r="Q77" s="64">
        <v>5.97</v>
      </c>
      <c r="R77" s="198"/>
      <c r="S77" s="198"/>
      <c r="T77" s="198"/>
      <c r="U77" s="198"/>
    </row>
    <row r="78" spans="1:21" s="12" customFormat="1" x14ac:dyDescent="0.25">
      <c r="A78" s="213" t="s">
        <v>796</v>
      </c>
      <c r="B78" s="64">
        <v>2.29</v>
      </c>
      <c r="C78" s="64">
        <v>57.54</v>
      </c>
      <c r="D78" s="64">
        <v>34.24</v>
      </c>
      <c r="E78" s="64">
        <v>0.19</v>
      </c>
      <c r="F78" s="64">
        <v>4.87</v>
      </c>
      <c r="G78" s="64">
        <v>46.58</v>
      </c>
      <c r="H78" s="64">
        <v>20.9</v>
      </c>
      <c r="I78" s="64">
        <v>1.4</v>
      </c>
      <c r="J78" s="64">
        <v>0.13</v>
      </c>
      <c r="K78" s="64">
        <v>6.48</v>
      </c>
      <c r="L78" s="64">
        <v>27.13</v>
      </c>
      <c r="M78" s="64">
        <v>44.03</v>
      </c>
      <c r="N78" s="64">
        <v>80.599999999999994</v>
      </c>
      <c r="O78" s="64">
        <v>0</v>
      </c>
      <c r="P78" s="64">
        <v>0.57999999999999996</v>
      </c>
      <c r="Q78" s="64">
        <v>6.24</v>
      </c>
      <c r="R78" s="198"/>
      <c r="S78" s="198"/>
      <c r="T78" s="198"/>
      <c r="U78" s="198"/>
    </row>
    <row r="79" spans="1:21" s="12" customFormat="1" x14ac:dyDescent="0.25">
      <c r="A79" s="213" t="s">
        <v>797</v>
      </c>
      <c r="B79" s="64">
        <v>2.86</v>
      </c>
      <c r="C79" s="64">
        <v>58.07</v>
      </c>
      <c r="D79" s="64">
        <v>34.99</v>
      </c>
      <c r="E79" s="64">
        <v>0.23</v>
      </c>
      <c r="F79" s="64">
        <v>4.3099999999999996</v>
      </c>
      <c r="G79" s="64">
        <v>48.98</v>
      </c>
      <c r="H79" s="64">
        <v>21.17</v>
      </c>
      <c r="I79" s="64">
        <v>1.44</v>
      </c>
      <c r="J79" s="64">
        <v>0.11</v>
      </c>
      <c r="K79" s="64">
        <v>23.11</v>
      </c>
      <c r="L79" s="64">
        <v>26.77</v>
      </c>
      <c r="M79" s="64">
        <v>45.49</v>
      </c>
      <c r="N79" s="64">
        <v>68.7</v>
      </c>
      <c r="O79" s="64">
        <v>0</v>
      </c>
      <c r="P79" s="64">
        <v>0.6</v>
      </c>
      <c r="Q79" s="64">
        <v>6.41</v>
      </c>
      <c r="R79" s="198"/>
      <c r="S79" s="198"/>
      <c r="T79" s="198"/>
      <c r="U79" s="198"/>
    </row>
    <row r="80" spans="1:21" s="12" customFormat="1" x14ac:dyDescent="0.25">
      <c r="A80" s="213" t="s">
        <v>798</v>
      </c>
      <c r="B80" s="64">
        <v>3.65</v>
      </c>
      <c r="C80" s="64">
        <v>58.2</v>
      </c>
      <c r="D80" s="64">
        <v>35.69</v>
      </c>
      <c r="E80" s="64">
        <v>0.22</v>
      </c>
      <c r="F80" s="64">
        <v>3.95</v>
      </c>
      <c r="G80" s="64">
        <v>49.62</v>
      </c>
      <c r="H80" s="64">
        <v>21.17</v>
      </c>
      <c r="I80" s="64">
        <v>1.5</v>
      </c>
      <c r="J80" s="64">
        <v>0.17</v>
      </c>
      <c r="K80" s="64">
        <v>346.74</v>
      </c>
      <c r="L80" s="64">
        <v>26.07</v>
      </c>
      <c r="M80" s="64">
        <v>54.05</v>
      </c>
      <c r="N80" s="64">
        <v>63.5</v>
      </c>
      <c r="O80" s="64">
        <v>0</v>
      </c>
      <c r="P80" s="64">
        <v>0.66</v>
      </c>
      <c r="Q80" s="64">
        <v>6.65</v>
      </c>
      <c r="R80" s="198"/>
      <c r="S80" s="198"/>
      <c r="T80" s="198"/>
      <c r="U80" s="198"/>
    </row>
    <row r="81" spans="1:26" s="12" customFormat="1" x14ac:dyDescent="0.25">
      <c r="A81" s="213" t="s">
        <v>799</v>
      </c>
      <c r="B81" s="64">
        <v>4.5</v>
      </c>
      <c r="C81" s="64">
        <v>58.35</v>
      </c>
      <c r="D81" s="64">
        <v>36.46</v>
      </c>
      <c r="E81" s="64">
        <v>0.11</v>
      </c>
      <c r="F81" s="64">
        <v>3.64</v>
      </c>
      <c r="G81" s="64">
        <v>49.62</v>
      </c>
      <c r="H81" s="64">
        <v>21.17</v>
      </c>
      <c r="I81" s="64">
        <v>1.48</v>
      </c>
      <c r="J81" s="64">
        <v>0.22</v>
      </c>
      <c r="K81" s="64">
        <v>329.07</v>
      </c>
      <c r="L81" s="64">
        <v>25.05</v>
      </c>
      <c r="M81" s="64">
        <v>61.13</v>
      </c>
      <c r="N81" s="64">
        <v>62.6</v>
      </c>
      <c r="O81" s="64">
        <v>0</v>
      </c>
      <c r="P81" s="64">
        <v>0.75</v>
      </c>
      <c r="Q81" s="64">
        <v>6.87</v>
      </c>
      <c r="R81" s="198"/>
      <c r="S81" s="198"/>
      <c r="T81" s="198"/>
      <c r="U81" s="198"/>
    </row>
    <row r="82" spans="1:26" s="12" customFormat="1" x14ac:dyDescent="0.25">
      <c r="A82" s="213" t="s">
        <v>800</v>
      </c>
      <c r="B82" s="64">
        <v>5.67</v>
      </c>
      <c r="C82" s="64">
        <v>58.27</v>
      </c>
      <c r="D82" s="64">
        <v>37.35</v>
      </c>
      <c r="E82" s="64">
        <v>0.23</v>
      </c>
      <c r="F82" s="64">
        <v>3.36</v>
      </c>
      <c r="G82" s="64">
        <v>49.62</v>
      </c>
      <c r="H82" s="64">
        <v>21.17</v>
      </c>
      <c r="I82" s="64">
        <v>1.49</v>
      </c>
      <c r="J82" s="64">
        <v>0.13</v>
      </c>
      <c r="K82" s="64">
        <v>319.49</v>
      </c>
      <c r="L82" s="64">
        <v>24.47</v>
      </c>
      <c r="M82" s="64">
        <v>64.05</v>
      </c>
      <c r="N82" s="64">
        <v>62.6</v>
      </c>
      <c r="O82" s="64">
        <v>0</v>
      </c>
      <c r="P82" s="64">
        <v>0.8</v>
      </c>
      <c r="Q82" s="64">
        <v>7.01</v>
      </c>
      <c r="R82" s="198"/>
      <c r="S82" s="198"/>
      <c r="T82" s="198"/>
      <c r="U82" s="198"/>
    </row>
    <row r="83" spans="1:26" s="12" customFormat="1" x14ac:dyDescent="0.25">
      <c r="A83" s="213" t="s">
        <v>801</v>
      </c>
      <c r="B83" s="64">
        <v>6.83</v>
      </c>
      <c r="C83" s="64">
        <v>58.18</v>
      </c>
      <c r="D83" s="64">
        <v>38.229999999999997</v>
      </c>
      <c r="E83" s="64">
        <v>0.15</v>
      </c>
      <c r="F83" s="64">
        <v>3.29</v>
      </c>
      <c r="G83" s="64">
        <v>54.18</v>
      </c>
      <c r="H83" s="64">
        <v>23.27</v>
      </c>
      <c r="I83" s="64">
        <v>1.5</v>
      </c>
      <c r="J83" s="64">
        <v>7.0000000000000007E-2</v>
      </c>
      <c r="K83" s="64">
        <v>279.64</v>
      </c>
      <c r="L83" s="64">
        <v>24.08</v>
      </c>
      <c r="M83" s="64">
        <v>65.739999999999995</v>
      </c>
      <c r="N83" s="64">
        <v>62.5</v>
      </c>
      <c r="O83" s="64">
        <v>0</v>
      </c>
      <c r="P83" s="64">
        <v>0.97</v>
      </c>
      <c r="Q83" s="64">
        <v>7.07</v>
      </c>
      <c r="R83" s="198"/>
      <c r="S83" s="198"/>
      <c r="T83" s="198"/>
      <c r="U83" s="198"/>
    </row>
    <row r="84" spans="1:26" s="12" customFormat="1" x14ac:dyDescent="0.25">
      <c r="A84" s="213" t="s">
        <v>802</v>
      </c>
      <c r="B84" s="64">
        <v>8.8000000000000007</v>
      </c>
      <c r="C84" s="64">
        <v>57.7</v>
      </c>
      <c r="D84" s="64">
        <v>39.54</v>
      </c>
      <c r="E84" s="64">
        <v>0.16</v>
      </c>
      <c r="F84" s="64">
        <v>3.19</v>
      </c>
      <c r="G84" s="64">
        <v>55.4</v>
      </c>
      <c r="H84" s="64">
        <v>23.27</v>
      </c>
      <c r="I84" s="64">
        <v>1.51</v>
      </c>
      <c r="J84" s="64">
        <v>0.08</v>
      </c>
      <c r="K84" s="64">
        <v>239.81</v>
      </c>
      <c r="L84" s="64">
        <v>23.83</v>
      </c>
      <c r="M84" s="64">
        <v>60.33</v>
      </c>
      <c r="N84" s="64">
        <v>62.4</v>
      </c>
      <c r="O84" s="64">
        <v>0</v>
      </c>
      <c r="P84" s="64">
        <v>1</v>
      </c>
      <c r="Q84" s="64">
        <v>7.21</v>
      </c>
      <c r="R84" s="198"/>
      <c r="S84" s="198"/>
      <c r="T84" s="198"/>
      <c r="U84" s="198"/>
    </row>
    <row r="85" spans="1:26" s="12" customFormat="1" x14ac:dyDescent="0.25">
      <c r="A85" s="213" t="s">
        <v>803</v>
      </c>
      <c r="B85" s="64">
        <v>10.64</v>
      </c>
      <c r="C85" s="64">
        <v>58.03</v>
      </c>
      <c r="D85" s="64">
        <v>41.21</v>
      </c>
      <c r="E85" s="64">
        <v>0.26</v>
      </c>
      <c r="F85" s="64">
        <v>3.39</v>
      </c>
      <c r="G85" s="64">
        <v>55.4</v>
      </c>
      <c r="H85" s="64">
        <v>23.27</v>
      </c>
      <c r="I85" s="64">
        <v>1.49</v>
      </c>
      <c r="J85" s="64">
        <v>0.05</v>
      </c>
      <c r="K85" s="64">
        <v>298.82</v>
      </c>
      <c r="L85" s="64">
        <v>23.7</v>
      </c>
      <c r="M85" s="64">
        <v>61.61</v>
      </c>
      <c r="N85" s="64">
        <v>62.5</v>
      </c>
      <c r="O85" s="64">
        <v>0</v>
      </c>
      <c r="P85" s="64">
        <v>1.02</v>
      </c>
      <c r="Q85" s="64">
        <v>7.31</v>
      </c>
      <c r="R85" s="198"/>
      <c r="S85" s="198"/>
      <c r="T85" s="198"/>
      <c r="U85" s="198"/>
    </row>
    <row r="86" spans="1:26" s="12" customFormat="1" x14ac:dyDescent="0.25">
      <c r="A86" s="213" t="s">
        <v>804</v>
      </c>
      <c r="B86" s="64">
        <v>13.25</v>
      </c>
      <c r="C86" s="64">
        <v>58.21</v>
      </c>
      <c r="D86" s="64">
        <v>43.39</v>
      </c>
      <c r="E86" s="64">
        <v>0.14000000000000001</v>
      </c>
      <c r="F86" s="64">
        <v>3.32</v>
      </c>
      <c r="G86" s="64">
        <v>55.4</v>
      </c>
      <c r="H86" s="64">
        <v>23.27</v>
      </c>
      <c r="I86" s="64">
        <v>1.47</v>
      </c>
      <c r="J86" s="64">
        <v>0.05</v>
      </c>
      <c r="K86" s="64">
        <v>6.45</v>
      </c>
      <c r="L86" s="64">
        <v>23.23</v>
      </c>
      <c r="M86" s="64">
        <v>63.51</v>
      </c>
      <c r="N86" s="64">
        <v>62.4</v>
      </c>
      <c r="O86" s="64">
        <v>0</v>
      </c>
      <c r="P86" s="64">
        <v>1.1100000000000001</v>
      </c>
      <c r="Q86" s="64">
        <v>7.5</v>
      </c>
      <c r="R86" s="198"/>
      <c r="S86" s="198"/>
      <c r="T86" s="198"/>
      <c r="U86" s="198"/>
    </row>
    <row r="87" spans="1:26" s="12" customFormat="1" x14ac:dyDescent="0.25">
      <c r="A87" s="213" t="s">
        <v>805</v>
      </c>
      <c r="B87" s="64">
        <v>15.84</v>
      </c>
      <c r="C87" s="64">
        <v>58.6</v>
      </c>
      <c r="D87" s="64">
        <v>45.69</v>
      </c>
      <c r="E87" s="64">
        <v>0.19</v>
      </c>
      <c r="F87" s="64">
        <v>3.15</v>
      </c>
      <c r="G87" s="64">
        <v>65.97</v>
      </c>
      <c r="H87" s="64">
        <v>26.4</v>
      </c>
      <c r="I87" s="64">
        <v>1.56</v>
      </c>
      <c r="J87" s="64">
        <v>0.38</v>
      </c>
      <c r="K87" s="64">
        <v>83.52</v>
      </c>
      <c r="L87" s="64">
        <v>23.2</v>
      </c>
      <c r="M87" s="64">
        <v>66.900000000000006</v>
      </c>
      <c r="N87" s="64">
        <v>61.8</v>
      </c>
      <c r="O87" s="64">
        <v>0</v>
      </c>
      <c r="P87" s="64">
        <v>1.01</v>
      </c>
      <c r="Q87" s="64">
        <v>7.73</v>
      </c>
      <c r="R87" s="198"/>
      <c r="S87" s="198"/>
      <c r="T87" s="198"/>
      <c r="U87" s="198"/>
    </row>
    <row r="88" spans="1:26" s="12" customFormat="1" x14ac:dyDescent="0.25">
      <c r="A88" s="213" t="s">
        <v>806</v>
      </c>
      <c r="B88" s="64">
        <v>17.38</v>
      </c>
      <c r="C88" s="64">
        <v>56.41</v>
      </c>
      <c r="D88" s="64">
        <v>45.72</v>
      </c>
      <c r="E88" s="64">
        <v>0.04</v>
      </c>
      <c r="F88" s="64">
        <v>3.1</v>
      </c>
      <c r="G88" s="64">
        <v>68.8</v>
      </c>
      <c r="H88" s="64">
        <v>26.67</v>
      </c>
      <c r="I88" s="64">
        <v>1.5</v>
      </c>
      <c r="J88" s="64">
        <v>0.28999999999999998</v>
      </c>
      <c r="K88" s="64">
        <v>82.57</v>
      </c>
      <c r="L88" s="64">
        <v>23.34</v>
      </c>
      <c r="M88" s="64">
        <v>61.93</v>
      </c>
      <c r="N88" s="64">
        <v>62</v>
      </c>
      <c r="O88" s="64">
        <v>0</v>
      </c>
      <c r="P88" s="64">
        <v>0.94</v>
      </c>
      <c r="Q88" s="64">
        <v>7.89</v>
      </c>
      <c r="R88" s="198"/>
      <c r="S88" s="198"/>
      <c r="T88" s="198"/>
      <c r="U88" s="198"/>
    </row>
    <row r="89" spans="1:26" s="12" customFormat="1" x14ac:dyDescent="0.25">
      <c r="A89" s="213" t="s">
        <v>807</v>
      </c>
      <c r="B89" s="64">
        <v>18.48</v>
      </c>
      <c r="C89" s="64">
        <v>53.87</v>
      </c>
      <c r="D89" s="64">
        <v>45.19</v>
      </c>
      <c r="E89" s="64">
        <v>0.05</v>
      </c>
      <c r="F89" s="64">
        <v>3.29</v>
      </c>
      <c r="G89" s="64">
        <v>68.8</v>
      </c>
      <c r="H89" s="64">
        <v>26.67</v>
      </c>
      <c r="I89" s="64">
        <v>1.52</v>
      </c>
      <c r="J89" s="64">
        <v>0.3</v>
      </c>
      <c r="K89" s="64">
        <v>225.74</v>
      </c>
      <c r="L89" s="64">
        <v>23.22</v>
      </c>
      <c r="M89" s="64">
        <v>63.52</v>
      </c>
      <c r="N89" s="64">
        <v>62.1</v>
      </c>
      <c r="O89" s="64">
        <v>0</v>
      </c>
      <c r="P89" s="64">
        <v>0.99</v>
      </c>
      <c r="Q89" s="64">
        <v>7.72</v>
      </c>
      <c r="R89" s="198"/>
      <c r="S89" s="198"/>
      <c r="T89" s="198"/>
      <c r="U89" s="198"/>
    </row>
    <row r="90" spans="1:26" s="12" customFormat="1" x14ac:dyDescent="0.25">
      <c r="A90" s="213" t="s">
        <v>808</v>
      </c>
      <c r="B90" s="64">
        <v>22.5</v>
      </c>
      <c r="C90" s="64">
        <v>56.45</v>
      </c>
      <c r="D90" s="64">
        <v>49.84</v>
      </c>
      <c r="E90" s="64">
        <v>0.15</v>
      </c>
      <c r="F90" s="64">
        <v>3.29</v>
      </c>
      <c r="G90" s="64">
        <v>68.8</v>
      </c>
      <c r="H90" s="64">
        <v>26.67</v>
      </c>
      <c r="I90" s="64">
        <v>1.43</v>
      </c>
      <c r="J90" s="64">
        <v>0.15</v>
      </c>
      <c r="K90" s="64">
        <v>292.77</v>
      </c>
      <c r="L90" s="64">
        <v>22.79</v>
      </c>
      <c r="M90" s="64">
        <v>68.62</v>
      </c>
      <c r="N90" s="64">
        <v>62.9</v>
      </c>
      <c r="O90" s="64">
        <v>0</v>
      </c>
      <c r="P90" s="64">
        <v>1.05</v>
      </c>
      <c r="Q90" s="64">
        <v>7.98</v>
      </c>
      <c r="R90" s="198"/>
      <c r="S90" s="198"/>
      <c r="T90" s="198"/>
      <c r="U90" s="198"/>
    </row>
    <row r="91" spans="1:26" s="12" customFormat="1" x14ac:dyDescent="0.25">
      <c r="A91" s="213" t="s">
        <v>809</v>
      </c>
      <c r="B91" s="64">
        <v>28.66</v>
      </c>
      <c r="C91" s="64">
        <v>60.19</v>
      </c>
      <c r="D91" s="64">
        <v>56.84</v>
      </c>
      <c r="E91" s="64">
        <v>0.16</v>
      </c>
      <c r="F91" s="64">
        <v>3.1</v>
      </c>
      <c r="G91" s="64">
        <v>84.59</v>
      </c>
      <c r="H91" s="64">
        <v>27.21</v>
      </c>
      <c r="I91" s="64">
        <v>1.49</v>
      </c>
      <c r="J91" s="64">
        <v>0.12</v>
      </c>
      <c r="K91" s="64">
        <v>310.25</v>
      </c>
      <c r="L91" s="64">
        <v>22.13</v>
      </c>
      <c r="M91" s="64">
        <v>70.14</v>
      </c>
      <c r="N91" s="64">
        <v>62.9</v>
      </c>
      <c r="O91" s="64">
        <v>0</v>
      </c>
      <c r="P91" s="64">
        <v>1.18</v>
      </c>
      <c r="Q91" s="64">
        <v>8.3000000000000007</v>
      </c>
      <c r="R91" s="198"/>
      <c r="S91" s="198"/>
      <c r="T91" s="198"/>
      <c r="U91" s="198"/>
    </row>
    <row r="92" spans="1:26" s="12" customFormat="1" x14ac:dyDescent="0.25">
      <c r="A92" s="213" t="s">
        <v>810</v>
      </c>
      <c r="B92" s="64">
        <v>35.43</v>
      </c>
      <c r="C92" s="64">
        <v>58.72</v>
      </c>
      <c r="D92" s="64">
        <v>61.46</v>
      </c>
      <c r="E92" s="64">
        <v>0.1</v>
      </c>
      <c r="F92" s="64">
        <v>3.31</v>
      </c>
      <c r="G92" s="64">
        <v>88.82</v>
      </c>
      <c r="H92" s="64">
        <v>27.21</v>
      </c>
      <c r="I92" s="64">
        <v>1.49</v>
      </c>
      <c r="J92" s="64">
        <v>0.11</v>
      </c>
      <c r="K92" s="64">
        <v>331.7</v>
      </c>
      <c r="L92" s="64">
        <v>21.68</v>
      </c>
      <c r="M92" s="64">
        <v>74.430000000000007</v>
      </c>
      <c r="N92" s="64">
        <v>62.8</v>
      </c>
      <c r="O92" s="64">
        <v>0</v>
      </c>
      <c r="P92" s="64">
        <v>1.34</v>
      </c>
      <c r="Q92" s="64">
        <v>8.7200000000000006</v>
      </c>
      <c r="R92" s="198"/>
      <c r="S92" s="198"/>
      <c r="T92" s="198"/>
      <c r="U92" s="198"/>
    </row>
    <row r="93" spans="1:26" s="12" customFormat="1" x14ac:dyDescent="0.25">
      <c r="A93" s="213" t="s">
        <v>811</v>
      </c>
      <c r="B93" s="64">
        <v>49.02</v>
      </c>
      <c r="C93" s="64">
        <v>60.05</v>
      </c>
      <c r="D93" s="64">
        <v>73.099999999999994</v>
      </c>
      <c r="E93" s="64">
        <v>0.24</v>
      </c>
      <c r="F93" s="64">
        <v>3.33</v>
      </c>
      <c r="G93" s="64">
        <v>88.82</v>
      </c>
      <c r="H93" s="64">
        <v>27.21</v>
      </c>
      <c r="I93" s="64">
        <v>1.52</v>
      </c>
      <c r="J93" s="64">
        <v>0.13</v>
      </c>
      <c r="K93" s="64">
        <v>7.22</v>
      </c>
      <c r="L93" s="64">
        <v>21.4</v>
      </c>
      <c r="M93" s="64">
        <v>78.25</v>
      </c>
      <c r="N93" s="64">
        <v>62.7</v>
      </c>
      <c r="O93" s="64">
        <v>0</v>
      </c>
      <c r="P93" s="64">
        <v>1.56</v>
      </c>
      <c r="Q93" s="64">
        <v>9.34</v>
      </c>
      <c r="R93" s="198"/>
      <c r="S93" s="198"/>
      <c r="T93" s="198"/>
      <c r="U93" s="198"/>
    </row>
    <row r="94" spans="1:26" s="12" customFormat="1" x14ac:dyDescent="0.25">
      <c r="A94" s="213" t="s">
        <v>812</v>
      </c>
      <c r="B94" s="64">
        <v>60.38</v>
      </c>
      <c r="C94" s="64">
        <v>63.04</v>
      </c>
      <c r="D94" s="64">
        <v>83.85</v>
      </c>
      <c r="E94" s="64">
        <v>0.25</v>
      </c>
      <c r="F94" s="64">
        <v>3.1</v>
      </c>
      <c r="G94" s="64">
        <v>88.82</v>
      </c>
      <c r="H94" s="64">
        <v>27.21</v>
      </c>
      <c r="I94" s="64">
        <v>1.5</v>
      </c>
      <c r="J94" s="64">
        <v>0.22</v>
      </c>
      <c r="K94" s="64">
        <v>57.83</v>
      </c>
      <c r="L94" s="64">
        <v>21.59</v>
      </c>
      <c r="M94" s="64">
        <v>76.790000000000006</v>
      </c>
      <c r="N94" s="64">
        <v>62.3</v>
      </c>
      <c r="O94" s="64">
        <v>0</v>
      </c>
      <c r="P94" s="64">
        <v>1.71</v>
      </c>
      <c r="Q94" s="64">
        <v>10.220000000000001</v>
      </c>
      <c r="R94" s="198"/>
      <c r="S94" s="198"/>
      <c r="T94" s="198"/>
      <c r="U94" s="198"/>
    </row>
    <row r="95" spans="1:26" s="12" customFormat="1" x14ac:dyDescent="0.25">
      <c r="A95" s="213" t="s">
        <v>813</v>
      </c>
      <c r="B95" s="64">
        <v>66.930000000000007</v>
      </c>
      <c r="C95" s="64">
        <v>60.59</v>
      </c>
      <c r="D95" s="64">
        <v>87.76</v>
      </c>
      <c r="E95" s="64">
        <v>0.19</v>
      </c>
      <c r="F95" s="64">
        <v>3.26</v>
      </c>
      <c r="G95" s="64">
        <v>113.44</v>
      </c>
      <c r="H95" s="64">
        <v>35.81</v>
      </c>
      <c r="I95" s="64">
        <v>1.52</v>
      </c>
      <c r="J95" s="64">
        <v>1.26</v>
      </c>
      <c r="K95" s="64">
        <v>341.76</v>
      </c>
      <c r="L95" s="64">
        <v>21.69</v>
      </c>
      <c r="M95" s="64">
        <v>70.55</v>
      </c>
      <c r="N95" s="64">
        <v>59.9</v>
      </c>
      <c r="O95" s="64">
        <v>0</v>
      </c>
      <c r="P95" s="64">
        <v>1.8</v>
      </c>
      <c r="Q95" s="64">
        <v>10.95</v>
      </c>
      <c r="R95" s="198"/>
      <c r="S95" s="198"/>
      <c r="T95" s="198"/>
      <c r="U95" s="198"/>
    </row>
    <row r="96" spans="1:26" s="12" customFormat="1" x14ac:dyDescent="0.25">
      <c r="A96" s="213" t="s">
        <v>814</v>
      </c>
      <c r="B96" s="64">
        <v>66.23</v>
      </c>
      <c r="C96" s="64">
        <v>61.28</v>
      </c>
      <c r="D96" s="64">
        <v>87.58</v>
      </c>
      <c r="E96" s="64">
        <v>0.24</v>
      </c>
      <c r="F96" s="64">
        <v>3.26</v>
      </c>
      <c r="G96" s="64">
        <v>120.03</v>
      </c>
      <c r="H96" s="64">
        <v>35.81</v>
      </c>
      <c r="I96" s="64">
        <v>1.55</v>
      </c>
      <c r="J96" s="64">
        <v>0.78</v>
      </c>
      <c r="K96" s="64">
        <v>345.6</v>
      </c>
      <c r="L96" s="64">
        <v>22.27</v>
      </c>
      <c r="M96" s="64">
        <v>60.9</v>
      </c>
      <c r="N96" s="64">
        <v>62</v>
      </c>
      <c r="O96" s="64">
        <v>0</v>
      </c>
      <c r="P96" s="64">
        <v>1.79</v>
      </c>
      <c r="Q96" s="64">
        <v>11.36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815</v>
      </c>
      <c r="B97" s="64">
        <v>63.65</v>
      </c>
      <c r="C97" s="64">
        <v>63.44</v>
      </c>
      <c r="D97" s="64">
        <v>86.7</v>
      </c>
      <c r="E97" s="64">
        <v>0.23</v>
      </c>
      <c r="F97" s="64">
        <v>3.16</v>
      </c>
      <c r="G97" s="64">
        <v>120.03</v>
      </c>
      <c r="H97" s="64">
        <v>35.81</v>
      </c>
      <c r="I97" s="64">
        <v>1.49</v>
      </c>
      <c r="J97" s="64">
        <v>0.45</v>
      </c>
      <c r="K97" s="64">
        <v>349.89</v>
      </c>
      <c r="L97" s="64">
        <v>22.1</v>
      </c>
      <c r="M97" s="64">
        <v>59.99</v>
      </c>
      <c r="N97" s="64">
        <v>62.9</v>
      </c>
      <c r="O97" s="64">
        <v>0</v>
      </c>
      <c r="P97" s="64">
        <v>1.77</v>
      </c>
      <c r="Q97" s="64">
        <v>11.39</v>
      </c>
      <c r="R97" s="198"/>
      <c r="S97" s="198"/>
      <c r="T97" s="198"/>
      <c r="U97" s="198"/>
    </row>
    <row r="98" spans="1:33" s="12" customFormat="1" x14ac:dyDescent="0.25">
      <c r="A98" s="213" t="s">
        <v>816</v>
      </c>
      <c r="B98" s="64">
        <v>61.74</v>
      </c>
      <c r="C98" s="64">
        <v>61.8</v>
      </c>
      <c r="D98" s="64">
        <v>84.26</v>
      </c>
      <c r="E98" s="64">
        <v>0.22</v>
      </c>
      <c r="F98" s="64">
        <v>3.34</v>
      </c>
      <c r="G98" s="64">
        <v>120.03</v>
      </c>
      <c r="H98" s="64">
        <v>35.81</v>
      </c>
      <c r="I98" s="64">
        <v>1.51</v>
      </c>
      <c r="J98" s="64">
        <v>0.48</v>
      </c>
      <c r="K98" s="64">
        <v>345.87</v>
      </c>
      <c r="L98" s="64">
        <v>21.87</v>
      </c>
      <c r="M98" s="64">
        <v>60.54</v>
      </c>
      <c r="N98" s="64">
        <v>62.7</v>
      </c>
      <c r="O98" s="64">
        <v>0</v>
      </c>
      <c r="P98" s="64">
        <v>1.74</v>
      </c>
      <c r="Q98" s="64">
        <v>11.19</v>
      </c>
      <c r="R98" s="198"/>
      <c r="S98" s="198"/>
      <c r="T98" s="198"/>
      <c r="U98" s="198"/>
    </row>
    <row r="99" spans="1:33" s="12" customFormat="1" x14ac:dyDescent="0.25">
      <c r="A99" s="213" t="s">
        <v>817</v>
      </c>
      <c r="B99" s="64">
        <v>59.95</v>
      </c>
      <c r="C99" s="64">
        <v>62.22</v>
      </c>
      <c r="D99" s="64">
        <v>83.06</v>
      </c>
      <c r="E99" s="64">
        <v>0.22</v>
      </c>
      <c r="F99" s="64">
        <v>3.14</v>
      </c>
      <c r="G99" s="64">
        <v>113.27</v>
      </c>
      <c r="H99" s="64">
        <v>38.68</v>
      </c>
      <c r="I99" s="64">
        <v>1.34</v>
      </c>
      <c r="J99" s="64">
        <v>0.56999999999999995</v>
      </c>
      <c r="K99" s="64">
        <v>349.17</v>
      </c>
      <c r="L99" s="64">
        <v>21.83</v>
      </c>
      <c r="M99" s="64">
        <v>56.9</v>
      </c>
      <c r="N99" s="64">
        <v>62.5</v>
      </c>
      <c r="O99" s="64">
        <v>0</v>
      </c>
      <c r="P99" s="64">
        <v>1.7</v>
      </c>
      <c r="Q99" s="64">
        <v>11.03</v>
      </c>
      <c r="R99" s="198"/>
      <c r="S99" s="198"/>
      <c r="T99" s="198"/>
      <c r="U99" s="198"/>
    </row>
    <row r="100" spans="1:33" s="12" customFormat="1" x14ac:dyDescent="0.25">
      <c r="A100" s="213" t="s">
        <v>818</v>
      </c>
      <c r="B100" s="64">
        <v>57.57</v>
      </c>
      <c r="C100" s="64">
        <v>60.08</v>
      </c>
      <c r="D100" s="64">
        <v>79.97</v>
      </c>
      <c r="E100" s="64">
        <v>0.22</v>
      </c>
      <c r="F100" s="64">
        <v>3.14</v>
      </c>
      <c r="G100" s="64">
        <v>111.46</v>
      </c>
      <c r="H100" s="64">
        <v>38.68</v>
      </c>
      <c r="I100" s="64">
        <v>1.47</v>
      </c>
      <c r="J100" s="64">
        <v>0.56999999999999995</v>
      </c>
      <c r="K100" s="64">
        <v>352.81</v>
      </c>
      <c r="L100" s="64">
        <v>21.75</v>
      </c>
      <c r="M100" s="64">
        <v>56.12</v>
      </c>
      <c r="N100" s="64">
        <v>62.7</v>
      </c>
      <c r="O100" s="64">
        <v>0</v>
      </c>
      <c r="P100" s="64">
        <v>1.64</v>
      </c>
      <c r="Q100" s="64">
        <v>10.91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819</v>
      </c>
      <c r="B101" s="64">
        <v>54.33</v>
      </c>
      <c r="C101" s="64">
        <v>59.68</v>
      </c>
      <c r="D101" s="64">
        <v>77.150000000000006</v>
      </c>
      <c r="E101" s="64">
        <v>0.2</v>
      </c>
      <c r="F101" s="64">
        <v>3.06</v>
      </c>
      <c r="G101" s="64">
        <v>111.46</v>
      </c>
      <c r="H101" s="64">
        <v>38.68</v>
      </c>
      <c r="I101" s="64">
        <v>1.53</v>
      </c>
      <c r="J101" s="64">
        <v>0.66</v>
      </c>
      <c r="K101" s="64">
        <v>342.64</v>
      </c>
      <c r="L101" s="64">
        <v>21.35</v>
      </c>
      <c r="M101" s="64">
        <v>61.24</v>
      </c>
      <c r="N101" s="64">
        <v>63.1</v>
      </c>
      <c r="O101" s="64">
        <v>0</v>
      </c>
      <c r="P101" s="64">
        <v>1.58</v>
      </c>
      <c r="Q101" s="64">
        <v>10.66</v>
      </c>
      <c r="R101" s="198"/>
      <c r="S101" s="198"/>
      <c r="T101" s="198"/>
      <c r="U101" s="198"/>
    </row>
    <row r="102" spans="1:33" s="12" customFormat="1" x14ac:dyDescent="0.25">
      <c r="A102" s="213" t="s">
        <v>820</v>
      </c>
      <c r="B102" s="64">
        <v>50.05</v>
      </c>
      <c r="C102" s="64">
        <v>59.93</v>
      </c>
      <c r="D102" s="64">
        <v>73.849999999999994</v>
      </c>
      <c r="E102" s="64">
        <v>0.2</v>
      </c>
      <c r="F102" s="64">
        <v>3.08</v>
      </c>
      <c r="G102" s="64">
        <v>111.46</v>
      </c>
      <c r="H102" s="64">
        <v>38.68</v>
      </c>
      <c r="I102" s="64">
        <v>1.47</v>
      </c>
      <c r="J102" s="64">
        <v>0.85</v>
      </c>
      <c r="K102" s="64">
        <v>348.69</v>
      </c>
      <c r="L102" s="64">
        <v>20.79</v>
      </c>
      <c r="M102" s="64">
        <v>66.75</v>
      </c>
      <c r="N102" s="64">
        <v>63.3</v>
      </c>
      <c r="O102" s="64">
        <v>0</v>
      </c>
      <c r="P102" s="64">
        <v>1.49</v>
      </c>
      <c r="Q102" s="64">
        <v>10.4</v>
      </c>
      <c r="R102" s="198"/>
      <c r="S102" s="198"/>
      <c r="T102" s="198"/>
      <c r="U102" s="198"/>
    </row>
    <row r="103" spans="1:33" s="12" customFormat="1" x14ac:dyDescent="0.25">
      <c r="A103" s="213" t="s">
        <v>821</v>
      </c>
      <c r="B103" s="64">
        <v>46.03</v>
      </c>
      <c r="C103" s="64">
        <v>58.26</v>
      </c>
      <c r="D103" s="64">
        <v>69.709999999999994</v>
      </c>
      <c r="E103" s="64">
        <v>0.17</v>
      </c>
      <c r="F103" s="64">
        <v>2.92</v>
      </c>
      <c r="G103" s="64">
        <v>94.78</v>
      </c>
      <c r="H103" s="64">
        <v>33.86</v>
      </c>
      <c r="I103" s="64">
        <v>1.46</v>
      </c>
      <c r="J103" s="64">
        <v>0.49</v>
      </c>
      <c r="K103" s="64">
        <v>346.28</v>
      </c>
      <c r="L103" s="64">
        <v>20.32</v>
      </c>
      <c r="M103" s="64">
        <v>69.180000000000007</v>
      </c>
      <c r="N103" s="64">
        <v>63.2</v>
      </c>
      <c r="O103" s="64">
        <v>0</v>
      </c>
      <c r="P103" s="64">
        <v>1.4</v>
      </c>
      <c r="Q103" s="64">
        <v>10.09</v>
      </c>
      <c r="R103" s="198"/>
      <c r="S103" s="198"/>
      <c r="T103" s="198"/>
      <c r="U103" s="198"/>
    </row>
    <row r="104" spans="1:33" s="12" customFormat="1" x14ac:dyDescent="0.25">
      <c r="A104" s="213" t="s">
        <v>822</v>
      </c>
      <c r="B104" s="64">
        <v>43.12</v>
      </c>
      <c r="C104" s="64">
        <v>60.23</v>
      </c>
      <c r="D104" s="64">
        <v>68.47</v>
      </c>
      <c r="E104" s="64">
        <v>0.2</v>
      </c>
      <c r="F104" s="64">
        <v>3.13</v>
      </c>
      <c r="G104" s="64">
        <v>90.61</v>
      </c>
      <c r="H104" s="64">
        <v>33.86</v>
      </c>
      <c r="I104" s="64">
        <v>1.51</v>
      </c>
      <c r="J104" s="64">
        <v>0.66</v>
      </c>
      <c r="K104" s="64">
        <v>338.33</v>
      </c>
      <c r="L104" s="64">
        <v>20.059999999999999</v>
      </c>
      <c r="M104" s="64">
        <v>70.510000000000005</v>
      </c>
      <c r="N104" s="64">
        <v>62.9</v>
      </c>
      <c r="O104" s="64">
        <v>0</v>
      </c>
      <c r="P104" s="64">
        <v>1.34</v>
      </c>
      <c r="Q104" s="64">
        <v>9.94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</v>
      </c>
      <c r="C106" s="67">
        <f>MIN(C9:C104)</f>
        <v>37.26</v>
      </c>
      <c r="D106" s="67">
        <f t="shared" ref="D106:Q106" si="0">MIN(D9:D104)</f>
        <v>22.55</v>
      </c>
      <c r="E106" s="67">
        <f t="shared" si="0"/>
        <v>0.02</v>
      </c>
      <c r="F106" s="67">
        <f t="shared" si="0"/>
        <v>2.17</v>
      </c>
      <c r="G106" s="67">
        <f t="shared" si="0"/>
        <v>46.58</v>
      </c>
      <c r="H106" s="67">
        <f t="shared" si="0"/>
        <v>20.9</v>
      </c>
      <c r="I106" s="67">
        <f t="shared" si="0"/>
        <v>1.34</v>
      </c>
      <c r="J106" s="67">
        <f t="shared" si="0"/>
        <v>0.01</v>
      </c>
      <c r="K106" s="67">
        <f t="shared" si="0"/>
        <v>4.26</v>
      </c>
      <c r="L106" s="67">
        <f t="shared" si="0"/>
        <v>17.600000000000001</v>
      </c>
      <c r="M106" s="67">
        <f t="shared" si="0"/>
        <v>35.68</v>
      </c>
      <c r="N106" s="67">
        <f t="shared" si="0"/>
        <v>59.9</v>
      </c>
      <c r="O106" s="67">
        <f t="shared" si="0"/>
        <v>0</v>
      </c>
      <c r="P106" s="67">
        <f t="shared" si="0"/>
        <v>0.35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66.930000000000007</v>
      </c>
      <c r="C107" s="66">
        <f t="shared" ref="C107:Q107" si="1">MAX(C9:C104)</f>
        <v>70.05</v>
      </c>
      <c r="D107" s="66">
        <f t="shared" si="1"/>
        <v>87.76</v>
      </c>
      <c r="E107" s="66">
        <f t="shared" si="1"/>
        <v>0.37</v>
      </c>
      <c r="F107" s="66">
        <f t="shared" si="1"/>
        <v>19.309999999999999</v>
      </c>
      <c r="G107" s="66">
        <f t="shared" si="1"/>
        <v>120.03</v>
      </c>
      <c r="H107" s="66">
        <f t="shared" si="1"/>
        <v>38.75</v>
      </c>
      <c r="I107" s="66">
        <f t="shared" si="1"/>
        <v>1.6</v>
      </c>
      <c r="J107" s="66">
        <f t="shared" si="1"/>
        <v>1.26</v>
      </c>
      <c r="K107" s="66">
        <f t="shared" si="1"/>
        <v>358.82</v>
      </c>
      <c r="L107" s="66">
        <f t="shared" si="1"/>
        <v>30.75</v>
      </c>
      <c r="M107" s="66">
        <f t="shared" si="1"/>
        <v>97.84</v>
      </c>
      <c r="N107" s="66">
        <f t="shared" si="1"/>
        <v>786.1</v>
      </c>
      <c r="O107" s="66">
        <f t="shared" si="1"/>
        <v>0</v>
      </c>
      <c r="P107" s="66">
        <f t="shared" si="1"/>
        <v>1.8</v>
      </c>
      <c r="Q107" s="66">
        <f t="shared" si="1"/>
        <v>11.39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21.325312500000006</v>
      </c>
      <c r="C108" s="67">
        <f t="shared" ref="C108:Q108" si="2">AVERAGE(C9:C104)</f>
        <v>55.505520833333328</v>
      </c>
      <c r="D108" s="67">
        <f t="shared" si="2"/>
        <v>48.379791666666684</v>
      </c>
      <c r="E108" s="67">
        <f t="shared" si="2"/>
        <v>0.18124999999999999</v>
      </c>
      <c r="F108" s="67">
        <f t="shared" si="2"/>
        <v>4.9126041666666653</v>
      </c>
      <c r="G108" s="67">
        <f t="shared" si="2"/>
        <v>70.839270833333316</v>
      </c>
      <c r="H108" s="67">
        <f t="shared" si="2"/>
        <v>27.187395833333337</v>
      </c>
      <c r="I108" s="67">
        <f t="shared" si="2"/>
        <v>1.4979166666666668</v>
      </c>
      <c r="J108" s="67">
        <f t="shared" si="2"/>
        <v>0.22239583333333338</v>
      </c>
      <c r="K108" s="67">
        <f t="shared" si="2"/>
        <v>195.43572916666662</v>
      </c>
      <c r="L108" s="67">
        <f t="shared" si="2"/>
        <v>23.358124999999998</v>
      </c>
      <c r="M108" s="67">
        <f t="shared" si="2"/>
        <v>66.112395833333338</v>
      </c>
      <c r="N108" s="67">
        <f t="shared" si="2"/>
        <v>235.70312499999997</v>
      </c>
      <c r="O108" s="67">
        <f t="shared" si="2"/>
        <v>0</v>
      </c>
      <c r="P108" s="67">
        <f t="shared" si="2"/>
        <v>0.78291666666666659</v>
      </c>
      <c r="Q108" s="67">
        <f t="shared" si="2"/>
        <v>7.9132291666666674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20.606997633820001</v>
      </c>
      <c r="C109" s="67">
        <f t="shared" ref="C109:Q109" si="3">STDEV(C9:C104)</f>
        <v>5.725571425362757</v>
      </c>
      <c r="D109" s="67">
        <f t="shared" si="3"/>
        <v>18.257419485566068</v>
      </c>
      <c r="E109" s="67">
        <f t="shared" si="3"/>
        <v>7.8381657360165072E-2</v>
      </c>
      <c r="F109" s="67">
        <f t="shared" si="3"/>
        <v>3.2529194158289871</v>
      </c>
      <c r="G109" s="67">
        <f t="shared" si="3"/>
        <v>21.344647313469586</v>
      </c>
      <c r="H109" s="67">
        <f t="shared" si="3"/>
        <v>5.3632123611823959</v>
      </c>
      <c r="I109" s="67">
        <f t="shared" si="3"/>
        <v>4.4412342207441377E-2</v>
      </c>
      <c r="J109" s="67">
        <f t="shared" si="3"/>
        <v>0.20189494293432936</v>
      </c>
      <c r="K109" s="67">
        <f t="shared" si="3"/>
        <v>141.11221704538102</v>
      </c>
      <c r="L109" s="67">
        <f t="shared" si="3"/>
        <v>4.1813282484221377</v>
      </c>
      <c r="M109" s="67">
        <f t="shared" si="3"/>
        <v>19.6204568188029</v>
      </c>
      <c r="N109" s="67">
        <f t="shared" si="3"/>
        <v>255.0095797800648</v>
      </c>
      <c r="O109" s="67">
        <f t="shared" si="3"/>
        <v>0</v>
      </c>
      <c r="P109" s="67">
        <f t="shared" si="3"/>
        <v>0.38450765967777173</v>
      </c>
      <c r="Q109" s="67">
        <f t="shared" si="3"/>
        <v>1.7989256997568361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823</v>
      </c>
      <c r="B9" s="64">
        <v>40.33</v>
      </c>
      <c r="C9" s="64">
        <v>60.45</v>
      </c>
      <c r="D9" s="64">
        <v>66.349999999999994</v>
      </c>
      <c r="E9" s="64">
        <v>0.34</v>
      </c>
      <c r="F9" s="64">
        <v>3.36</v>
      </c>
      <c r="G9" s="64">
        <v>90.61</v>
      </c>
      <c r="H9" s="64">
        <v>33.86</v>
      </c>
      <c r="I9" s="64">
        <v>1.51</v>
      </c>
      <c r="J9" s="64">
        <v>0.9</v>
      </c>
      <c r="K9" s="64">
        <v>346.52</v>
      </c>
      <c r="L9" s="64">
        <v>19.809999999999999</v>
      </c>
      <c r="M9" s="64">
        <v>72.260000000000005</v>
      </c>
      <c r="N9" s="64">
        <v>62.9</v>
      </c>
      <c r="O9" s="64">
        <v>0</v>
      </c>
      <c r="P9" s="64">
        <v>1.27</v>
      </c>
      <c r="Q9" s="64">
        <v>9.8000000000000007</v>
      </c>
      <c r="R9" s="198"/>
      <c r="S9" s="198"/>
      <c r="T9" s="198"/>
      <c r="U9" s="198"/>
    </row>
    <row r="10" spans="1:21" s="12" customFormat="1" x14ac:dyDescent="0.25">
      <c r="A10" s="213" t="s">
        <v>824</v>
      </c>
      <c r="B10" s="64">
        <v>37.6</v>
      </c>
      <c r="C10" s="64">
        <v>60.52</v>
      </c>
      <c r="D10" s="64">
        <v>64.2</v>
      </c>
      <c r="E10" s="64">
        <v>0.34</v>
      </c>
      <c r="F10" s="64">
        <v>3.27</v>
      </c>
      <c r="G10" s="64">
        <v>90.61</v>
      </c>
      <c r="H10" s="64">
        <v>33.86</v>
      </c>
      <c r="I10" s="64">
        <v>1.49</v>
      </c>
      <c r="J10" s="64">
        <v>0.84</v>
      </c>
      <c r="K10" s="64">
        <v>345.06</v>
      </c>
      <c r="L10" s="64">
        <v>19.579999999999998</v>
      </c>
      <c r="M10" s="64">
        <v>73.69</v>
      </c>
      <c r="N10" s="64">
        <v>62.8</v>
      </c>
      <c r="O10" s="64">
        <v>0</v>
      </c>
      <c r="P10" s="64">
        <v>1.21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3" t="s">
        <v>825</v>
      </c>
      <c r="B11" s="64">
        <v>34.58</v>
      </c>
      <c r="C11" s="64">
        <v>60.14</v>
      </c>
      <c r="D11" s="64">
        <v>61.56</v>
      </c>
      <c r="E11" s="64">
        <v>0.37</v>
      </c>
      <c r="F11" s="64">
        <v>3.27</v>
      </c>
      <c r="G11" s="64">
        <v>74.180000000000007</v>
      </c>
      <c r="H11" s="64">
        <v>25.93</v>
      </c>
      <c r="I11" s="64">
        <v>1.51</v>
      </c>
      <c r="J11" s="64">
        <v>0.93</v>
      </c>
      <c r="K11" s="64">
        <v>341.58</v>
      </c>
      <c r="L11" s="64">
        <v>19.46</v>
      </c>
      <c r="M11" s="64">
        <v>74.459999999999994</v>
      </c>
      <c r="N11" s="64">
        <v>62.7</v>
      </c>
      <c r="O11" s="64">
        <v>0</v>
      </c>
      <c r="P11" s="64">
        <v>1.1200000000000001</v>
      </c>
      <c r="Q11" s="64">
        <v>9.48</v>
      </c>
      <c r="R11" s="198"/>
      <c r="S11" s="198"/>
      <c r="T11" s="198"/>
      <c r="U11" s="198"/>
    </row>
    <row r="12" spans="1:21" s="12" customFormat="1" x14ac:dyDescent="0.25">
      <c r="A12" s="213" t="s">
        <v>826</v>
      </c>
      <c r="B12" s="64">
        <v>31.55</v>
      </c>
      <c r="C12" s="64">
        <v>59.94</v>
      </c>
      <c r="D12" s="64">
        <v>59.03</v>
      </c>
      <c r="E12" s="64">
        <v>0.36</v>
      </c>
      <c r="F12" s="64">
        <v>3.08</v>
      </c>
      <c r="G12" s="64">
        <v>69.790000000000006</v>
      </c>
      <c r="H12" s="64">
        <v>25.93</v>
      </c>
      <c r="I12" s="64">
        <v>1.53</v>
      </c>
      <c r="J12" s="64">
        <v>1.06</v>
      </c>
      <c r="K12" s="64">
        <v>346.06</v>
      </c>
      <c r="L12" s="64">
        <v>19.239999999999998</v>
      </c>
      <c r="M12" s="64">
        <v>75.930000000000007</v>
      </c>
      <c r="N12" s="64">
        <v>62.9</v>
      </c>
      <c r="O12" s="64">
        <v>0</v>
      </c>
      <c r="P12" s="64">
        <v>1.07</v>
      </c>
      <c r="Q12" s="64">
        <v>9.2799999999999994</v>
      </c>
      <c r="R12" s="198"/>
      <c r="S12" s="198"/>
      <c r="T12" s="198"/>
      <c r="U12" s="198"/>
    </row>
    <row r="13" spans="1:21" s="12" customFormat="1" x14ac:dyDescent="0.25">
      <c r="A13" s="213" t="s">
        <v>827</v>
      </c>
      <c r="B13" s="64">
        <v>28.67</v>
      </c>
      <c r="C13" s="64">
        <v>59.78</v>
      </c>
      <c r="D13" s="64">
        <v>56.63</v>
      </c>
      <c r="E13" s="64">
        <v>0.3</v>
      </c>
      <c r="F13" s="64">
        <v>3.15</v>
      </c>
      <c r="G13" s="64">
        <v>69.790000000000006</v>
      </c>
      <c r="H13" s="64">
        <v>25.93</v>
      </c>
      <c r="I13" s="64">
        <v>1.49</v>
      </c>
      <c r="J13" s="64">
        <v>0.82</v>
      </c>
      <c r="K13" s="64">
        <v>348.92</v>
      </c>
      <c r="L13" s="64">
        <v>19.02</v>
      </c>
      <c r="M13" s="64">
        <v>77.66</v>
      </c>
      <c r="N13" s="64">
        <v>63</v>
      </c>
      <c r="O13" s="64">
        <v>0</v>
      </c>
      <c r="P13" s="64">
        <v>0.94</v>
      </c>
      <c r="Q13" s="64">
        <v>9.11</v>
      </c>
      <c r="R13" s="198"/>
      <c r="S13" s="198"/>
      <c r="T13" s="198"/>
      <c r="U13" s="198"/>
    </row>
    <row r="14" spans="1:21" s="12" customFormat="1" x14ac:dyDescent="0.25">
      <c r="A14" s="213" t="s">
        <v>828</v>
      </c>
      <c r="B14" s="64">
        <v>26.22</v>
      </c>
      <c r="C14" s="64">
        <v>59.36</v>
      </c>
      <c r="D14" s="64">
        <v>54.43</v>
      </c>
      <c r="E14" s="64">
        <v>0.27</v>
      </c>
      <c r="F14" s="64">
        <v>3.38</v>
      </c>
      <c r="G14" s="64">
        <v>69.790000000000006</v>
      </c>
      <c r="H14" s="64">
        <v>25.93</v>
      </c>
      <c r="I14" s="64">
        <v>1.5</v>
      </c>
      <c r="J14" s="64">
        <v>0.87</v>
      </c>
      <c r="K14" s="64">
        <v>346.49</v>
      </c>
      <c r="L14" s="64">
        <v>18.87</v>
      </c>
      <c r="M14" s="64">
        <v>78.55</v>
      </c>
      <c r="N14" s="64">
        <v>62.9</v>
      </c>
      <c r="O14" s="64">
        <v>0</v>
      </c>
      <c r="P14" s="64">
        <v>0.92</v>
      </c>
      <c r="Q14" s="64">
        <v>8.9</v>
      </c>
      <c r="R14" s="198"/>
      <c r="S14" s="198"/>
      <c r="T14" s="198"/>
      <c r="U14" s="198"/>
    </row>
    <row r="15" spans="1:21" s="12" customFormat="1" x14ac:dyDescent="0.25">
      <c r="A15" s="213" t="s">
        <v>829</v>
      </c>
      <c r="B15" s="64">
        <v>24.13</v>
      </c>
      <c r="C15" s="64">
        <v>59.08</v>
      </c>
      <c r="D15" s="64">
        <v>52.6</v>
      </c>
      <c r="E15" s="64">
        <v>0.26</v>
      </c>
      <c r="F15" s="64">
        <v>3.33</v>
      </c>
      <c r="G15" s="64">
        <v>56.59</v>
      </c>
      <c r="H15" s="64">
        <v>24.43</v>
      </c>
      <c r="I15" s="64">
        <v>1.53</v>
      </c>
      <c r="J15" s="64">
        <v>0.59</v>
      </c>
      <c r="K15" s="64">
        <v>351.38</v>
      </c>
      <c r="L15" s="64">
        <v>18.7</v>
      </c>
      <c r="M15" s="64">
        <v>79.47</v>
      </c>
      <c r="N15" s="64">
        <v>62.8</v>
      </c>
      <c r="O15" s="64">
        <v>0</v>
      </c>
      <c r="P15" s="64">
        <v>0.87</v>
      </c>
      <c r="Q15" s="64">
        <v>8.76</v>
      </c>
      <c r="R15" s="198"/>
      <c r="S15" s="198"/>
      <c r="T15" s="198"/>
      <c r="U15" s="198"/>
    </row>
    <row r="16" spans="1:21" s="12" customFormat="1" x14ac:dyDescent="0.25">
      <c r="A16" s="213" t="s">
        <v>830</v>
      </c>
      <c r="B16" s="64">
        <v>22.34</v>
      </c>
      <c r="C16" s="64">
        <v>58.49</v>
      </c>
      <c r="D16" s="64">
        <v>50.84</v>
      </c>
      <c r="E16" s="64">
        <v>0.26</v>
      </c>
      <c r="F16" s="64">
        <v>3.2</v>
      </c>
      <c r="G16" s="64">
        <v>53.06</v>
      </c>
      <c r="H16" s="64">
        <v>24.43</v>
      </c>
      <c r="I16" s="64">
        <v>1.53</v>
      </c>
      <c r="J16" s="64">
        <v>0.2</v>
      </c>
      <c r="K16" s="64">
        <v>333.16</v>
      </c>
      <c r="L16" s="64">
        <v>18.53</v>
      </c>
      <c r="M16" s="64">
        <v>80.569999999999993</v>
      </c>
      <c r="N16" s="64">
        <v>63.1</v>
      </c>
      <c r="O16" s="64">
        <v>0</v>
      </c>
      <c r="P16" s="64">
        <v>0.83</v>
      </c>
      <c r="Q16" s="64">
        <v>8.58</v>
      </c>
      <c r="R16" s="198"/>
      <c r="S16" s="198"/>
      <c r="T16" s="198"/>
      <c r="U16" s="198"/>
    </row>
    <row r="17" spans="1:21" s="12" customFormat="1" x14ac:dyDescent="0.25">
      <c r="A17" s="213" t="s">
        <v>831</v>
      </c>
      <c r="B17" s="64">
        <v>21.14</v>
      </c>
      <c r="C17" s="64">
        <v>57.84</v>
      </c>
      <c r="D17" s="64">
        <v>49.52</v>
      </c>
      <c r="E17" s="64">
        <v>0.27</v>
      </c>
      <c r="F17" s="64">
        <v>3.25</v>
      </c>
      <c r="G17" s="64">
        <v>53.06</v>
      </c>
      <c r="H17" s="64">
        <v>24.43</v>
      </c>
      <c r="I17" s="64">
        <v>1.58</v>
      </c>
      <c r="J17" s="64">
        <v>0.28999999999999998</v>
      </c>
      <c r="K17" s="64">
        <v>82.39</v>
      </c>
      <c r="L17" s="64">
        <v>18.39</v>
      </c>
      <c r="M17" s="64">
        <v>81.27</v>
      </c>
      <c r="N17" s="64">
        <v>62.7</v>
      </c>
      <c r="O17" s="64">
        <v>0</v>
      </c>
      <c r="P17" s="64">
        <v>0.81</v>
      </c>
      <c r="Q17" s="64">
        <v>8.43</v>
      </c>
      <c r="R17" s="198"/>
      <c r="S17" s="198"/>
      <c r="T17" s="198"/>
      <c r="U17" s="198"/>
    </row>
    <row r="18" spans="1:21" s="12" customFormat="1" x14ac:dyDescent="0.25">
      <c r="A18" s="213" t="s">
        <v>832</v>
      </c>
      <c r="B18" s="64">
        <v>20.03</v>
      </c>
      <c r="C18" s="64">
        <v>56.87</v>
      </c>
      <c r="D18" s="64">
        <v>48.09</v>
      </c>
      <c r="E18" s="64">
        <v>0.28000000000000003</v>
      </c>
      <c r="F18" s="64">
        <v>3.21</v>
      </c>
      <c r="G18" s="64">
        <v>53.06</v>
      </c>
      <c r="H18" s="64">
        <v>24.43</v>
      </c>
      <c r="I18" s="64">
        <v>1.49</v>
      </c>
      <c r="J18" s="64">
        <v>0.22</v>
      </c>
      <c r="K18" s="64">
        <v>56</v>
      </c>
      <c r="L18" s="64">
        <v>18.36</v>
      </c>
      <c r="M18" s="64">
        <v>81.58</v>
      </c>
      <c r="N18" s="64">
        <v>62.8</v>
      </c>
      <c r="O18" s="64">
        <v>0</v>
      </c>
      <c r="P18" s="64">
        <v>0.78</v>
      </c>
      <c r="Q18" s="64">
        <v>8.34</v>
      </c>
      <c r="R18" s="198"/>
      <c r="S18" s="198"/>
      <c r="T18" s="198"/>
      <c r="U18" s="198"/>
    </row>
    <row r="19" spans="1:21" s="12" customFormat="1" x14ac:dyDescent="0.25">
      <c r="A19" s="213" t="s">
        <v>833</v>
      </c>
      <c r="B19" s="64">
        <v>19</v>
      </c>
      <c r="C19" s="64">
        <v>56.3</v>
      </c>
      <c r="D19" s="64">
        <v>46.95</v>
      </c>
      <c r="E19" s="64">
        <v>0.28000000000000003</v>
      </c>
      <c r="F19" s="64">
        <v>3.12</v>
      </c>
      <c r="G19" s="64">
        <v>49.48</v>
      </c>
      <c r="H19" s="64">
        <v>23.72</v>
      </c>
      <c r="I19" s="64">
        <v>1.55</v>
      </c>
      <c r="J19" s="64">
        <v>0.25</v>
      </c>
      <c r="K19" s="64">
        <v>2.21</v>
      </c>
      <c r="L19" s="64">
        <v>18.37</v>
      </c>
      <c r="M19" s="64">
        <v>81.88</v>
      </c>
      <c r="N19" s="64">
        <v>63</v>
      </c>
      <c r="O19" s="64">
        <v>0</v>
      </c>
      <c r="P19" s="64">
        <v>0.75</v>
      </c>
      <c r="Q19" s="64">
        <v>8.24</v>
      </c>
      <c r="R19" s="198"/>
      <c r="S19" s="198"/>
      <c r="T19" s="198"/>
      <c r="U19" s="198"/>
    </row>
    <row r="20" spans="1:21" s="12" customFormat="1" x14ac:dyDescent="0.25">
      <c r="A20" s="213" t="s">
        <v>834</v>
      </c>
      <c r="B20" s="64">
        <v>17.920000000000002</v>
      </c>
      <c r="C20" s="64">
        <v>52.36</v>
      </c>
      <c r="D20" s="64">
        <v>43.92</v>
      </c>
      <c r="E20" s="64">
        <v>0.28000000000000003</v>
      </c>
      <c r="F20" s="64">
        <v>3.19</v>
      </c>
      <c r="G20" s="64">
        <v>48.53</v>
      </c>
      <c r="H20" s="64">
        <v>23.72</v>
      </c>
      <c r="I20" s="64">
        <v>1.49</v>
      </c>
      <c r="J20" s="64">
        <v>0.28999999999999998</v>
      </c>
      <c r="K20" s="64">
        <v>79.11</v>
      </c>
      <c r="L20" s="64">
        <v>18.2</v>
      </c>
      <c r="M20" s="64">
        <v>82.66</v>
      </c>
      <c r="N20" s="64">
        <v>63</v>
      </c>
      <c r="O20" s="64">
        <v>0</v>
      </c>
      <c r="P20" s="64">
        <v>0.72</v>
      </c>
      <c r="Q20" s="64">
        <v>8.02</v>
      </c>
      <c r="R20" s="198"/>
      <c r="S20" s="198"/>
      <c r="T20" s="198"/>
      <c r="U20" s="198"/>
    </row>
    <row r="21" spans="1:21" s="12" customFormat="1" x14ac:dyDescent="0.25">
      <c r="A21" s="213" t="s">
        <v>835</v>
      </c>
      <c r="B21" s="64">
        <v>16.54</v>
      </c>
      <c r="C21" s="64">
        <v>50.66</v>
      </c>
      <c r="D21" s="64">
        <v>41.87</v>
      </c>
      <c r="E21" s="64">
        <v>0.26</v>
      </c>
      <c r="F21" s="64">
        <v>3.36</v>
      </c>
      <c r="G21" s="64">
        <v>48.53</v>
      </c>
      <c r="H21" s="64">
        <v>23.72</v>
      </c>
      <c r="I21" s="64">
        <v>1.42</v>
      </c>
      <c r="J21" s="64">
        <v>0.11</v>
      </c>
      <c r="K21" s="64">
        <v>10.98</v>
      </c>
      <c r="L21" s="64">
        <v>18.04</v>
      </c>
      <c r="M21" s="64">
        <v>83.8</v>
      </c>
      <c r="N21" s="64">
        <v>63</v>
      </c>
      <c r="O21" s="64">
        <v>0</v>
      </c>
      <c r="P21" s="64">
        <v>0.68</v>
      </c>
      <c r="Q21" s="64">
        <v>7.81</v>
      </c>
      <c r="R21" s="198"/>
      <c r="S21" s="198"/>
      <c r="T21" s="198"/>
      <c r="U21" s="198"/>
    </row>
    <row r="22" spans="1:21" s="12" customFormat="1" x14ac:dyDescent="0.25">
      <c r="A22" s="213" t="s">
        <v>836</v>
      </c>
      <c r="B22" s="64">
        <v>15.48</v>
      </c>
      <c r="C22" s="64">
        <v>49.52</v>
      </c>
      <c r="D22" s="64">
        <v>40.39</v>
      </c>
      <c r="E22" s="64">
        <v>0.22</v>
      </c>
      <c r="F22" s="64">
        <v>3.22</v>
      </c>
      <c r="G22" s="64">
        <v>48.53</v>
      </c>
      <c r="H22" s="64">
        <v>23.72</v>
      </c>
      <c r="I22" s="64">
        <v>1.48</v>
      </c>
      <c r="J22" s="64">
        <v>0.28000000000000003</v>
      </c>
      <c r="K22" s="64">
        <v>35</v>
      </c>
      <c r="L22" s="64">
        <v>17.93</v>
      </c>
      <c r="M22" s="64">
        <v>84.37</v>
      </c>
      <c r="N22" s="64">
        <v>62.8</v>
      </c>
      <c r="O22" s="64">
        <v>0</v>
      </c>
      <c r="P22" s="64">
        <v>0.65</v>
      </c>
      <c r="Q22" s="64">
        <v>7.65</v>
      </c>
      <c r="R22" s="198"/>
      <c r="S22" s="198"/>
      <c r="T22" s="198"/>
      <c r="U22" s="198"/>
    </row>
    <row r="23" spans="1:21" s="12" customFormat="1" x14ac:dyDescent="0.25">
      <c r="A23" s="213" t="s">
        <v>837</v>
      </c>
      <c r="B23" s="64">
        <v>14.77</v>
      </c>
      <c r="C23" s="64">
        <v>50.85</v>
      </c>
      <c r="D23" s="64">
        <v>40.56</v>
      </c>
      <c r="E23" s="64">
        <v>0.24</v>
      </c>
      <c r="F23" s="64">
        <v>3</v>
      </c>
      <c r="G23" s="64">
        <v>49.42</v>
      </c>
      <c r="H23" s="64">
        <v>23.18</v>
      </c>
      <c r="I23" s="64">
        <v>1.54</v>
      </c>
      <c r="J23" s="64">
        <v>0.24</v>
      </c>
      <c r="K23" s="64">
        <v>9.66</v>
      </c>
      <c r="L23" s="64">
        <v>17.75</v>
      </c>
      <c r="M23" s="64">
        <v>85.74</v>
      </c>
      <c r="N23" s="64">
        <v>62.9</v>
      </c>
      <c r="O23" s="64">
        <v>0</v>
      </c>
      <c r="P23" s="64">
        <v>0.63</v>
      </c>
      <c r="Q23" s="64">
        <v>7.58</v>
      </c>
      <c r="R23" s="198"/>
      <c r="S23" s="198"/>
      <c r="T23" s="198"/>
      <c r="U23" s="198"/>
    </row>
    <row r="24" spans="1:21" s="12" customFormat="1" x14ac:dyDescent="0.25">
      <c r="A24" s="213" t="s">
        <v>838</v>
      </c>
      <c r="B24" s="64">
        <v>14.32</v>
      </c>
      <c r="C24" s="64">
        <v>50.55</v>
      </c>
      <c r="D24" s="64">
        <v>40.03</v>
      </c>
      <c r="E24" s="64">
        <v>7.0000000000000007E-2</v>
      </c>
      <c r="F24" s="64">
        <v>3.14</v>
      </c>
      <c r="G24" s="64">
        <v>49.66</v>
      </c>
      <c r="H24" s="64">
        <v>23.01</v>
      </c>
      <c r="I24" s="64">
        <v>1.51</v>
      </c>
      <c r="J24" s="64">
        <v>0.27</v>
      </c>
      <c r="K24" s="64">
        <v>22.47</v>
      </c>
      <c r="L24" s="64">
        <v>17.71</v>
      </c>
      <c r="M24" s="64">
        <v>85.92</v>
      </c>
      <c r="N24" s="64">
        <v>63</v>
      </c>
      <c r="O24" s="64">
        <v>0</v>
      </c>
      <c r="P24" s="64">
        <v>0.6</v>
      </c>
      <c r="Q24" s="64">
        <v>7.51</v>
      </c>
      <c r="R24" s="198"/>
      <c r="S24" s="198"/>
      <c r="T24" s="198"/>
      <c r="U24" s="198"/>
    </row>
    <row r="25" spans="1:21" s="12" customFormat="1" x14ac:dyDescent="0.25">
      <c r="A25" s="213" t="s">
        <v>839</v>
      </c>
      <c r="B25" s="64">
        <v>13.97</v>
      </c>
      <c r="C25" s="64">
        <v>49.35</v>
      </c>
      <c r="D25" s="64">
        <v>39.08</v>
      </c>
      <c r="E25" s="64">
        <v>0.23</v>
      </c>
      <c r="F25" s="64">
        <v>2.96</v>
      </c>
      <c r="G25" s="64">
        <v>49.66</v>
      </c>
      <c r="H25" s="64">
        <v>23.01</v>
      </c>
      <c r="I25" s="64">
        <v>1.52</v>
      </c>
      <c r="J25" s="64">
        <v>0.37</v>
      </c>
      <c r="K25" s="64">
        <v>337.61</v>
      </c>
      <c r="L25" s="64">
        <v>17.850000000000001</v>
      </c>
      <c r="M25" s="64">
        <v>85.19</v>
      </c>
      <c r="N25" s="64">
        <v>63.2</v>
      </c>
      <c r="O25" s="64">
        <v>0</v>
      </c>
      <c r="P25" s="64">
        <v>0.59</v>
      </c>
      <c r="Q25" s="64">
        <v>7.42</v>
      </c>
      <c r="R25" s="198"/>
      <c r="S25" s="198"/>
      <c r="T25" s="198"/>
      <c r="U25" s="198"/>
    </row>
    <row r="26" spans="1:21" s="12" customFormat="1" x14ac:dyDescent="0.25">
      <c r="A26" s="213" t="s">
        <v>840</v>
      </c>
      <c r="B26" s="64">
        <v>13.85</v>
      </c>
      <c r="C26" s="64">
        <v>49.24</v>
      </c>
      <c r="D26" s="64">
        <v>38.93</v>
      </c>
      <c r="E26" s="64">
        <v>0.12</v>
      </c>
      <c r="F26" s="64">
        <v>3.09</v>
      </c>
      <c r="G26" s="64">
        <v>49.66</v>
      </c>
      <c r="H26" s="64">
        <v>23.01</v>
      </c>
      <c r="I26" s="64">
        <v>1.45</v>
      </c>
      <c r="J26" s="64">
        <v>0.44</v>
      </c>
      <c r="K26" s="64">
        <v>352.57</v>
      </c>
      <c r="L26" s="64">
        <v>17.899999999999999</v>
      </c>
      <c r="M26" s="64">
        <v>84.41</v>
      </c>
      <c r="N26" s="64">
        <v>63.4</v>
      </c>
      <c r="O26" s="64">
        <v>0</v>
      </c>
      <c r="P26" s="64">
        <v>0.56000000000000005</v>
      </c>
      <c r="Q26" s="64">
        <v>7.37</v>
      </c>
      <c r="R26" s="198"/>
      <c r="S26" s="198"/>
      <c r="T26" s="198"/>
      <c r="U26" s="198"/>
    </row>
    <row r="27" spans="1:21" s="12" customFormat="1" x14ac:dyDescent="0.25">
      <c r="A27" s="213" t="s">
        <v>841</v>
      </c>
      <c r="B27" s="64">
        <v>14</v>
      </c>
      <c r="C27" s="64">
        <v>49.9</v>
      </c>
      <c r="D27" s="64">
        <v>39.409999999999997</v>
      </c>
      <c r="E27" s="64">
        <v>0.2</v>
      </c>
      <c r="F27" s="64">
        <v>2.96</v>
      </c>
      <c r="G27" s="64">
        <v>49</v>
      </c>
      <c r="H27" s="64">
        <v>24.38</v>
      </c>
      <c r="I27" s="64">
        <v>1.46</v>
      </c>
      <c r="J27" s="64">
        <v>0.36</v>
      </c>
      <c r="K27" s="64">
        <v>62.38</v>
      </c>
      <c r="L27" s="64">
        <v>17.829999999999998</v>
      </c>
      <c r="M27" s="64">
        <v>84.43</v>
      </c>
      <c r="N27" s="64">
        <v>63.5</v>
      </c>
      <c r="O27" s="64">
        <v>0</v>
      </c>
      <c r="P27" s="64">
        <v>0.54</v>
      </c>
      <c r="Q27" s="64">
        <v>7.39</v>
      </c>
      <c r="R27" s="198"/>
      <c r="S27" s="198"/>
      <c r="T27" s="198"/>
      <c r="U27" s="198"/>
    </row>
    <row r="28" spans="1:21" s="12" customFormat="1" x14ac:dyDescent="0.25">
      <c r="A28" s="213" t="s">
        <v>842</v>
      </c>
      <c r="B28" s="64">
        <v>14.18</v>
      </c>
      <c r="C28" s="64">
        <v>49.1</v>
      </c>
      <c r="D28" s="64">
        <v>39.11</v>
      </c>
      <c r="E28" s="64">
        <v>0.2</v>
      </c>
      <c r="F28" s="64">
        <v>3</v>
      </c>
      <c r="G28" s="64">
        <v>48.82</v>
      </c>
      <c r="H28" s="64">
        <v>24.38</v>
      </c>
      <c r="I28" s="64">
        <v>1.52</v>
      </c>
      <c r="J28" s="64">
        <v>0.3</v>
      </c>
      <c r="K28" s="64">
        <v>88.55</v>
      </c>
      <c r="L28" s="64">
        <v>17.62</v>
      </c>
      <c r="M28" s="64">
        <v>86.02</v>
      </c>
      <c r="N28" s="64">
        <v>63.5</v>
      </c>
      <c r="O28" s="64">
        <v>0</v>
      </c>
      <c r="P28" s="64">
        <v>0.53</v>
      </c>
      <c r="Q28" s="64">
        <v>7.37</v>
      </c>
      <c r="R28" s="198"/>
      <c r="S28" s="198"/>
      <c r="T28" s="198"/>
      <c r="U28" s="198"/>
    </row>
    <row r="29" spans="1:21" s="12" customFormat="1" x14ac:dyDescent="0.25">
      <c r="A29" s="213" t="s">
        <v>843</v>
      </c>
      <c r="B29" s="64">
        <v>14.39</v>
      </c>
      <c r="C29" s="64">
        <v>48.81</v>
      </c>
      <c r="D29" s="64">
        <v>39.119999999999997</v>
      </c>
      <c r="E29" s="64">
        <v>0.21</v>
      </c>
      <c r="F29" s="64">
        <v>3.01</v>
      </c>
      <c r="G29" s="64">
        <v>48.82</v>
      </c>
      <c r="H29" s="64">
        <v>24.38</v>
      </c>
      <c r="I29" s="64">
        <v>1.52</v>
      </c>
      <c r="J29" s="64">
        <v>0.23</v>
      </c>
      <c r="K29" s="64">
        <v>48.73</v>
      </c>
      <c r="L29" s="64">
        <v>17.53</v>
      </c>
      <c r="M29" s="64">
        <v>86.5</v>
      </c>
      <c r="N29" s="64">
        <v>63.3</v>
      </c>
      <c r="O29" s="64">
        <v>0</v>
      </c>
      <c r="P29" s="64">
        <v>0.51</v>
      </c>
      <c r="Q29" s="64">
        <v>7.34</v>
      </c>
      <c r="R29" s="198"/>
      <c r="S29" s="198"/>
      <c r="T29" s="198"/>
      <c r="U29" s="198"/>
    </row>
    <row r="30" spans="1:21" s="12" customFormat="1" x14ac:dyDescent="0.25">
      <c r="A30" s="213" t="s">
        <v>844</v>
      </c>
      <c r="B30" s="64">
        <v>14.98</v>
      </c>
      <c r="C30" s="64">
        <v>48.95</v>
      </c>
      <c r="D30" s="64">
        <v>39.67</v>
      </c>
      <c r="E30" s="64">
        <v>0.19</v>
      </c>
      <c r="F30" s="64">
        <v>3.03</v>
      </c>
      <c r="G30" s="64">
        <v>48.82</v>
      </c>
      <c r="H30" s="64">
        <v>24.38</v>
      </c>
      <c r="I30" s="64">
        <v>1.5</v>
      </c>
      <c r="J30" s="64">
        <v>0.5</v>
      </c>
      <c r="K30" s="64">
        <v>348.78</v>
      </c>
      <c r="L30" s="64">
        <v>17.53</v>
      </c>
      <c r="M30" s="64">
        <v>86.3</v>
      </c>
      <c r="N30" s="64">
        <v>63.2</v>
      </c>
      <c r="O30" s="64">
        <v>0</v>
      </c>
      <c r="P30" s="64">
        <v>0.5</v>
      </c>
      <c r="Q30" s="64">
        <v>7.38</v>
      </c>
      <c r="R30" s="198"/>
      <c r="S30" s="198"/>
      <c r="T30" s="198"/>
      <c r="U30" s="198"/>
    </row>
    <row r="31" spans="1:21" s="12" customFormat="1" x14ac:dyDescent="0.25">
      <c r="A31" s="213" t="s">
        <v>845</v>
      </c>
      <c r="B31" s="64">
        <v>15.45</v>
      </c>
      <c r="C31" s="64">
        <v>49.63</v>
      </c>
      <c r="D31" s="64">
        <v>40.42</v>
      </c>
      <c r="E31" s="64">
        <v>0.16</v>
      </c>
      <c r="F31" s="64">
        <v>3.07</v>
      </c>
      <c r="G31" s="64">
        <v>52.6</v>
      </c>
      <c r="H31" s="64">
        <v>24.88</v>
      </c>
      <c r="I31" s="64">
        <v>1.48</v>
      </c>
      <c r="J31" s="64">
        <v>0.31</v>
      </c>
      <c r="K31" s="64">
        <v>355.38</v>
      </c>
      <c r="L31" s="64">
        <v>17.53</v>
      </c>
      <c r="M31" s="64">
        <v>86.14</v>
      </c>
      <c r="N31" s="64">
        <v>63.6</v>
      </c>
      <c r="O31" s="64">
        <v>0</v>
      </c>
      <c r="P31" s="64">
        <v>0.49</v>
      </c>
      <c r="Q31" s="64">
        <v>7.4</v>
      </c>
      <c r="R31" s="198"/>
      <c r="S31" s="198"/>
      <c r="T31" s="198"/>
      <c r="U31" s="198"/>
    </row>
    <row r="32" spans="1:21" s="12" customFormat="1" x14ac:dyDescent="0.25">
      <c r="A32" s="213" t="s">
        <v>846</v>
      </c>
      <c r="B32" s="64">
        <v>15.45</v>
      </c>
      <c r="C32" s="64">
        <v>49.63</v>
      </c>
      <c r="D32" s="64">
        <v>40.42</v>
      </c>
      <c r="E32" s="64">
        <v>0.16</v>
      </c>
      <c r="F32" s="64">
        <v>3.07</v>
      </c>
      <c r="G32" s="64">
        <v>52.6</v>
      </c>
      <c r="H32" s="64">
        <v>24.88</v>
      </c>
      <c r="I32" s="64">
        <v>1.48</v>
      </c>
      <c r="J32" s="64">
        <v>0.31</v>
      </c>
      <c r="K32" s="64">
        <v>355.38</v>
      </c>
      <c r="L32" s="64">
        <v>17.53</v>
      </c>
      <c r="M32" s="64">
        <v>86.14</v>
      </c>
      <c r="N32" s="64">
        <v>63.6</v>
      </c>
      <c r="O32" s="64">
        <v>0</v>
      </c>
      <c r="P32" s="64">
        <v>0.49</v>
      </c>
      <c r="Q32" s="64">
        <v>7.4</v>
      </c>
      <c r="R32" s="198"/>
      <c r="S32" s="198"/>
      <c r="T32" s="198"/>
      <c r="U32" s="198"/>
    </row>
    <row r="33" spans="1:21" s="12" customFormat="1" x14ac:dyDescent="0.25">
      <c r="A33" s="213" t="s">
        <v>847</v>
      </c>
      <c r="B33" s="64">
        <v>15.45</v>
      </c>
      <c r="C33" s="64">
        <v>49.63</v>
      </c>
      <c r="D33" s="64">
        <v>40.42</v>
      </c>
      <c r="E33" s="64">
        <v>0.16</v>
      </c>
      <c r="F33" s="64">
        <v>3.07</v>
      </c>
      <c r="G33" s="64">
        <v>52.6</v>
      </c>
      <c r="H33" s="64">
        <v>24.88</v>
      </c>
      <c r="I33" s="64">
        <v>1.48</v>
      </c>
      <c r="J33" s="64">
        <v>0.31</v>
      </c>
      <c r="K33" s="64">
        <v>355.38</v>
      </c>
      <c r="L33" s="64">
        <v>17.53</v>
      </c>
      <c r="M33" s="64">
        <v>86.14</v>
      </c>
      <c r="N33" s="64">
        <v>63.6</v>
      </c>
      <c r="O33" s="64">
        <v>0</v>
      </c>
      <c r="P33" s="64">
        <v>0.49</v>
      </c>
      <c r="Q33" s="64">
        <v>7.4</v>
      </c>
      <c r="R33" s="198"/>
      <c r="S33" s="198"/>
      <c r="T33" s="198"/>
      <c r="U33" s="198"/>
    </row>
    <row r="34" spans="1:21" s="12" customFormat="1" x14ac:dyDescent="0.25">
      <c r="A34" s="213" t="s">
        <v>848</v>
      </c>
      <c r="B34" s="64">
        <v>17.309999999999999</v>
      </c>
      <c r="C34" s="64">
        <v>48.88</v>
      </c>
      <c r="D34" s="64">
        <v>41.51</v>
      </c>
      <c r="E34" s="64">
        <v>0.16</v>
      </c>
      <c r="F34" s="64">
        <v>3.19</v>
      </c>
      <c r="G34" s="64">
        <v>53.62</v>
      </c>
      <c r="H34" s="64">
        <v>24.88</v>
      </c>
      <c r="I34" s="64">
        <v>1.52</v>
      </c>
      <c r="J34" s="64">
        <v>0.37</v>
      </c>
      <c r="K34" s="64">
        <v>351.89</v>
      </c>
      <c r="L34" s="64">
        <v>17.32</v>
      </c>
      <c r="M34" s="64">
        <v>87.05</v>
      </c>
      <c r="N34" s="64">
        <v>63.9</v>
      </c>
      <c r="O34" s="64">
        <v>0</v>
      </c>
      <c r="P34" s="64">
        <v>0.48</v>
      </c>
      <c r="Q34" s="64">
        <v>7.46</v>
      </c>
      <c r="R34" s="198"/>
      <c r="S34" s="198"/>
      <c r="T34" s="198"/>
      <c r="U34" s="198"/>
    </row>
    <row r="35" spans="1:21" s="12" customFormat="1" x14ac:dyDescent="0.25">
      <c r="A35" s="213" t="s">
        <v>849</v>
      </c>
      <c r="B35" s="64">
        <v>19.11</v>
      </c>
      <c r="C35" s="64">
        <v>50.81</v>
      </c>
      <c r="D35" s="64">
        <v>44.01</v>
      </c>
      <c r="E35" s="64">
        <v>0.13</v>
      </c>
      <c r="F35" s="64">
        <v>3.19</v>
      </c>
      <c r="G35" s="64">
        <v>56.07</v>
      </c>
      <c r="H35" s="64">
        <v>24.39</v>
      </c>
      <c r="I35" s="64">
        <v>1.52</v>
      </c>
      <c r="J35" s="64">
        <v>0.28000000000000003</v>
      </c>
      <c r="K35" s="64">
        <v>60.48</v>
      </c>
      <c r="L35" s="64">
        <v>17.010000000000002</v>
      </c>
      <c r="M35" s="64">
        <v>87.59</v>
      </c>
      <c r="N35" s="64">
        <v>70.900000000000006</v>
      </c>
      <c r="O35" s="64">
        <v>0</v>
      </c>
      <c r="P35" s="64">
        <v>0.46</v>
      </c>
      <c r="Q35" s="64">
        <v>7.64</v>
      </c>
      <c r="R35" s="198"/>
      <c r="S35" s="198"/>
      <c r="T35" s="198"/>
      <c r="U35" s="198"/>
    </row>
    <row r="36" spans="1:21" s="12" customFormat="1" x14ac:dyDescent="0.25">
      <c r="A36" s="213" t="s">
        <v>850</v>
      </c>
      <c r="B36" s="64">
        <v>20.02</v>
      </c>
      <c r="C36" s="64">
        <v>51.09</v>
      </c>
      <c r="D36" s="64">
        <v>44.9</v>
      </c>
      <c r="E36" s="64">
        <v>0.19</v>
      </c>
      <c r="F36" s="64">
        <v>3.14</v>
      </c>
      <c r="G36" s="64">
        <v>56.73</v>
      </c>
      <c r="H36" s="64">
        <v>24.37</v>
      </c>
      <c r="I36" s="64">
        <v>1.52</v>
      </c>
      <c r="J36" s="64">
        <v>0.23</v>
      </c>
      <c r="K36" s="64">
        <v>59.86</v>
      </c>
      <c r="L36" s="64">
        <v>17.010000000000002</v>
      </c>
      <c r="M36" s="64">
        <v>87.92</v>
      </c>
      <c r="N36" s="64">
        <v>84.9</v>
      </c>
      <c r="O36" s="64">
        <v>0</v>
      </c>
      <c r="P36" s="64">
        <v>0.47</v>
      </c>
      <c r="Q36" s="64">
        <v>7.76</v>
      </c>
      <c r="R36" s="198"/>
      <c r="S36" s="198"/>
      <c r="T36" s="198"/>
      <c r="U36" s="198"/>
    </row>
    <row r="37" spans="1:21" s="12" customFormat="1" x14ac:dyDescent="0.25">
      <c r="A37" s="213" t="s">
        <v>851</v>
      </c>
      <c r="B37" s="64">
        <v>21.33</v>
      </c>
      <c r="C37" s="64">
        <v>51.21</v>
      </c>
      <c r="D37" s="64">
        <v>46.01</v>
      </c>
      <c r="E37" s="64">
        <v>0.17</v>
      </c>
      <c r="F37" s="64">
        <v>3.11</v>
      </c>
      <c r="G37" s="64">
        <v>56.73</v>
      </c>
      <c r="H37" s="64">
        <v>24.37</v>
      </c>
      <c r="I37" s="64">
        <v>1.45</v>
      </c>
      <c r="J37" s="64">
        <v>0.26</v>
      </c>
      <c r="K37" s="64">
        <v>66.33</v>
      </c>
      <c r="L37" s="64">
        <v>17.09</v>
      </c>
      <c r="M37" s="64">
        <v>88.38</v>
      </c>
      <c r="N37" s="64">
        <v>106.7</v>
      </c>
      <c r="O37" s="64">
        <v>0</v>
      </c>
      <c r="P37" s="64">
        <v>0.43</v>
      </c>
      <c r="Q37" s="64">
        <v>7.89</v>
      </c>
      <c r="R37" s="198"/>
      <c r="S37" s="198"/>
      <c r="T37" s="198"/>
      <c r="U37" s="198"/>
    </row>
    <row r="38" spans="1:21" s="12" customFormat="1" x14ac:dyDescent="0.25">
      <c r="A38" s="213" t="s">
        <v>852</v>
      </c>
      <c r="B38" s="64">
        <v>22.56</v>
      </c>
      <c r="C38" s="64">
        <v>51.31</v>
      </c>
      <c r="D38" s="64">
        <v>47.05</v>
      </c>
      <c r="E38" s="64">
        <v>0.18</v>
      </c>
      <c r="F38" s="64">
        <v>2.75</v>
      </c>
      <c r="G38" s="64">
        <v>56.73</v>
      </c>
      <c r="H38" s="64">
        <v>24.37</v>
      </c>
      <c r="I38" s="64">
        <v>1.52</v>
      </c>
      <c r="J38" s="64">
        <v>0.91</v>
      </c>
      <c r="K38" s="64">
        <v>103.97</v>
      </c>
      <c r="L38" s="64">
        <v>17.27</v>
      </c>
      <c r="M38" s="64">
        <v>86.98</v>
      </c>
      <c r="N38" s="64">
        <v>135.19999999999999</v>
      </c>
      <c r="O38" s="64">
        <v>0</v>
      </c>
      <c r="P38" s="64">
        <v>0.46</v>
      </c>
      <c r="Q38" s="64">
        <v>8.02</v>
      </c>
      <c r="R38" s="198"/>
      <c r="S38" s="198"/>
      <c r="T38" s="198"/>
      <c r="U38" s="198"/>
    </row>
    <row r="39" spans="1:21" s="12" customFormat="1" x14ac:dyDescent="0.25">
      <c r="A39" s="213" t="s">
        <v>853</v>
      </c>
      <c r="B39" s="64">
        <v>22.96</v>
      </c>
      <c r="C39" s="64">
        <v>51.12</v>
      </c>
      <c r="D39" s="64">
        <v>47.27</v>
      </c>
      <c r="E39" s="64">
        <v>0.16</v>
      </c>
      <c r="F39" s="64">
        <v>3.19</v>
      </c>
      <c r="G39" s="64">
        <v>57.54</v>
      </c>
      <c r="H39" s="64">
        <v>24.15</v>
      </c>
      <c r="I39" s="64">
        <v>1.52</v>
      </c>
      <c r="J39" s="64">
        <v>0.72</v>
      </c>
      <c r="K39" s="64">
        <v>97.29</v>
      </c>
      <c r="L39" s="64">
        <v>17.62</v>
      </c>
      <c r="M39" s="64">
        <v>85.21</v>
      </c>
      <c r="N39" s="64">
        <v>184.7</v>
      </c>
      <c r="O39" s="64">
        <v>0</v>
      </c>
      <c r="P39" s="64">
        <v>0.46</v>
      </c>
      <c r="Q39" s="64">
        <v>8.1</v>
      </c>
      <c r="R39" s="198"/>
      <c r="S39" s="198"/>
      <c r="T39" s="198"/>
      <c r="U39" s="198"/>
    </row>
    <row r="40" spans="1:21" s="12" customFormat="1" x14ac:dyDescent="0.25">
      <c r="A40" s="213" t="s">
        <v>854</v>
      </c>
      <c r="B40" s="64">
        <v>23.53</v>
      </c>
      <c r="C40" s="64">
        <v>50.99</v>
      </c>
      <c r="D40" s="64">
        <v>47.66</v>
      </c>
      <c r="E40" s="64">
        <v>0.17</v>
      </c>
      <c r="F40" s="64">
        <v>3.23</v>
      </c>
      <c r="G40" s="64">
        <v>57.76</v>
      </c>
      <c r="H40" s="64">
        <v>24.07</v>
      </c>
      <c r="I40" s="64">
        <v>1.56</v>
      </c>
      <c r="J40" s="64">
        <v>0.24</v>
      </c>
      <c r="K40" s="64">
        <v>60.28</v>
      </c>
      <c r="L40" s="64">
        <v>18.54</v>
      </c>
      <c r="M40" s="64">
        <v>80.099999999999994</v>
      </c>
      <c r="N40" s="64">
        <v>228.6</v>
      </c>
      <c r="O40" s="64">
        <v>0</v>
      </c>
      <c r="P40" s="64">
        <v>0.46</v>
      </c>
      <c r="Q40" s="64">
        <v>8.17</v>
      </c>
      <c r="R40" s="198"/>
      <c r="S40" s="198"/>
      <c r="T40" s="198"/>
      <c r="U40" s="198"/>
    </row>
    <row r="41" spans="1:21" s="12" customFormat="1" x14ac:dyDescent="0.25">
      <c r="A41" s="213" t="s">
        <v>855</v>
      </c>
      <c r="B41" s="64">
        <v>25.05</v>
      </c>
      <c r="C41" s="64">
        <v>51.19</v>
      </c>
      <c r="D41" s="64">
        <v>48.98</v>
      </c>
      <c r="E41" s="64">
        <v>0.22</v>
      </c>
      <c r="F41" s="64">
        <v>3.13</v>
      </c>
      <c r="G41" s="64">
        <v>57.76</v>
      </c>
      <c r="H41" s="64">
        <v>24.07</v>
      </c>
      <c r="I41" s="64">
        <v>1.45</v>
      </c>
      <c r="J41" s="64">
        <v>0.45</v>
      </c>
      <c r="K41" s="64">
        <v>101.64</v>
      </c>
      <c r="L41" s="64">
        <v>19.43</v>
      </c>
      <c r="M41" s="64">
        <v>76.459999999999994</v>
      </c>
      <c r="N41" s="64">
        <v>275.60000000000002</v>
      </c>
      <c r="O41" s="64">
        <v>0</v>
      </c>
      <c r="P41" s="64">
        <v>0.47</v>
      </c>
      <c r="Q41" s="64">
        <v>8.24</v>
      </c>
      <c r="R41" s="198"/>
      <c r="S41" s="198"/>
      <c r="T41" s="198"/>
      <c r="U41" s="198"/>
    </row>
    <row r="42" spans="1:21" s="12" customFormat="1" x14ac:dyDescent="0.25">
      <c r="A42" s="213" t="s">
        <v>856</v>
      </c>
      <c r="B42" s="64">
        <v>26.22</v>
      </c>
      <c r="C42" s="64">
        <v>51.5</v>
      </c>
      <c r="D42" s="64">
        <v>50.09</v>
      </c>
      <c r="E42" s="64">
        <v>0.27</v>
      </c>
      <c r="F42" s="64">
        <v>3.08</v>
      </c>
      <c r="G42" s="64">
        <v>57.76</v>
      </c>
      <c r="H42" s="64">
        <v>24.07</v>
      </c>
      <c r="I42" s="64">
        <v>1.5</v>
      </c>
      <c r="J42" s="64">
        <v>0.32</v>
      </c>
      <c r="K42" s="64">
        <v>93.84</v>
      </c>
      <c r="L42" s="64">
        <v>20.12</v>
      </c>
      <c r="M42" s="64">
        <v>72.55</v>
      </c>
      <c r="N42" s="64">
        <v>320.7</v>
      </c>
      <c r="O42" s="64">
        <v>0</v>
      </c>
      <c r="P42" s="64">
        <v>0.46</v>
      </c>
      <c r="Q42" s="64">
        <v>8.35</v>
      </c>
      <c r="R42" s="198"/>
      <c r="S42" s="198"/>
      <c r="T42" s="198"/>
      <c r="U42" s="198"/>
    </row>
    <row r="43" spans="1:21" s="12" customFormat="1" x14ac:dyDescent="0.25">
      <c r="A43" s="213" t="s">
        <v>857</v>
      </c>
      <c r="B43" s="64">
        <v>26.84</v>
      </c>
      <c r="C43" s="64">
        <v>51.69</v>
      </c>
      <c r="D43" s="64">
        <v>50.69</v>
      </c>
      <c r="E43" s="64">
        <v>0.31</v>
      </c>
      <c r="F43" s="64">
        <v>3.26</v>
      </c>
      <c r="G43" s="64">
        <v>57.21</v>
      </c>
      <c r="H43" s="64">
        <v>24.13</v>
      </c>
      <c r="I43" s="64">
        <v>1.55</v>
      </c>
      <c r="J43" s="64">
        <v>0.74</v>
      </c>
      <c r="K43" s="64">
        <v>113.68</v>
      </c>
      <c r="L43" s="64">
        <v>20.079999999999998</v>
      </c>
      <c r="M43" s="64">
        <v>73.5</v>
      </c>
      <c r="N43" s="64">
        <v>364.4</v>
      </c>
      <c r="O43" s="64">
        <v>0</v>
      </c>
      <c r="P43" s="64">
        <v>0.46</v>
      </c>
      <c r="Q43" s="64">
        <v>8.4499999999999993</v>
      </c>
      <c r="R43" s="198"/>
      <c r="S43" s="198"/>
      <c r="T43" s="198"/>
      <c r="U43" s="198"/>
    </row>
    <row r="44" spans="1:21" s="12" customFormat="1" x14ac:dyDescent="0.25">
      <c r="A44" s="213" t="s">
        <v>858</v>
      </c>
      <c r="B44" s="64">
        <v>27.07</v>
      </c>
      <c r="C44" s="64">
        <v>51.74</v>
      </c>
      <c r="D44" s="64">
        <v>50.91</v>
      </c>
      <c r="E44" s="64">
        <v>0.31</v>
      </c>
      <c r="F44" s="64">
        <v>3.37</v>
      </c>
      <c r="G44" s="64">
        <v>57.06</v>
      </c>
      <c r="H44" s="64">
        <v>24.13</v>
      </c>
      <c r="I44" s="64">
        <v>1.49</v>
      </c>
      <c r="J44" s="64">
        <v>0.54</v>
      </c>
      <c r="K44" s="64">
        <v>107.16</v>
      </c>
      <c r="L44" s="64">
        <v>20.65</v>
      </c>
      <c r="M44" s="64">
        <v>71.239999999999995</v>
      </c>
      <c r="N44" s="64">
        <v>430.3</v>
      </c>
      <c r="O44" s="64">
        <v>0</v>
      </c>
      <c r="P44" s="64">
        <v>0.46</v>
      </c>
      <c r="Q44" s="64">
        <v>8.49</v>
      </c>
      <c r="R44" s="198"/>
      <c r="S44" s="198"/>
      <c r="T44" s="198"/>
      <c r="U44" s="198"/>
    </row>
    <row r="45" spans="1:21" s="12" customFormat="1" x14ac:dyDescent="0.25">
      <c r="A45" s="213" t="s">
        <v>859</v>
      </c>
      <c r="B45" s="64">
        <v>27.29</v>
      </c>
      <c r="C45" s="64">
        <v>51.77</v>
      </c>
      <c r="D45" s="64">
        <v>51.11</v>
      </c>
      <c r="E45" s="64">
        <v>0.28999999999999998</v>
      </c>
      <c r="F45" s="64">
        <v>3.23</v>
      </c>
      <c r="G45" s="64">
        <v>57.06</v>
      </c>
      <c r="H45" s="64">
        <v>24.13</v>
      </c>
      <c r="I45" s="64">
        <v>1.55</v>
      </c>
      <c r="J45" s="64">
        <v>0.36</v>
      </c>
      <c r="K45" s="64">
        <v>5.51</v>
      </c>
      <c r="L45" s="64">
        <v>22.58</v>
      </c>
      <c r="M45" s="64">
        <v>62.46</v>
      </c>
      <c r="N45" s="64">
        <v>477.9</v>
      </c>
      <c r="O45" s="64">
        <v>0</v>
      </c>
      <c r="P45" s="64">
        <v>0.46</v>
      </c>
      <c r="Q45" s="64">
        <v>8.5</v>
      </c>
      <c r="R45" s="198"/>
      <c r="S45" s="198"/>
      <c r="T45" s="198"/>
      <c r="U45" s="198"/>
    </row>
    <row r="46" spans="1:21" s="12" customFormat="1" x14ac:dyDescent="0.25">
      <c r="A46" s="213" t="s">
        <v>860</v>
      </c>
      <c r="B46" s="64">
        <v>27.83</v>
      </c>
      <c r="C46" s="64">
        <v>52.5</v>
      </c>
      <c r="D46" s="64">
        <v>51.94</v>
      </c>
      <c r="E46" s="64">
        <v>0.28999999999999998</v>
      </c>
      <c r="F46" s="64">
        <v>3.19</v>
      </c>
      <c r="G46" s="64">
        <v>57.06</v>
      </c>
      <c r="H46" s="64">
        <v>24.13</v>
      </c>
      <c r="I46" s="64">
        <v>1.47</v>
      </c>
      <c r="J46" s="64">
        <v>0.54</v>
      </c>
      <c r="K46" s="64">
        <v>359.79</v>
      </c>
      <c r="L46" s="64">
        <v>24.91</v>
      </c>
      <c r="M46" s="64">
        <v>52.95</v>
      </c>
      <c r="N46" s="64">
        <v>520.79999999999995</v>
      </c>
      <c r="O46" s="64">
        <v>0</v>
      </c>
      <c r="P46" s="64">
        <v>0.47</v>
      </c>
      <c r="Q46" s="64">
        <v>8.52</v>
      </c>
      <c r="R46" s="198"/>
      <c r="S46" s="198"/>
      <c r="T46" s="198"/>
      <c r="U46" s="198"/>
    </row>
    <row r="47" spans="1:21" s="12" customFormat="1" x14ac:dyDescent="0.25">
      <c r="A47" s="213" t="s">
        <v>861</v>
      </c>
      <c r="B47" s="64">
        <v>28.39</v>
      </c>
      <c r="C47" s="64">
        <v>53.07</v>
      </c>
      <c r="D47" s="64">
        <v>52.7</v>
      </c>
      <c r="E47" s="64">
        <v>0.25</v>
      </c>
      <c r="F47" s="64">
        <v>3.1</v>
      </c>
      <c r="G47" s="64">
        <v>58.93</v>
      </c>
      <c r="H47" s="64">
        <v>25.65</v>
      </c>
      <c r="I47" s="64">
        <v>1.47</v>
      </c>
      <c r="J47" s="64">
        <v>0.83</v>
      </c>
      <c r="K47" s="64">
        <v>349.68</v>
      </c>
      <c r="L47" s="64">
        <v>24.39</v>
      </c>
      <c r="M47" s="64">
        <v>55.79</v>
      </c>
      <c r="N47" s="64">
        <v>545.1</v>
      </c>
      <c r="O47" s="64">
        <v>0</v>
      </c>
      <c r="P47" s="64">
        <v>0.48</v>
      </c>
      <c r="Q47" s="64">
        <v>8.65</v>
      </c>
      <c r="R47" s="198"/>
      <c r="S47" s="198"/>
      <c r="T47" s="198"/>
      <c r="U47" s="198"/>
    </row>
    <row r="48" spans="1:21" s="12" customFormat="1" x14ac:dyDescent="0.25">
      <c r="A48" s="213" t="s">
        <v>862</v>
      </c>
      <c r="B48" s="64">
        <v>28.66</v>
      </c>
      <c r="C48" s="64">
        <v>49.35</v>
      </c>
      <c r="D48" s="64">
        <v>50.86</v>
      </c>
      <c r="E48" s="64">
        <v>0.28000000000000003</v>
      </c>
      <c r="F48" s="64">
        <v>3.18</v>
      </c>
      <c r="G48" s="64">
        <v>59.43</v>
      </c>
      <c r="H48" s="64">
        <v>25.65</v>
      </c>
      <c r="I48" s="64">
        <v>1.5</v>
      </c>
      <c r="J48" s="64">
        <v>0.56000000000000005</v>
      </c>
      <c r="K48" s="64">
        <v>345.01</v>
      </c>
      <c r="L48" s="64">
        <v>26.64</v>
      </c>
      <c r="M48" s="64">
        <v>47.03</v>
      </c>
      <c r="N48" s="64">
        <v>563.29999999999995</v>
      </c>
      <c r="O48" s="64">
        <v>0</v>
      </c>
      <c r="P48" s="64">
        <v>0.5</v>
      </c>
      <c r="Q48" s="64">
        <v>8.56</v>
      </c>
      <c r="R48" s="198"/>
      <c r="S48" s="198"/>
      <c r="T48" s="198"/>
      <c r="U48" s="198"/>
    </row>
    <row r="49" spans="1:21" s="12" customFormat="1" x14ac:dyDescent="0.25">
      <c r="A49" s="213" t="s">
        <v>863</v>
      </c>
      <c r="B49" s="64">
        <v>28.49</v>
      </c>
      <c r="C49" s="64">
        <v>51.23</v>
      </c>
      <c r="D49" s="64">
        <v>51.76</v>
      </c>
      <c r="E49" s="64">
        <v>0.32</v>
      </c>
      <c r="F49" s="64">
        <v>2.95</v>
      </c>
      <c r="G49" s="64">
        <v>59.43</v>
      </c>
      <c r="H49" s="64">
        <v>25.65</v>
      </c>
      <c r="I49" s="64">
        <v>1.46</v>
      </c>
      <c r="J49" s="64">
        <v>0.6</v>
      </c>
      <c r="K49" s="64">
        <v>351.34</v>
      </c>
      <c r="L49" s="64">
        <v>26.18</v>
      </c>
      <c r="M49" s="64">
        <v>48.14</v>
      </c>
      <c r="N49" s="64">
        <v>630.5</v>
      </c>
      <c r="O49" s="64">
        <v>0</v>
      </c>
      <c r="P49" s="64">
        <v>0.51</v>
      </c>
      <c r="Q49" s="64">
        <v>8.5</v>
      </c>
      <c r="R49" s="198"/>
      <c r="S49" s="198"/>
      <c r="T49" s="198"/>
      <c r="U49" s="198"/>
    </row>
    <row r="50" spans="1:21" s="12" customFormat="1" x14ac:dyDescent="0.25">
      <c r="A50" s="213" t="s">
        <v>864</v>
      </c>
      <c r="B50" s="64">
        <v>27.76</v>
      </c>
      <c r="C50" s="64">
        <v>52.87</v>
      </c>
      <c r="D50" s="64">
        <v>52.08</v>
      </c>
      <c r="E50" s="64">
        <v>0.31</v>
      </c>
      <c r="F50" s="64">
        <v>3.07</v>
      </c>
      <c r="G50" s="64">
        <v>59.43</v>
      </c>
      <c r="H50" s="64">
        <v>25.65</v>
      </c>
      <c r="I50" s="64">
        <v>1.45</v>
      </c>
      <c r="J50" s="64">
        <v>0.61</v>
      </c>
      <c r="K50" s="64">
        <v>334.29</v>
      </c>
      <c r="L50" s="64">
        <v>27.31</v>
      </c>
      <c r="M50" s="64">
        <v>44.67</v>
      </c>
      <c r="N50" s="64">
        <v>538.70000000000005</v>
      </c>
      <c r="O50" s="64">
        <v>0</v>
      </c>
      <c r="P50" s="64">
        <v>0.53</v>
      </c>
      <c r="Q50" s="64">
        <v>8.4600000000000009</v>
      </c>
      <c r="R50" s="198"/>
      <c r="S50" s="198"/>
      <c r="T50" s="198"/>
      <c r="U50" s="198"/>
    </row>
    <row r="51" spans="1:21" s="12" customFormat="1" x14ac:dyDescent="0.25">
      <c r="A51" s="213" t="s">
        <v>865</v>
      </c>
      <c r="B51" s="64">
        <v>26.71</v>
      </c>
      <c r="C51" s="64">
        <v>54.34</v>
      </c>
      <c r="D51" s="64">
        <v>52.05</v>
      </c>
      <c r="E51" s="64">
        <v>0.28999999999999998</v>
      </c>
      <c r="F51" s="64">
        <v>3</v>
      </c>
      <c r="G51" s="64">
        <v>63.57</v>
      </c>
      <c r="H51" s="64">
        <v>23.56</v>
      </c>
      <c r="I51" s="64">
        <v>1.48</v>
      </c>
      <c r="J51" s="64">
        <v>0.49</v>
      </c>
      <c r="K51" s="64">
        <v>341.5</v>
      </c>
      <c r="L51" s="64">
        <v>27.46</v>
      </c>
      <c r="M51" s="64">
        <v>44.63</v>
      </c>
      <c r="N51" s="64">
        <v>561.9</v>
      </c>
      <c r="O51" s="64">
        <v>0</v>
      </c>
      <c r="P51" s="64">
        <v>0.53</v>
      </c>
      <c r="Q51" s="64">
        <v>8.5</v>
      </c>
      <c r="R51" s="198"/>
      <c r="S51" s="198"/>
      <c r="T51" s="198"/>
      <c r="U51" s="198"/>
    </row>
    <row r="52" spans="1:21" s="12" customFormat="1" x14ac:dyDescent="0.25">
      <c r="A52" s="213" t="s">
        <v>866</v>
      </c>
      <c r="B52" s="64">
        <v>25.9</v>
      </c>
      <c r="C52" s="64">
        <v>55.1</v>
      </c>
      <c r="D52" s="64">
        <v>51.82</v>
      </c>
      <c r="E52" s="64">
        <v>0.28000000000000003</v>
      </c>
      <c r="F52" s="64">
        <v>3.12</v>
      </c>
      <c r="G52" s="64">
        <v>64.680000000000007</v>
      </c>
      <c r="H52" s="64">
        <v>23.56</v>
      </c>
      <c r="I52" s="64">
        <v>1.49</v>
      </c>
      <c r="J52" s="64">
        <v>0.21</v>
      </c>
      <c r="K52" s="64">
        <v>44.43</v>
      </c>
      <c r="L52" s="64">
        <v>26.77</v>
      </c>
      <c r="M52" s="64">
        <v>46.45</v>
      </c>
      <c r="N52" s="64">
        <v>705.1</v>
      </c>
      <c r="O52" s="64">
        <v>0</v>
      </c>
      <c r="P52" s="64">
        <v>0.54</v>
      </c>
      <c r="Q52" s="64">
        <v>8.41</v>
      </c>
      <c r="R52" s="198"/>
      <c r="S52" s="198"/>
      <c r="T52" s="198"/>
      <c r="U52" s="198"/>
    </row>
    <row r="53" spans="1:21" s="12" customFormat="1" x14ac:dyDescent="0.25">
      <c r="A53" s="213" t="s">
        <v>867</v>
      </c>
      <c r="B53" s="64">
        <v>25.06</v>
      </c>
      <c r="C53" s="64">
        <v>54.69</v>
      </c>
      <c r="D53" s="64">
        <v>50.93</v>
      </c>
      <c r="E53" s="64">
        <v>0.25</v>
      </c>
      <c r="F53" s="64">
        <v>3.22</v>
      </c>
      <c r="G53" s="64">
        <v>64.680000000000007</v>
      </c>
      <c r="H53" s="64">
        <v>23.56</v>
      </c>
      <c r="I53" s="64">
        <v>1.49</v>
      </c>
      <c r="J53" s="64">
        <v>0.23</v>
      </c>
      <c r="K53" s="64">
        <v>62.29</v>
      </c>
      <c r="L53" s="64">
        <v>25.53</v>
      </c>
      <c r="M53" s="64">
        <v>50.89</v>
      </c>
      <c r="N53" s="64">
        <v>737.6</v>
      </c>
      <c r="O53" s="64">
        <v>0</v>
      </c>
      <c r="P53" s="64">
        <v>0.55000000000000004</v>
      </c>
      <c r="Q53" s="64">
        <v>8.35</v>
      </c>
      <c r="R53" s="198"/>
      <c r="S53" s="198"/>
      <c r="T53" s="198"/>
      <c r="U53" s="198"/>
    </row>
    <row r="54" spans="1:21" s="12" customFormat="1" x14ac:dyDescent="0.25">
      <c r="A54" s="213" t="s">
        <v>868</v>
      </c>
      <c r="B54" s="64">
        <v>23.69</v>
      </c>
      <c r="C54" s="64">
        <v>55.39</v>
      </c>
      <c r="D54" s="64">
        <v>50.21</v>
      </c>
      <c r="E54" s="64">
        <v>0.3</v>
      </c>
      <c r="F54" s="64">
        <v>3.15</v>
      </c>
      <c r="G54" s="64">
        <v>64.680000000000007</v>
      </c>
      <c r="H54" s="64">
        <v>23.56</v>
      </c>
      <c r="I54" s="64">
        <v>1.51</v>
      </c>
      <c r="J54" s="64">
        <v>0.46</v>
      </c>
      <c r="K54" s="64">
        <v>96.6</v>
      </c>
      <c r="L54" s="64">
        <v>26.84</v>
      </c>
      <c r="M54" s="64">
        <v>45.78</v>
      </c>
      <c r="N54" s="64">
        <v>741.5</v>
      </c>
      <c r="O54" s="64">
        <v>0</v>
      </c>
      <c r="P54" s="64">
        <v>0.55000000000000004</v>
      </c>
      <c r="Q54" s="64">
        <v>8.26</v>
      </c>
      <c r="R54" s="198"/>
      <c r="S54" s="198"/>
      <c r="T54" s="198"/>
      <c r="U54" s="198"/>
    </row>
    <row r="55" spans="1:21" s="12" customFormat="1" x14ac:dyDescent="0.25">
      <c r="A55" s="213" t="s">
        <v>869</v>
      </c>
      <c r="B55" s="64">
        <v>21.95</v>
      </c>
      <c r="C55" s="64">
        <v>58.5</v>
      </c>
      <c r="D55" s="64">
        <v>50.53</v>
      </c>
      <c r="E55" s="64">
        <v>0.26</v>
      </c>
      <c r="F55" s="64">
        <v>3</v>
      </c>
      <c r="G55" s="64">
        <v>61.48</v>
      </c>
      <c r="H55" s="64">
        <v>25.73</v>
      </c>
      <c r="I55" s="64">
        <v>1.48</v>
      </c>
      <c r="J55" s="64">
        <v>0.57999999999999996</v>
      </c>
      <c r="K55" s="64">
        <v>96.09</v>
      </c>
      <c r="L55" s="64">
        <v>24.82</v>
      </c>
      <c r="M55" s="64">
        <v>51.51</v>
      </c>
      <c r="N55" s="64">
        <v>734.3</v>
      </c>
      <c r="O55" s="64">
        <v>0</v>
      </c>
      <c r="P55" s="64">
        <v>0.56000000000000005</v>
      </c>
      <c r="Q55" s="64">
        <v>8.25</v>
      </c>
      <c r="R55" s="198"/>
      <c r="S55" s="198"/>
      <c r="T55" s="198"/>
      <c r="U55" s="198"/>
    </row>
    <row r="56" spans="1:21" s="12" customFormat="1" x14ac:dyDescent="0.25">
      <c r="A56" s="213" t="s">
        <v>870</v>
      </c>
      <c r="B56" s="64">
        <v>19.43</v>
      </c>
      <c r="C56" s="64">
        <v>57.61</v>
      </c>
      <c r="D56" s="64">
        <v>48.02</v>
      </c>
      <c r="E56" s="64">
        <v>0.19</v>
      </c>
      <c r="F56" s="64">
        <v>3.18</v>
      </c>
      <c r="G56" s="64">
        <v>60.63</v>
      </c>
      <c r="H56" s="64">
        <v>25.73</v>
      </c>
      <c r="I56" s="64">
        <v>1.56</v>
      </c>
      <c r="J56" s="64">
        <v>0.74</v>
      </c>
      <c r="K56" s="64">
        <v>119.06</v>
      </c>
      <c r="L56" s="64">
        <v>25.02</v>
      </c>
      <c r="M56" s="64">
        <v>50.16</v>
      </c>
      <c r="N56" s="64">
        <v>530.6</v>
      </c>
      <c r="O56" s="64">
        <v>0</v>
      </c>
      <c r="P56" s="64">
        <v>0.55000000000000004</v>
      </c>
      <c r="Q56" s="64">
        <v>8.16</v>
      </c>
      <c r="R56" s="198"/>
      <c r="S56" s="198"/>
      <c r="T56" s="198"/>
      <c r="U56" s="198"/>
    </row>
    <row r="57" spans="1:21" s="12" customFormat="1" x14ac:dyDescent="0.25">
      <c r="A57" s="213" t="s">
        <v>871</v>
      </c>
      <c r="B57" s="64">
        <v>16.559999999999999</v>
      </c>
      <c r="C57" s="64">
        <v>58.54</v>
      </c>
      <c r="D57" s="64">
        <v>46.23</v>
      </c>
      <c r="E57" s="64">
        <v>0.19</v>
      </c>
      <c r="F57" s="64">
        <v>3.27</v>
      </c>
      <c r="G57" s="64">
        <v>60.63</v>
      </c>
      <c r="H57" s="64">
        <v>25.73</v>
      </c>
      <c r="I57" s="64">
        <v>1.54</v>
      </c>
      <c r="J57" s="64">
        <v>0.49</v>
      </c>
      <c r="K57" s="64">
        <v>108.17</v>
      </c>
      <c r="L57" s="64">
        <v>24.72</v>
      </c>
      <c r="M57" s="64">
        <v>50.67</v>
      </c>
      <c r="N57" s="64">
        <v>636.4</v>
      </c>
      <c r="O57" s="64">
        <v>0</v>
      </c>
      <c r="P57" s="64">
        <v>0.54</v>
      </c>
      <c r="Q57" s="64">
        <v>7.96</v>
      </c>
      <c r="R57" s="198"/>
      <c r="S57" s="198"/>
      <c r="T57" s="198"/>
      <c r="U57" s="198"/>
    </row>
    <row r="58" spans="1:21" s="12" customFormat="1" x14ac:dyDescent="0.25">
      <c r="A58" s="213" t="s">
        <v>872</v>
      </c>
      <c r="B58" s="64">
        <v>14.41</v>
      </c>
      <c r="C58" s="64">
        <v>58.35</v>
      </c>
      <c r="D58" s="64">
        <v>44.4</v>
      </c>
      <c r="E58" s="64">
        <v>0.24</v>
      </c>
      <c r="F58" s="64">
        <v>3.41</v>
      </c>
      <c r="G58" s="64">
        <v>60.63</v>
      </c>
      <c r="H58" s="64">
        <v>25.73</v>
      </c>
      <c r="I58" s="64">
        <v>1.56</v>
      </c>
      <c r="J58" s="64">
        <v>0.17</v>
      </c>
      <c r="K58" s="64">
        <v>117.63</v>
      </c>
      <c r="L58" s="64">
        <v>26.36</v>
      </c>
      <c r="M58" s="64">
        <v>46.9</v>
      </c>
      <c r="N58" s="64">
        <v>630.6</v>
      </c>
      <c r="O58" s="64">
        <v>0</v>
      </c>
      <c r="P58" s="64">
        <v>0.55000000000000004</v>
      </c>
      <c r="Q58" s="64">
        <v>7.77</v>
      </c>
      <c r="R58" s="198"/>
      <c r="S58" s="198"/>
      <c r="T58" s="198"/>
      <c r="U58" s="198"/>
    </row>
    <row r="59" spans="1:21" s="12" customFormat="1" x14ac:dyDescent="0.25">
      <c r="A59" s="213" t="s">
        <v>873</v>
      </c>
      <c r="B59" s="64">
        <v>12.99</v>
      </c>
      <c r="C59" s="64">
        <v>60.63</v>
      </c>
      <c r="D59" s="64">
        <v>44.52</v>
      </c>
      <c r="E59" s="64">
        <v>0.18</v>
      </c>
      <c r="F59" s="64">
        <v>3.31</v>
      </c>
      <c r="G59" s="64">
        <v>62.38</v>
      </c>
      <c r="H59" s="64">
        <v>27.62</v>
      </c>
      <c r="I59" s="64">
        <v>1.52</v>
      </c>
      <c r="J59" s="64">
        <v>0.37</v>
      </c>
      <c r="K59" s="64">
        <v>346.27</v>
      </c>
      <c r="L59" s="64">
        <v>27.66</v>
      </c>
      <c r="M59" s="64">
        <v>43.38</v>
      </c>
      <c r="N59" s="64">
        <v>382.2</v>
      </c>
      <c r="O59" s="64">
        <v>0</v>
      </c>
      <c r="P59" s="64">
        <v>0.56000000000000005</v>
      </c>
      <c r="Q59" s="64">
        <v>7.73</v>
      </c>
      <c r="R59" s="198"/>
      <c r="S59" s="198"/>
      <c r="T59" s="198"/>
      <c r="U59" s="198"/>
    </row>
    <row r="60" spans="1:21" s="12" customFormat="1" x14ac:dyDescent="0.25">
      <c r="A60" s="213" t="s">
        <v>874</v>
      </c>
      <c r="B60" s="64">
        <v>12.11</v>
      </c>
      <c r="C60" s="64">
        <v>59.73</v>
      </c>
      <c r="D60" s="64">
        <v>43.32</v>
      </c>
      <c r="E60" s="64">
        <v>0.22</v>
      </c>
      <c r="F60" s="64">
        <v>3.48</v>
      </c>
      <c r="G60" s="64">
        <v>62.84</v>
      </c>
      <c r="H60" s="64">
        <v>27.62</v>
      </c>
      <c r="I60" s="64">
        <v>1.55</v>
      </c>
      <c r="J60" s="64">
        <v>0.79</v>
      </c>
      <c r="K60" s="64">
        <v>109.84</v>
      </c>
      <c r="L60" s="64">
        <v>25.95</v>
      </c>
      <c r="M60" s="64">
        <v>48.61</v>
      </c>
      <c r="N60" s="64">
        <v>382.6</v>
      </c>
      <c r="O60" s="64">
        <v>0</v>
      </c>
      <c r="P60" s="64">
        <v>0.59</v>
      </c>
      <c r="Q60" s="64">
        <v>7.61</v>
      </c>
      <c r="R60" s="198"/>
      <c r="S60" s="198"/>
      <c r="T60" s="198"/>
      <c r="U60" s="198"/>
    </row>
    <row r="61" spans="1:21" s="12" customFormat="1" x14ac:dyDescent="0.25">
      <c r="A61" s="213" t="s">
        <v>875</v>
      </c>
      <c r="B61" s="64">
        <v>10.96</v>
      </c>
      <c r="C61" s="64">
        <v>61.64</v>
      </c>
      <c r="D61" s="64">
        <v>43.45</v>
      </c>
      <c r="E61" s="64">
        <v>0.17</v>
      </c>
      <c r="F61" s="64">
        <v>3.43</v>
      </c>
      <c r="G61" s="64">
        <v>62.84</v>
      </c>
      <c r="H61" s="64">
        <v>27.62</v>
      </c>
      <c r="I61" s="64">
        <v>1.49</v>
      </c>
      <c r="J61" s="64">
        <v>0.94</v>
      </c>
      <c r="K61" s="64">
        <v>110.18</v>
      </c>
      <c r="L61" s="64">
        <v>24.74</v>
      </c>
      <c r="M61" s="64">
        <v>52.39</v>
      </c>
      <c r="N61" s="64">
        <v>536.20000000000005</v>
      </c>
      <c r="O61" s="64">
        <v>0</v>
      </c>
      <c r="P61" s="64">
        <v>0.56999999999999995</v>
      </c>
      <c r="Q61" s="64">
        <v>7.59</v>
      </c>
      <c r="R61" s="198"/>
      <c r="S61" s="198"/>
      <c r="T61" s="198"/>
      <c r="U61" s="198"/>
    </row>
    <row r="62" spans="1:21" s="12" customFormat="1" x14ac:dyDescent="0.25">
      <c r="A62" s="213" t="s">
        <v>876</v>
      </c>
      <c r="B62" s="64">
        <v>9.4600000000000009</v>
      </c>
      <c r="C62" s="64">
        <v>61.91</v>
      </c>
      <c r="D62" s="64">
        <v>42.4</v>
      </c>
      <c r="E62" s="64">
        <v>0.12</v>
      </c>
      <c r="F62" s="64">
        <v>3.36</v>
      </c>
      <c r="G62" s="64">
        <v>62.84</v>
      </c>
      <c r="H62" s="64">
        <v>27.62</v>
      </c>
      <c r="I62" s="64">
        <v>1.49</v>
      </c>
      <c r="J62" s="64">
        <v>0.56000000000000005</v>
      </c>
      <c r="K62" s="64">
        <v>109.01</v>
      </c>
      <c r="L62" s="64">
        <v>25.46</v>
      </c>
      <c r="M62" s="64">
        <v>49.24</v>
      </c>
      <c r="N62" s="64">
        <v>623.70000000000005</v>
      </c>
      <c r="O62" s="64">
        <v>0</v>
      </c>
      <c r="P62" s="64">
        <v>0.6</v>
      </c>
      <c r="Q62" s="64">
        <v>7.52</v>
      </c>
      <c r="R62" s="198"/>
      <c r="S62" s="198"/>
      <c r="T62" s="198"/>
      <c r="U62" s="198"/>
    </row>
    <row r="63" spans="1:21" s="12" customFormat="1" x14ac:dyDescent="0.25">
      <c r="A63" s="213" t="s">
        <v>877</v>
      </c>
      <c r="B63" s="64">
        <v>8.48</v>
      </c>
      <c r="C63" s="64">
        <v>62.22</v>
      </c>
      <c r="D63" s="64">
        <v>41.79</v>
      </c>
      <c r="E63" s="64">
        <v>0.36</v>
      </c>
      <c r="F63" s="64">
        <v>3.42</v>
      </c>
      <c r="G63" s="64">
        <v>71.38</v>
      </c>
      <c r="H63" s="64">
        <v>29.88</v>
      </c>
      <c r="I63" s="64">
        <v>1.55</v>
      </c>
      <c r="J63" s="64">
        <v>0.17</v>
      </c>
      <c r="K63" s="64">
        <v>348.59</v>
      </c>
      <c r="L63" s="64">
        <v>27.57</v>
      </c>
      <c r="M63" s="64">
        <v>44.09</v>
      </c>
      <c r="N63" s="64">
        <v>585.1</v>
      </c>
      <c r="O63" s="64">
        <v>0</v>
      </c>
      <c r="P63" s="64">
        <v>0.61</v>
      </c>
      <c r="Q63" s="64">
        <v>7.46</v>
      </c>
      <c r="R63" s="198"/>
      <c r="S63" s="198"/>
      <c r="T63" s="198"/>
      <c r="U63" s="198"/>
    </row>
    <row r="64" spans="1:21" s="12" customFormat="1" x14ac:dyDescent="0.25">
      <c r="A64" s="213" t="s">
        <v>878</v>
      </c>
      <c r="B64" s="64">
        <v>8.51</v>
      </c>
      <c r="C64" s="64">
        <v>63.38</v>
      </c>
      <c r="D64" s="64">
        <v>42.45</v>
      </c>
      <c r="E64" s="64">
        <v>0.19</v>
      </c>
      <c r="F64" s="64">
        <v>3.27</v>
      </c>
      <c r="G64" s="64">
        <v>73.66</v>
      </c>
      <c r="H64" s="64">
        <v>29.88</v>
      </c>
      <c r="I64" s="64">
        <v>1.48</v>
      </c>
      <c r="J64" s="64">
        <v>0.99</v>
      </c>
      <c r="K64" s="64">
        <v>342.17</v>
      </c>
      <c r="L64" s="64">
        <v>29.43</v>
      </c>
      <c r="M64" s="64">
        <v>38.520000000000003</v>
      </c>
      <c r="N64" s="64">
        <v>545.1</v>
      </c>
      <c r="O64" s="64">
        <v>0</v>
      </c>
      <c r="P64" s="64">
        <v>0.62</v>
      </c>
      <c r="Q64" s="64">
        <v>7.5</v>
      </c>
      <c r="R64" s="198"/>
      <c r="S64" s="198"/>
      <c r="T64" s="198"/>
      <c r="U64" s="198"/>
    </row>
    <row r="65" spans="1:21" s="12" customFormat="1" x14ac:dyDescent="0.25">
      <c r="A65" s="213" t="s">
        <v>879</v>
      </c>
      <c r="B65" s="64">
        <v>8.73</v>
      </c>
      <c r="C65" s="64">
        <v>64.06</v>
      </c>
      <c r="D65" s="64">
        <v>43</v>
      </c>
      <c r="E65" s="64">
        <v>0.2</v>
      </c>
      <c r="F65" s="64">
        <v>3.56</v>
      </c>
      <c r="G65" s="64">
        <v>73.66</v>
      </c>
      <c r="H65" s="64">
        <v>29.88</v>
      </c>
      <c r="I65" s="64">
        <v>1.51</v>
      </c>
      <c r="J65" s="64">
        <v>0.92</v>
      </c>
      <c r="K65" s="64">
        <v>339.68</v>
      </c>
      <c r="L65" s="64">
        <v>30.37</v>
      </c>
      <c r="M65" s="64">
        <v>35.83</v>
      </c>
      <c r="N65" s="64">
        <v>614.1</v>
      </c>
      <c r="O65" s="64">
        <v>0</v>
      </c>
      <c r="P65" s="64">
        <v>0.63</v>
      </c>
      <c r="Q65" s="64">
        <v>7.54</v>
      </c>
      <c r="R65" s="198"/>
      <c r="S65" s="198"/>
      <c r="T65" s="198"/>
      <c r="U65" s="198"/>
    </row>
    <row r="66" spans="1:21" s="12" customFormat="1" x14ac:dyDescent="0.25">
      <c r="A66" s="213" t="s">
        <v>880</v>
      </c>
      <c r="B66" s="64">
        <v>8.51</v>
      </c>
      <c r="C66" s="64">
        <v>64.12</v>
      </c>
      <c r="D66" s="64">
        <v>42.86</v>
      </c>
      <c r="E66" s="64">
        <v>0.23</v>
      </c>
      <c r="F66" s="64">
        <v>3.67</v>
      </c>
      <c r="G66" s="64">
        <v>73.66</v>
      </c>
      <c r="H66" s="64">
        <v>29.88</v>
      </c>
      <c r="I66" s="64">
        <v>1.49</v>
      </c>
      <c r="J66" s="64">
        <v>0.12</v>
      </c>
      <c r="K66" s="64">
        <v>305.63</v>
      </c>
      <c r="L66" s="64">
        <v>29.27</v>
      </c>
      <c r="M66" s="64">
        <v>37.42</v>
      </c>
      <c r="N66" s="64">
        <v>581.6</v>
      </c>
      <c r="O66" s="64">
        <v>0</v>
      </c>
      <c r="P66" s="64">
        <v>0.62</v>
      </c>
      <c r="Q66" s="64">
        <v>7.61</v>
      </c>
      <c r="R66" s="198"/>
      <c r="S66" s="198"/>
      <c r="T66" s="198"/>
      <c r="U66" s="198"/>
    </row>
    <row r="67" spans="1:21" s="12" customFormat="1" x14ac:dyDescent="0.25">
      <c r="A67" s="213" t="s">
        <v>881</v>
      </c>
      <c r="B67" s="64">
        <v>7.9</v>
      </c>
      <c r="C67" s="64">
        <v>63.83</v>
      </c>
      <c r="D67" s="64">
        <v>42.2</v>
      </c>
      <c r="E67" s="64">
        <v>0.2</v>
      </c>
      <c r="F67" s="64">
        <v>4</v>
      </c>
      <c r="G67" s="64">
        <v>76.94</v>
      </c>
      <c r="H67" s="64">
        <v>31.79</v>
      </c>
      <c r="I67" s="64">
        <v>1.49</v>
      </c>
      <c r="J67" s="64">
        <v>0.31</v>
      </c>
      <c r="K67" s="64">
        <v>317.31</v>
      </c>
      <c r="L67" s="64">
        <v>28.15</v>
      </c>
      <c r="M67" s="64">
        <v>41.27</v>
      </c>
      <c r="N67" s="64">
        <v>421.2</v>
      </c>
      <c r="O67" s="64">
        <v>0</v>
      </c>
      <c r="P67" s="64">
        <v>0.61</v>
      </c>
      <c r="Q67" s="64">
        <v>7.62</v>
      </c>
      <c r="R67" s="198"/>
      <c r="S67" s="198"/>
      <c r="T67" s="198"/>
      <c r="U67" s="198"/>
    </row>
    <row r="68" spans="1:21" s="12" customFormat="1" x14ac:dyDescent="0.25">
      <c r="A68" s="213" t="s">
        <v>882</v>
      </c>
      <c r="B68" s="64">
        <v>6.66</v>
      </c>
      <c r="C68" s="64">
        <v>63.42</v>
      </c>
      <c r="D68" s="64">
        <v>40.99</v>
      </c>
      <c r="E68" s="64">
        <v>0.2</v>
      </c>
      <c r="F68" s="64">
        <v>3.97</v>
      </c>
      <c r="G68" s="64">
        <v>77.819999999999993</v>
      </c>
      <c r="H68" s="64">
        <v>31.79</v>
      </c>
      <c r="I68" s="64">
        <v>1.53</v>
      </c>
      <c r="J68" s="64">
        <v>0.54</v>
      </c>
      <c r="K68" s="64">
        <v>317.07</v>
      </c>
      <c r="L68" s="64">
        <v>29.03</v>
      </c>
      <c r="M68" s="64">
        <v>40.51</v>
      </c>
      <c r="N68" s="64">
        <v>314.3</v>
      </c>
      <c r="O68" s="64">
        <v>0</v>
      </c>
      <c r="P68" s="64">
        <v>0.6</v>
      </c>
      <c r="Q68" s="64">
        <v>7.59</v>
      </c>
      <c r="R68" s="198"/>
      <c r="S68" s="198"/>
      <c r="T68" s="198"/>
      <c r="U68" s="198"/>
    </row>
    <row r="69" spans="1:21" s="12" customFormat="1" x14ac:dyDescent="0.25">
      <c r="A69" s="213" t="s">
        <v>883</v>
      </c>
      <c r="B69" s="64">
        <v>6.03</v>
      </c>
      <c r="C69" s="64">
        <v>63.1</v>
      </c>
      <c r="D69" s="64">
        <v>40.299999999999997</v>
      </c>
      <c r="E69" s="64">
        <v>0.17</v>
      </c>
      <c r="F69" s="64">
        <v>3.86</v>
      </c>
      <c r="G69" s="64">
        <v>77.819999999999993</v>
      </c>
      <c r="H69" s="64">
        <v>31.79</v>
      </c>
      <c r="I69" s="64">
        <v>1.55</v>
      </c>
      <c r="J69" s="64">
        <v>0.15</v>
      </c>
      <c r="K69" s="64">
        <v>300.19</v>
      </c>
      <c r="L69" s="64">
        <v>27.81</v>
      </c>
      <c r="M69" s="64">
        <v>43.02</v>
      </c>
      <c r="N69" s="64">
        <v>291.3</v>
      </c>
      <c r="O69" s="64">
        <v>0</v>
      </c>
      <c r="P69" s="64">
        <v>0.59</v>
      </c>
      <c r="Q69" s="64">
        <v>7.52</v>
      </c>
      <c r="R69" s="198"/>
      <c r="S69" s="198"/>
      <c r="T69" s="198"/>
      <c r="U69" s="198"/>
    </row>
    <row r="70" spans="1:21" s="12" customFormat="1" x14ac:dyDescent="0.25">
      <c r="A70" s="213" t="s">
        <v>884</v>
      </c>
      <c r="B70" s="64">
        <v>5.1100000000000003</v>
      </c>
      <c r="C70" s="64">
        <v>62.39</v>
      </c>
      <c r="D70" s="64">
        <v>39.18</v>
      </c>
      <c r="E70" s="64">
        <v>0.23</v>
      </c>
      <c r="F70" s="64">
        <v>4</v>
      </c>
      <c r="G70" s="64">
        <v>77.819999999999993</v>
      </c>
      <c r="H70" s="64">
        <v>31.79</v>
      </c>
      <c r="I70" s="64">
        <v>1.48</v>
      </c>
      <c r="J70" s="64">
        <v>0.34</v>
      </c>
      <c r="K70" s="64">
        <v>171.29</v>
      </c>
      <c r="L70" s="64">
        <v>26.83</v>
      </c>
      <c r="M70" s="64">
        <v>44.84</v>
      </c>
      <c r="N70" s="64">
        <v>265.89999999999998</v>
      </c>
      <c r="O70" s="64">
        <v>0</v>
      </c>
      <c r="P70" s="64">
        <v>0.56000000000000005</v>
      </c>
      <c r="Q70" s="64">
        <v>7.48</v>
      </c>
      <c r="R70" s="198"/>
      <c r="S70" s="198"/>
      <c r="T70" s="198"/>
      <c r="U70" s="198"/>
    </row>
    <row r="71" spans="1:21" s="12" customFormat="1" x14ac:dyDescent="0.25">
      <c r="A71" s="213" t="s">
        <v>885</v>
      </c>
      <c r="B71" s="64">
        <v>4.37</v>
      </c>
      <c r="C71" s="64">
        <v>61.62</v>
      </c>
      <c r="D71" s="64">
        <v>38.159999999999997</v>
      </c>
      <c r="E71" s="64">
        <v>0.2</v>
      </c>
      <c r="F71" s="64">
        <v>3.87</v>
      </c>
      <c r="G71" s="64">
        <v>69.19</v>
      </c>
      <c r="H71" s="64">
        <v>27.4</v>
      </c>
      <c r="I71" s="64">
        <v>1.55</v>
      </c>
      <c r="J71" s="64">
        <v>0.03</v>
      </c>
      <c r="K71" s="64">
        <v>220.75</v>
      </c>
      <c r="L71" s="64">
        <v>26.35</v>
      </c>
      <c r="M71" s="64">
        <v>46.03</v>
      </c>
      <c r="N71" s="64">
        <v>212.4</v>
      </c>
      <c r="O71" s="64">
        <v>0</v>
      </c>
      <c r="P71" s="64">
        <v>0.55000000000000004</v>
      </c>
      <c r="Q71" s="64">
        <v>7.43</v>
      </c>
      <c r="R71" s="198"/>
      <c r="S71" s="198"/>
      <c r="T71" s="198"/>
      <c r="U71" s="198"/>
    </row>
    <row r="72" spans="1:21" s="12" customFormat="1" x14ac:dyDescent="0.25">
      <c r="A72" s="213" t="s">
        <v>886</v>
      </c>
      <c r="B72" s="64">
        <v>3.79</v>
      </c>
      <c r="C72" s="64">
        <v>60.73</v>
      </c>
      <c r="D72" s="64">
        <v>37.200000000000003</v>
      </c>
      <c r="E72" s="64">
        <v>0.13</v>
      </c>
      <c r="F72" s="64">
        <v>4.28</v>
      </c>
      <c r="G72" s="64">
        <v>66.88</v>
      </c>
      <c r="H72" s="64">
        <v>27.4</v>
      </c>
      <c r="I72" s="64">
        <v>1.49</v>
      </c>
      <c r="J72" s="64">
        <v>0.05</v>
      </c>
      <c r="K72" s="64">
        <v>38.44</v>
      </c>
      <c r="L72" s="64">
        <v>26.52</v>
      </c>
      <c r="M72" s="64">
        <v>46.07</v>
      </c>
      <c r="N72" s="64">
        <v>195.7</v>
      </c>
      <c r="O72" s="64">
        <v>0</v>
      </c>
      <c r="P72" s="64">
        <v>0.56999999999999995</v>
      </c>
      <c r="Q72" s="64">
        <v>7.35</v>
      </c>
      <c r="R72" s="198"/>
      <c r="S72" s="198"/>
      <c r="T72" s="198"/>
      <c r="U72" s="198"/>
    </row>
    <row r="73" spans="1:21" s="12" customFormat="1" x14ac:dyDescent="0.25">
      <c r="A73" s="213" t="s">
        <v>887</v>
      </c>
      <c r="B73" s="64">
        <v>3.34</v>
      </c>
      <c r="C73" s="64">
        <v>60.31</v>
      </c>
      <c r="D73" s="64">
        <v>36.6</v>
      </c>
      <c r="E73" s="64">
        <v>0.25</v>
      </c>
      <c r="F73" s="64">
        <v>4.28</v>
      </c>
      <c r="G73" s="64">
        <v>66.88</v>
      </c>
      <c r="H73" s="64">
        <v>27.4</v>
      </c>
      <c r="I73" s="64">
        <v>1.52</v>
      </c>
      <c r="J73" s="64">
        <v>0.01</v>
      </c>
      <c r="K73" s="64">
        <v>138.33000000000001</v>
      </c>
      <c r="L73" s="64">
        <v>26.35</v>
      </c>
      <c r="M73" s="64">
        <v>46.41</v>
      </c>
      <c r="N73" s="64">
        <v>155.9</v>
      </c>
      <c r="O73" s="64">
        <v>0</v>
      </c>
      <c r="P73" s="64">
        <v>0.59</v>
      </c>
      <c r="Q73" s="64">
        <v>7.29</v>
      </c>
      <c r="R73" s="198"/>
      <c r="S73" s="198"/>
      <c r="T73" s="198"/>
      <c r="U73" s="198"/>
    </row>
    <row r="74" spans="1:21" s="12" customFormat="1" x14ac:dyDescent="0.25">
      <c r="A74" s="213" t="s">
        <v>888</v>
      </c>
      <c r="B74" s="64">
        <v>3.1</v>
      </c>
      <c r="C74" s="64">
        <v>59.91</v>
      </c>
      <c r="D74" s="64">
        <v>36.19</v>
      </c>
      <c r="E74" s="64">
        <v>0.22</v>
      </c>
      <c r="F74" s="64">
        <v>4.37</v>
      </c>
      <c r="G74" s="64">
        <v>66.88</v>
      </c>
      <c r="H74" s="64">
        <v>27.4</v>
      </c>
      <c r="I74" s="64">
        <v>1.48</v>
      </c>
      <c r="J74" s="64">
        <v>0.16</v>
      </c>
      <c r="K74" s="64">
        <v>131.46</v>
      </c>
      <c r="L74" s="64">
        <v>26.03</v>
      </c>
      <c r="M74" s="64">
        <v>47.47</v>
      </c>
      <c r="N74" s="64">
        <v>138</v>
      </c>
      <c r="O74" s="64">
        <v>0</v>
      </c>
      <c r="P74" s="64">
        <v>0.6</v>
      </c>
      <c r="Q74" s="64">
        <v>7.27</v>
      </c>
      <c r="R74" s="198"/>
      <c r="S74" s="198"/>
      <c r="T74" s="198"/>
      <c r="U74" s="198"/>
    </row>
    <row r="75" spans="1:21" s="12" customFormat="1" x14ac:dyDescent="0.25">
      <c r="A75" s="213" t="s">
        <v>889</v>
      </c>
      <c r="B75" s="64">
        <v>2.97</v>
      </c>
      <c r="C75" s="64">
        <v>59.87</v>
      </c>
      <c r="D75" s="64">
        <v>36.07</v>
      </c>
      <c r="E75" s="64">
        <v>0.25</v>
      </c>
      <c r="F75" s="64">
        <v>4.32</v>
      </c>
      <c r="G75" s="64">
        <v>65.08</v>
      </c>
      <c r="H75" s="64">
        <v>24.31</v>
      </c>
      <c r="I75" s="64">
        <v>1.46</v>
      </c>
      <c r="J75" s="64">
        <v>0.13</v>
      </c>
      <c r="K75" s="64">
        <v>349.52</v>
      </c>
      <c r="L75" s="64">
        <v>26.02</v>
      </c>
      <c r="M75" s="64">
        <v>47.47</v>
      </c>
      <c r="N75" s="64">
        <v>120.9</v>
      </c>
      <c r="O75" s="64">
        <v>0</v>
      </c>
      <c r="P75" s="64">
        <v>0.61</v>
      </c>
      <c r="Q75" s="64">
        <v>7.27</v>
      </c>
      <c r="R75" s="198"/>
      <c r="S75" s="198"/>
      <c r="T75" s="198"/>
      <c r="U75" s="198"/>
    </row>
    <row r="76" spans="1:21" s="12" customFormat="1" x14ac:dyDescent="0.25">
      <c r="A76" s="213" t="s">
        <v>890</v>
      </c>
      <c r="B76" s="64">
        <v>2.94</v>
      </c>
      <c r="C76" s="64">
        <v>55.25</v>
      </c>
      <c r="D76" s="64">
        <v>33.5</v>
      </c>
      <c r="E76" s="64">
        <v>0.2</v>
      </c>
      <c r="F76" s="64">
        <v>4.32</v>
      </c>
      <c r="G76" s="64">
        <v>64.599999999999994</v>
      </c>
      <c r="H76" s="64">
        <v>24.31</v>
      </c>
      <c r="I76" s="64">
        <v>1.45</v>
      </c>
      <c r="J76" s="64">
        <v>0.12</v>
      </c>
      <c r="K76" s="64">
        <v>325.44</v>
      </c>
      <c r="L76" s="64">
        <v>25.77</v>
      </c>
      <c r="M76" s="64">
        <v>47.44</v>
      </c>
      <c r="N76" s="64">
        <v>107.6</v>
      </c>
      <c r="O76" s="64">
        <v>0</v>
      </c>
      <c r="P76" s="64">
        <v>0.62</v>
      </c>
      <c r="Q76" s="64">
        <v>7.17</v>
      </c>
      <c r="R76" s="198"/>
      <c r="S76" s="198"/>
      <c r="T76" s="198"/>
      <c r="U76" s="198"/>
    </row>
    <row r="77" spans="1:21" s="12" customFormat="1" x14ac:dyDescent="0.25">
      <c r="A77" s="213" t="s">
        <v>891</v>
      </c>
      <c r="B77" s="64">
        <v>2.8</v>
      </c>
      <c r="C77" s="64">
        <v>54.6</v>
      </c>
      <c r="D77" s="64">
        <v>33.020000000000003</v>
      </c>
      <c r="E77" s="64">
        <v>0.22</v>
      </c>
      <c r="F77" s="64">
        <v>4.4800000000000004</v>
      </c>
      <c r="G77" s="64">
        <v>64.599999999999994</v>
      </c>
      <c r="H77" s="64">
        <v>24.31</v>
      </c>
      <c r="I77" s="64">
        <v>1.44</v>
      </c>
      <c r="J77" s="64">
        <v>0.02</v>
      </c>
      <c r="K77" s="64">
        <v>149.31</v>
      </c>
      <c r="L77" s="64">
        <v>25.44</v>
      </c>
      <c r="M77" s="64">
        <v>48.88</v>
      </c>
      <c r="N77" s="64">
        <v>97</v>
      </c>
      <c r="O77" s="64">
        <v>0</v>
      </c>
      <c r="P77" s="64">
        <v>0.63</v>
      </c>
      <c r="Q77" s="64">
        <v>7.02</v>
      </c>
      <c r="R77" s="198"/>
      <c r="S77" s="198"/>
      <c r="T77" s="198"/>
      <c r="U77" s="198"/>
    </row>
    <row r="78" spans="1:21" s="12" customFormat="1" x14ac:dyDescent="0.25">
      <c r="A78" s="213" t="s">
        <v>892</v>
      </c>
      <c r="B78" s="64">
        <v>2.56</v>
      </c>
      <c r="C78" s="64">
        <v>55.4</v>
      </c>
      <c r="D78" s="64">
        <v>33.270000000000003</v>
      </c>
      <c r="E78" s="64">
        <v>0.22</v>
      </c>
      <c r="F78" s="64">
        <v>4.5599999999999996</v>
      </c>
      <c r="G78" s="64">
        <v>64.599999999999994</v>
      </c>
      <c r="H78" s="64">
        <v>24.31</v>
      </c>
      <c r="I78" s="64">
        <v>1.52</v>
      </c>
      <c r="J78" s="64">
        <v>0.04</v>
      </c>
      <c r="K78" s="64">
        <v>268.89999999999998</v>
      </c>
      <c r="L78" s="64">
        <v>24.92</v>
      </c>
      <c r="M78" s="64">
        <v>56.15</v>
      </c>
      <c r="N78" s="64">
        <v>84.1</v>
      </c>
      <c r="O78" s="64">
        <v>0</v>
      </c>
      <c r="P78" s="64">
        <v>0.63</v>
      </c>
      <c r="Q78" s="64">
        <v>6.96</v>
      </c>
      <c r="R78" s="198"/>
      <c r="S78" s="198"/>
      <c r="T78" s="198"/>
      <c r="U78" s="198"/>
    </row>
    <row r="79" spans="1:21" s="12" customFormat="1" x14ac:dyDescent="0.25">
      <c r="A79" s="213" t="s">
        <v>893</v>
      </c>
      <c r="B79" s="64">
        <v>2.46</v>
      </c>
      <c r="C79" s="64">
        <v>56.58</v>
      </c>
      <c r="D79" s="64">
        <v>33.840000000000003</v>
      </c>
      <c r="E79" s="64">
        <v>0.23</v>
      </c>
      <c r="F79" s="64">
        <v>4.33</v>
      </c>
      <c r="G79" s="64">
        <v>66.53</v>
      </c>
      <c r="H79" s="64">
        <v>26.75</v>
      </c>
      <c r="I79" s="64">
        <v>1.51</v>
      </c>
      <c r="J79" s="64">
        <v>0.06</v>
      </c>
      <c r="K79" s="64">
        <v>349.76</v>
      </c>
      <c r="L79" s="64">
        <v>24.08</v>
      </c>
      <c r="M79" s="64">
        <v>63.84</v>
      </c>
      <c r="N79" s="64">
        <v>73.2</v>
      </c>
      <c r="O79" s="64">
        <v>0</v>
      </c>
      <c r="P79" s="64">
        <v>0.64</v>
      </c>
      <c r="Q79" s="64">
        <v>6.93</v>
      </c>
      <c r="R79" s="198"/>
      <c r="S79" s="198"/>
      <c r="T79" s="198"/>
      <c r="U79" s="198"/>
    </row>
    <row r="80" spans="1:21" s="12" customFormat="1" x14ac:dyDescent="0.25">
      <c r="A80" s="213" t="s">
        <v>894</v>
      </c>
      <c r="B80" s="64">
        <v>2.46</v>
      </c>
      <c r="C80" s="64">
        <v>56.33</v>
      </c>
      <c r="D80" s="64">
        <v>33.71</v>
      </c>
      <c r="E80" s="64">
        <v>0.27</v>
      </c>
      <c r="F80" s="64">
        <v>4.28</v>
      </c>
      <c r="G80" s="64">
        <v>67.05</v>
      </c>
      <c r="H80" s="64">
        <v>26.75</v>
      </c>
      <c r="I80" s="64">
        <v>1.52</v>
      </c>
      <c r="J80" s="64">
        <v>7.0000000000000007E-2</v>
      </c>
      <c r="K80" s="64">
        <v>327.22000000000003</v>
      </c>
      <c r="L80" s="64">
        <v>23.35</v>
      </c>
      <c r="M80" s="64">
        <v>68.75</v>
      </c>
      <c r="N80" s="64">
        <v>67.7</v>
      </c>
      <c r="O80" s="64">
        <v>0</v>
      </c>
      <c r="P80" s="64">
        <v>0.66</v>
      </c>
      <c r="Q80" s="64">
        <v>6.87</v>
      </c>
      <c r="R80" s="198"/>
      <c r="S80" s="198"/>
      <c r="T80" s="198"/>
      <c r="U80" s="198"/>
    </row>
    <row r="81" spans="1:26" s="12" customFormat="1" x14ac:dyDescent="0.25">
      <c r="A81" s="213" t="s">
        <v>895</v>
      </c>
      <c r="B81" s="64">
        <v>2.5099999999999998</v>
      </c>
      <c r="C81" s="64">
        <v>56.74</v>
      </c>
      <c r="D81" s="64">
        <v>33.97</v>
      </c>
      <c r="E81" s="64">
        <v>0.21</v>
      </c>
      <c r="F81" s="64">
        <v>4.1399999999999997</v>
      </c>
      <c r="G81" s="64">
        <v>67.05</v>
      </c>
      <c r="H81" s="64">
        <v>26.75</v>
      </c>
      <c r="I81" s="64">
        <v>1.49</v>
      </c>
      <c r="J81" s="64">
        <v>0.13</v>
      </c>
      <c r="K81" s="64">
        <v>350.05</v>
      </c>
      <c r="L81" s="64">
        <v>22.86</v>
      </c>
      <c r="M81" s="64">
        <v>72.989999999999995</v>
      </c>
      <c r="N81" s="64">
        <v>66.2</v>
      </c>
      <c r="O81" s="64">
        <v>0</v>
      </c>
      <c r="P81" s="64">
        <v>0.68</v>
      </c>
      <c r="Q81" s="64">
        <v>6.92</v>
      </c>
      <c r="R81" s="198"/>
      <c r="S81" s="198"/>
      <c r="T81" s="198"/>
      <c r="U81" s="198"/>
    </row>
    <row r="82" spans="1:26" s="12" customFormat="1" x14ac:dyDescent="0.25">
      <c r="A82" s="213" t="s">
        <v>896</v>
      </c>
      <c r="B82" s="64">
        <v>2.67</v>
      </c>
      <c r="C82" s="64">
        <v>56.36</v>
      </c>
      <c r="D82" s="64">
        <v>33.89</v>
      </c>
      <c r="E82" s="64">
        <v>0.22</v>
      </c>
      <c r="F82" s="64">
        <v>3.96</v>
      </c>
      <c r="G82" s="64">
        <v>67.05</v>
      </c>
      <c r="H82" s="64">
        <v>26.75</v>
      </c>
      <c r="I82" s="64">
        <v>1.52</v>
      </c>
      <c r="J82" s="64">
        <v>0.11</v>
      </c>
      <c r="K82" s="64">
        <v>309.81</v>
      </c>
      <c r="L82" s="64">
        <v>22.57</v>
      </c>
      <c r="M82" s="64">
        <v>73.59</v>
      </c>
      <c r="N82" s="64">
        <v>65.900000000000006</v>
      </c>
      <c r="O82" s="64">
        <v>0</v>
      </c>
      <c r="P82" s="64">
        <v>0.7</v>
      </c>
      <c r="Q82" s="64">
        <v>6.92</v>
      </c>
      <c r="R82" s="198"/>
      <c r="S82" s="198"/>
      <c r="T82" s="198"/>
      <c r="U82" s="198"/>
    </row>
    <row r="83" spans="1:26" s="12" customFormat="1" x14ac:dyDescent="0.25">
      <c r="A83" s="213" t="s">
        <v>897</v>
      </c>
      <c r="B83" s="64">
        <v>2.97</v>
      </c>
      <c r="C83" s="64">
        <v>59.44</v>
      </c>
      <c r="D83" s="64">
        <v>35.83</v>
      </c>
      <c r="E83" s="64">
        <v>0.22</v>
      </c>
      <c r="F83" s="64">
        <v>3.8</v>
      </c>
      <c r="G83" s="64">
        <v>74.41</v>
      </c>
      <c r="H83" s="64">
        <v>31.13</v>
      </c>
      <c r="I83" s="64">
        <v>1.52</v>
      </c>
      <c r="J83" s="64">
        <v>7.0000000000000007E-2</v>
      </c>
      <c r="K83" s="64">
        <v>264.02999999999997</v>
      </c>
      <c r="L83" s="64">
        <v>22.85</v>
      </c>
      <c r="M83" s="64">
        <v>63.59</v>
      </c>
      <c r="N83" s="64">
        <v>65.599999999999994</v>
      </c>
      <c r="O83" s="64">
        <v>0</v>
      </c>
      <c r="P83" s="64">
        <v>0.73</v>
      </c>
      <c r="Q83" s="64">
        <v>7.03</v>
      </c>
      <c r="R83" s="198"/>
      <c r="S83" s="198"/>
      <c r="T83" s="198"/>
      <c r="U83" s="198"/>
    </row>
    <row r="84" spans="1:26" s="12" customFormat="1" x14ac:dyDescent="0.25">
      <c r="A84" s="213" t="s">
        <v>898</v>
      </c>
      <c r="B84" s="64">
        <v>3.39</v>
      </c>
      <c r="C84" s="64">
        <v>59.82</v>
      </c>
      <c r="D84" s="64">
        <v>36.380000000000003</v>
      </c>
      <c r="E84" s="64">
        <v>0.16</v>
      </c>
      <c r="F84" s="64">
        <v>3.55</v>
      </c>
      <c r="G84" s="64">
        <v>76.38</v>
      </c>
      <c r="H84" s="64">
        <v>31.13</v>
      </c>
      <c r="I84" s="64">
        <v>1.49</v>
      </c>
      <c r="J84" s="64">
        <v>0.05</v>
      </c>
      <c r="K84" s="64">
        <v>284.95</v>
      </c>
      <c r="L84" s="64">
        <v>22.81</v>
      </c>
      <c r="M84" s="64">
        <v>64.22</v>
      </c>
      <c r="N84" s="64">
        <v>65.8</v>
      </c>
      <c r="O84" s="64">
        <v>0</v>
      </c>
      <c r="P84" s="64">
        <v>0.76</v>
      </c>
      <c r="Q84" s="64">
        <v>7.08</v>
      </c>
      <c r="R84" s="198"/>
      <c r="S84" s="198"/>
      <c r="T84" s="198"/>
      <c r="U84" s="198"/>
    </row>
    <row r="85" spans="1:26" s="12" customFormat="1" x14ac:dyDescent="0.25">
      <c r="A85" s="213" t="s">
        <v>899</v>
      </c>
      <c r="B85" s="64">
        <v>4.03</v>
      </c>
      <c r="C85" s="64">
        <v>61.09</v>
      </c>
      <c r="D85" s="64">
        <v>37.590000000000003</v>
      </c>
      <c r="E85" s="64">
        <v>0.2</v>
      </c>
      <c r="F85" s="64">
        <v>3.54</v>
      </c>
      <c r="G85" s="64">
        <v>76.38</v>
      </c>
      <c r="H85" s="64">
        <v>31.13</v>
      </c>
      <c r="I85" s="64">
        <v>1.46</v>
      </c>
      <c r="J85" s="64">
        <v>0.15</v>
      </c>
      <c r="K85" s="64">
        <v>158.4</v>
      </c>
      <c r="L85" s="64">
        <v>22.46</v>
      </c>
      <c r="M85" s="64">
        <v>65.91</v>
      </c>
      <c r="N85" s="64">
        <v>65.5</v>
      </c>
      <c r="O85" s="64">
        <v>0</v>
      </c>
      <c r="P85" s="64">
        <v>0.75</v>
      </c>
      <c r="Q85" s="64">
        <v>7.16</v>
      </c>
      <c r="R85" s="198"/>
      <c r="S85" s="198"/>
      <c r="T85" s="198"/>
      <c r="U85" s="198"/>
    </row>
    <row r="86" spans="1:26" s="12" customFormat="1" x14ac:dyDescent="0.25">
      <c r="A86" s="213" t="s">
        <v>900</v>
      </c>
      <c r="B86" s="64">
        <v>4.34</v>
      </c>
      <c r="C86" s="64">
        <v>60.93</v>
      </c>
      <c r="D86" s="64">
        <v>37.75</v>
      </c>
      <c r="E86" s="64">
        <v>0.25</v>
      </c>
      <c r="F86" s="64">
        <v>3.5</v>
      </c>
      <c r="G86" s="64">
        <v>76.38</v>
      </c>
      <c r="H86" s="64">
        <v>31.13</v>
      </c>
      <c r="I86" s="64">
        <v>1.52</v>
      </c>
      <c r="J86" s="64">
        <v>0.09</v>
      </c>
      <c r="K86" s="64">
        <v>208.11</v>
      </c>
      <c r="L86" s="64">
        <v>22.13</v>
      </c>
      <c r="M86" s="64">
        <v>67.349999999999994</v>
      </c>
      <c r="N86" s="64">
        <v>65.900000000000006</v>
      </c>
      <c r="O86" s="64">
        <v>0</v>
      </c>
      <c r="P86" s="64">
        <v>0.79</v>
      </c>
      <c r="Q86" s="64">
        <v>7.2</v>
      </c>
      <c r="R86" s="198"/>
      <c r="S86" s="198"/>
      <c r="T86" s="198"/>
      <c r="U86" s="198"/>
    </row>
    <row r="87" spans="1:26" s="12" customFormat="1" x14ac:dyDescent="0.25">
      <c r="A87" s="213" t="s">
        <v>901</v>
      </c>
      <c r="B87" s="64">
        <v>4.78</v>
      </c>
      <c r="C87" s="64">
        <v>63.64</v>
      </c>
      <c r="D87" s="64">
        <v>39.6</v>
      </c>
      <c r="E87" s="64">
        <v>0.2</v>
      </c>
      <c r="F87" s="64">
        <v>3.28</v>
      </c>
      <c r="G87" s="64">
        <v>82.88</v>
      </c>
      <c r="H87" s="64">
        <v>31.34</v>
      </c>
      <c r="I87" s="64">
        <v>1.49</v>
      </c>
      <c r="J87" s="64">
        <v>0.13</v>
      </c>
      <c r="K87" s="64">
        <v>300.81</v>
      </c>
      <c r="L87" s="64">
        <v>21.64</v>
      </c>
      <c r="M87" s="64">
        <v>72.239999999999995</v>
      </c>
      <c r="N87" s="64">
        <v>66.3</v>
      </c>
      <c r="O87" s="64">
        <v>0</v>
      </c>
      <c r="P87" s="64">
        <v>0.81</v>
      </c>
      <c r="Q87" s="64">
        <v>7.32</v>
      </c>
      <c r="R87" s="198"/>
      <c r="S87" s="198"/>
      <c r="T87" s="198"/>
      <c r="U87" s="198"/>
    </row>
    <row r="88" spans="1:26" s="12" customFormat="1" x14ac:dyDescent="0.25">
      <c r="A88" s="213" t="s">
        <v>902</v>
      </c>
      <c r="B88" s="64">
        <v>6.59</v>
      </c>
      <c r="C88" s="64">
        <v>63.56</v>
      </c>
      <c r="D88" s="64">
        <v>41.01</v>
      </c>
      <c r="E88" s="64">
        <v>0.02</v>
      </c>
      <c r="F88" s="64">
        <v>3.21</v>
      </c>
      <c r="G88" s="64">
        <v>84.61</v>
      </c>
      <c r="H88" s="64">
        <v>31.34</v>
      </c>
      <c r="I88" s="64">
        <v>1.6</v>
      </c>
      <c r="J88" s="64">
        <v>0.1</v>
      </c>
      <c r="K88" s="64">
        <v>290.49</v>
      </c>
      <c r="L88" s="64">
        <v>21.09</v>
      </c>
      <c r="M88" s="64">
        <v>74.08</v>
      </c>
      <c r="N88" s="64">
        <v>66.3</v>
      </c>
      <c r="O88" s="64">
        <v>0</v>
      </c>
      <c r="P88" s="64">
        <v>0.88</v>
      </c>
      <c r="Q88" s="64">
        <v>7.39</v>
      </c>
      <c r="R88" s="198"/>
      <c r="S88" s="198"/>
      <c r="T88" s="198"/>
      <c r="U88" s="198"/>
    </row>
    <row r="89" spans="1:26" s="12" customFormat="1" x14ac:dyDescent="0.25">
      <c r="A89" s="213" t="s">
        <v>903</v>
      </c>
      <c r="B89" s="64">
        <v>9.0399999999999991</v>
      </c>
      <c r="C89" s="64">
        <v>64.650000000000006</v>
      </c>
      <c r="D89" s="64">
        <v>43.57</v>
      </c>
      <c r="E89" s="64">
        <v>0.03</v>
      </c>
      <c r="F89" s="64">
        <v>3.15</v>
      </c>
      <c r="G89" s="64">
        <v>84.61</v>
      </c>
      <c r="H89" s="64">
        <v>31.34</v>
      </c>
      <c r="I89" s="64">
        <v>1.57</v>
      </c>
      <c r="J89" s="64">
        <v>0.06</v>
      </c>
      <c r="K89" s="64">
        <v>76.989999999999995</v>
      </c>
      <c r="L89" s="64">
        <v>20.76</v>
      </c>
      <c r="M89" s="64">
        <v>78.180000000000007</v>
      </c>
      <c r="N89" s="64">
        <v>66.3</v>
      </c>
      <c r="O89" s="64">
        <v>0</v>
      </c>
      <c r="P89" s="64">
        <v>0.96</v>
      </c>
      <c r="Q89" s="64">
        <v>7.55</v>
      </c>
      <c r="R89" s="198"/>
      <c r="S89" s="198"/>
      <c r="T89" s="198"/>
      <c r="U89" s="198"/>
    </row>
    <row r="90" spans="1:26" s="12" customFormat="1" x14ac:dyDescent="0.25">
      <c r="A90" s="213" t="s">
        <v>904</v>
      </c>
      <c r="B90" s="64">
        <v>15.97</v>
      </c>
      <c r="C90" s="64">
        <v>66.069999999999993</v>
      </c>
      <c r="D90" s="64">
        <v>49.92</v>
      </c>
      <c r="E90" s="64">
        <v>0.03</v>
      </c>
      <c r="F90" s="64">
        <v>3.03</v>
      </c>
      <c r="G90" s="64">
        <v>84.61</v>
      </c>
      <c r="H90" s="64">
        <v>31.34</v>
      </c>
      <c r="I90" s="64">
        <v>1.5</v>
      </c>
      <c r="J90" s="64">
        <v>0.1</v>
      </c>
      <c r="K90" s="64">
        <v>310.94</v>
      </c>
      <c r="L90" s="64">
        <v>20.53</v>
      </c>
      <c r="M90" s="64">
        <v>81.150000000000006</v>
      </c>
      <c r="N90" s="64">
        <v>66</v>
      </c>
      <c r="O90" s="64">
        <v>0</v>
      </c>
      <c r="P90" s="64">
        <v>1.1100000000000001</v>
      </c>
      <c r="Q90" s="64">
        <v>7.84</v>
      </c>
      <c r="R90" s="198"/>
      <c r="S90" s="198"/>
      <c r="T90" s="198"/>
      <c r="U90" s="198"/>
    </row>
    <row r="91" spans="1:26" s="12" customFormat="1" x14ac:dyDescent="0.25">
      <c r="A91" s="213" t="s">
        <v>905</v>
      </c>
      <c r="B91" s="64">
        <v>21.64</v>
      </c>
      <c r="C91" s="64">
        <v>68.13</v>
      </c>
      <c r="D91" s="64">
        <v>55.6</v>
      </c>
      <c r="E91" s="64">
        <v>0.08</v>
      </c>
      <c r="F91" s="64">
        <v>3.12</v>
      </c>
      <c r="G91" s="64">
        <v>99.66</v>
      </c>
      <c r="H91" s="64">
        <v>33.659999999999997</v>
      </c>
      <c r="I91" s="64">
        <v>1.44</v>
      </c>
      <c r="J91" s="64">
        <v>0.1</v>
      </c>
      <c r="K91" s="64">
        <v>272.45999999999998</v>
      </c>
      <c r="L91" s="64">
        <v>20.23</v>
      </c>
      <c r="M91" s="64">
        <v>84.53</v>
      </c>
      <c r="N91" s="64">
        <v>66.099999999999994</v>
      </c>
      <c r="O91" s="64">
        <v>0</v>
      </c>
      <c r="P91" s="64">
        <v>1.39</v>
      </c>
      <c r="Q91" s="64">
        <v>8.39</v>
      </c>
      <c r="R91" s="198"/>
      <c r="S91" s="198"/>
      <c r="T91" s="198"/>
      <c r="U91" s="198"/>
    </row>
    <row r="92" spans="1:26" s="12" customFormat="1" x14ac:dyDescent="0.25">
      <c r="A92" s="213" t="s">
        <v>906</v>
      </c>
      <c r="B92" s="64">
        <v>25.69</v>
      </c>
      <c r="C92" s="64">
        <v>67.36</v>
      </c>
      <c r="D92" s="64">
        <v>58.42</v>
      </c>
      <c r="E92" s="64">
        <v>0.11</v>
      </c>
      <c r="F92" s="64">
        <v>3.17</v>
      </c>
      <c r="G92" s="64">
        <v>103.68</v>
      </c>
      <c r="H92" s="64">
        <v>33.659999999999997</v>
      </c>
      <c r="I92" s="64">
        <v>1.48</v>
      </c>
      <c r="J92" s="64">
        <v>0.09</v>
      </c>
      <c r="K92" s="64">
        <v>310.97000000000003</v>
      </c>
      <c r="L92" s="64">
        <v>20.190000000000001</v>
      </c>
      <c r="M92" s="64">
        <v>80.290000000000006</v>
      </c>
      <c r="N92" s="64">
        <v>66.3</v>
      </c>
      <c r="O92" s="64">
        <v>0</v>
      </c>
      <c r="P92" s="64">
        <v>1.36</v>
      </c>
      <c r="Q92" s="64">
        <v>8.81</v>
      </c>
      <c r="R92" s="198"/>
      <c r="S92" s="198"/>
      <c r="T92" s="198"/>
      <c r="U92" s="198"/>
    </row>
    <row r="93" spans="1:26" s="12" customFormat="1" x14ac:dyDescent="0.25">
      <c r="A93" s="213" t="s">
        <v>907</v>
      </c>
      <c r="B93" s="64">
        <v>29.98</v>
      </c>
      <c r="C93" s="64">
        <v>66.87</v>
      </c>
      <c r="D93" s="64">
        <v>61.59</v>
      </c>
      <c r="E93" s="64">
        <v>0.12</v>
      </c>
      <c r="F93" s="64">
        <v>2.98</v>
      </c>
      <c r="G93" s="64">
        <v>103.68</v>
      </c>
      <c r="H93" s="64">
        <v>33.659999999999997</v>
      </c>
      <c r="I93" s="64">
        <v>1.52</v>
      </c>
      <c r="J93" s="64">
        <v>0.1</v>
      </c>
      <c r="K93" s="64">
        <v>341.42</v>
      </c>
      <c r="L93" s="64">
        <v>19.88</v>
      </c>
      <c r="M93" s="64">
        <v>85.63</v>
      </c>
      <c r="N93" s="64">
        <v>66.3</v>
      </c>
      <c r="O93" s="64">
        <v>0</v>
      </c>
      <c r="P93" s="64">
        <v>1.54</v>
      </c>
      <c r="Q93" s="64">
        <v>9.1</v>
      </c>
      <c r="R93" s="198"/>
      <c r="S93" s="198"/>
      <c r="T93" s="198"/>
      <c r="U93" s="198"/>
    </row>
    <row r="94" spans="1:26" s="12" customFormat="1" x14ac:dyDescent="0.25">
      <c r="A94" s="213" t="s">
        <v>908</v>
      </c>
      <c r="B94" s="64">
        <v>35.86</v>
      </c>
      <c r="C94" s="64">
        <v>66.7</v>
      </c>
      <c r="D94" s="64">
        <v>66.22</v>
      </c>
      <c r="E94" s="64">
        <v>0.08</v>
      </c>
      <c r="F94" s="64">
        <v>3.05</v>
      </c>
      <c r="G94" s="64">
        <v>103.68</v>
      </c>
      <c r="H94" s="64">
        <v>33.659999999999997</v>
      </c>
      <c r="I94" s="64">
        <v>1.48</v>
      </c>
      <c r="J94" s="64">
        <v>0.08</v>
      </c>
      <c r="K94" s="64">
        <v>284.06</v>
      </c>
      <c r="L94" s="64">
        <v>19.89</v>
      </c>
      <c r="M94" s="64">
        <v>84.57</v>
      </c>
      <c r="N94" s="64">
        <v>66.2</v>
      </c>
      <c r="O94" s="64">
        <v>0</v>
      </c>
      <c r="P94" s="64">
        <v>1.57</v>
      </c>
      <c r="Q94" s="64">
        <v>9.4499999999999993</v>
      </c>
      <c r="R94" s="198"/>
      <c r="S94" s="198"/>
      <c r="T94" s="198"/>
      <c r="U94" s="198"/>
    </row>
    <row r="95" spans="1:26" s="12" customFormat="1" x14ac:dyDescent="0.25">
      <c r="A95" s="213" t="s">
        <v>909</v>
      </c>
      <c r="B95" s="64">
        <v>41.88</v>
      </c>
      <c r="C95" s="64">
        <v>66.25</v>
      </c>
      <c r="D95" s="64">
        <v>70.790000000000006</v>
      </c>
      <c r="E95" s="64">
        <v>0.08</v>
      </c>
      <c r="F95" s="64">
        <v>3.08</v>
      </c>
      <c r="G95" s="64">
        <v>118.6</v>
      </c>
      <c r="H95" s="64">
        <v>41.18</v>
      </c>
      <c r="I95" s="64">
        <v>1.54</v>
      </c>
      <c r="J95" s="64">
        <v>0.03</v>
      </c>
      <c r="K95" s="64">
        <v>295.01</v>
      </c>
      <c r="L95" s="64">
        <v>19.649999999999999</v>
      </c>
      <c r="M95" s="64">
        <v>87.59</v>
      </c>
      <c r="N95" s="64">
        <v>66.3</v>
      </c>
      <c r="O95" s="64">
        <v>0</v>
      </c>
      <c r="P95" s="64">
        <v>1.64</v>
      </c>
      <c r="Q95" s="64">
        <v>9.84</v>
      </c>
      <c r="R95" s="198"/>
      <c r="S95" s="198"/>
      <c r="T95" s="198"/>
      <c r="U95" s="198"/>
    </row>
    <row r="96" spans="1:26" s="12" customFormat="1" x14ac:dyDescent="0.25">
      <c r="A96" s="213" t="s">
        <v>910</v>
      </c>
      <c r="B96" s="64">
        <v>47.86</v>
      </c>
      <c r="C96" s="64">
        <v>66.05</v>
      </c>
      <c r="D96" s="64">
        <v>75.47</v>
      </c>
      <c r="E96" s="64">
        <v>0.15</v>
      </c>
      <c r="F96" s="64">
        <v>3.04</v>
      </c>
      <c r="G96" s="64">
        <v>122.6</v>
      </c>
      <c r="H96" s="64">
        <v>41.18</v>
      </c>
      <c r="I96" s="64">
        <v>1.49</v>
      </c>
      <c r="J96" s="64">
        <v>0.11</v>
      </c>
      <c r="K96" s="64">
        <v>347.16</v>
      </c>
      <c r="L96" s="64">
        <v>19.48</v>
      </c>
      <c r="M96" s="64">
        <v>88.6</v>
      </c>
      <c r="N96" s="64">
        <v>66.3</v>
      </c>
      <c r="O96" s="64">
        <v>0</v>
      </c>
      <c r="P96" s="64">
        <v>1.65</v>
      </c>
      <c r="Q96" s="64">
        <v>10.29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911</v>
      </c>
      <c r="B97" s="64">
        <v>51.33</v>
      </c>
      <c r="C97" s="64">
        <v>66.09</v>
      </c>
      <c r="D97" s="64">
        <v>78.28</v>
      </c>
      <c r="E97" s="64">
        <v>0.19</v>
      </c>
      <c r="F97" s="64">
        <v>2.99</v>
      </c>
      <c r="G97" s="64">
        <v>122.6</v>
      </c>
      <c r="H97" s="64">
        <v>41.18</v>
      </c>
      <c r="I97" s="64">
        <v>1.49</v>
      </c>
      <c r="J97" s="64">
        <v>0.13</v>
      </c>
      <c r="K97" s="64">
        <v>12.99</v>
      </c>
      <c r="L97" s="64">
        <v>19.29</v>
      </c>
      <c r="M97" s="64">
        <v>88.97</v>
      </c>
      <c r="N97" s="64">
        <v>66.2</v>
      </c>
      <c r="O97" s="64">
        <v>0</v>
      </c>
      <c r="P97" s="64">
        <v>1.65</v>
      </c>
      <c r="Q97" s="64">
        <v>10.71</v>
      </c>
      <c r="R97" s="198"/>
      <c r="S97" s="198"/>
      <c r="T97" s="198"/>
      <c r="U97" s="198"/>
    </row>
    <row r="98" spans="1:33" s="12" customFormat="1" x14ac:dyDescent="0.25">
      <c r="A98" s="213" t="s">
        <v>912</v>
      </c>
      <c r="B98" s="64">
        <v>53.29</v>
      </c>
      <c r="C98" s="64">
        <v>65.61</v>
      </c>
      <c r="D98" s="64">
        <v>79.59</v>
      </c>
      <c r="E98" s="64">
        <v>0.22</v>
      </c>
      <c r="F98" s="64">
        <v>3.1</v>
      </c>
      <c r="G98" s="64">
        <v>122.6</v>
      </c>
      <c r="H98" s="64">
        <v>41.18</v>
      </c>
      <c r="I98" s="64">
        <v>1.51</v>
      </c>
      <c r="J98" s="64">
        <v>0.28999999999999998</v>
      </c>
      <c r="K98" s="64">
        <v>342.46</v>
      </c>
      <c r="L98" s="64">
        <v>19.73</v>
      </c>
      <c r="M98" s="64">
        <v>85.31</v>
      </c>
      <c r="N98" s="64">
        <v>65.3</v>
      </c>
      <c r="O98" s="64">
        <v>0</v>
      </c>
      <c r="P98" s="64">
        <v>1.68</v>
      </c>
      <c r="Q98" s="64">
        <v>10.99</v>
      </c>
      <c r="R98" s="198"/>
      <c r="S98" s="198"/>
      <c r="T98" s="198"/>
      <c r="U98" s="198"/>
    </row>
    <row r="99" spans="1:33" s="12" customFormat="1" x14ac:dyDescent="0.25">
      <c r="A99" s="213" t="s">
        <v>913</v>
      </c>
      <c r="B99" s="64">
        <v>54.95</v>
      </c>
      <c r="C99" s="64">
        <v>65.31</v>
      </c>
      <c r="D99" s="64">
        <v>80.75</v>
      </c>
      <c r="E99" s="64">
        <v>0.13</v>
      </c>
      <c r="F99" s="64">
        <v>3.04</v>
      </c>
      <c r="G99" s="64">
        <v>122.47</v>
      </c>
      <c r="H99" s="64">
        <v>40.9</v>
      </c>
      <c r="I99" s="64">
        <v>1.48</v>
      </c>
      <c r="J99" s="64">
        <v>0.6</v>
      </c>
      <c r="K99" s="64">
        <v>346.28</v>
      </c>
      <c r="L99" s="64">
        <v>20.47</v>
      </c>
      <c r="M99" s="64">
        <v>76.78</v>
      </c>
      <c r="N99" s="64">
        <v>65</v>
      </c>
      <c r="O99" s="64">
        <v>0</v>
      </c>
      <c r="P99" s="64">
        <v>1.68</v>
      </c>
      <c r="Q99" s="64">
        <v>11.14</v>
      </c>
      <c r="R99" s="198"/>
      <c r="S99" s="198"/>
      <c r="T99" s="198"/>
      <c r="U99" s="198"/>
    </row>
    <row r="100" spans="1:33" s="12" customFormat="1" x14ac:dyDescent="0.25">
      <c r="A100" s="213" t="s">
        <v>914</v>
      </c>
      <c r="B100" s="64">
        <v>54.61</v>
      </c>
      <c r="C100" s="64">
        <v>65.400000000000006</v>
      </c>
      <c r="D100" s="64">
        <v>80.53</v>
      </c>
      <c r="E100" s="64">
        <v>0.17</v>
      </c>
      <c r="F100" s="64">
        <v>3.2</v>
      </c>
      <c r="G100" s="64">
        <v>122.43</v>
      </c>
      <c r="H100" s="64">
        <v>40.9</v>
      </c>
      <c r="I100" s="64">
        <v>1.5</v>
      </c>
      <c r="J100" s="64">
        <v>1.05</v>
      </c>
      <c r="K100" s="64">
        <v>349.24</v>
      </c>
      <c r="L100" s="64">
        <v>20.49</v>
      </c>
      <c r="M100" s="64">
        <v>68.37</v>
      </c>
      <c r="N100" s="64">
        <v>66.2</v>
      </c>
      <c r="O100" s="64">
        <v>0</v>
      </c>
      <c r="P100" s="64">
        <v>1.58</v>
      </c>
      <c r="Q100" s="64">
        <v>11.25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915</v>
      </c>
      <c r="B101" s="64">
        <v>52.1</v>
      </c>
      <c r="C101" s="64">
        <v>64.95</v>
      </c>
      <c r="D101" s="64">
        <v>78.27</v>
      </c>
      <c r="E101" s="64">
        <v>0.23</v>
      </c>
      <c r="F101" s="64">
        <v>3</v>
      </c>
      <c r="G101" s="64">
        <v>122.43</v>
      </c>
      <c r="H101" s="64">
        <v>40.9</v>
      </c>
      <c r="I101" s="64">
        <v>1.53</v>
      </c>
      <c r="J101" s="64">
        <v>0.82</v>
      </c>
      <c r="K101" s="64">
        <v>347.62</v>
      </c>
      <c r="L101" s="64">
        <v>20.05</v>
      </c>
      <c r="M101" s="64">
        <v>60.1</v>
      </c>
      <c r="N101" s="64">
        <v>66.8</v>
      </c>
      <c r="O101" s="64">
        <v>0</v>
      </c>
      <c r="P101" s="64">
        <v>1.52</v>
      </c>
      <c r="Q101" s="64">
        <v>11.21</v>
      </c>
      <c r="R101" s="198"/>
      <c r="S101" s="198"/>
      <c r="T101" s="198"/>
      <c r="U101" s="198"/>
    </row>
    <row r="102" spans="1:33" s="12" customFormat="1" x14ac:dyDescent="0.25">
      <c r="A102" s="213" t="s">
        <v>916</v>
      </c>
      <c r="B102" s="64">
        <v>49.15</v>
      </c>
      <c r="C102" s="64">
        <v>64.63</v>
      </c>
      <c r="D102" s="64">
        <v>75.73</v>
      </c>
      <c r="E102" s="64">
        <v>0.19</v>
      </c>
      <c r="F102" s="64">
        <v>3.16</v>
      </c>
      <c r="G102" s="64">
        <v>122.43</v>
      </c>
      <c r="H102" s="64">
        <v>40.9</v>
      </c>
      <c r="I102" s="64">
        <v>1.47</v>
      </c>
      <c r="J102" s="64">
        <v>0.95</v>
      </c>
      <c r="K102" s="64">
        <v>348.2</v>
      </c>
      <c r="L102" s="64">
        <v>19.64</v>
      </c>
      <c r="M102" s="64">
        <v>57.44</v>
      </c>
      <c r="N102" s="64">
        <v>66.8</v>
      </c>
      <c r="O102" s="64">
        <v>0</v>
      </c>
      <c r="P102" s="64">
        <v>1.45</v>
      </c>
      <c r="Q102" s="64">
        <v>11.03</v>
      </c>
      <c r="R102" s="198"/>
      <c r="S102" s="198"/>
      <c r="T102" s="198"/>
      <c r="U102" s="198"/>
    </row>
    <row r="103" spans="1:33" s="12" customFormat="1" x14ac:dyDescent="0.25">
      <c r="A103" s="213" t="s">
        <v>917</v>
      </c>
      <c r="B103" s="64">
        <v>45.7</v>
      </c>
      <c r="C103" s="64">
        <v>64.33</v>
      </c>
      <c r="D103" s="64">
        <v>72.8</v>
      </c>
      <c r="E103" s="64">
        <v>0.1</v>
      </c>
      <c r="F103" s="64">
        <v>3.3</v>
      </c>
      <c r="G103" s="64">
        <v>104.09</v>
      </c>
      <c r="H103" s="64">
        <v>38.99</v>
      </c>
      <c r="I103" s="64">
        <v>1.5</v>
      </c>
      <c r="J103" s="64">
        <v>1.52</v>
      </c>
      <c r="K103" s="64">
        <v>349.77</v>
      </c>
      <c r="L103" s="64">
        <v>19.36</v>
      </c>
      <c r="M103" s="64">
        <v>54.06</v>
      </c>
      <c r="N103" s="64">
        <v>66.5</v>
      </c>
      <c r="O103" s="64">
        <v>0</v>
      </c>
      <c r="P103" s="64">
        <v>1.36</v>
      </c>
      <c r="Q103" s="64">
        <v>10.8</v>
      </c>
      <c r="R103" s="198"/>
      <c r="S103" s="198"/>
      <c r="T103" s="198"/>
      <c r="U103" s="198"/>
    </row>
    <row r="104" spans="1:33" s="12" customFormat="1" x14ac:dyDescent="0.25">
      <c r="A104" s="213" t="s">
        <v>918</v>
      </c>
      <c r="B104" s="64">
        <v>41.33</v>
      </c>
      <c r="C104" s="64">
        <v>60.06</v>
      </c>
      <c r="D104" s="64">
        <v>66.94</v>
      </c>
      <c r="E104" s="64">
        <v>0.09</v>
      </c>
      <c r="F104" s="64">
        <v>3.24</v>
      </c>
      <c r="G104" s="64">
        <v>99.19</v>
      </c>
      <c r="H104" s="64">
        <v>38.99</v>
      </c>
      <c r="I104" s="64">
        <v>1.61</v>
      </c>
      <c r="J104" s="64">
        <v>1.4</v>
      </c>
      <c r="K104" s="64">
        <v>347.31</v>
      </c>
      <c r="L104" s="64">
        <v>19.25</v>
      </c>
      <c r="M104" s="64">
        <v>48.02</v>
      </c>
      <c r="N104" s="64">
        <v>66.5</v>
      </c>
      <c r="O104" s="64">
        <v>0</v>
      </c>
      <c r="P104" s="64">
        <v>1.26</v>
      </c>
      <c r="Q104" s="64">
        <v>10.31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2.46</v>
      </c>
      <c r="C106" s="67">
        <f>MIN(C9:C104)</f>
        <v>48.81</v>
      </c>
      <c r="D106" s="67">
        <f t="shared" ref="D106:Q106" si="0">MIN(D9:D104)</f>
        <v>33.020000000000003</v>
      </c>
      <c r="E106" s="67">
        <f t="shared" si="0"/>
        <v>0.02</v>
      </c>
      <c r="F106" s="67">
        <f t="shared" si="0"/>
        <v>2.75</v>
      </c>
      <c r="G106" s="67">
        <f t="shared" si="0"/>
        <v>48.53</v>
      </c>
      <c r="H106" s="67">
        <f t="shared" si="0"/>
        <v>23.01</v>
      </c>
      <c r="I106" s="67">
        <f t="shared" si="0"/>
        <v>1.42</v>
      </c>
      <c r="J106" s="67">
        <f t="shared" si="0"/>
        <v>0.01</v>
      </c>
      <c r="K106" s="67">
        <f t="shared" si="0"/>
        <v>2.21</v>
      </c>
      <c r="L106" s="67">
        <f t="shared" si="0"/>
        <v>17.010000000000002</v>
      </c>
      <c r="M106" s="67">
        <f t="shared" si="0"/>
        <v>35.83</v>
      </c>
      <c r="N106" s="67">
        <f t="shared" si="0"/>
        <v>62.7</v>
      </c>
      <c r="O106" s="67">
        <f t="shared" si="0"/>
        <v>0</v>
      </c>
      <c r="P106" s="67">
        <f t="shared" si="0"/>
        <v>0.43</v>
      </c>
      <c r="Q106" s="67">
        <f t="shared" si="0"/>
        <v>6.87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54.95</v>
      </c>
      <c r="C107" s="66">
        <f t="shared" ref="C107:Q107" si="1">MAX(C9:C104)</f>
        <v>68.13</v>
      </c>
      <c r="D107" s="66">
        <f t="shared" si="1"/>
        <v>80.75</v>
      </c>
      <c r="E107" s="66">
        <f t="shared" si="1"/>
        <v>0.37</v>
      </c>
      <c r="F107" s="66">
        <f t="shared" si="1"/>
        <v>4.5599999999999996</v>
      </c>
      <c r="G107" s="66">
        <f t="shared" si="1"/>
        <v>122.6</v>
      </c>
      <c r="H107" s="66">
        <f t="shared" si="1"/>
        <v>41.18</v>
      </c>
      <c r="I107" s="66">
        <f t="shared" si="1"/>
        <v>1.61</v>
      </c>
      <c r="J107" s="66">
        <f t="shared" si="1"/>
        <v>1.52</v>
      </c>
      <c r="K107" s="66">
        <f t="shared" si="1"/>
        <v>359.79</v>
      </c>
      <c r="L107" s="66">
        <f t="shared" si="1"/>
        <v>30.37</v>
      </c>
      <c r="M107" s="66">
        <f t="shared" si="1"/>
        <v>88.97</v>
      </c>
      <c r="N107" s="66">
        <f t="shared" si="1"/>
        <v>741.5</v>
      </c>
      <c r="O107" s="66">
        <f t="shared" si="1"/>
        <v>0</v>
      </c>
      <c r="P107" s="66">
        <f t="shared" si="1"/>
        <v>1.68</v>
      </c>
      <c r="Q107" s="66">
        <f t="shared" si="1"/>
        <v>11.25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19.878854166666667</v>
      </c>
      <c r="C108" s="67">
        <f t="shared" ref="C108:Q108" si="2">AVERAGE(C9:C104)</f>
        <v>57.633958333333311</v>
      </c>
      <c r="D108" s="67">
        <f t="shared" si="2"/>
        <v>48.393541666666664</v>
      </c>
      <c r="E108" s="67">
        <f t="shared" si="2"/>
        <v>0.21020833333333325</v>
      </c>
      <c r="F108" s="67">
        <f t="shared" si="2"/>
        <v>3.3598958333333342</v>
      </c>
      <c r="G108" s="67">
        <f t="shared" si="2"/>
        <v>70.677187500000031</v>
      </c>
      <c r="H108" s="67">
        <f t="shared" si="2"/>
        <v>28.179687499999996</v>
      </c>
      <c r="I108" s="67">
        <f t="shared" si="2"/>
        <v>1.5045833333333327</v>
      </c>
      <c r="J108" s="67">
        <f t="shared" si="2"/>
        <v>0.39968749999999997</v>
      </c>
      <c r="K108" s="67">
        <f t="shared" si="2"/>
        <v>224.74427083333342</v>
      </c>
      <c r="L108" s="67">
        <f t="shared" si="2"/>
        <v>21.904999999999998</v>
      </c>
      <c r="M108" s="67">
        <f t="shared" si="2"/>
        <v>67.159166666666692</v>
      </c>
      <c r="N108" s="67">
        <f t="shared" si="2"/>
        <v>216.45625000000004</v>
      </c>
      <c r="O108" s="67">
        <f t="shared" si="2"/>
        <v>0</v>
      </c>
      <c r="P108" s="67">
        <f t="shared" si="2"/>
        <v>0.76770833333333355</v>
      </c>
      <c r="Q108" s="67">
        <f t="shared" si="2"/>
        <v>8.1985416666666637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13.81241111386816</v>
      </c>
      <c r="C109" s="67">
        <f t="shared" ref="C109:Q109" si="3">STDEV(C9:C104)</f>
        <v>5.7592935383954424</v>
      </c>
      <c r="D109" s="67">
        <f t="shared" si="3"/>
        <v>12.120891836144283</v>
      </c>
      <c r="E109" s="67">
        <f t="shared" si="3"/>
        <v>7.4466229246858251E-2</v>
      </c>
      <c r="F109" s="67">
        <f t="shared" si="3"/>
        <v>0.41569091450680601</v>
      </c>
      <c r="G109" s="67">
        <f t="shared" si="3"/>
        <v>20.718869950037703</v>
      </c>
      <c r="H109" s="67">
        <f t="shared" si="3"/>
        <v>5.2713446707797802</v>
      </c>
      <c r="I109" s="67">
        <f t="shared" si="3"/>
        <v>3.5211142574524769E-2</v>
      </c>
      <c r="J109" s="67">
        <f t="shared" si="3"/>
        <v>0.33018161868249041</v>
      </c>
      <c r="K109" s="67">
        <f t="shared" si="3"/>
        <v>128.21741613159537</v>
      </c>
      <c r="L109" s="67">
        <f t="shared" si="3"/>
        <v>3.7902673145557451</v>
      </c>
      <c r="M109" s="67">
        <f t="shared" si="3"/>
        <v>16.984613015851785</v>
      </c>
      <c r="N109" s="67">
        <f t="shared" si="3"/>
        <v>220.10753774246942</v>
      </c>
      <c r="O109" s="67">
        <f t="shared" si="3"/>
        <v>0</v>
      </c>
      <c r="P109" s="67">
        <f t="shared" si="3"/>
        <v>0.35968840072211744</v>
      </c>
      <c r="Q109" s="67">
        <f t="shared" si="3"/>
        <v>1.1015825736942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919</v>
      </c>
      <c r="B9" s="64">
        <v>36.47</v>
      </c>
      <c r="C9" s="64">
        <v>61.28</v>
      </c>
      <c r="D9" s="64">
        <v>63.71</v>
      </c>
      <c r="E9" s="64">
        <v>0.18</v>
      </c>
      <c r="F9" s="64">
        <v>3.09</v>
      </c>
      <c r="G9" s="64">
        <v>99.19</v>
      </c>
      <c r="H9" s="64">
        <v>38.99</v>
      </c>
      <c r="I9" s="64">
        <v>1.44</v>
      </c>
      <c r="J9" s="64">
        <v>0.9</v>
      </c>
      <c r="K9" s="64">
        <v>356.83</v>
      </c>
      <c r="L9" s="64">
        <v>19.05</v>
      </c>
      <c r="M9" s="64">
        <v>45.66</v>
      </c>
      <c r="N9" s="64">
        <v>66.7</v>
      </c>
      <c r="O9" s="64">
        <v>0</v>
      </c>
      <c r="P9" s="64">
        <v>1.1599999999999999</v>
      </c>
      <c r="Q9" s="64">
        <v>9.85</v>
      </c>
      <c r="R9" s="198"/>
      <c r="S9" s="198"/>
      <c r="T9" s="198"/>
      <c r="U9" s="198"/>
    </row>
    <row r="10" spans="1:21" s="12" customFormat="1" x14ac:dyDescent="0.25">
      <c r="A10" s="213" t="s">
        <v>920</v>
      </c>
      <c r="B10" s="64">
        <v>32.08</v>
      </c>
      <c r="C10" s="64">
        <v>60.21</v>
      </c>
      <c r="D10" s="64">
        <v>59.6</v>
      </c>
      <c r="E10" s="64">
        <v>0.2</v>
      </c>
      <c r="F10" s="64">
        <v>3.23</v>
      </c>
      <c r="G10" s="64">
        <v>99.19</v>
      </c>
      <c r="H10" s="64">
        <v>38.99</v>
      </c>
      <c r="I10" s="64">
        <v>1.51</v>
      </c>
      <c r="J10" s="64">
        <v>0.91</v>
      </c>
      <c r="K10" s="64">
        <v>347.97</v>
      </c>
      <c r="L10" s="64">
        <v>18.86</v>
      </c>
      <c r="M10" s="64">
        <v>43.46</v>
      </c>
      <c r="N10" s="64">
        <v>66.599999999999994</v>
      </c>
      <c r="O10" s="64">
        <v>0</v>
      </c>
      <c r="P10" s="64">
        <v>1.07</v>
      </c>
      <c r="Q10" s="64">
        <v>9.3699999999999992</v>
      </c>
      <c r="R10" s="198"/>
      <c r="S10" s="198"/>
      <c r="T10" s="198"/>
      <c r="U10" s="198"/>
    </row>
    <row r="11" spans="1:21" s="12" customFormat="1" x14ac:dyDescent="0.25">
      <c r="A11" s="213" t="s">
        <v>921</v>
      </c>
      <c r="B11" s="64">
        <v>28.36</v>
      </c>
      <c r="C11" s="64">
        <v>60.45</v>
      </c>
      <c r="D11" s="64">
        <v>56.75</v>
      </c>
      <c r="E11" s="64">
        <v>0.12</v>
      </c>
      <c r="F11" s="64">
        <v>3.24</v>
      </c>
      <c r="G11" s="64">
        <v>68.14</v>
      </c>
      <c r="H11" s="64">
        <v>28.98</v>
      </c>
      <c r="I11" s="64">
        <v>1.56</v>
      </c>
      <c r="J11" s="64">
        <v>0.83</v>
      </c>
      <c r="K11" s="64">
        <v>344.81</v>
      </c>
      <c r="L11" s="64">
        <v>18.649999999999999</v>
      </c>
      <c r="M11" s="64">
        <v>43.62</v>
      </c>
      <c r="N11" s="64">
        <v>66.7</v>
      </c>
      <c r="O11" s="64">
        <v>0</v>
      </c>
      <c r="P11" s="64">
        <v>1</v>
      </c>
      <c r="Q11" s="64">
        <v>8.9600000000000009</v>
      </c>
      <c r="R11" s="198"/>
      <c r="S11" s="198"/>
      <c r="T11" s="198"/>
      <c r="U11" s="198"/>
    </row>
    <row r="12" spans="1:21" s="12" customFormat="1" x14ac:dyDescent="0.25">
      <c r="A12" s="213" t="s">
        <v>922</v>
      </c>
      <c r="B12" s="64">
        <v>25.16</v>
      </c>
      <c r="C12" s="64">
        <v>59.65</v>
      </c>
      <c r="D12" s="64">
        <v>53.74</v>
      </c>
      <c r="E12" s="64">
        <v>0.1</v>
      </c>
      <c r="F12" s="64">
        <v>3.36</v>
      </c>
      <c r="G12" s="64">
        <v>59.83</v>
      </c>
      <c r="H12" s="64">
        <v>28.98</v>
      </c>
      <c r="I12" s="64">
        <v>1.58</v>
      </c>
      <c r="J12" s="64">
        <v>0.67</v>
      </c>
      <c r="K12" s="64">
        <v>344.86</v>
      </c>
      <c r="L12" s="64">
        <v>18.38</v>
      </c>
      <c r="M12" s="64">
        <v>45</v>
      </c>
      <c r="N12" s="64">
        <v>66.8</v>
      </c>
      <c r="O12" s="64">
        <v>0</v>
      </c>
      <c r="P12" s="64">
        <v>0.93</v>
      </c>
      <c r="Q12" s="64">
        <v>8.6199999999999992</v>
      </c>
      <c r="R12" s="198"/>
      <c r="S12" s="198"/>
      <c r="T12" s="198"/>
      <c r="U12" s="198"/>
    </row>
    <row r="13" spans="1:21" s="12" customFormat="1" x14ac:dyDescent="0.25">
      <c r="A13" s="213" t="s">
        <v>923</v>
      </c>
      <c r="B13" s="64">
        <v>22.58</v>
      </c>
      <c r="C13" s="64">
        <v>58.95</v>
      </c>
      <c r="D13" s="64">
        <v>51.29</v>
      </c>
      <c r="E13" s="64">
        <v>0.16</v>
      </c>
      <c r="F13" s="64">
        <v>3.34</v>
      </c>
      <c r="G13" s="64">
        <v>59.83</v>
      </c>
      <c r="H13" s="64">
        <v>28.98</v>
      </c>
      <c r="I13" s="64">
        <v>1.46</v>
      </c>
      <c r="J13" s="64">
        <v>0.81</v>
      </c>
      <c r="K13" s="64">
        <v>343.84</v>
      </c>
      <c r="L13" s="64">
        <v>18.22</v>
      </c>
      <c r="M13" s="64">
        <v>45.05</v>
      </c>
      <c r="N13" s="64">
        <v>66.5</v>
      </c>
      <c r="O13" s="64">
        <v>0</v>
      </c>
      <c r="P13" s="64">
        <v>0.85</v>
      </c>
      <c r="Q13" s="64">
        <v>8.31</v>
      </c>
      <c r="R13" s="198"/>
      <c r="S13" s="198"/>
      <c r="T13" s="198"/>
      <c r="U13" s="198"/>
    </row>
    <row r="14" spans="1:21" s="12" customFormat="1" x14ac:dyDescent="0.25">
      <c r="A14" s="213" t="s">
        <v>924</v>
      </c>
      <c r="B14" s="64">
        <v>20.49</v>
      </c>
      <c r="C14" s="64">
        <v>58.31</v>
      </c>
      <c r="D14" s="64">
        <v>49.26</v>
      </c>
      <c r="E14" s="64">
        <v>0.09</v>
      </c>
      <c r="F14" s="64">
        <v>3.4</v>
      </c>
      <c r="G14" s="64">
        <v>59.83</v>
      </c>
      <c r="H14" s="64">
        <v>28.98</v>
      </c>
      <c r="I14" s="64">
        <v>1.5</v>
      </c>
      <c r="J14" s="64">
        <v>0.66</v>
      </c>
      <c r="K14" s="64">
        <v>346.95</v>
      </c>
      <c r="L14" s="64">
        <v>18.16</v>
      </c>
      <c r="M14" s="64">
        <v>43.65</v>
      </c>
      <c r="N14" s="64">
        <v>66.5</v>
      </c>
      <c r="O14" s="64">
        <v>0</v>
      </c>
      <c r="P14" s="64">
        <v>0.82</v>
      </c>
      <c r="Q14" s="64">
        <v>8.0399999999999991</v>
      </c>
      <c r="R14" s="198"/>
      <c r="S14" s="198"/>
      <c r="T14" s="198"/>
      <c r="U14" s="198"/>
    </row>
    <row r="15" spans="1:21" s="12" customFormat="1" x14ac:dyDescent="0.25">
      <c r="A15" s="213" t="s">
        <v>925</v>
      </c>
      <c r="B15" s="64">
        <v>18.55</v>
      </c>
      <c r="C15" s="64">
        <v>58.68</v>
      </c>
      <c r="D15" s="64">
        <v>47.9</v>
      </c>
      <c r="E15" s="64">
        <v>0.13</v>
      </c>
      <c r="F15" s="64">
        <v>3.28</v>
      </c>
      <c r="G15" s="64">
        <v>54.83</v>
      </c>
      <c r="H15" s="64">
        <v>17.100000000000001</v>
      </c>
      <c r="I15" s="64">
        <v>1.58</v>
      </c>
      <c r="J15" s="64">
        <v>0.96</v>
      </c>
      <c r="K15" s="64">
        <v>350.82</v>
      </c>
      <c r="L15" s="64">
        <v>17.95</v>
      </c>
      <c r="M15" s="64">
        <v>43.73</v>
      </c>
      <c r="N15" s="64">
        <v>66.599999999999994</v>
      </c>
      <c r="O15" s="64">
        <v>0</v>
      </c>
      <c r="P15" s="64">
        <v>0.77</v>
      </c>
      <c r="Q15" s="64">
        <v>7.82</v>
      </c>
      <c r="R15" s="198"/>
      <c r="S15" s="198"/>
      <c r="T15" s="198"/>
      <c r="U15" s="198"/>
    </row>
    <row r="16" spans="1:21" s="12" customFormat="1" x14ac:dyDescent="0.25">
      <c r="A16" s="213" t="s">
        <v>926</v>
      </c>
      <c r="B16" s="64">
        <v>16.739999999999998</v>
      </c>
      <c r="C16" s="64">
        <v>58.06</v>
      </c>
      <c r="D16" s="64">
        <v>46.11</v>
      </c>
      <c r="E16" s="64">
        <v>0.15</v>
      </c>
      <c r="F16" s="64">
        <v>3.18</v>
      </c>
      <c r="G16" s="64">
        <v>53.49</v>
      </c>
      <c r="H16" s="64">
        <v>17.100000000000001</v>
      </c>
      <c r="I16" s="64">
        <v>1.48</v>
      </c>
      <c r="J16" s="64">
        <v>0.92</v>
      </c>
      <c r="K16" s="64">
        <v>347.79</v>
      </c>
      <c r="L16" s="64">
        <v>17.79</v>
      </c>
      <c r="M16" s="64">
        <v>44.67</v>
      </c>
      <c r="N16" s="64">
        <v>66.7</v>
      </c>
      <c r="O16" s="64">
        <v>0</v>
      </c>
      <c r="P16" s="64">
        <v>0.73</v>
      </c>
      <c r="Q16" s="64">
        <v>7.6</v>
      </c>
      <c r="R16" s="198"/>
      <c r="S16" s="198"/>
      <c r="T16" s="198"/>
      <c r="U16" s="198"/>
    </row>
    <row r="17" spans="1:21" s="12" customFormat="1" x14ac:dyDescent="0.25">
      <c r="A17" s="213" t="s">
        <v>927</v>
      </c>
      <c r="B17" s="64">
        <v>15.5</v>
      </c>
      <c r="C17" s="64">
        <v>58.11</v>
      </c>
      <c r="D17" s="64">
        <v>45.15</v>
      </c>
      <c r="E17" s="64">
        <v>0.09</v>
      </c>
      <c r="F17" s="64">
        <v>3.2</v>
      </c>
      <c r="G17" s="64">
        <v>53.49</v>
      </c>
      <c r="H17" s="64">
        <v>17.100000000000001</v>
      </c>
      <c r="I17" s="64">
        <v>1.56</v>
      </c>
      <c r="J17" s="64">
        <v>0.62</v>
      </c>
      <c r="K17" s="64">
        <v>347.19</v>
      </c>
      <c r="L17" s="64">
        <v>17.579999999999998</v>
      </c>
      <c r="M17" s="64">
        <v>45.99</v>
      </c>
      <c r="N17" s="64">
        <v>66.8</v>
      </c>
      <c r="O17" s="64">
        <v>0</v>
      </c>
      <c r="P17" s="64">
        <v>0.69</v>
      </c>
      <c r="Q17" s="64">
        <v>7.43</v>
      </c>
      <c r="R17" s="198"/>
      <c r="S17" s="198"/>
      <c r="T17" s="198"/>
      <c r="U17" s="198"/>
    </row>
    <row r="18" spans="1:21" s="12" customFormat="1" x14ac:dyDescent="0.25">
      <c r="A18" s="213" t="s">
        <v>928</v>
      </c>
      <c r="B18" s="64">
        <v>14.62</v>
      </c>
      <c r="C18" s="64">
        <v>57.62</v>
      </c>
      <c r="D18" s="64">
        <v>44.17</v>
      </c>
      <c r="E18" s="64">
        <v>0.15</v>
      </c>
      <c r="F18" s="64">
        <v>3.4</v>
      </c>
      <c r="G18" s="64">
        <v>53.49</v>
      </c>
      <c r="H18" s="64">
        <v>17.100000000000001</v>
      </c>
      <c r="I18" s="64">
        <v>1.54</v>
      </c>
      <c r="J18" s="64">
        <v>0.75</v>
      </c>
      <c r="K18" s="64">
        <v>347.25</v>
      </c>
      <c r="L18" s="64">
        <v>17.48</v>
      </c>
      <c r="M18" s="64">
        <v>46.4</v>
      </c>
      <c r="N18" s="64">
        <v>66.7</v>
      </c>
      <c r="O18" s="64">
        <v>0</v>
      </c>
      <c r="P18" s="64">
        <v>0.65</v>
      </c>
      <c r="Q18" s="64">
        <v>7.25</v>
      </c>
      <c r="R18" s="198"/>
      <c r="S18" s="198"/>
      <c r="T18" s="198"/>
      <c r="U18" s="198"/>
    </row>
    <row r="19" spans="1:21" s="12" customFormat="1" x14ac:dyDescent="0.25">
      <c r="A19" s="213" t="s">
        <v>929</v>
      </c>
      <c r="B19" s="64">
        <v>13.87</v>
      </c>
      <c r="C19" s="64">
        <v>57.78</v>
      </c>
      <c r="D19" s="64">
        <v>43.66</v>
      </c>
      <c r="E19" s="64">
        <v>0.1</v>
      </c>
      <c r="F19" s="64">
        <v>3.3</v>
      </c>
      <c r="G19" s="64">
        <v>43.42</v>
      </c>
      <c r="H19" s="64">
        <v>9.23</v>
      </c>
      <c r="I19" s="64">
        <v>1.47</v>
      </c>
      <c r="J19" s="64">
        <v>0.46</v>
      </c>
      <c r="K19" s="64">
        <v>345.18</v>
      </c>
      <c r="L19" s="64">
        <v>17.309999999999999</v>
      </c>
      <c r="M19" s="64">
        <v>47.55</v>
      </c>
      <c r="N19" s="64">
        <v>67.099999999999994</v>
      </c>
      <c r="O19" s="64">
        <v>0</v>
      </c>
      <c r="P19" s="64">
        <v>0.62</v>
      </c>
      <c r="Q19" s="64">
        <v>7.19</v>
      </c>
      <c r="R19" s="198"/>
      <c r="S19" s="198"/>
      <c r="T19" s="198"/>
      <c r="U19" s="198"/>
    </row>
    <row r="20" spans="1:21" s="12" customFormat="1" x14ac:dyDescent="0.25">
      <c r="A20" s="213" t="s">
        <v>930</v>
      </c>
      <c r="B20" s="64">
        <v>13.27</v>
      </c>
      <c r="C20" s="64">
        <v>57.21</v>
      </c>
      <c r="D20" s="64">
        <v>42.86</v>
      </c>
      <c r="E20" s="64">
        <v>0.1</v>
      </c>
      <c r="F20" s="64">
        <v>3.37</v>
      </c>
      <c r="G20" s="64">
        <v>40.729999999999997</v>
      </c>
      <c r="H20" s="64">
        <v>9.23</v>
      </c>
      <c r="I20" s="64">
        <v>1.49</v>
      </c>
      <c r="J20" s="64">
        <v>0.6</v>
      </c>
      <c r="K20" s="64">
        <v>349.61</v>
      </c>
      <c r="L20" s="64">
        <v>17.09</v>
      </c>
      <c r="M20" s="64">
        <v>47.7</v>
      </c>
      <c r="N20" s="64">
        <v>66.8</v>
      </c>
      <c r="O20" s="64">
        <v>0</v>
      </c>
      <c r="P20" s="64">
        <v>0.59</v>
      </c>
      <c r="Q20" s="64">
        <v>7.11</v>
      </c>
      <c r="R20" s="198"/>
      <c r="S20" s="198"/>
      <c r="T20" s="198"/>
      <c r="U20" s="198"/>
    </row>
    <row r="21" spans="1:21" s="12" customFormat="1" x14ac:dyDescent="0.25">
      <c r="A21" s="213" t="s">
        <v>931</v>
      </c>
      <c r="B21" s="64">
        <v>12.71</v>
      </c>
      <c r="C21" s="64">
        <v>57.12</v>
      </c>
      <c r="D21" s="64">
        <v>42.37</v>
      </c>
      <c r="E21" s="64">
        <v>0.11</v>
      </c>
      <c r="F21" s="64">
        <v>3.11</v>
      </c>
      <c r="G21" s="64">
        <v>40.729999999999997</v>
      </c>
      <c r="H21" s="64">
        <v>9.23</v>
      </c>
      <c r="I21" s="64">
        <v>1.46</v>
      </c>
      <c r="J21" s="64">
        <v>0.3</v>
      </c>
      <c r="K21" s="64">
        <v>349.57</v>
      </c>
      <c r="L21" s="64">
        <v>16.940000000000001</v>
      </c>
      <c r="M21" s="64">
        <v>47.95</v>
      </c>
      <c r="N21" s="64">
        <v>67.2</v>
      </c>
      <c r="O21" s="64">
        <v>0</v>
      </c>
      <c r="P21" s="64">
        <v>0.56000000000000005</v>
      </c>
      <c r="Q21" s="64">
        <v>6.99</v>
      </c>
      <c r="R21" s="198"/>
      <c r="S21" s="198"/>
      <c r="T21" s="198"/>
      <c r="U21" s="198"/>
    </row>
    <row r="22" spans="1:21" s="12" customFormat="1" x14ac:dyDescent="0.25">
      <c r="A22" s="213" t="s">
        <v>932</v>
      </c>
      <c r="B22" s="64">
        <v>12.21</v>
      </c>
      <c r="C22" s="64">
        <v>56.76</v>
      </c>
      <c r="D22" s="64">
        <v>41.76</v>
      </c>
      <c r="E22" s="64">
        <v>0.06</v>
      </c>
      <c r="F22" s="64">
        <v>3.23</v>
      </c>
      <c r="G22" s="64">
        <v>40.729999999999997</v>
      </c>
      <c r="H22" s="64">
        <v>9.23</v>
      </c>
      <c r="I22" s="64">
        <v>1.53</v>
      </c>
      <c r="J22" s="64">
        <v>0.16</v>
      </c>
      <c r="K22" s="64">
        <v>57.23</v>
      </c>
      <c r="L22" s="64">
        <v>16.690000000000001</v>
      </c>
      <c r="M22" s="64">
        <v>48.04</v>
      </c>
      <c r="N22" s="64">
        <v>67</v>
      </c>
      <c r="O22" s="64">
        <v>0</v>
      </c>
      <c r="P22" s="64">
        <v>0.54</v>
      </c>
      <c r="Q22" s="64">
        <v>6.92</v>
      </c>
      <c r="R22" s="198"/>
      <c r="S22" s="198"/>
      <c r="T22" s="198"/>
      <c r="U22" s="198"/>
    </row>
    <row r="23" spans="1:21" s="12" customFormat="1" x14ac:dyDescent="0.25">
      <c r="A23" s="213" t="s">
        <v>933</v>
      </c>
      <c r="B23" s="64">
        <v>11.94</v>
      </c>
      <c r="C23" s="64">
        <v>56.12</v>
      </c>
      <c r="D23" s="64">
        <v>41.19</v>
      </c>
      <c r="E23" s="64">
        <v>0.06</v>
      </c>
      <c r="F23" s="64">
        <v>3.36</v>
      </c>
      <c r="G23" s="64">
        <v>43.37</v>
      </c>
      <c r="H23" s="64">
        <v>9.89</v>
      </c>
      <c r="I23" s="64">
        <v>1.53</v>
      </c>
      <c r="J23" s="64">
        <v>0.11</v>
      </c>
      <c r="K23" s="64">
        <v>31.29</v>
      </c>
      <c r="L23" s="64">
        <v>16.62</v>
      </c>
      <c r="M23" s="64">
        <v>48</v>
      </c>
      <c r="N23" s="64">
        <v>67.099999999999994</v>
      </c>
      <c r="O23" s="64">
        <v>0</v>
      </c>
      <c r="P23" s="64">
        <v>0.52</v>
      </c>
      <c r="Q23" s="64">
        <v>6.82</v>
      </c>
      <c r="R23" s="198"/>
      <c r="S23" s="198"/>
      <c r="T23" s="198"/>
      <c r="U23" s="198"/>
    </row>
    <row r="24" spans="1:21" s="12" customFormat="1" x14ac:dyDescent="0.25">
      <c r="A24" s="213" t="s">
        <v>934</v>
      </c>
      <c r="B24" s="64">
        <v>11.91</v>
      </c>
      <c r="C24" s="64">
        <v>55.53</v>
      </c>
      <c r="D24" s="64">
        <v>40.840000000000003</v>
      </c>
      <c r="E24" s="64">
        <v>0.01</v>
      </c>
      <c r="F24" s="64">
        <v>3.16</v>
      </c>
      <c r="G24" s="64">
        <v>44.08</v>
      </c>
      <c r="H24" s="64">
        <v>9.89</v>
      </c>
      <c r="I24" s="64">
        <v>1.52</v>
      </c>
      <c r="J24" s="64">
        <v>0.19</v>
      </c>
      <c r="K24" s="64">
        <v>54.6</v>
      </c>
      <c r="L24" s="64">
        <v>16.66</v>
      </c>
      <c r="M24" s="64">
        <v>47.02</v>
      </c>
      <c r="N24" s="64">
        <v>66.8</v>
      </c>
      <c r="O24" s="64">
        <v>0</v>
      </c>
      <c r="P24" s="64">
        <v>0.51</v>
      </c>
      <c r="Q24" s="64">
        <v>6.87</v>
      </c>
      <c r="R24" s="198"/>
      <c r="S24" s="198"/>
      <c r="T24" s="198"/>
      <c r="U24" s="198"/>
    </row>
    <row r="25" spans="1:21" s="12" customFormat="1" x14ac:dyDescent="0.25">
      <c r="A25" s="213" t="s">
        <v>935</v>
      </c>
      <c r="B25" s="64">
        <v>11.58</v>
      </c>
      <c r="C25" s="64">
        <v>55.08</v>
      </c>
      <c r="D25" s="64">
        <v>40.33</v>
      </c>
      <c r="E25" s="64">
        <v>0.09</v>
      </c>
      <c r="F25" s="64">
        <v>3.32</v>
      </c>
      <c r="G25" s="64">
        <v>44.08</v>
      </c>
      <c r="H25" s="64">
        <v>9.89</v>
      </c>
      <c r="I25" s="64">
        <v>1.55</v>
      </c>
      <c r="J25" s="64">
        <v>0.59</v>
      </c>
      <c r="K25" s="64">
        <v>349.97</v>
      </c>
      <c r="L25" s="64">
        <v>16.899999999999999</v>
      </c>
      <c r="M25" s="64">
        <v>43.52</v>
      </c>
      <c r="N25" s="64">
        <v>66.5</v>
      </c>
      <c r="O25" s="64">
        <v>0</v>
      </c>
      <c r="P25" s="64">
        <v>0.48</v>
      </c>
      <c r="Q25" s="64">
        <v>6.84</v>
      </c>
      <c r="R25" s="198"/>
      <c r="S25" s="198"/>
      <c r="T25" s="198"/>
      <c r="U25" s="198"/>
    </row>
    <row r="26" spans="1:21" s="12" customFormat="1" x14ac:dyDescent="0.25">
      <c r="A26" s="213" t="s">
        <v>936</v>
      </c>
      <c r="B26" s="64">
        <v>10.88</v>
      </c>
      <c r="C26" s="64">
        <v>54.99</v>
      </c>
      <c r="D26" s="64">
        <v>39.72</v>
      </c>
      <c r="E26" s="64">
        <v>0.14000000000000001</v>
      </c>
      <c r="F26" s="64">
        <v>3.46</v>
      </c>
      <c r="G26" s="64">
        <v>44.08</v>
      </c>
      <c r="H26" s="64">
        <v>9.89</v>
      </c>
      <c r="I26" s="64">
        <v>1.44</v>
      </c>
      <c r="J26" s="64">
        <v>1.19</v>
      </c>
      <c r="K26" s="64">
        <v>348.52</v>
      </c>
      <c r="L26" s="64">
        <v>17.09</v>
      </c>
      <c r="M26" s="64">
        <v>43.56</v>
      </c>
      <c r="N26" s="64">
        <v>67.400000000000006</v>
      </c>
      <c r="O26" s="64">
        <v>0</v>
      </c>
      <c r="P26" s="64">
        <v>0.46</v>
      </c>
      <c r="Q26" s="64">
        <v>6.88</v>
      </c>
      <c r="R26" s="198"/>
      <c r="S26" s="198"/>
      <c r="T26" s="198"/>
      <c r="U26" s="198"/>
    </row>
    <row r="27" spans="1:21" s="12" customFormat="1" x14ac:dyDescent="0.25">
      <c r="A27" s="213" t="s">
        <v>937</v>
      </c>
      <c r="B27" s="64">
        <v>10.25</v>
      </c>
      <c r="C27" s="64">
        <v>55.18</v>
      </c>
      <c r="D27" s="64">
        <v>39.32</v>
      </c>
      <c r="E27" s="64">
        <v>0.16</v>
      </c>
      <c r="F27" s="64">
        <v>3.29</v>
      </c>
      <c r="G27" s="64">
        <v>36.590000000000003</v>
      </c>
      <c r="H27" s="64">
        <v>6.97</v>
      </c>
      <c r="I27" s="64">
        <v>1.62</v>
      </c>
      <c r="J27" s="64">
        <v>0.85</v>
      </c>
      <c r="K27" s="64">
        <v>345.84</v>
      </c>
      <c r="L27" s="64">
        <v>16.86</v>
      </c>
      <c r="M27" s="64">
        <v>44.67</v>
      </c>
      <c r="N27" s="64">
        <v>67.900000000000006</v>
      </c>
      <c r="O27" s="64">
        <v>0</v>
      </c>
      <c r="P27" s="64">
        <v>0.44</v>
      </c>
      <c r="Q27" s="64">
        <v>6.84</v>
      </c>
      <c r="R27" s="198"/>
      <c r="S27" s="198"/>
      <c r="T27" s="198"/>
      <c r="U27" s="198"/>
    </row>
    <row r="28" spans="1:21" s="12" customFormat="1" x14ac:dyDescent="0.25">
      <c r="A28" s="213" t="s">
        <v>938</v>
      </c>
      <c r="B28" s="64">
        <v>10.14</v>
      </c>
      <c r="C28" s="64">
        <v>55.65</v>
      </c>
      <c r="D28" s="64">
        <v>39.49</v>
      </c>
      <c r="E28" s="64">
        <v>0.08</v>
      </c>
      <c r="F28" s="64">
        <v>3.42</v>
      </c>
      <c r="G28" s="64">
        <v>34.590000000000003</v>
      </c>
      <c r="H28" s="64">
        <v>6.97</v>
      </c>
      <c r="I28" s="64">
        <v>1.48</v>
      </c>
      <c r="J28" s="64">
        <v>0.85</v>
      </c>
      <c r="K28" s="64">
        <v>346.66</v>
      </c>
      <c r="L28" s="64">
        <v>16.71</v>
      </c>
      <c r="M28" s="64">
        <v>44.99</v>
      </c>
      <c r="N28" s="64">
        <v>67.3</v>
      </c>
      <c r="O28" s="64">
        <v>0</v>
      </c>
      <c r="P28" s="64">
        <v>0.42</v>
      </c>
      <c r="Q28" s="64">
        <v>6.81</v>
      </c>
      <c r="R28" s="198"/>
      <c r="S28" s="198"/>
      <c r="T28" s="198"/>
      <c r="U28" s="198"/>
    </row>
    <row r="29" spans="1:21" s="12" customFormat="1" x14ac:dyDescent="0.25">
      <c r="A29" s="213" t="s">
        <v>939</v>
      </c>
      <c r="B29" s="64">
        <v>10.08</v>
      </c>
      <c r="C29" s="64">
        <v>55.84</v>
      </c>
      <c r="D29" s="64">
        <v>39.549999999999997</v>
      </c>
      <c r="E29" s="64">
        <v>0.1</v>
      </c>
      <c r="F29" s="64">
        <v>3.34</v>
      </c>
      <c r="G29" s="64">
        <v>34.590000000000003</v>
      </c>
      <c r="H29" s="64">
        <v>6.97</v>
      </c>
      <c r="I29" s="64">
        <v>1.53</v>
      </c>
      <c r="J29" s="64">
        <v>0.95</v>
      </c>
      <c r="K29" s="64">
        <v>349.5</v>
      </c>
      <c r="L29" s="64">
        <v>16.559999999999999</v>
      </c>
      <c r="M29" s="64">
        <v>45.78</v>
      </c>
      <c r="N29" s="64">
        <v>66.7</v>
      </c>
      <c r="O29" s="64">
        <v>0</v>
      </c>
      <c r="P29" s="64">
        <v>0.4</v>
      </c>
      <c r="Q29" s="64">
        <v>6.81</v>
      </c>
      <c r="R29" s="198"/>
      <c r="S29" s="198"/>
      <c r="T29" s="198"/>
      <c r="U29" s="198"/>
    </row>
    <row r="30" spans="1:21" s="12" customFormat="1" x14ac:dyDescent="0.25">
      <c r="A30" s="213" t="s">
        <v>940</v>
      </c>
      <c r="B30" s="64">
        <v>9.98</v>
      </c>
      <c r="C30" s="64">
        <v>56.17</v>
      </c>
      <c r="D30" s="64">
        <v>39.65</v>
      </c>
      <c r="E30" s="64">
        <v>0.18</v>
      </c>
      <c r="F30" s="64">
        <v>3.31</v>
      </c>
      <c r="G30" s="64">
        <v>34.590000000000003</v>
      </c>
      <c r="H30" s="64">
        <v>6.97</v>
      </c>
      <c r="I30" s="64">
        <v>1.48</v>
      </c>
      <c r="J30" s="64">
        <v>0.5</v>
      </c>
      <c r="K30" s="64">
        <v>344.82</v>
      </c>
      <c r="L30" s="64">
        <v>16.309999999999999</v>
      </c>
      <c r="M30" s="64">
        <v>47.74</v>
      </c>
      <c r="N30" s="64">
        <v>66.8</v>
      </c>
      <c r="O30" s="64">
        <v>0</v>
      </c>
      <c r="P30" s="64">
        <v>0.4</v>
      </c>
      <c r="Q30" s="64">
        <v>6.78</v>
      </c>
      <c r="R30" s="198"/>
      <c r="S30" s="198"/>
      <c r="T30" s="198"/>
      <c r="U30" s="198"/>
    </row>
    <row r="31" spans="1:21" s="12" customFormat="1" x14ac:dyDescent="0.25">
      <c r="A31" s="213" t="s">
        <v>941</v>
      </c>
      <c r="B31" s="64">
        <v>9.9600000000000009</v>
      </c>
      <c r="C31" s="64">
        <v>56.32</v>
      </c>
      <c r="D31" s="64">
        <v>39.71</v>
      </c>
      <c r="E31" s="64">
        <v>0.11</v>
      </c>
      <c r="F31" s="64">
        <v>3.31</v>
      </c>
      <c r="G31" s="64">
        <v>36.409999999999997</v>
      </c>
      <c r="H31" s="64">
        <v>6.64</v>
      </c>
      <c r="I31" s="64">
        <v>1.61</v>
      </c>
      <c r="J31" s="64">
        <v>0.97</v>
      </c>
      <c r="K31" s="64">
        <v>349.33</v>
      </c>
      <c r="L31" s="64">
        <v>16.16</v>
      </c>
      <c r="M31" s="64">
        <v>46.04</v>
      </c>
      <c r="N31" s="64">
        <v>66.2</v>
      </c>
      <c r="O31" s="64">
        <v>0</v>
      </c>
      <c r="P31" s="64">
        <v>0.39</v>
      </c>
      <c r="Q31" s="64">
        <v>6.74</v>
      </c>
      <c r="R31" s="198"/>
      <c r="S31" s="198"/>
      <c r="T31" s="198"/>
      <c r="U31" s="198"/>
    </row>
    <row r="32" spans="1:21" s="12" customFormat="1" x14ac:dyDescent="0.25">
      <c r="A32" s="213" t="s">
        <v>942</v>
      </c>
      <c r="B32" s="64">
        <v>9.6999999999999993</v>
      </c>
      <c r="C32" s="64">
        <v>56.18</v>
      </c>
      <c r="D32" s="64">
        <v>39.43</v>
      </c>
      <c r="E32" s="64">
        <v>0.15</v>
      </c>
      <c r="F32" s="64">
        <v>3.6</v>
      </c>
      <c r="G32" s="64">
        <v>36.9</v>
      </c>
      <c r="H32" s="64">
        <v>6.64</v>
      </c>
      <c r="I32" s="64">
        <v>1.55</v>
      </c>
      <c r="J32" s="64">
        <v>0.66</v>
      </c>
      <c r="K32" s="64">
        <v>346.97</v>
      </c>
      <c r="L32" s="64">
        <v>16.04</v>
      </c>
      <c r="M32" s="64">
        <v>45.82</v>
      </c>
      <c r="N32" s="64">
        <v>66.400000000000006</v>
      </c>
      <c r="O32" s="64">
        <v>0</v>
      </c>
      <c r="P32" s="64">
        <v>0.38</v>
      </c>
      <c r="Q32" s="64">
        <v>6.8</v>
      </c>
      <c r="R32" s="198"/>
      <c r="S32" s="198"/>
      <c r="T32" s="198"/>
      <c r="U32" s="198"/>
    </row>
    <row r="33" spans="1:21" s="12" customFormat="1" x14ac:dyDescent="0.25">
      <c r="A33" s="213" t="s">
        <v>943</v>
      </c>
      <c r="B33" s="64">
        <v>9.65</v>
      </c>
      <c r="C33" s="64">
        <v>56.41</v>
      </c>
      <c r="D33" s="64">
        <v>39.520000000000003</v>
      </c>
      <c r="E33" s="64">
        <v>0.12</v>
      </c>
      <c r="F33" s="64">
        <v>3.33</v>
      </c>
      <c r="G33" s="64">
        <v>36.9</v>
      </c>
      <c r="H33" s="64">
        <v>6.64</v>
      </c>
      <c r="I33" s="64">
        <v>1.49</v>
      </c>
      <c r="J33" s="64">
        <v>0.54</v>
      </c>
      <c r="K33" s="64">
        <v>344.77</v>
      </c>
      <c r="L33" s="64">
        <v>15.83</v>
      </c>
      <c r="M33" s="64">
        <v>46.41</v>
      </c>
      <c r="N33" s="64">
        <v>66.5</v>
      </c>
      <c r="O33" s="64">
        <v>0</v>
      </c>
      <c r="P33" s="64">
        <v>0.38</v>
      </c>
      <c r="Q33" s="64">
        <v>6.73</v>
      </c>
      <c r="R33" s="198"/>
      <c r="S33" s="198"/>
      <c r="T33" s="198"/>
      <c r="U33" s="198"/>
    </row>
    <row r="34" spans="1:21" s="12" customFormat="1" x14ac:dyDescent="0.25">
      <c r="A34" s="213" t="s">
        <v>944</v>
      </c>
      <c r="B34" s="64">
        <v>9.91</v>
      </c>
      <c r="C34" s="64">
        <v>56.57</v>
      </c>
      <c r="D34" s="64">
        <v>39.81</v>
      </c>
      <c r="E34" s="64">
        <v>0.05</v>
      </c>
      <c r="F34" s="64">
        <v>3.1</v>
      </c>
      <c r="G34" s="64">
        <v>36.9</v>
      </c>
      <c r="H34" s="64">
        <v>6.64</v>
      </c>
      <c r="I34" s="64">
        <v>1.49</v>
      </c>
      <c r="J34" s="64">
        <v>0.72</v>
      </c>
      <c r="K34" s="64">
        <v>340.34</v>
      </c>
      <c r="L34" s="64">
        <v>15.7</v>
      </c>
      <c r="M34" s="64">
        <v>46.4</v>
      </c>
      <c r="N34" s="64">
        <v>68.2</v>
      </c>
      <c r="O34" s="64">
        <v>0</v>
      </c>
      <c r="P34" s="64">
        <v>0.37</v>
      </c>
      <c r="Q34" s="64">
        <v>6.71</v>
      </c>
      <c r="R34" s="198"/>
      <c r="S34" s="198"/>
      <c r="T34" s="198"/>
      <c r="U34" s="198"/>
    </row>
    <row r="35" spans="1:21" s="12" customFormat="1" x14ac:dyDescent="0.25">
      <c r="A35" s="213" t="s">
        <v>945</v>
      </c>
      <c r="B35" s="64">
        <v>10.01</v>
      </c>
      <c r="C35" s="64">
        <v>56.54</v>
      </c>
      <c r="D35" s="64">
        <v>39.880000000000003</v>
      </c>
      <c r="E35" s="64">
        <v>7.0000000000000007E-2</v>
      </c>
      <c r="F35" s="64">
        <v>3.31</v>
      </c>
      <c r="G35" s="64">
        <v>44.81</v>
      </c>
      <c r="H35" s="64">
        <v>15.58</v>
      </c>
      <c r="I35" s="64">
        <v>1.58</v>
      </c>
      <c r="J35" s="64">
        <v>0.97</v>
      </c>
      <c r="K35" s="64">
        <v>346.09</v>
      </c>
      <c r="L35" s="64">
        <v>15.66</v>
      </c>
      <c r="M35" s="64">
        <v>46.68</v>
      </c>
      <c r="N35" s="64">
        <v>75.3</v>
      </c>
      <c r="O35" s="64">
        <v>0</v>
      </c>
      <c r="P35" s="64">
        <v>0.37</v>
      </c>
      <c r="Q35" s="64">
        <v>6.75</v>
      </c>
      <c r="R35" s="198"/>
      <c r="S35" s="198"/>
      <c r="T35" s="198"/>
      <c r="U35" s="198"/>
    </row>
    <row r="36" spans="1:21" s="12" customFormat="1" x14ac:dyDescent="0.25">
      <c r="A36" s="213" t="s">
        <v>946</v>
      </c>
      <c r="B36" s="64">
        <v>9.98</v>
      </c>
      <c r="C36" s="64">
        <v>56.37</v>
      </c>
      <c r="D36" s="64">
        <v>39.76</v>
      </c>
      <c r="E36" s="64">
        <v>0.1</v>
      </c>
      <c r="F36" s="64">
        <v>3.73</v>
      </c>
      <c r="G36" s="64">
        <v>46.92</v>
      </c>
      <c r="H36" s="64">
        <v>15.58</v>
      </c>
      <c r="I36" s="64">
        <v>1.4</v>
      </c>
      <c r="J36" s="64">
        <v>0.93</v>
      </c>
      <c r="K36" s="64">
        <v>349.25</v>
      </c>
      <c r="L36" s="64">
        <v>15.61</v>
      </c>
      <c r="M36" s="64">
        <v>47.78</v>
      </c>
      <c r="N36" s="64">
        <v>90.2</v>
      </c>
      <c r="O36" s="64">
        <v>0</v>
      </c>
      <c r="P36" s="64">
        <v>0.38</v>
      </c>
      <c r="Q36" s="64">
        <v>6.71</v>
      </c>
      <c r="R36" s="198"/>
      <c r="S36" s="198"/>
      <c r="T36" s="198"/>
      <c r="U36" s="198"/>
    </row>
    <row r="37" spans="1:21" s="12" customFormat="1" x14ac:dyDescent="0.25">
      <c r="A37" s="213" t="s">
        <v>947</v>
      </c>
      <c r="B37" s="64">
        <v>9.91</v>
      </c>
      <c r="C37" s="64">
        <v>56.58</v>
      </c>
      <c r="D37" s="64">
        <v>39.81</v>
      </c>
      <c r="E37" s="64">
        <v>0.08</v>
      </c>
      <c r="F37" s="64">
        <v>3.31</v>
      </c>
      <c r="G37" s="64">
        <v>46.92</v>
      </c>
      <c r="H37" s="64">
        <v>15.58</v>
      </c>
      <c r="I37" s="64">
        <v>1.51</v>
      </c>
      <c r="J37" s="64">
        <v>1.1000000000000001</v>
      </c>
      <c r="K37" s="64">
        <v>345.33</v>
      </c>
      <c r="L37" s="64">
        <v>15.72</v>
      </c>
      <c r="M37" s="64">
        <v>45.21</v>
      </c>
      <c r="N37" s="64">
        <v>110.8</v>
      </c>
      <c r="O37" s="64">
        <v>0</v>
      </c>
      <c r="P37" s="64">
        <v>0.4</v>
      </c>
      <c r="Q37" s="64">
        <v>6.68</v>
      </c>
      <c r="R37" s="198"/>
      <c r="S37" s="198"/>
      <c r="T37" s="198"/>
      <c r="U37" s="198"/>
    </row>
    <row r="38" spans="1:21" s="12" customFormat="1" x14ac:dyDescent="0.25">
      <c r="A38" s="213" t="s">
        <v>948</v>
      </c>
      <c r="B38" s="64">
        <v>9.57</v>
      </c>
      <c r="C38" s="64">
        <v>56.93</v>
      </c>
      <c r="D38" s="64">
        <v>39.74</v>
      </c>
      <c r="E38" s="64">
        <v>0.06</v>
      </c>
      <c r="F38" s="64">
        <v>3.63</v>
      </c>
      <c r="G38" s="64">
        <v>46.92</v>
      </c>
      <c r="H38" s="64">
        <v>15.58</v>
      </c>
      <c r="I38" s="64">
        <v>1.53</v>
      </c>
      <c r="J38" s="64">
        <v>1.05</v>
      </c>
      <c r="K38" s="64">
        <v>352.48</v>
      </c>
      <c r="L38" s="64">
        <v>16.059999999999999</v>
      </c>
      <c r="M38" s="64">
        <v>42.88</v>
      </c>
      <c r="N38" s="64">
        <v>151.4</v>
      </c>
      <c r="O38" s="64">
        <v>0</v>
      </c>
      <c r="P38" s="64">
        <v>0.42</v>
      </c>
      <c r="Q38" s="64">
        <v>6.59</v>
      </c>
      <c r="R38" s="198"/>
      <c r="S38" s="198"/>
      <c r="T38" s="198"/>
      <c r="U38" s="198"/>
    </row>
    <row r="39" spans="1:21" s="12" customFormat="1" x14ac:dyDescent="0.25">
      <c r="A39" s="213" t="s">
        <v>949</v>
      </c>
      <c r="B39" s="64">
        <v>9.6300000000000008</v>
      </c>
      <c r="C39" s="64">
        <v>57.53</v>
      </c>
      <c r="D39" s="64">
        <v>40.11</v>
      </c>
      <c r="E39" s="64">
        <v>0.09</v>
      </c>
      <c r="F39" s="64">
        <v>3.47</v>
      </c>
      <c r="G39" s="64">
        <v>50.59</v>
      </c>
      <c r="H39" s="64">
        <v>19.93</v>
      </c>
      <c r="I39" s="64">
        <v>1.53</v>
      </c>
      <c r="J39" s="64">
        <v>1.07</v>
      </c>
      <c r="K39" s="64">
        <v>347.95</v>
      </c>
      <c r="L39" s="64">
        <v>16.95</v>
      </c>
      <c r="M39" s="64">
        <v>39.26</v>
      </c>
      <c r="N39" s="64">
        <v>226.6</v>
      </c>
      <c r="O39" s="64">
        <v>0</v>
      </c>
      <c r="P39" s="64">
        <v>0.43</v>
      </c>
      <c r="Q39" s="64">
        <v>6.53</v>
      </c>
      <c r="R39" s="198"/>
      <c r="S39" s="198"/>
      <c r="T39" s="198"/>
      <c r="U39" s="198"/>
    </row>
    <row r="40" spans="1:21" s="12" customFormat="1" x14ac:dyDescent="0.25">
      <c r="A40" s="213" t="s">
        <v>950</v>
      </c>
      <c r="B40" s="64">
        <v>10.27</v>
      </c>
      <c r="C40" s="64">
        <v>58.46</v>
      </c>
      <c r="D40" s="64">
        <v>41.15</v>
      </c>
      <c r="E40" s="64">
        <v>0.3</v>
      </c>
      <c r="F40" s="64">
        <v>3.12</v>
      </c>
      <c r="G40" s="64">
        <v>51.57</v>
      </c>
      <c r="H40" s="64">
        <v>19.93</v>
      </c>
      <c r="I40" s="64">
        <v>1.48</v>
      </c>
      <c r="J40" s="64">
        <v>0.87</v>
      </c>
      <c r="K40" s="64">
        <v>344.15</v>
      </c>
      <c r="L40" s="64">
        <v>18.53</v>
      </c>
      <c r="M40" s="64">
        <v>36.25</v>
      </c>
      <c r="N40" s="64">
        <v>282.89999999999998</v>
      </c>
      <c r="O40" s="64">
        <v>0</v>
      </c>
      <c r="P40" s="64">
        <v>0.44</v>
      </c>
      <c r="Q40" s="64">
        <v>6.4</v>
      </c>
      <c r="R40" s="198"/>
      <c r="S40" s="198"/>
      <c r="T40" s="198"/>
      <c r="U40" s="198"/>
    </row>
    <row r="41" spans="1:21" s="12" customFormat="1" x14ac:dyDescent="0.25">
      <c r="A41" s="213" t="s">
        <v>951</v>
      </c>
      <c r="B41" s="64">
        <v>11.53</v>
      </c>
      <c r="C41" s="64">
        <v>59.68</v>
      </c>
      <c r="D41" s="64">
        <v>42.83</v>
      </c>
      <c r="E41" s="64">
        <v>0.39</v>
      </c>
      <c r="F41" s="64">
        <v>3.26</v>
      </c>
      <c r="G41" s="64">
        <v>51.57</v>
      </c>
      <c r="H41" s="64">
        <v>19.93</v>
      </c>
      <c r="I41" s="64">
        <v>1.53</v>
      </c>
      <c r="J41" s="64">
        <v>0.77</v>
      </c>
      <c r="K41" s="64">
        <v>342.28</v>
      </c>
      <c r="L41" s="64">
        <v>19.600000000000001</v>
      </c>
      <c r="M41" s="64">
        <v>34.99</v>
      </c>
      <c r="N41" s="64">
        <v>334.9</v>
      </c>
      <c r="O41" s="64">
        <v>0</v>
      </c>
      <c r="P41" s="64">
        <v>0.46</v>
      </c>
      <c r="Q41" s="64">
        <v>6.15</v>
      </c>
      <c r="R41" s="198"/>
      <c r="S41" s="198"/>
      <c r="T41" s="198"/>
      <c r="U41" s="198"/>
    </row>
    <row r="42" spans="1:21" s="12" customFormat="1" x14ac:dyDescent="0.25">
      <c r="A42" s="213" t="s">
        <v>952</v>
      </c>
      <c r="B42" s="64">
        <v>13.09</v>
      </c>
      <c r="C42" s="64">
        <v>60.38</v>
      </c>
      <c r="D42" s="64">
        <v>44.47</v>
      </c>
      <c r="E42" s="64">
        <v>0.49</v>
      </c>
      <c r="F42" s="64">
        <v>3.38</v>
      </c>
      <c r="G42" s="64">
        <v>51.57</v>
      </c>
      <c r="H42" s="64">
        <v>19.93</v>
      </c>
      <c r="I42" s="64">
        <v>1.54</v>
      </c>
      <c r="J42" s="64">
        <v>0.8</v>
      </c>
      <c r="K42" s="64">
        <v>346.35</v>
      </c>
      <c r="L42" s="64">
        <v>20.63</v>
      </c>
      <c r="M42" s="64">
        <v>32.86</v>
      </c>
      <c r="N42" s="64">
        <v>387.9</v>
      </c>
      <c r="O42" s="64">
        <v>0</v>
      </c>
      <c r="P42" s="64">
        <v>0.47</v>
      </c>
      <c r="Q42" s="64">
        <v>5.73</v>
      </c>
      <c r="R42" s="198"/>
      <c r="S42" s="198"/>
      <c r="T42" s="198"/>
      <c r="U42" s="198"/>
    </row>
    <row r="43" spans="1:21" s="12" customFormat="1" x14ac:dyDescent="0.25">
      <c r="A43" s="213" t="s">
        <v>953</v>
      </c>
      <c r="B43" s="64">
        <v>14.79</v>
      </c>
      <c r="C43" s="64">
        <v>61.22</v>
      </c>
      <c r="D43" s="64">
        <v>46.29</v>
      </c>
      <c r="E43" s="64">
        <v>0.43</v>
      </c>
      <c r="F43" s="64">
        <v>3.13</v>
      </c>
      <c r="G43" s="64">
        <v>63.79</v>
      </c>
      <c r="H43" s="64">
        <v>22.69</v>
      </c>
      <c r="I43" s="64">
        <v>1.46</v>
      </c>
      <c r="J43" s="64">
        <v>1.34</v>
      </c>
      <c r="K43" s="64">
        <v>349.81</v>
      </c>
      <c r="L43" s="64">
        <v>21.54</v>
      </c>
      <c r="M43" s="64">
        <v>28.87</v>
      </c>
      <c r="N43" s="64">
        <v>445.2</v>
      </c>
      <c r="O43" s="64">
        <v>0</v>
      </c>
      <c r="P43" s="64">
        <v>0.48</v>
      </c>
      <c r="Q43" s="64">
        <v>5.12</v>
      </c>
      <c r="R43" s="198"/>
      <c r="S43" s="198"/>
      <c r="T43" s="198"/>
      <c r="U43" s="198"/>
    </row>
    <row r="44" spans="1:21" s="12" customFormat="1" x14ac:dyDescent="0.25">
      <c r="A44" s="213" t="s">
        <v>954</v>
      </c>
      <c r="B44" s="64">
        <v>14.79</v>
      </c>
      <c r="C44" s="64">
        <v>61.22</v>
      </c>
      <c r="D44" s="64">
        <v>46.29</v>
      </c>
      <c r="E44" s="64">
        <v>0.43</v>
      </c>
      <c r="F44" s="64">
        <v>3.13</v>
      </c>
      <c r="G44" s="64">
        <v>63.79</v>
      </c>
      <c r="H44" s="64">
        <v>22.69</v>
      </c>
      <c r="I44" s="64">
        <v>1.46</v>
      </c>
      <c r="J44" s="64">
        <v>1.34</v>
      </c>
      <c r="K44" s="64">
        <v>349.81</v>
      </c>
      <c r="L44" s="64">
        <v>21.54</v>
      </c>
      <c r="M44" s="64">
        <v>28.87</v>
      </c>
      <c r="N44" s="64">
        <v>445.2</v>
      </c>
      <c r="O44" s="64">
        <v>0</v>
      </c>
      <c r="P44" s="64">
        <v>0.48</v>
      </c>
      <c r="Q44" s="64">
        <v>5.12</v>
      </c>
      <c r="R44" s="198"/>
      <c r="S44" s="198"/>
      <c r="T44" s="198"/>
      <c r="U44" s="198"/>
    </row>
    <row r="45" spans="1:21" s="12" customFormat="1" x14ac:dyDescent="0.25">
      <c r="A45" s="213" t="s">
        <v>955</v>
      </c>
      <c r="B45" s="64">
        <v>14.79</v>
      </c>
      <c r="C45" s="64">
        <v>61.22</v>
      </c>
      <c r="D45" s="64">
        <v>46.29</v>
      </c>
      <c r="E45" s="64">
        <v>0.43</v>
      </c>
      <c r="F45" s="64">
        <v>3.13</v>
      </c>
      <c r="G45" s="64">
        <v>63.79</v>
      </c>
      <c r="H45" s="64">
        <v>22.69</v>
      </c>
      <c r="I45" s="64">
        <v>1.46</v>
      </c>
      <c r="J45" s="64">
        <v>1.34</v>
      </c>
      <c r="K45" s="64">
        <v>349.81</v>
      </c>
      <c r="L45" s="64">
        <v>21.54</v>
      </c>
      <c r="M45" s="64">
        <v>28.87</v>
      </c>
      <c r="N45" s="64">
        <v>445.2</v>
      </c>
      <c r="O45" s="64">
        <v>0</v>
      </c>
      <c r="P45" s="64">
        <v>0.48</v>
      </c>
      <c r="Q45" s="64">
        <v>5.12</v>
      </c>
      <c r="R45" s="198"/>
      <c r="S45" s="198"/>
      <c r="T45" s="198"/>
      <c r="U45" s="198"/>
    </row>
    <row r="46" spans="1:21" s="12" customFormat="1" x14ac:dyDescent="0.25">
      <c r="A46" s="213" t="s">
        <v>956</v>
      </c>
      <c r="B46" s="64">
        <v>14.76</v>
      </c>
      <c r="C46" s="64">
        <v>62.88</v>
      </c>
      <c r="D46" s="64">
        <v>47.18</v>
      </c>
      <c r="E46" s="64">
        <v>0.43</v>
      </c>
      <c r="F46" s="64">
        <v>3.4</v>
      </c>
      <c r="G46" s="64">
        <v>67.06</v>
      </c>
      <c r="H46" s="64">
        <v>22.69</v>
      </c>
      <c r="I46" s="64">
        <v>1.54</v>
      </c>
      <c r="J46" s="64">
        <v>1.1399999999999999</v>
      </c>
      <c r="K46" s="64">
        <v>347.8</v>
      </c>
      <c r="L46" s="64">
        <v>22.54</v>
      </c>
      <c r="M46" s="64">
        <v>23.73</v>
      </c>
      <c r="N46" s="64">
        <v>541.5</v>
      </c>
      <c r="O46" s="64">
        <v>0</v>
      </c>
      <c r="P46" s="64">
        <v>0.5</v>
      </c>
      <c r="Q46" s="64">
        <v>5.33</v>
      </c>
      <c r="R46" s="198"/>
      <c r="S46" s="198"/>
      <c r="T46" s="198"/>
      <c r="U46" s="198"/>
    </row>
    <row r="47" spans="1:21" s="12" customFormat="1" x14ac:dyDescent="0.25">
      <c r="A47" s="213" t="s">
        <v>957</v>
      </c>
      <c r="B47" s="64">
        <v>13.5</v>
      </c>
      <c r="C47" s="64">
        <v>63.73</v>
      </c>
      <c r="D47" s="64">
        <v>46.64</v>
      </c>
      <c r="E47" s="64">
        <v>0.31</v>
      </c>
      <c r="F47" s="64">
        <v>3.5</v>
      </c>
      <c r="G47" s="64">
        <v>69.53</v>
      </c>
      <c r="H47" s="64">
        <v>26.52</v>
      </c>
      <c r="I47" s="64">
        <v>1.43</v>
      </c>
      <c r="J47" s="64">
        <v>1.35</v>
      </c>
      <c r="K47" s="64">
        <v>348.94</v>
      </c>
      <c r="L47" s="64">
        <v>23.62</v>
      </c>
      <c r="M47" s="64">
        <v>19.55</v>
      </c>
      <c r="N47" s="64">
        <v>652.5</v>
      </c>
      <c r="O47" s="64">
        <v>0</v>
      </c>
      <c r="P47" s="64">
        <v>0.5</v>
      </c>
      <c r="Q47" s="64">
        <v>8.42</v>
      </c>
      <c r="R47" s="198"/>
      <c r="S47" s="198"/>
      <c r="T47" s="198"/>
      <c r="U47" s="198"/>
    </row>
    <row r="48" spans="1:21" s="12" customFormat="1" x14ac:dyDescent="0.25">
      <c r="A48" s="213" t="s">
        <v>958</v>
      </c>
      <c r="B48" s="64">
        <v>12.34</v>
      </c>
      <c r="C48" s="64">
        <v>63.83</v>
      </c>
      <c r="D48" s="64">
        <v>45.77</v>
      </c>
      <c r="E48" s="64">
        <v>0.27</v>
      </c>
      <c r="F48" s="64">
        <v>3.4</v>
      </c>
      <c r="G48" s="64">
        <v>70.05</v>
      </c>
      <c r="H48" s="64">
        <v>26.52</v>
      </c>
      <c r="I48" s="64">
        <v>1.53</v>
      </c>
      <c r="J48" s="64">
        <v>0.46</v>
      </c>
      <c r="K48" s="64">
        <v>20.239999999999998</v>
      </c>
      <c r="L48" s="64">
        <v>23.57</v>
      </c>
      <c r="M48" s="64">
        <v>19.670000000000002</v>
      </c>
      <c r="N48" s="64">
        <v>687.7</v>
      </c>
      <c r="O48" s="64">
        <v>0</v>
      </c>
      <c r="P48" s="64">
        <v>0.49</v>
      </c>
      <c r="Q48" s="64">
        <v>11.57</v>
      </c>
      <c r="R48" s="198"/>
      <c r="S48" s="198"/>
      <c r="T48" s="198"/>
      <c r="U48" s="198"/>
    </row>
    <row r="49" spans="1:21" s="12" customFormat="1" x14ac:dyDescent="0.25">
      <c r="A49" s="213" t="s">
        <v>959</v>
      </c>
      <c r="B49" s="64">
        <v>11.57</v>
      </c>
      <c r="C49" s="64">
        <v>63.35</v>
      </c>
      <c r="D49" s="64">
        <v>44.89</v>
      </c>
      <c r="E49" s="64">
        <v>0.25</v>
      </c>
      <c r="F49" s="64">
        <v>3.39</v>
      </c>
      <c r="G49" s="64">
        <v>70.05</v>
      </c>
      <c r="H49" s="64">
        <v>26.52</v>
      </c>
      <c r="I49" s="64">
        <v>1.46</v>
      </c>
      <c r="J49" s="64">
        <v>0.51</v>
      </c>
      <c r="K49" s="64">
        <v>355.63</v>
      </c>
      <c r="L49" s="64">
        <v>23.61</v>
      </c>
      <c r="M49" s="64">
        <v>20.62</v>
      </c>
      <c r="N49" s="64">
        <v>703.6</v>
      </c>
      <c r="O49" s="64">
        <v>0</v>
      </c>
      <c r="P49" s="64">
        <v>0.49</v>
      </c>
      <c r="Q49" s="64">
        <v>14.72</v>
      </c>
      <c r="R49" s="198"/>
      <c r="S49" s="198"/>
      <c r="T49" s="198"/>
      <c r="U49" s="198"/>
    </row>
    <row r="50" spans="1:21" s="12" customFormat="1" x14ac:dyDescent="0.25">
      <c r="A50" s="213" t="s">
        <v>960</v>
      </c>
      <c r="B50" s="64">
        <v>11.27</v>
      </c>
      <c r="C50" s="64">
        <v>63.15</v>
      </c>
      <c r="D50" s="64">
        <v>44.53</v>
      </c>
      <c r="E50" s="64">
        <v>0.3</v>
      </c>
      <c r="F50" s="64">
        <v>3.64</v>
      </c>
      <c r="G50" s="64">
        <v>70.05</v>
      </c>
      <c r="H50" s="64">
        <v>26.52</v>
      </c>
      <c r="I50" s="64">
        <v>1.49</v>
      </c>
      <c r="J50" s="64">
        <v>1.22</v>
      </c>
      <c r="K50" s="64">
        <v>345.29</v>
      </c>
      <c r="L50" s="64">
        <v>25.71</v>
      </c>
      <c r="M50" s="64">
        <v>18.899999999999999</v>
      </c>
      <c r="N50" s="64">
        <v>730.7</v>
      </c>
      <c r="O50" s="64">
        <v>0</v>
      </c>
      <c r="P50" s="64">
        <v>0.49</v>
      </c>
      <c r="Q50" s="64">
        <v>15.86</v>
      </c>
      <c r="R50" s="198"/>
      <c r="S50" s="198"/>
      <c r="T50" s="198"/>
      <c r="U50" s="198"/>
    </row>
    <row r="51" spans="1:21" s="12" customFormat="1" x14ac:dyDescent="0.25">
      <c r="A51" s="213" t="s">
        <v>961</v>
      </c>
      <c r="B51" s="64">
        <v>9.1</v>
      </c>
      <c r="C51" s="64">
        <v>63.81</v>
      </c>
      <c r="D51" s="64">
        <v>43.16</v>
      </c>
      <c r="E51" s="64">
        <v>0.57999999999999996</v>
      </c>
      <c r="F51" s="64">
        <v>4.67</v>
      </c>
      <c r="G51" s="64">
        <v>58.91</v>
      </c>
      <c r="H51" s="64">
        <v>24.06</v>
      </c>
      <c r="I51" s="64">
        <v>1.48</v>
      </c>
      <c r="J51" s="64">
        <v>1.07</v>
      </c>
      <c r="K51" s="64">
        <v>344.8</v>
      </c>
      <c r="L51" s="64">
        <v>26.38</v>
      </c>
      <c r="M51" s="64">
        <v>18.89</v>
      </c>
      <c r="N51" s="64">
        <v>760</v>
      </c>
      <c r="O51" s="64">
        <v>0</v>
      </c>
      <c r="P51" s="64">
        <v>0.51</v>
      </c>
      <c r="Q51" s="64">
        <v>15.75</v>
      </c>
      <c r="R51" s="198"/>
      <c r="S51" s="198"/>
      <c r="T51" s="198"/>
      <c r="U51" s="198"/>
    </row>
    <row r="52" spans="1:21" s="12" customFormat="1" x14ac:dyDescent="0.25">
      <c r="A52" s="213" t="s">
        <v>962</v>
      </c>
      <c r="B52" s="64">
        <v>7.05</v>
      </c>
      <c r="C52" s="64">
        <v>64.63</v>
      </c>
      <c r="D52" s="64">
        <v>41.97</v>
      </c>
      <c r="E52" s="64">
        <v>0.36</v>
      </c>
      <c r="F52" s="64">
        <v>4.01</v>
      </c>
      <c r="G52" s="64">
        <v>55.92</v>
      </c>
      <c r="H52" s="64">
        <v>24.06</v>
      </c>
      <c r="I52" s="64">
        <v>1.44</v>
      </c>
      <c r="J52" s="64">
        <v>1.1100000000000001</v>
      </c>
      <c r="K52" s="64">
        <v>345.93</v>
      </c>
      <c r="L52" s="64">
        <v>27.4</v>
      </c>
      <c r="M52" s="64">
        <v>17.89</v>
      </c>
      <c r="N52" s="64">
        <v>776.3</v>
      </c>
      <c r="O52" s="64">
        <v>0</v>
      </c>
      <c r="P52" s="64">
        <v>0.51</v>
      </c>
      <c r="Q52" s="64">
        <v>15.12</v>
      </c>
      <c r="R52" s="198"/>
      <c r="S52" s="198"/>
      <c r="T52" s="198"/>
      <c r="U52" s="198"/>
    </row>
    <row r="53" spans="1:21" s="12" customFormat="1" x14ac:dyDescent="0.25">
      <c r="A53" s="213" t="s">
        <v>963</v>
      </c>
      <c r="B53" s="64">
        <v>7.71</v>
      </c>
      <c r="C53" s="64">
        <v>67.53</v>
      </c>
      <c r="D53" s="64">
        <v>44.1</v>
      </c>
      <c r="E53" s="64">
        <v>0.54</v>
      </c>
      <c r="F53" s="64">
        <v>4.33</v>
      </c>
      <c r="G53" s="64">
        <v>55.92</v>
      </c>
      <c r="H53" s="64">
        <v>24.06</v>
      </c>
      <c r="I53" s="64">
        <v>1.41</v>
      </c>
      <c r="J53" s="64">
        <v>0.82</v>
      </c>
      <c r="K53" s="64">
        <v>356.9</v>
      </c>
      <c r="L53" s="64">
        <v>26.78</v>
      </c>
      <c r="M53" s="64">
        <v>18.78</v>
      </c>
      <c r="N53" s="64">
        <v>793.8</v>
      </c>
      <c r="O53" s="64">
        <v>0</v>
      </c>
      <c r="P53" s="64">
        <v>0.54</v>
      </c>
      <c r="Q53" s="64">
        <v>14.2</v>
      </c>
      <c r="R53" s="198"/>
      <c r="S53" s="198"/>
      <c r="T53" s="198"/>
      <c r="U53" s="198"/>
    </row>
    <row r="54" spans="1:21" s="12" customFormat="1" x14ac:dyDescent="0.25">
      <c r="A54" s="213" t="s">
        <v>964</v>
      </c>
      <c r="B54" s="64">
        <v>8.3699999999999992</v>
      </c>
      <c r="C54" s="64">
        <v>70.59</v>
      </c>
      <c r="D54" s="64">
        <v>46.32</v>
      </c>
      <c r="E54" s="64">
        <v>0.5</v>
      </c>
      <c r="F54" s="64">
        <v>4.33</v>
      </c>
      <c r="G54" s="64">
        <v>55.92</v>
      </c>
      <c r="H54" s="64">
        <v>24.06</v>
      </c>
      <c r="I54" s="64">
        <v>1.45</v>
      </c>
      <c r="J54" s="64">
        <v>1.26</v>
      </c>
      <c r="K54" s="64">
        <v>339.85</v>
      </c>
      <c r="L54" s="64">
        <v>27.95</v>
      </c>
      <c r="M54" s="64">
        <v>18.68</v>
      </c>
      <c r="N54" s="64">
        <v>785.3</v>
      </c>
      <c r="O54" s="64">
        <v>0</v>
      </c>
      <c r="P54" s="64">
        <v>0.53</v>
      </c>
      <c r="Q54" s="64">
        <v>13.33</v>
      </c>
      <c r="R54" s="198"/>
      <c r="S54" s="198"/>
      <c r="T54" s="198"/>
      <c r="U54" s="198"/>
    </row>
    <row r="55" spans="1:21" s="12" customFormat="1" x14ac:dyDescent="0.25">
      <c r="A55" s="213" t="s">
        <v>965</v>
      </c>
      <c r="B55" s="64">
        <v>8.15</v>
      </c>
      <c r="C55" s="64">
        <v>71.56</v>
      </c>
      <c r="D55" s="64">
        <v>46.67</v>
      </c>
      <c r="E55" s="64">
        <v>0.41</v>
      </c>
      <c r="F55" s="64">
        <v>3.86</v>
      </c>
      <c r="G55" s="64">
        <v>55.13</v>
      </c>
      <c r="H55" s="64">
        <v>21.17</v>
      </c>
      <c r="I55" s="64">
        <v>1.48</v>
      </c>
      <c r="J55" s="64">
        <v>1.1299999999999999</v>
      </c>
      <c r="K55" s="64">
        <v>349.05</v>
      </c>
      <c r="L55" s="64">
        <v>28.2</v>
      </c>
      <c r="M55" s="64">
        <v>19.64</v>
      </c>
      <c r="N55" s="64">
        <v>811.5</v>
      </c>
      <c r="O55" s="64">
        <v>0</v>
      </c>
      <c r="P55" s="64">
        <v>0.55000000000000004</v>
      </c>
      <c r="Q55" s="64">
        <v>12.51</v>
      </c>
      <c r="R55" s="198"/>
      <c r="S55" s="198"/>
      <c r="T55" s="198"/>
      <c r="U55" s="198"/>
    </row>
    <row r="56" spans="1:21" s="12" customFormat="1" x14ac:dyDescent="0.25">
      <c r="A56" s="213" t="s">
        <v>966</v>
      </c>
      <c r="B56" s="64">
        <v>8.2799999999999994</v>
      </c>
      <c r="C56" s="64">
        <v>71.69</v>
      </c>
      <c r="D56" s="64">
        <v>46.85</v>
      </c>
      <c r="E56" s="64">
        <v>0.24</v>
      </c>
      <c r="F56" s="64">
        <v>4.17</v>
      </c>
      <c r="G56" s="64">
        <v>54.92</v>
      </c>
      <c r="H56" s="64">
        <v>21.17</v>
      </c>
      <c r="I56" s="64">
        <v>1.51</v>
      </c>
      <c r="J56" s="64">
        <v>0.79</v>
      </c>
      <c r="K56" s="64">
        <v>347.1</v>
      </c>
      <c r="L56" s="64">
        <v>27.43</v>
      </c>
      <c r="M56" s="64">
        <v>20.97</v>
      </c>
      <c r="N56" s="64">
        <v>808.8</v>
      </c>
      <c r="O56" s="64">
        <v>0</v>
      </c>
      <c r="P56" s="64">
        <v>0.56000000000000005</v>
      </c>
      <c r="Q56" s="64">
        <v>11.68</v>
      </c>
      <c r="R56" s="198"/>
      <c r="S56" s="198"/>
      <c r="T56" s="198"/>
      <c r="U56" s="198"/>
    </row>
    <row r="57" spans="1:21" s="12" customFormat="1" x14ac:dyDescent="0.25">
      <c r="A57" s="213" t="s">
        <v>967</v>
      </c>
      <c r="B57" s="64">
        <v>7.51</v>
      </c>
      <c r="C57" s="64">
        <v>71.52</v>
      </c>
      <c r="D57" s="64">
        <v>46.14</v>
      </c>
      <c r="E57" s="64">
        <v>0.52</v>
      </c>
      <c r="F57" s="64">
        <v>4.49</v>
      </c>
      <c r="G57" s="64">
        <v>54.92</v>
      </c>
      <c r="H57" s="64">
        <v>21.17</v>
      </c>
      <c r="I57" s="64">
        <v>1.61</v>
      </c>
      <c r="J57" s="64">
        <v>1.18</v>
      </c>
      <c r="K57" s="64">
        <v>347.91</v>
      </c>
      <c r="L57" s="64">
        <v>28.13</v>
      </c>
      <c r="M57" s="64">
        <v>19.93</v>
      </c>
      <c r="N57" s="64">
        <v>796.2</v>
      </c>
      <c r="O57" s="64">
        <v>0</v>
      </c>
      <c r="P57" s="64">
        <v>0.56999999999999995</v>
      </c>
      <c r="Q57" s="64">
        <v>10.94</v>
      </c>
      <c r="R57" s="198"/>
      <c r="S57" s="198"/>
      <c r="T57" s="198"/>
      <c r="U57" s="198"/>
    </row>
    <row r="58" spans="1:21" s="12" customFormat="1" x14ac:dyDescent="0.25">
      <c r="A58" s="213" t="s">
        <v>968</v>
      </c>
      <c r="B58" s="64">
        <v>6.61</v>
      </c>
      <c r="C58" s="64">
        <v>71.37</v>
      </c>
      <c r="D58" s="64">
        <v>45.33</v>
      </c>
      <c r="E58" s="64">
        <v>0.85</v>
      </c>
      <c r="F58" s="64">
        <v>6</v>
      </c>
      <c r="G58" s="64">
        <v>54.92</v>
      </c>
      <c r="H58" s="64">
        <v>21.17</v>
      </c>
      <c r="I58" s="64">
        <v>1.45</v>
      </c>
      <c r="J58" s="64">
        <v>1.49</v>
      </c>
      <c r="K58" s="64">
        <v>339.23</v>
      </c>
      <c r="L58" s="64">
        <v>28.45</v>
      </c>
      <c r="M58" s="64">
        <v>19.88</v>
      </c>
      <c r="N58" s="64">
        <v>785.9</v>
      </c>
      <c r="O58" s="64">
        <v>0</v>
      </c>
      <c r="P58" s="64">
        <v>0.55000000000000004</v>
      </c>
      <c r="Q58" s="64">
        <v>10.27</v>
      </c>
      <c r="R58" s="198"/>
      <c r="S58" s="198"/>
      <c r="T58" s="198"/>
      <c r="U58" s="198"/>
    </row>
    <row r="59" spans="1:21" s="12" customFormat="1" x14ac:dyDescent="0.25">
      <c r="A59" s="213" t="s">
        <v>969</v>
      </c>
      <c r="B59" s="64">
        <v>4.66</v>
      </c>
      <c r="C59" s="64">
        <v>71.78</v>
      </c>
      <c r="D59" s="64">
        <v>44</v>
      </c>
      <c r="E59" s="64">
        <v>0.69</v>
      </c>
      <c r="F59" s="64">
        <v>6.85</v>
      </c>
      <c r="G59" s="64">
        <v>70.22</v>
      </c>
      <c r="H59" s="64">
        <v>22.52</v>
      </c>
      <c r="I59" s="64">
        <v>1.43</v>
      </c>
      <c r="J59" s="64">
        <v>1.82</v>
      </c>
      <c r="K59" s="64">
        <v>337.06</v>
      </c>
      <c r="L59" s="64">
        <v>28.73</v>
      </c>
      <c r="M59" s="64">
        <v>19.97</v>
      </c>
      <c r="N59" s="64">
        <v>812.2</v>
      </c>
      <c r="O59" s="64">
        <v>0</v>
      </c>
      <c r="P59" s="64">
        <v>0.52</v>
      </c>
      <c r="Q59" s="64">
        <v>9.5299999999999994</v>
      </c>
      <c r="R59" s="198"/>
      <c r="S59" s="198"/>
      <c r="T59" s="198"/>
      <c r="U59" s="198"/>
    </row>
    <row r="60" spans="1:21" s="12" customFormat="1" x14ac:dyDescent="0.25">
      <c r="A60" s="213" t="s">
        <v>970</v>
      </c>
      <c r="B60" s="64">
        <v>4.1500000000000004</v>
      </c>
      <c r="C60" s="64">
        <v>70.37</v>
      </c>
      <c r="D60" s="64">
        <v>42.81</v>
      </c>
      <c r="E60" s="64">
        <v>0.36</v>
      </c>
      <c r="F60" s="64">
        <v>5.15</v>
      </c>
      <c r="G60" s="64">
        <v>74.31</v>
      </c>
      <c r="H60" s="64">
        <v>22.52</v>
      </c>
      <c r="I60" s="64">
        <v>1.56</v>
      </c>
      <c r="J60" s="64">
        <v>1.91</v>
      </c>
      <c r="K60" s="64">
        <v>343.59</v>
      </c>
      <c r="L60" s="64">
        <v>28.14</v>
      </c>
      <c r="M60" s="64">
        <v>20</v>
      </c>
      <c r="N60" s="64">
        <v>816.2</v>
      </c>
      <c r="O60" s="64">
        <v>0</v>
      </c>
      <c r="P60" s="64">
        <v>0.51</v>
      </c>
      <c r="Q60" s="64">
        <v>9.06</v>
      </c>
      <c r="R60" s="198"/>
      <c r="S60" s="198"/>
      <c r="T60" s="198"/>
      <c r="U60" s="198"/>
    </row>
    <row r="61" spans="1:21" s="12" customFormat="1" x14ac:dyDescent="0.25">
      <c r="A61" s="213" t="s">
        <v>971</v>
      </c>
      <c r="B61" s="64">
        <v>4.6500000000000004</v>
      </c>
      <c r="C61" s="64">
        <v>68.39</v>
      </c>
      <c r="D61" s="64">
        <v>42.12</v>
      </c>
      <c r="E61" s="64">
        <v>0.36</v>
      </c>
      <c r="F61" s="64">
        <v>4.54</v>
      </c>
      <c r="G61" s="64">
        <v>74.31</v>
      </c>
      <c r="H61" s="64">
        <v>22.52</v>
      </c>
      <c r="I61" s="64">
        <v>1.47</v>
      </c>
      <c r="J61" s="64">
        <v>1.83</v>
      </c>
      <c r="K61" s="64">
        <v>339.77</v>
      </c>
      <c r="L61" s="64">
        <v>28.12</v>
      </c>
      <c r="M61" s="64">
        <v>20.55</v>
      </c>
      <c r="N61" s="64">
        <v>797.6</v>
      </c>
      <c r="O61" s="64">
        <v>0</v>
      </c>
      <c r="P61" s="64">
        <v>0.47</v>
      </c>
      <c r="Q61" s="64">
        <v>8.7100000000000009</v>
      </c>
      <c r="R61" s="198"/>
      <c r="S61" s="198"/>
      <c r="T61" s="198"/>
      <c r="U61" s="198"/>
    </row>
    <row r="62" spans="1:21" s="12" customFormat="1" x14ac:dyDescent="0.25">
      <c r="A62" s="213" t="s">
        <v>972</v>
      </c>
      <c r="B62" s="64">
        <v>4.8600000000000003</v>
      </c>
      <c r="C62" s="64">
        <v>67.2</v>
      </c>
      <c r="D62" s="64">
        <v>41.63</v>
      </c>
      <c r="E62" s="64">
        <v>0.33</v>
      </c>
      <c r="F62" s="64">
        <v>4.2699999999999996</v>
      </c>
      <c r="G62" s="64">
        <v>74.31</v>
      </c>
      <c r="H62" s="64">
        <v>22.52</v>
      </c>
      <c r="I62" s="64">
        <v>1.43</v>
      </c>
      <c r="J62" s="64">
        <v>1.61</v>
      </c>
      <c r="K62" s="64">
        <v>335.37</v>
      </c>
      <c r="L62" s="64">
        <v>28.41</v>
      </c>
      <c r="M62" s="64">
        <v>20.18</v>
      </c>
      <c r="N62" s="64">
        <v>766.3</v>
      </c>
      <c r="O62" s="64">
        <v>0</v>
      </c>
      <c r="P62" s="64">
        <v>0.49</v>
      </c>
      <c r="Q62" s="64">
        <v>8.3699999999999992</v>
      </c>
      <c r="R62" s="198"/>
      <c r="S62" s="198"/>
      <c r="T62" s="198"/>
      <c r="U62" s="198"/>
    </row>
    <row r="63" spans="1:21" s="12" customFormat="1" x14ac:dyDescent="0.25">
      <c r="A63" s="213" t="s">
        <v>973</v>
      </c>
      <c r="B63" s="64">
        <v>5.22</v>
      </c>
      <c r="C63" s="64">
        <v>65.84</v>
      </c>
      <c r="D63" s="64">
        <v>41.16</v>
      </c>
      <c r="E63" s="64">
        <v>0.43</v>
      </c>
      <c r="F63" s="64">
        <v>4.17</v>
      </c>
      <c r="G63" s="64">
        <v>55.5</v>
      </c>
      <c r="H63" s="64">
        <v>23.96</v>
      </c>
      <c r="I63" s="64">
        <v>1.54</v>
      </c>
      <c r="J63" s="64">
        <v>1.68</v>
      </c>
      <c r="K63" s="64">
        <v>338.98</v>
      </c>
      <c r="L63" s="64">
        <v>28.01</v>
      </c>
      <c r="M63" s="64">
        <v>20.45</v>
      </c>
      <c r="N63" s="64">
        <v>749.4</v>
      </c>
      <c r="O63" s="64">
        <v>0</v>
      </c>
      <c r="P63" s="64">
        <v>0.49</v>
      </c>
      <c r="Q63" s="64">
        <v>8.08</v>
      </c>
      <c r="R63" s="198"/>
      <c r="S63" s="198"/>
      <c r="T63" s="198"/>
      <c r="U63" s="198"/>
    </row>
    <row r="64" spans="1:21" s="12" customFormat="1" x14ac:dyDescent="0.25">
      <c r="A64" s="213" t="s">
        <v>974</v>
      </c>
      <c r="B64" s="64">
        <v>5.49</v>
      </c>
      <c r="C64" s="64">
        <v>64.959999999999994</v>
      </c>
      <c r="D64" s="64">
        <v>40.9</v>
      </c>
      <c r="E64" s="64">
        <v>0.34</v>
      </c>
      <c r="F64" s="64">
        <v>3.95</v>
      </c>
      <c r="G64" s="64">
        <v>50.46</v>
      </c>
      <c r="H64" s="64">
        <v>23.96</v>
      </c>
      <c r="I64" s="64">
        <v>1.49</v>
      </c>
      <c r="J64" s="64">
        <v>1.48</v>
      </c>
      <c r="K64" s="64">
        <v>341.28</v>
      </c>
      <c r="L64" s="64">
        <v>28.09</v>
      </c>
      <c r="M64" s="64">
        <v>21.38</v>
      </c>
      <c r="N64" s="64">
        <v>688.1</v>
      </c>
      <c r="O64" s="64">
        <v>0</v>
      </c>
      <c r="P64" s="64">
        <v>0.48</v>
      </c>
      <c r="Q64" s="64">
        <v>7.9</v>
      </c>
      <c r="R64" s="198"/>
      <c r="S64" s="198"/>
      <c r="T64" s="198"/>
      <c r="U64" s="198"/>
    </row>
    <row r="65" spans="1:21" s="12" customFormat="1" x14ac:dyDescent="0.25">
      <c r="A65" s="213" t="s">
        <v>975</v>
      </c>
      <c r="B65" s="64">
        <v>5.88</v>
      </c>
      <c r="C65" s="64">
        <v>64.62</v>
      </c>
      <c r="D65" s="64">
        <v>41.02</v>
      </c>
      <c r="E65" s="64">
        <v>0.38</v>
      </c>
      <c r="F65" s="64">
        <v>4.6500000000000004</v>
      </c>
      <c r="G65" s="64">
        <v>50.46</v>
      </c>
      <c r="H65" s="64">
        <v>23.96</v>
      </c>
      <c r="I65" s="64">
        <v>1.55</v>
      </c>
      <c r="J65" s="64">
        <v>1.25</v>
      </c>
      <c r="K65" s="64">
        <v>337.28</v>
      </c>
      <c r="L65" s="64">
        <v>27.98</v>
      </c>
      <c r="M65" s="64">
        <v>21.38</v>
      </c>
      <c r="N65" s="64">
        <v>644.29999999999995</v>
      </c>
      <c r="O65" s="64">
        <v>0</v>
      </c>
      <c r="P65" s="64">
        <v>0.47</v>
      </c>
      <c r="Q65" s="64">
        <v>7.68</v>
      </c>
      <c r="R65" s="198"/>
      <c r="S65" s="198"/>
      <c r="T65" s="198"/>
      <c r="U65" s="198"/>
    </row>
    <row r="66" spans="1:21" s="12" customFormat="1" x14ac:dyDescent="0.25">
      <c r="A66" s="213" t="s">
        <v>976</v>
      </c>
      <c r="B66" s="64">
        <v>5.74</v>
      </c>
      <c r="C66" s="64">
        <v>65.28</v>
      </c>
      <c r="D66" s="64">
        <v>41.28</v>
      </c>
      <c r="E66" s="64">
        <v>0.26</v>
      </c>
      <c r="F66" s="64">
        <v>4.54</v>
      </c>
      <c r="G66" s="64">
        <v>50.46</v>
      </c>
      <c r="H66" s="64">
        <v>23.96</v>
      </c>
      <c r="I66" s="64">
        <v>1.56</v>
      </c>
      <c r="J66" s="64">
        <v>1.1499999999999999</v>
      </c>
      <c r="K66" s="64">
        <v>345.8</v>
      </c>
      <c r="L66" s="64">
        <v>27.57</v>
      </c>
      <c r="M66" s="64">
        <v>21.58</v>
      </c>
      <c r="N66" s="64">
        <v>575</v>
      </c>
      <c r="O66" s="64">
        <v>0</v>
      </c>
      <c r="P66" s="64">
        <v>0.48</v>
      </c>
      <c r="Q66" s="64">
        <v>7.54</v>
      </c>
      <c r="R66" s="198"/>
      <c r="S66" s="198"/>
      <c r="T66" s="198"/>
      <c r="U66" s="198"/>
    </row>
    <row r="67" spans="1:21" s="12" customFormat="1" x14ac:dyDescent="0.25">
      <c r="A67" s="213" t="s">
        <v>977</v>
      </c>
      <c r="B67" s="64">
        <v>6.23</v>
      </c>
      <c r="C67" s="64">
        <v>65.27</v>
      </c>
      <c r="D67" s="64">
        <v>41.66</v>
      </c>
      <c r="E67" s="64">
        <v>0.26</v>
      </c>
      <c r="F67" s="64">
        <v>4</v>
      </c>
      <c r="G67" s="64">
        <v>66.23</v>
      </c>
      <c r="H67" s="64">
        <v>21.67</v>
      </c>
      <c r="I67" s="64">
        <v>1.48</v>
      </c>
      <c r="J67" s="64">
        <v>1.47</v>
      </c>
      <c r="K67" s="64">
        <v>328.83</v>
      </c>
      <c r="L67" s="64">
        <v>27.12</v>
      </c>
      <c r="M67" s="64">
        <v>22.63</v>
      </c>
      <c r="N67" s="64">
        <v>428.4</v>
      </c>
      <c r="O67" s="64">
        <v>0</v>
      </c>
      <c r="P67" s="64">
        <v>0.48</v>
      </c>
      <c r="Q67" s="64">
        <v>7.47</v>
      </c>
      <c r="R67" s="198"/>
      <c r="S67" s="198"/>
      <c r="T67" s="198"/>
      <c r="U67" s="198"/>
    </row>
    <row r="68" spans="1:21" s="12" customFormat="1" x14ac:dyDescent="0.25">
      <c r="A68" s="213" t="s">
        <v>978</v>
      </c>
      <c r="B68" s="64">
        <v>5.82</v>
      </c>
      <c r="C68" s="64">
        <v>64.2</v>
      </c>
      <c r="D68" s="64">
        <v>40.74</v>
      </c>
      <c r="E68" s="64">
        <v>0.27</v>
      </c>
      <c r="F68" s="64">
        <v>4.59</v>
      </c>
      <c r="G68" s="64">
        <v>70.44</v>
      </c>
      <c r="H68" s="64">
        <v>21.67</v>
      </c>
      <c r="I68" s="64">
        <v>1.48</v>
      </c>
      <c r="J68" s="64">
        <v>1.19</v>
      </c>
      <c r="K68" s="64">
        <v>342.67</v>
      </c>
      <c r="L68" s="64">
        <v>26.67</v>
      </c>
      <c r="M68" s="64">
        <v>23.14</v>
      </c>
      <c r="N68" s="64">
        <v>331.3</v>
      </c>
      <c r="O68" s="64">
        <v>0</v>
      </c>
      <c r="P68" s="64">
        <v>0.47</v>
      </c>
      <c r="Q68" s="64">
        <v>7.35</v>
      </c>
      <c r="R68" s="198"/>
      <c r="S68" s="198"/>
      <c r="T68" s="198"/>
      <c r="U68" s="198"/>
    </row>
    <row r="69" spans="1:21" s="12" customFormat="1" x14ac:dyDescent="0.25">
      <c r="A69" s="213" t="s">
        <v>979</v>
      </c>
      <c r="B69" s="64">
        <v>5.21</v>
      </c>
      <c r="C69" s="64">
        <v>63.2</v>
      </c>
      <c r="D69" s="64">
        <v>39.71</v>
      </c>
      <c r="E69" s="64">
        <v>0.23</v>
      </c>
      <c r="F69" s="64">
        <v>4.68</v>
      </c>
      <c r="G69" s="64">
        <v>70.44</v>
      </c>
      <c r="H69" s="64">
        <v>21.67</v>
      </c>
      <c r="I69" s="64">
        <v>1.54</v>
      </c>
      <c r="J69" s="64">
        <v>1.17</v>
      </c>
      <c r="K69" s="64">
        <v>333.02</v>
      </c>
      <c r="L69" s="64">
        <v>25.96</v>
      </c>
      <c r="M69" s="64">
        <v>24.09</v>
      </c>
      <c r="N69" s="64">
        <v>287.2</v>
      </c>
      <c r="O69" s="64">
        <v>0</v>
      </c>
      <c r="P69" s="64">
        <v>0.46</v>
      </c>
      <c r="Q69" s="64">
        <v>7.22</v>
      </c>
      <c r="R69" s="198"/>
      <c r="S69" s="198"/>
      <c r="T69" s="198"/>
      <c r="U69" s="198"/>
    </row>
    <row r="70" spans="1:21" s="12" customFormat="1" x14ac:dyDescent="0.25">
      <c r="A70" s="213" t="s">
        <v>980</v>
      </c>
      <c r="B70" s="64">
        <v>4.3600000000000003</v>
      </c>
      <c r="C70" s="64">
        <v>62.09</v>
      </c>
      <c r="D70" s="64">
        <v>38.409999999999997</v>
      </c>
      <c r="E70" s="64">
        <v>0.26</v>
      </c>
      <c r="F70" s="64">
        <v>5.85</v>
      </c>
      <c r="G70" s="64">
        <v>70.44</v>
      </c>
      <c r="H70" s="64">
        <v>21.67</v>
      </c>
      <c r="I70" s="64">
        <v>1.61</v>
      </c>
      <c r="J70" s="64">
        <v>0.89</v>
      </c>
      <c r="K70" s="64">
        <v>338.47</v>
      </c>
      <c r="L70" s="64">
        <v>25.88</v>
      </c>
      <c r="M70" s="64">
        <v>24.06</v>
      </c>
      <c r="N70" s="64">
        <v>248.3</v>
      </c>
      <c r="O70" s="64">
        <v>0</v>
      </c>
      <c r="P70" s="64">
        <v>0.44</v>
      </c>
      <c r="Q70" s="64">
        <v>7.04</v>
      </c>
      <c r="R70" s="198"/>
      <c r="S70" s="198"/>
      <c r="T70" s="198"/>
      <c r="U70" s="198"/>
    </row>
    <row r="71" spans="1:21" s="12" customFormat="1" x14ac:dyDescent="0.25">
      <c r="A71" s="213" t="s">
        <v>981</v>
      </c>
      <c r="B71" s="64">
        <v>4.05</v>
      </c>
      <c r="C71" s="64">
        <v>62.72</v>
      </c>
      <c r="D71" s="64">
        <v>38.51</v>
      </c>
      <c r="E71" s="64">
        <v>0.28999999999999998</v>
      </c>
      <c r="F71" s="64">
        <v>4.63</v>
      </c>
      <c r="G71" s="64">
        <v>61.76</v>
      </c>
      <c r="H71" s="64">
        <v>18.940000000000001</v>
      </c>
      <c r="I71" s="64">
        <v>1.47</v>
      </c>
      <c r="J71" s="64">
        <v>0.96</v>
      </c>
      <c r="K71" s="64">
        <v>340.63</v>
      </c>
      <c r="L71" s="64">
        <v>24.97</v>
      </c>
      <c r="M71" s="64">
        <v>25.59</v>
      </c>
      <c r="N71" s="64">
        <v>192.4</v>
      </c>
      <c r="O71" s="64">
        <v>0</v>
      </c>
      <c r="P71" s="64">
        <v>0.45</v>
      </c>
      <c r="Q71" s="64">
        <v>6.92</v>
      </c>
      <c r="R71" s="198"/>
      <c r="S71" s="198"/>
      <c r="T71" s="198"/>
      <c r="U71" s="198"/>
    </row>
    <row r="72" spans="1:21" s="12" customFormat="1" x14ac:dyDescent="0.25">
      <c r="A72" s="213" t="s">
        <v>982</v>
      </c>
      <c r="B72" s="64">
        <v>4.3499999999999996</v>
      </c>
      <c r="C72" s="64">
        <v>62.18</v>
      </c>
      <c r="D72" s="64">
        <v>38.450000000000003</v>
      </c>
      <c r="E72" s="64">
        <v>0.02</v>
      </c>
      <c r="F72" s="64">
        <v>4.71</v>
      </c>
      <c r="G72" s="64">
        <v>59.44</v>
      </c>
      <c r="H72" s="64">
        <v>18.940000000000001</v>
      </c>
      <c r="I72" s="64">
        <v>1.45</v>
      </c>
      <c r="J72" s="64">
        <v>1.1299999999999999</v>
      </c>
      <c r="K72" s="64">
        <v>344.96</v>
      </c>
      <c r="L72" s="64">
        <v>24.19</v>
      </c>
      <c r="M72" s="64">
        <v>26.31</v>
      </c>
      <c r="N72" s="64">
        <v>178.6</v>
      </c>
      <c r="O72" s="64">
        <v>0</v>
      </c>
      <c r="P72" s="64">
        <v>0.44</v>
      </c>
      <c r="Q72" s="64">
        <v>6.92</v>
      </c>
      <c r="R72" s="198"/>
      <c r="S72" s="198"/>
      <c r="T72" s="198"/>
      <c r="U72" s="198"/>
    </row>
    <row r="73" spans="1:21" s="12" customFormat="1" x14ac:dyDescent="0.25">
      <c r="A73" s="213" t="s">
        <v>983</v>
      </c>
      <c r="B73" s="64">
        <v>3.79</v>
      </c>
      <c r="C73" s="64">
        <v>61.83</v>
      </c>
      <c r="D73" s="64">
        <v>37.81</v>
      </c>
      <c r="E73" s="64">
        <v>0.06</v>
      </c>
      <c r="F73" s="64">
        <v>5</v>
      </c>
      <c r="G73" s="64">
        <v>59.44</v>
      </c>
      <c r="H73" s="64">
        <v>18.940000000000001</v>
      </c>
      <c r="I73" s="64">
        <v>1.53</v>
      </c>
      <c r="J73" s="64">
        <v>0.69</v>
      </c>
      <c r="K73" s="64">
        <v>335.54</v>
      </c>
      <c r="L73" s="64">
        <v>23.87</v>
      </c>
      <c r="M73" s="64">
        <v>27.51</v>
      </c>
      <c r="N73" s="64">
        <v>135.19999999999999</v>
      </c>
      <c r="O73" s="64">
        <v>0</v>
      </c>
      <c r="P73" s="64">
        <v>0.44</v>
      </c>
      <c r="Q73" s="64">
        <v>6.83</v>
      </c>
      <c r="R73" s="198"/>
      <c r="S73" s="198"/>
      <c r="T73" s="198"/>
      <c r="U73" s="198"/>
    </row>
    <row r="74" spans="1:21" s="12" customFormat="1" x14ac:dyDescent="0.25">
      <c r="A74" s="213" t="s">
        <v>984</v>
      </c>
      <c r="B74" s="64">
        <v>4.04</v>
      </c>
      <c r="C74" s="64">
        <v>61.48</v>
      </c>
      <c r="D74" s="64">
        <v>37.82</v>
      </c>
      <c r="E74" s="64">
        <v>0</v>
      </c>
      <c r="F74" s="64">
        <v>4.45</v>
      </c>
      <c r="G74" s="64">
        <v>59.44</v>
      </c>
      <c r="H74" s="64">
        <v>18.940000000000001</v>
      </c>
      <c r="I74" s="64">
        <v>1.49</v>
      </c>
      <c r="J74" s="64">
        <v>0.73</v>
      </c>
      <c r="K74" s="64">
        <v>334.45</v>
      </c>
      <c r="L74" s="64">
        <v>23.58</v>
      </c>
      <c r="M74" s="64">
        <v>28.49</v>
      </c>
      <c r="N74" s="64">
        <v>122.5</v>
      </c>
      <c r="O74" s="64">
        <v>0</v>
      </c>
      <c r="P74" s="64">
        <v>0.45</v>
      </c>
      <c r="Q74" s="64">
        <v>6.77</v>
      </c>
      <c r="R74" s="198"/>
      <c r="S74" s="198"/>
      <c r="T74" s="198"/>
      <c r="U74" s="198"/>
    </row>
    <row r="75" spans="1:21" s="12" customFormat="1" x14ac:dyDescent="0.25">
      <c r="A75" s="213" t="s">
        <v>985</v>
      </c>
      <c r="B75" s="64">
        <v>5</v>
      </c>
      <c r="C75" s="64">
        <v>62.13</v>
      </c>
      <c r="D75" s="64">
        <v>38.94</v>
      </c>
      <c r="E75" s="64">
        <v>0.14000000000000001</v>
      </c>
      <c r="F75" s="64">
        <v>4.1900000000000004</v>
      </c>
      <c r="G75" s="64">
        <v>33.89</v>
      </c>
      <c r="H75" s="64">
        <v>15.93</v>
      </c>
      <c r="I75" s="64">
        <v>1.56</v>
      </c>
      <c r="J75" s="64">
        <v>0.77</v>
      </c>
      <c r="K75" s="64">
        <v>330.68</v>
      </c>
      <c r="L75" s="64">
        <v>23.26</v>
      </c>
      <c r="M75" s="64">
        <v>29.3</v>
      </c>
      <c r="N75" s="64">
        <v>109.9</v>
      </c>
      <c r="O75" s="64">
        <v>0</v>
      </c>
      <c r="P75" s="64">
        <v>0.47</v>
      </c>
      <c r="Q75" s="64">
        <v>6.75</v>
      </c>
      <c r="R75" s="198"/>
      <c r="S75" s="198"/>
      <c r="T75" s="198"/>
      <c r="U75" s="198"/>
    </row>
    <row r="76" spans="1:21" s="12" customFormat="1" x14ac:dyDescent="0.25">
      <c r="A76" s="213" t="s">
        <v>986</v>
      </c>
      <c r="B76" s="64">
        <v>5.45</v>
      </c>
      <c r="C76" s="64">
        <v>62.16</v>
      </c>
      <c r="D76" s="64">
        <v>39.32</v>
      </c>
      <c r="E76" s="64">
        <v>0.19</v>
      </c>
      <c r="F76" s="64">
        <v>3.74</v>
      </c>
      <c r="G76" s="64">
        <v>27.05</v>
      </c>
      <c r="H76" s="64">
        <v>15.93</v>
      </c>
      <c r="I76" s="64">
        <v>1.54</v>
      </c>
      <c r="J76" s="64">
        <v>0.8</v>
      </c>
      <c r="K76" s="64">
        <v>344.3</v>
      </c>
      <c r="L76" s="64">
        <v>22.93</v>
      </c>
      <c r="M76" s="64">
        <v>30.35</v>
      </c>
      <c r="N76" s="64">
        <v>99.2</v>
      </c>
      <c r="O76" s="64">
        <v>0</v>
      </c>
      <c r="P76" s="64">
        <v>0.48</v>
      </c>
      <c r="Q76" s="64">
        <v>6.82</v>
      </c>
      <c r="R76" s="198"/>
      <c r="S76" s="198"/>
      <c r="T76" s="198"/>
      <c r="U76" s="198"/>
    </row>
    <row r="77" spans="1:21" s="12" customFormat="1" x14ac:dyDescent="0.25">
      <c r="A77" s="213" t="s">
        <v>987</v>
      </c>
      <c r="B77" s="64">
        <v>6.39</v>
      </c>
      <c r="C77" s="64">
        <v>62.57</v>
      </c>
      <c r="D77" s="64">
        <v>40.299999999999997</v>
      </c>
      <c r="E77" s="64">
        <v>0.19</v>
      </c>
      <c r="F77" s="64">
        <v>3.71</v>
      </c>
      <c r="G77" s="64">
        <v>27.05</v>
      </c>
      <c r="H77" s="64">
        <v>15.93</v>
      </c>
      <c r="I77" s="64">
        <v>1.51</v>
      </c>
      <c r="J77" s="64">
        <v>0.59</v>
      </c>
      <c r="K77" s="64">
        <v>333.8</v>
      </c>
      <c r="L77" s="64">
        <v>22.6</v>
      </c>
      <c r="M77" s="64">
        <v>31.86</v>
      </c>
      <c r="N77" s="64">
        <v>88.3</v>
      </c>
      <c r="O77" s="64">
        <v>0</v>
      </c>
      <c r="P77" s="64">
        <v>0.5</v>
      </c>
      <c r="Q77" s="64">
        <v>6.87</v>
      </c>
      <c r="R77" s="198"/>
      <c r="S77" s="198"/>
      <c r="T77" s="198"/>
      <c r="U77" s="198"/>
    </row>
    <row r="78" spans="1:21" s="12" customFormat="1" x14ac:dyDescent="0.25">
      <c r="A78" s="213" t="s">
        <v>988</v>
      </c>
      <c r="B78" s="64">
        <v>7.3</v>
      </c>
      <c r="C78" s="64">
        <v>64.2</v>
      </c>
      <c r="D78" s="64">
        <v>41.94</v>
      </c>
      <c r="E78" s="64">
        <v>0.17</v>
      </c>
      <c r="F78" s="64">
        <v>3.67</v>
      </c>
      <c r="G78" s="64">
        <v>27.05</v>
      </c>
      <c r="H78" s="64">
        <v>15.93</v>
      </c>
      <c r="I78" s="64">
        <v>1.49</v>
      </c>
      <c r="J78" s="64">
        <v>0.55000000000000004</v>
      </c>
      <c r="K78" s="64">
        <v>341.15</v>
      </c>
      <c r="L78" s="64">
        <v>22.09</v>
      </c>
      <c r="M78" s="64">
        <v>32.44</v>
      </c>
      <c r="N78" s="64">
        <v>76.400000000000006</v>
      </c>
      <c r="O78" s="64">
        <v>0</v>
      </c>
      <c r="P78" s="64">
        <v>0.52</v>
      </c>
      <c r="Q78" s="64">
        <v>6.96</v>
      </c>
      <c r="R78" s="198"/>
      <c r="S78" s="198"/>
      <c r="T78" s="198"/>
      <c r="U78" s="198"/>
    </row>
    <row r="79" spans="1:21" s="12" customFormat="1" x14ac:dyDescent="0.25">
      <c r="A79" s="213" t="s">
        <v>989</v>
      </c>
      <c r="B79" s="64">
        <v>8.09</v>
      </c>
      <c r="C79" s="64">
        <v>65.150000000000006</v>
      </c>
      <c r="D79" s="64">
        <v>43.09</v>
      </c>
      <c r="E79" s="64">
        <v>0.19</v>
      </c>
      <c r="F79" s="64">
        <v>3.44</v>
      </c>
      <c r="G79" s="64">
        <v>37.93</v>
      </c>
      <c r="H79" s="64">
        <v>15.61</v>
      </c>
      <c r="I79" s="64">
        <v>1.46</v>
      </c>
      <c r="J79" s="64">
        <v>0.08</v>
      </c>
      <c r="K79" s="64">
        <v>298.60000000000002</v>
      </c>
      <c r="L79" s="64">
        <v>21.1</v>
      </c>
      <c r="M79" s="64">
        <v>43.5</v>
      </c>
      <c r="N79" s="64">
        <v>66.3</v>
      </c>
      <c r="O79" s="64">
        <v>0</v>
      </c>
      <c r="P79" s="64">
        <v>0.55000000000000004</v>
      </c>
      <c r="Q79" s="64">
        <v>7.05</v>
      </c>
      <c r="R79" s="198"/>
      <c r="S79" s="198"/>
      <c r="T79" s="198"/>
      <c r="U79" s="198"/>
    </row>
    <row r="80" spans="1:21" s="12" customFormat="1" x14ac:dyDescent="0.25">
      <c r="A80" s="213" t="s">
        <v>990</v>
      </c>
      <c r="B80" s="64">
        <v>8.92</v>
      </c>
      <c r="C80" s="64">
        <v>64.77</v>
      </c>
      <c r="D80" s="64">
        <v>43.55</v>
      </c>
      <c r="E80" s="64">
        <v>0.16</v>
      </c>
      <c r="F80" s="64">
        <v>3.42</v>
      </c>
      <c r="G80" s="64">
        <v>40.85</v>
      </c>
      <c r="H80" s="64">
        <v>15.61</v>
      </c>
      <c r="I80" s="64">
        <v>1.58</v>
      </c>
      <c r="J80" s="64">
        <v>0.11</v>
      </c>
      <c r="K80" s="64">
        <v>48.11</v>
      </c>
      <c r="L80" s="64">
        <v>20.37</v>
      </c>
      <c r="M80" s="64">
        <v>46.61</v>
      </c>
      <c r="N80" s="64">
        <v>60.4</v>
      </c>
      <c r="O80" s="64">
        <v>0</v>
      </c>
      <c r="P80" s="64">
        <v>0.59</v>
      </c>
      <c r="Q80" s="64">
        <v>7.15</v>
      </c>
      <c r="R80" s="198"/>
      <c r="S80" s="198"/>
      <c r="T80" s="198"/>
      <c r="U80" s="198"/>
    </row>
    <row r="81" spans="1:26" s="12" customFormat="1" x14ac:dyDescent="0.25">
      <c r="A81" s="213" t="s">
        <v>991</v>
      </c>
      <c r="B81" s="64">
        <v>10.039999999999999</v>
      </c>
      <c r="C81" s="64">
        <v>64.650000000000006</v>
      </c>
      <c r="D81" s="64">
        <v>44.38</v>
      </c>
      <c r="E81" s="64">
        <v>0.24</v>
      </c>
      <c r="F81" s="64">
        <v>3.2</v>
      </c>
      <c r="G81" s="64">
        <v>40.85</v>
      </c>
      <c r="H81" s="64">
        <v>15.61</v>
      </c>
      <c r="I81" s="64">
        <v>1.44</v>
      </c>
      <c r="J81" s="64">
        <v>7.0000000000000007E-2</v>
      </c>
      <c r="K81" s="64">
        <v>331.9</v>
      </c>
      <c r="L81" s="64">
        <v>19.940000000000001</v>
      </c>
      <c r="M81" s="64">
        <v>50.98</v>
      </c>
      <c r="N81" s="64">
        <v>59</v>
      </c>
      <c r="O81" s="64">
        <v>0</v>
      </c>
      <c r="P81" s="64">
        <v>0.59</v>
      </c>
      <c r="Q81" s="64">
        <v>7.22</v>
      </c>
      <c r="R81" s="198"/>
      <c r="S81" s="198"/>
      <c r="T81" s="198"/>
      <c r="U81" s="198"/>
    </row>
    <row r="82" spans="1:26" s="12" customFormat="1" x14ac:dyDescent="0.25">
      <c r="A82" s="213" t="s">
        <v>992</v>
      </c>
      <c r="B82" s="64">
        <v>12.07</v>
      </c>
      <c r="C82" s="64">
        <v>64.83</v>
      </c>
      <c r="D82" s="64">
        <v>46.11</v>
      </c>
      <c r="E82" s="64">
        <v>0.19</v>
      </c>
      <c r="F82" s="64">
        <v>3.13</v>
      </c>
      <c r="G82" s="64">
        <v>40.85</v>
      </c>
      <c r="H82" s="64">
        <v>15.61</v>
      </c>
      <c r="I82" s="64">
        <v>1.5</v>
      </c>
      <c r="J82" s="64">
        <v>0.04</v>
      </c>
      <c r="K82" s="64">
        <v>10.69</v>
      </c>
      <c r="L82" s="64">
        <v>19.489999999999998</v>
      </c>
      <c r="M82" s="64">
        <v>51.49</v>
      </c>
      <c r="N82" s="64">
        <v>58.6</v>
      </c>
      <c r="O82" s="64">
        <v>0</v>
      </c>
      <c r="P82" s="64">
        <v>0.64</v>
      </c>
      <c r="Q82" s="64">
        <v>7.33</v>
      </c>
      <c r="R82" s="198"/>
      <c r="S82" s="198"/>
      <c r="T82" s="198"/>
      <c r="U82" s="198"/>
    </row>
    <row r="83" spans="1:26" s="12" customFormat="1" x14ac:dyDescent="0.25">
      <c r="A83" s="213" t="s">
        <v>993</v>
      </c>
      <c r="B83" s="64">
        <v>14.85</v>
      </c>
      <c r="C83" s="64">
        <v>65.010000000000005</v>
      </c>
      <c r="D83" s="64">
        <v>48.43</v>
      </c>
      <c r="E83" s="64">
        <v>0.19</v>
      </c>
      <c r="F83" s="64">
        <v>3.34</v>
      </c>
      <c r="G83" s="64">
        <v>63.2</v>
      </c>
      <c r="H83" s="64">
        <v>16.559999999999999</v>
      </c>
      <c r="I83" s="64">
        <v>1.51</v>
      </c>
      <c r="J83" s="64">
        <v>0.06</v>
      </c>
      <c r="K83" s="64">
        <v>89.4</v>
      </c>
      <c r="L83" s="64">
        <v>19.22</v>
      </c>
      <c r="M83" s="64">
        <v>44.36</v>
      </c>
      <c r="N83" s="64">
        <v>58.6</v>
      </c>
      <c r="O83" s="64">
        <v>0</v>
      </c>
      <c r="P83" s="64">
        <v>0.62</v>
      </c>
      <c r="Q83" s="64">
        <v>7.45</v>
      </c>
      <c r="R83" s="198"/>
      <c r="S83" s="198"/>
      <c r="T83" s="198"/>
      <c r="U83" s="198"/>
    </row>
    <row r="84" spans="1:26" s="12" customFormat="1" x14ac:dyDescent="0.25">
      <c r="A84" s="213" t="s">
        <v>994</v>
      </c>
      <c r="B84" s="64">
        <v>19.559999999999999</v>
      </c>
      <c r="C84" s="64">
        <v>65.47</v>
      </c>
      <c r="D84" s="64">
        <v>52.47</v>
      </c>
      <c r="E84" s="64">
        <v>0.17</v>
      </c>
      <c r="F84" s="64">
        <v>3.16</v>
      </c>
      <c r="G84" s="64">
        <v>69.180000000000007</v>
      </c>
      <c r="H84" s="64">
        <v>16.559999999999999</v>
      </c>
      <c r="I84" s="64">
        <v>1.57</v>
      </c>
      <c r="J84" s="64">
        <v>7.0000000000000007E-2</v>
      </c>
      <c r="K84" s="64">
        <v>329.73</v>
      </c>
      <c r="L84" s="64">
        <v>18.98</v>
      </c>
      <c r="M84" s="64">
        <v>50.6</v>
      </c>
      <c r="N84" s="64">
        <v>58.6</v>
      </c>
      <c r="O84" s="64">
        <v>0</v>
      </c>
      <c r="P84" s="64">
        <v>0.77</v>
      </c>
      <c r="Q84" s="64">
        <v>7.68</v>
      </c>
      <c r="R84" s="198"/>
      <c r="S84" s="198"/>
      <c r="T84" s="198"/>
      <c r="U84" s="198"/>
    </row>
    <row r="85" spans="1:26" s="12" customFormat="1" x14ac:dyDescent="0.25">
      <c r="A85" s="213" t="s">
        <v>995</v>
      </c>
      <c r="B85" s="64">
        <v>25.96</v>
      </c>
      <c r="C85" s="64">
        <v>65.88</v>
      </c>
      <c r="D85" s="64">
        <v>57.82</v>
      </c>
      <c r="E85" s="64">
        <v>0.26</v>
      </c>
      <c r="F85" s="64">
        <v>3.06</v>
      </c>
      <c r="G85" s="64">
        <v>69.180000000000007</v>
      </c>
      <c r="H85" s="64">
        <v>16.559999999999999</v>
      </c>
      <c r="I85" s="64">
        <v>1.49</v>
      </c>
      <c r="J85" s="64">
        <v>0.02</v>
      </c>
      <c r="K85" s="64">
        <v>234.43</v>
      </c>
      <c r="L85" s="64">
        <v>18.64</v>
      </c>
      <c r="M85" s="64">
        <v>48.51</v>
      </c>
      <c r="N85" s="64">
        <v>58.5</v>
      </c>
      <c r="O85" s="64">
        <v>0</v>
      </c>
      <c r="P85" s="64">
        <v>0.72</v>
      </c>
      <c r="Q85" s="64">
        <v>8.09</v>
      </c>
      <c r="R85" s="198"/>
      <c r="S85" s="198"/>
      <c r="T85" s="198"/>
      <c r="U85" s="198"/>
    </row>
    <row r="86" spans="1:26" s="12" customFormat="1" x14ac:dyDescent="0.25">
      <c r="A86" s="213" t="s">
        <v>996</v>
      </c>
      <c r="B86" s="64">
        <v>32.11</v>
      </c>
      <c r="C86" s="64">
        <v>66.209999999999994</v>
      </c>
      <c r="D86" s="64">
        <v>62.93</v>
      </c>
      <c r="E86" s="64">
        <v>0.28999999999999998</v>
      </c>
      <c r="F86" s="64">
        <v>3.09</v>
      </c>
      <c r="G86" s="64">
        <v>69.180000000000007</v>
      </c>
      <c r="H86" s="64">
        <v>16.559999999999999</v>
      </c>
      <c r="I86" s="64">
        <v>1.51</v>
      </c>
      <c r="J86" s="64">
        <v>0.05</v>
      </c>
      <c r="K86" s="64">
        <v>6.27</v>
      </c>
      <c r="L86" s="64">
        <v>18.420000000000002</v>
      </c>
      <c r="M86" s="64">
        <v>49.75</v>
      </c>
      <c r="N86" s="64">
        <v>58.6</v>
      </c>
      <c r="O86" s="64">
        <v>0</v>
      </c>
      <c r="P86" s="64">
        <v>0.81</v>
      </c>
      <c r="Q86" s="64">
        <v>8.52</v>
      </c>
      <c r="R86" s="198"/>
      <c r="S86" s="198"/>
      <c r="T86" s="198"/>
      <c r="U86" s="198"/>
    </row>
    <row r="87" spans="1:26" s="12" customFormat="1" x14ac:dyDescent="0.25">
      <c r="A87" s="213" t="s">
        <v>997</v>
      </c>
      <c r="B87" s="64">
        <v>37.299999999999997</v>
      </c>
      <c r="C87" s="64">
        <v>66.489999999999995</v>
      </c>
      <c r="D87" s="64">
        <v>67.25</v>
      </c>
      <c r="E87" s="64">
        <v>0.27</v>
      </c>
      <c r="F87" s="64">
        <v>2.91</v>
      </c>
      <c r="G87" s="64">
        <v>89.62</v>
      </c>
      <c r="H87" s="64">
        <v>21.96</v>
      </c>
      <c r="I87" s="64">
        <v>1.48</v>
      </c>
      <c r="J87" s="64">
        <v>0.02</v>
      </c>
      <c r="K87" s="64">
        <v>247.45</v>
      </c>
      <c r="L87" s="64">
        <v>18.46</v>
      </c>
      <c r="M87" s="64">
        <v>53.48</v>
      </c>
      <c r="N87" s="64">
        <v>58.4</v>
      </c>
      <c r="O87" s="64">
        <v>0</v>
      </c>
      <c r="P87" s="64">
        <v>0.78</v>
      </c>
      <c r="Q87" s="64">
        <v>8.94</v>
      </c>
      <c r="R87" s="198"/>
      <c r="S87" s="198"/>
      <c r="T87" s="198"/>
      <c r="U87" s="198"/>
    </row>
    <row r="88" spans="1:26" s="12" customFormat="1" x14ac:dyDescent="0.25">
      <c r="A88" s="213" t="s">
        <v>998</v>
      </c>
      <c r="B88" s="64">
        <v>41.26</v>
      </c>
      <c r="C88" s="64">
        <v>66.150000000000006</v>
      </c>
      <c r="D88" s="64">
        <v>70.239999999999995</v>
      </c>
      <c r="E88" s="64">
        <v>0.09</v>
      </c>
      <c r="F88" s="64">
        <v>3.2</v>
      </c>
      <c r="G88" s="64">
        <v>95.09</v>
      </c>
      <c r="H88" s="64">
        <v>21.96</v>
      </c>
      <c r="I88" s="64">
        <v>1.44</v>
      </c>
      <c r="J88" s="64">
        <v>0.13</v>
      </c>
      <c r="K88" s="64">
        <v>315</v>
      </c>
      <c r="L88" s="64">
        <v>18.190000000000001</v>
      </c>
      <c r="M88" s="64">
        <v>56.03</v>
      </c>
      <c r="N88" s="64">
        <v>58.5</v>
      </c>
      <c r="O88" s="64">
        <v>0</v>
      </c>
      <c r="P88" s="64">
        <v>0.91</v>
      </c>
      <c r="Q88" s="64">
        <v>9.2200000000000006</v>
      </c>
      <c r="R88" s="198"/>
      <c r="S88" s="198"/>
      <c r="T88" s="198"/>
      <c r="U88" s="198"/>
    </row>
    <row r="89" spans="1:26" s="12" customFormat="1" x14ac:dyDescent="0.25">
      <c r="A89" s="213" t="s">
        <v>999</v>
      </c>
      <c r="B89" s="64">
        <v>46.67</v>
      </c>
      <c r="C89" s="64">
        <v>66.14</v>
      </c>
      <c r="D89" s="64">
        <v>74.569999999999993</v>
      </c>
      <c r="E89" s="64">
        <v>0.15</v>
      </c>
      <c r="F89" s="64">
        <v>3.32</v>
      </c>
      <c r="G89" s="64">
        <v>95.09</v>
      </c>
      <c r="H89" s="64">
        <v>21.96</v>
      </c>
      <c r="I89" s="64">
        <v>1.57</v>
      </c>
      <c r="J89" s="64">
        <v>0.1</v>
      </c>
      <c r="K89" s="64">
        <v>329.35</v>
      </c>
      <c r="L89" s="64">
        <v>17.75</v>
      </c>
      <c r="M89" s="64">
        <v>59.89</v>
      </c>
      <c r="N89" s="64">
        <v>58.7</v>
      </c>
      <c r="O89" s="64">
        <v>0</v>
      </c>
      <c r="P89" s="64">
        <v>1.05</v>
      </c>
      <c r="Q89" s="64">
        <v>9.56</v>
      </c>
      <c r="R89" s="198"/>
      <c r="S89" s="198"/>
      <c r="T89" s="198"/>
      <c r="U89" s="198"/>
    </row>
    <row r="90" spans="1:26" s="12" customFormat="1" x14ac:dyDescent="0.25">
      <c r="A90" s="213" t="s">
        <v>1000</v>
      </c>
      <c r="B90" s="64">
        <v>52.83</v>
      </c>
      <c r="C90" s="64">
        <v>66.19</v>
      </c>
      <c r="D90" s="64">
        <v>79.540000000000006</v>
      </c>
      <c r="E90" s="64">
        <v>0.27</v>
      </c>
      <c r="F90" s="64">
        <v>3.15</v>
      </c>
      <c r="G90" s="64">
        <v>95.09</v>
      </c>
      <c r="H90" s="64">
        <v>21.96</v>
      </c>
      <c r="I90" s="64">
        <v>1.53</v>
      </c>
      <c r="J90" s="64">
        <v>0.08</v>
      </c>
      <c r="K90" s="64">
        <v>337.96</v>
      </c>
      <c r="L90" s="64">
        <v>17.36</v>
      </c>
      <c r="M90" s="64">
        <v>60.65</v>
      </c>
      <c r="N90" s="64">
        <v>58.8</v>
      </c>
      <c r="O90" s="64">
        <v>0</v>
      </c>
      <c r="P90" s="64">
        <v>1.0900000000000001</v>
      </c>
      <c r="Q90" s="64">
        <v>9.93</v>
      </c>
      <c r="R90" s="198"/>
      <c r="S90" s="198"/>
      <c r="T90" s="198"/>
      <c r="U90" s="198"/>
    </row>
    <row r="91" spans="1:26" s="12" customFormat="1" x14ac:dyDescent="0.25">
      <c r="A91" s="213" t="s">
        <v>1001</v>
      </c>
      <c r="B91" s="64">
        <v>60.32</v>
      </c>
      <c r="C91" s="64">
        <v>66</v>
      </c>
      <c r="D91" s="64">
        <v>85.44</v>
      </c>
      <c r="E91" s="64">
        <v>0.23</v>
      </c>
      <c r="F91" s="64">
        <v>3.02</v>
      </c>
      <c r="G91" s="64">
        <v>112.41</v>
      </c>
      <c r="H91" s="64">
        <v>28.75</v>
      </c>
      <c r="I91" s="64">
        <v>1.53</v>
      </c>
      <c r="J91" s="64">
        <v>0.1</v>
      </c>
      <c r="K91" s="64">
        <v>2.46</v>
      </c>
      <c r="L91" s="64">
        <v>17.25</v>
      </c>
      <c r="M91" s="64">
        <v>61.72</v>
      </c>
      <c r="N91" s="64">
        <v>57.2</v>
      </c>
      <c r="O91" s="64">
        <v>0</v>
      </c>
      <c r="P91" s="64">
        <v>1.1499999999999999</v>
      </c>
      <c r="Q91" s="64">
        <v>10.41</v>
      </c>
      <c r="R91" s="198"/>
      <c r="S91" s="198"/>
      <c r="T91" s="198"/>
      <c r="U91" s="198"/>
    </row>
    <row r="92" spans="1:26" s="12" customFormat="1" x14ac:dyDescent="0.25">
      <c r="A92" s="213" t="s">
        <v>1002</v>
      </c>
      <c r="B92" s="64">
        <v>69.39</v>
      </c>
      <c r="C92" s="64">
        <v>66.14</v>
      </c>
      <c r="D92" s="64">
        <v>92.79</v>
      </c>
      <c r="E92" s="64">
        <v>0.34</v>
      </c>
      <c r="F92" s="64">
        <v>3.35</v>
      </c>
      <c r="G92" s="64">
        <v>117.05</v>
      </c>
      <c r="H92" s="64">
        <v>28.75</v>
      </c>
      <c r="I92" s="64">
        <v>1.52</v>
      </c>
      <c r="J92" s="64">
        <v>0.1</v>
      </c>
      <c r="K92" s="64">
        <v>359.32</v>
      </c>
      <c r="L92" s="64">
        <v>17.09</v>
      </c>
      <c r="M92" s="64">
        <v>59.89</v>
      </c>
      <c r="N92" s="64">
        <v>56.8</v>
      </c>
      <c r="O92" s="64">
        <v>0</v>
      </c>
      <c r="P92" s="64">
        <v>1.28</v>
      </c>
      <c r="Q92" s="64">
        <v>11.04</v>
      </c>
      <c r="R92" s="198"/>
      <c r="S92" s="198"/>
      <c r="T92" s="198"/>
      <c r="U92" s="198"/>
    </row>
    <row r="93" spans="1:26" s="12" customFormat="1" x14ac:dyDescent="0.25">
      <c r="A93" s="213" t="s">
        <v>1003</v>
      </c>
      <c r="B93" s="64">
        <v>77.430000000000007</v>
      </c>
      <c r="C93" s="64">
        <v>66.010000000000005</v>
      </c>
      <c r="D93" s="64">
        <v>99.17</v>
      </c>
      <c r="E93" s="64">
        <v>0.28999999999999998</v>
      </c>
      <c r="F93" s="64">
        <v>3.13</v>
      </c>
      <c r="G93" s="64">
        <v>117.05</v>
      </c>
      <c r="H93" s="64">
        <v>28.75</v>
      </c>
      <c r="I93" s="64">
        <v>1.48</v>
      </c>
      <c r="J93" s="64">
        <v>0.14000000000000001</v>
      </c>
      <c r="K93" s="64">
        <v>326.52999999999997</v>
      </c>
      <c r="L93" s="64">
        <v>16.920000000000002</v>
      </c>
      <c r="M93" s="64">
        <v>71.25</v>
      </c>
      <c r="N93" s="64">
        <v>56.8</v>
      </c>
      <c r="O93" s="64">
        <v>0</v>
      </c>
      <c r="P93" s="64">
        <v>1.42</v>
      </c>
      <c r="Q93" s="64">
        <v>11.57</v>
      </c>
      <c r="R93" s="198"/>
      <c r="S93" s="198"/>
      <c r="T93" s="198"/>
      <c r="U93" s="198"/>
    </row>
    <row r="94" spans="1:26" s="12" customFormat="1" x14ac:dyDescent="0.25">
      <c r="A94" s="213" t="s">
        <v>1004</v>
      </c>
      <c r="B94" s="64">
        <v>84.78</v>
      </c>
      <c r="C94" s="64">
        <v>65.95</v>
      </c>
      <c r="D94" s="64">
        <v>105.03</v>
      </c>
      <c r="E94" s="64">
        <v>0.34</v>
      </c>
      <c r="F94" s="64">
        <v>3.09</v>
      </c>
      <c r="G94" s="64">
        <v>117.05</v>
      </c>
      <c r="H94" s="64">
        <v>28.75</v>
      </c>
      <c r="I94" s="64">
        <v>1.46</v>
      </c>
      <c r="J94" s="64">
        <v>0.1</v>
      </c>
      <c r="K94" s="64">
        <v>330.21</v>
      </c>
      <c r="L94" s="64">
        <v>16.61</v>
      </c>
      <c r="M94" s="64">
        <v>66.88</v>
      </c>
      <c r="N94" s="64">
        <v>56.8</v>
      </c>
      <c r="O94" s="64">
        <v>0</v>
      </c>
      <c r="P94" s="64">
        <v>1.55</v>
      </c>
      <c r="Q94" s="64">
        <v>12.07</v>
      </c>
      <c r="R94" s="198"/>
      <c r="S94" s="198"/>
      <c r="T94" s="198"/>
      <c r="U94" s="198"/>
    </row>
    <row r="95" spans="1:26" s="12" customFormat="1" x14ac:dyDescent="0.25">
      <c r="A95" s="213" t="s">
        <v>1005</v>
      </c>
      <c r="B95" s="64">
        <v>95.29</v>
      </c>
      <c r="C95" s="64">
        <v>66.209999999999994</v>
      </c>
      <c r="D95" s="64">
        <v>113.6</v>
      </c>
      <c r="E95" s="64">
        <v>0.34</v>
      </c>
      <c r="F95" s="64">
        <v>3.07</v>
      </c>
      <c r="G95" s="64">
        <v>129.58000000000001</v>
      </c>
      <c r="H95" s="64">
        <v>32.93</v>
      </c>
      <c r="I95" s="64">
        <v>1.44</v>
      </c>
      <c r="J95" s="64">
        <v>0.06</v>
      </c>
      <c r="K95" s="64">
        <v>281.81</v>
      </c>
      <c r="L95" s="64">
        <v>16.62</v>
      </c>
      <c r="M95" s="64">
        <v>67.87</v>
      </c>
      <c r="N95" s="64">
        <v>56.3</v>
      </c>
      <c r="O95" s="64">
        <v>0</v>
      </c>
      <c r="P95" s="64">
        <v>1.72</v>
      </c>
      <c r="Q95" s="64">
        <v>12.67</v>
      </c>
      <c r="R95" s="198"/>
      <c r="S95" s="198"/>
      <c r="T95" s="198"/>
      <c r="U95" s="198"/>
    </row>
    <row r="96" spans="1:26" s="12" customFormat="1" x14ac:dyDescent="0.25">
      <c r="A96" s="213" t="s">
        <v>1006</v>
      </c>
      <c r="B96" s="64">
        <v>103.93</v>
      </c>
      <c r="C96" s="64">
        <v>66.55</v>
      </c>
      <c r="D96" s="64">
        <v>120.72</v>
      </c>
      <c r="E96" s="64">
        <v>0.28000000000000003</v>
      </c>
      <c r="F96" s="64">
        <v>2.98</v>
      </c>
      <c r="G96" s="64">
        <v>132.93</v>
      </c>
      <c r="H96" s="64">
        <v>32.93</v>
      </c>
      <c r="I96" s="64">
        <v>1.54</v>
      </c>
      <c r="J96" s="64">
        <v>0.1</v>
      </c>
      <c r="K96" s="64">
        <v>298.76</v>
      </c>
      <c r="L96" s="64">
        <v>16.55</v>
      </c>
      <c r="M96" s="64">
        <v>70.78</v>
      </c>
      <c r="N96" s="64">
        <v>56.4</v>
      </c>
      <c r="O96" s="64">
        <v>0</v>
      </c>
      <c r="P96" s="64">
        <v>1.84</v>
      </c>
      <c r="Q96" s="64">
        <v>13.37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1007</v>
      </c>
      <c r="B97" s="64">
        <v>109.09</v>
      </c>
      <c r="C97" s="64">
        <v>66.489999999999995</v>
      </c>
      <c r="D97" s="64">
        <v>124.82</v>
      </c>
      <c r="E97" s="64">
        <v>0.35</v>
      </c>
      <c r="F97" s="64">
        <v>2.93</v>
      </c>
      <c r="G97" s="64">
        <v>132.93</v>
      </c>
      <c r="H97" s="64">
        <v>32.93</v>
      </c>
      <c r="I97" s="64">
        <v>1.51</v>
      </c>
      <c r="J97" s="64">
        <v>0.03</v>
      </c>
      <c r="K97" s="64">
        <v>150.38999999999999</v>
      </c>
      <c r="L97" s="64">
        <v>16.39</v>
      </c>
      <c r="M97" s="64">
        <v>69.150000000000006</v>
      </c>
      <c r="N97" s="64">
        <v>56.3</v>
      </c>
      <c r="O97" s="64">
        <v>0</v>
      </c>
      <c r="P97" s="64">
        <v>1.94</v>
      </c>
      <c r="Q97" s="64">
        <v>13.91</v>
      </c>
      <c r="R97" s="198"/>
      <c r="S97" s="198"/>
      <c r="T97" s="198"/>
      <c r="U97" s="198"/>
    </row>
    <row r="98" spans="1:33" s="12" customFormat="1" x14ac:dyDescent="0.25">
      <c r="A98" s="213" t="s">
        <v>1008</v>
      </c>
      <c r="B98" s="64">
        <v>112.01</v>
      </c>
      <c r="C98" s="64">
        <v>66.47</v>
      </c>
      <c r="D98" s="64">
        <v>127.15</v>
      </c>
      <c r="E98" s="64">
        <v>0.38</v>
      </c>
      <c r="F98" s="64">
        <v>3.2</v>
      </c>
      <c r="G98" s="64">
        <v>132.93</v>
      </c>
      <c r="H98" s="64">
        <v>32.93</v>
      </c>
      <c r="I98" s="64">
        <v>1.52</v>
      </c>
      <c r="J98" s="64">
        <v>0.11</v>
      </c>
      <c r="K98" s="64">
        <v>335.74</v>
      </c>
      <c r="L98" s="64">
        <v>16.54</v>
      </c>
      <c r="M98" s="64">
        <v>68.14</v>
      </c>
      <c r="N98" s="64">
        <v>56.5</v>
      </c>
      <c r="O98" s="64">
        <v>0</v>
      </c>
      <c r="P98" s="64">
        <v>2.02</v>
      </c>
      <c r="Q98" s="64">
        <v>14.24</v>
      </c>
      <c r="R98" s="198"/>
      <c r="S98" s="198"/>
      <c r="T98" s="198"/>
      <c r="U98" s="198"/>
    </row>
    <row r="99" spans="1:33" s="12" customFormat="1" x14ac:dyDescent="0.25">
      <c r="A99" s="213" t="s">
        <v>1009</v>
      </c>
      <c r="B99" s="64">
        <v>115.83</v>
      </c>
      <c r="C99" s="64">
        <v>66.33</v>
      </c>
      <c r="D99" s="64">
        <v>130.13999999999999</v>
      </c>
      <c r="E99" s="64">
        <v>0.46</v>
      </c>
      <c r="F99" s="64">
        <v>3.16</v>
      </c>
      <c r="G99" s="64">
        <v>128.43</v>
      </c>
      <c r="H99" s="64">
        <v>38.46</v>
      </c>
      <c r="I99" s="64">
        <v>1.42</v>
      </c>
      <c r="J99" s="64">
        <v>0.42</v>
      </c>
      <c r="K99" s="64">
        <v>317.67</v>
      </c>
      <c r="L99" s="64">
        <v>16.18</v>
      </c>
      <c r="M99" s="64">
        <v>69.849999999999994</v>
      </c>
      <c r="N99" s="64">
        <v>55.6</v>
      </c>
      <c r="O99" s="64">
        <v>0</v>
      </c>
      <c r="P99" s="64">
        <v>2.1</v>
      </c>
      <c r="Q99" s="64">
        <v>14.51</v>
      </c>
      <c r="R99" s="198"/>
      <c r="S99" s="198"/>
      <c r="T99" s="198"/>
      <c r="U99" s="198"/>
    </row>
    <row r="100" spans="1:33" s="12" customFormat="1" x14ac:dyDescent="0.25">
      <c r="A100" s="213" t="s">
        <v>1010</v>
      </c>
      <c r="B100" s="64">
        <v>115.35</v>
      </c>
      <c r="C100" s="64">
        <v>66.489999999999995</v>
      </c>
      <c r="D100" s="64">
        <v>129.84</v>
      </c>
      <c r="E100" s="64">
        <v>0.39</v>
      </c>
      <c r="F100" s="64">
        <v>3.37</v>
      </c>
      <c r="G100" s="64">
        <v>127.23</v>
      </c>
      <c r="H100" s="64">
        <v>38.46</v>
      </c>
      <c r="I100" s="64">
        <v>1.55</v>
      </c>
      <c r="J100" s="64">
        <v>0.55000000000000004</v>
      </c>
      <c r="K100" s="64">
        <v>329.89</v>
      </c>
      <c r="L100" s="64">
        <v>16.38</v>
      </c>
      <c r="M100" s="64">
        <v>61.29</v>
      </c>
      <c r="N100" s="64">
        <v>55.5</v>
      </c>
      <c r="O100" s="64">
        <v>0</v>
      </c>
      <c r="P100" s="64">
        <v>2.11</v>
      </c>
      <c r="Q100" s="64">
        <v>14.72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1011</v>
      </c>
      <c r="B101" s="64">
        <v>111.75</v>
      </c>
      <c r="C101" s="64">
        <v>66.38</v>
      </c>
      <c r="D101" s="64">
        <v>126.89</v>
      </c>
      <c r="E101" s="64">
        <v>0.34</v>
      </c>
      <c r="F101" s="64">
        <v>3.26</v>
      </c>
      <c r="G101" s="64">
        <v>127.23</v>
      </c>
      <c r="H101" s="64">
        <v>38.46</v>
      </c>
      <c r="I101" s="64">
        <v>1.57</v>
      </c>
      <c r="J101" s="64">
        <v>0.18</v>
      </c>
      <c r="K101" s="64">
        <v>358.44</v>
      </c>
      <c r="L101" s="64">
        <v>16.27</v>
      </c>
      <c r="M101" s="64">
        <v>59.57</v>
      </c>
      <c r="N101" s="64">
        <v>56.9</v>
      </c>
      <c r="O101" s="64">
        <v>0</v>
      </c>
      <c r="P101" s="64">
        <v>2.09</v>
      </c>
      <c r="Q101" s="64">
        <v>14.67</v>
      </c>
      <c r="R101" s="198"/>
      <c r="S101" s="198"/>
      <c r="T101" s="198"/>
      <c r="U101" s="198"/>
    </row>
    <row r="102" spans="1:33" s="12" customFormat="1" x14ac:dyDescent="0.25">
      <c r="A102" s="213" t="s">
        <v>1012</v>
      </c>
      <c r="B102" s="64">
        <v>106.87</v>
      </c>
      <c r="C102" s="64">
        <v>66.02</v>
      </c>
      <c r="D102" s="64">
        <v>122.78</v>
      </c>
      <c r="E102" s="64">
        <v>0.35</v>
      </c>
      <c r="F102" s="64">
        <v>3.06</v>
      </c>
      <c r="G102" s="64">
        <v>127.23</v>
      </c>
      <c r="H102" s="64">
        <v>38.46</v>
      </c>
      <c r="I102" s="64">
        <v>1.48</v>
      </c>
      <c r="J102" s="64">
        <v>0.6</v>
      </c>
      <c r="K102" s="64">
        <v>333.97</v>
      </c>
      <c r="L102" s="64">
        <v>16.21</v>
      </c>
      <c r="M102" s="64">
        <v>55.33</v>
      </c>
      <c r="N102" s="64">
        <v>55.6</v>
      </c>
      <c r="O102" s="64">
        <v>0</v>
      </c>
      <c r="P102" s="64">
        <v>2.04</v>
      </c>
      <c r="Q102" s="64">
        <v>14.43</v>
      </c>
      <c r="R102" s="198"/>
      <c r="S102" s="198"/>
      <c r="T102" s="198"/>
      <c r="U102" s="198"/>
    </row>
    <row r="103" spans="1:33" s="12" customFormat="1" x14ac:dyDescent="0.25">
      <c r="A103" s="213" t="s">
        <v>1013</v>
      </c>
      <c r="B103" s="64">
        <v>99.85</v>
      </c>
      <c r="C103" s="64">
        <v>65.650000000000006</v>
      </c>
      <c r="D103" s="64">
        <v>116.95</v>
      </c>
      <c r="E103" s="64">
        <v>0.36</v>
      </c>
      <c r="F103" s="64">
        <v>3.22</v>
      </c>
      <c r="G103" s="64">
        <v>110.31</v>
      </c>
      <c r="H103" s="64">
        <v>35.33</v>
      </c>
      <c r="I103" s="64">
        <v>1.46</v>
      </c>
      <c r="J103" s="64">
        <v>0.87</v>
      </c>
      <c r="K103" s="64">
        <v>337.99</v>
      </c>
      <c r="L103" s="64">
        <v>16.170000000000002</v>
      </c>
      <c r="M103" s="64">
        <v>54.37</v>
      </c>
      <c r="N103" s="64">
        <v>55.8</v>
      </c>
      <c r="O103" s="64">
        <v>0</v>
      </c>
      <c r="P103" s="64">
        <v>1.95</v>
      </c>
      <c r="Q103" s="64">
        <v>14.04</v>
      </c>
      <c r="R103" s="198"/>
      <c r="S103" s="198"/>
      <c r="T103" s="198"/>
      <c r="U103" s="198"/>
    </row>
    <row r="104" spans="1:33" s="12" customFormat="1" x14ac:dyDescent="0.25">
      <c r="A104" s="213" t="s">
        <v>1014</v>
      </c>
      <c r="B104" s="64">
        <v>91.79</v>
      </c>
      <c r="C104" s="64">
        <v>65.27</v>
      </c>
      <c r="D104" s="64">
        <v>110.27</v>
      </c>
      <c r="E104" s="64">
        <v>0.34</v>
      </c>
      <c r="F104" s="64">
        <v>2.89</v>
      </c>
      <c r="G104" s="64">
        <v>105.78</v>
      </c>
      <c r="H104" s="64">
        <v>35.33</v>
      </c>
      <c r="I104" s="64">
        <v>1.54</v>
      </c>
      <c r="J104" s="64">
        <v>1.1100000000000001</v>
      </c>
      <c r="K104" s="64">
        <v>334.78</v>
      </c>
      <c r="L104" s="64">
        <v>15.97</v>
      </c>
      <c r="M104" s="64">
        <v>57.31</v>
      </c>
      <c r="N104" s="64">
        <v>56.2</v>
      </c>
      <c r="O104" s="64">
        <v>0</v>
      </c>
      <c r="P104" s="64">
        <v>1.83</v>
      </c>
      <c r="Q104" s="64">
        <v>13.57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3.79</v>
      </c>
      <c r="C106" s="67">
        <f>MIN(C9:C104)</f>
        <v>54.99</v>
      </c>
      <c r="D106" s="67">
        <f t="shared" ref="D106:Q106" si="0">MIN(D9:D104)</f>
        <v>37.81</v>
      </c>
      <c r="E106" s="67">
        <f t="shared" si="0"/>
        <v>0</v>
      </c>
      <c r="F106" s="67">
        <f t="shared" si="0"/>
        <v>2.89</v>
      </c>
      <c r="G106" s="67">
        <f t="shared" si="0"/>
        <v>27.05</v>
      </c>
      <c r="H106" s="67">
        <f t="shared" si="0"/>
        <v>6.64</v>
      </c>
      <c r="I106" s="67">
        <f t="shared" si="0"/>
        <v>1.4</v>
      </c>
      <c r="J106" s="67">
        <f t="shared" si="0"/>
        <v>0.02</v>
      </c>
      <c r="K106" s="67">
        <f t="shared" si="0"/>
        <v>2.46</v>
      </c>
      <c r="L106" s="67">
        <f t="shared" si="0"/>
        <v>15.61</v>
      </c>
      <c r="M106" s="67">
        <f t="shared" si="0"/>
        <v>17.89</v>
      </c>
      <c r="N106" s="67">
        <f t="shared" si="0"/>
        <v>55.5</v>
      </c>
      <c r="O106" s="67">
        <f t="shared" si="0"/>
        <v>0</v>
      </c>
      <c r="P106" s="67">
        <f t="shared" si="0"/>
        <v>0.37</v>
      </c>
      <c r="Q106" s="67">
        <f t="shared" si="0"/>
        <v>5.12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115.83</v>
      </c>
      <c r="C107" s="66">
        <f t="shared" ref="C107:Q107" si="1">MAX(C9:C104)</f>
        <v>71.78</v>
      </c>
      <c r="D107" s="66">
        <f t="shared" si="1"/>
        <v>130.13999999999999</v>
      </c>
      <c r="E107" s="66">
        <f t="shared" si="1"/>
        <v>0.85</v>
      </c>
      <c r="F107" s="66">
        <f t="shared" si="1"/>
        <v>6.85</v>
      </c>
      <c r="G107" s="66">
        <f t="shared" si="1"/>
        <v>132.93</v>
      </c>
      <c r="H107" s="66">
        <f t="shared" si="1"/>
        <v>38.99</v>
      </c>
      <c r="I107" s="66">
        <f t="shared" si="1"/>
        <v>1.62</v>
      </c>
      <c r="J107" s="66">
        <f t="shared" si="1"/>
        <v>1.91</v>
      </c>
      <c r="K107" s="66">
        <f t="shared" si="1"/>
        <v>359.32</v>
      </c>
      <c r="L107" s="66">
        <f t="shared" si="1"/>
        <v>28.73</v>
      </c>
      <c r="M107" s="66">
        <f t="shared" si="1"/>
        <v>71.25</v>
      </c>
      <c r="N107" s="66">
        <f t="shared" si="1"/>
        <v>816.2</v>
      </c>
      <c r="O107" s="66">
        <f t="shared" si="1"/>
        <v>0</v>
      </c>
      <c r="P107" s="66">
        <f t="shared" si="1"/>
        <v>2.11</v>
      </c>
      <c r="Q107" s="66">
        <f t="shared" si="1"/>
        <v>15.86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25.303645833333324</v>
      </c>
      <c r="C108" s="67">
        <f t="shared" ref="C108:Q108" si="2">AVERAGE(C9:C104)</f>
        <v>62.618437499999999</v>
      </c>
      <c r="D108" s="67">
        <f t="shared" si="2"/>
        <v>55.495416666666678</v>
      </c>
      <c r="E108" s="67">
        <f t="shared" si="2"/>
        <v>0.24906250000000005</v>
      </c>
      <c r="F108" s="67">
        <f t="shared" si="2"/>
        <v>3.6355208333333322</v>
      </c>
      <c r="G108" s="67">
        <f t="shared" si="2"/>
        <v>65.859270833333355</v>
      </c>
      <c r="H108" s="67">
        <f t="shared" si="2"/>
        <v>20.967083333333335</v>
      </c>
      <c r="I108" s="67">
        <f t="shared" si="2"/>
        <v>1.5051041666666667</v>
      </c>
      <c r="J108" s="67">
        <f t="shared" si="2"/>
        <v>0.7473958333333327</v>
      </c>
      <c r="K108" s="67">
        <f t="shared" si="2"/>
        <v>308.21843749999988</v>
      </c>
      <c r="L108" s="67">
        <f t="shared" si="2"/>
        <v>20.499791666666667</v>
      </c>
      <c r="M108" s="67">
        <f t="shared" si="2"/>
        <v>40.193541666666682</v>
      </c>
      <c r="N108" s="67">
        <f t="shared" si="2"/>
        <v>250.17083333333326</v>
      </c>
      <c r="O108" s="67">
        <f t="shared" si="2"/>
        <v>0</v>
      </c>
      <c r="P108" s="67">
        <f t="shared" si="2"/>
        <v>0.74375000000000002</v>
      </c>
      <c r="Q108" s="67">
        <f t="shared" si="2"/>
        <v>8.894166666666667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31.706481094723962</v>
      </c>
      <c r="C109" s="67">
        <f t="shared" ref="C109:Q109" si="3">STDEV(C9:C104)</f>
        <v>4.5367498981272814</v>
      </c>
      <c r="D109" s="67">
        <f t="shared" si="3"/>
        <v>26.296590690236307</v>
      </c>
      <c r="E109" s="67">
        <f t="shared" si="3"/>
        <v>0.155327010732705</v>
      </c>
      <c r="F109" s="67">
        <f t="shared" si="3"/>
        <v>0.71384926875971677</v>
      </c>
      <c r="G109" s="67">
        <f t="shared" si="3"/>
        <v>28.40852360026701</v>
      </c>
      <c r="H109" s="67">
        <f t="shared" si="3"/>
        <v>8.4105457506966399</v>
      </c>
      <c r="I109" s="67">
        <f t="shared" si="3"/>
        <v>4.9289580230493443E-2</v>
      </c>
      <c r="J109" s="67">
        <f t="shared" si="3"/>
        <v>0.48933734955209401</v>
      </c>
      <c r="K109" s="67">
        <f t="shared" si="3"/>
        <v>92.476926400483023</v>
      </c>
      <c r="L109" s="67">
        <f t="shared" si="3"/>
        <v>4.3843580768014441</v>
      </c>
      <c r="M109" s="67">
        <f t="shared" si="3"/>
        <v>15.290876053465816</v>
      </c>
      <c r="N109" s="67">
        <f t="shared" si="3"/>
        <v>278.15110884351554</v>
      </c>
      <c r="O109" s="67">
        <f t="shared" si="3"/>
        <v>0</v>
      </c>
      <c r="P109" s="67">
        <f t="shared" si="3"/>
        <v>0.47966271044294589</v>
      </c>
      <c r="Q109" s="67">
        <f t="shared" si="3"/>
        <v>2.8803423285825835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1015</v>
      </c>
      <c r="B9" s="64">
        <v>83.63</v>
      </c>
      <c r="C9" s="64">
        <v>64.84</v>
      </c>
      <c r="D9" s="64">
        <v>103.5</v>
      </c>
      <c r="E9" s="64">
        <v>0.45</v>
      </c>
      <c r="F9" s="64">
        <v>3.03</v>
      </c>
      <c r="G9" s="64">
        <v>105.78</v>
      </c>
      <c r="H9" s="64">
        <v>35.33</v>
      </c>
      <c r="I9" s="64">
        <v>1.55</v>
      </c>
      <c r="J9" s="64">
        <v>0.42</v>
      </c>
      <c r="K9" s="64">
        <v>324.24</v>
      </c>
      <c r="L9" s="64">
        <v>15.7</v>
      </c>
      <c r="M9" s="64">
        <v>60.81</v>
      </c>
      <c r="N9" s="64">
        <v>57</v>
      </c>
      <c r="O9" s="64">
        <v>0</v>
      </c>
      <c r="P9" s="64">
        <v>1.73</v>
      </c>
      <c r="Q9" s="64">
        <v>13</v>
      </c>
      <c r="R9" s="198"/>
      <c r="S9" s="198"/>
      <c r="T9" s="198"/>
      <c r="U9" s="198"/>
    </row>
    <row r="10" spans="1:21" s="12" customFormat="1" x14ac:dyDescent="0.25">
      <c r="A10" s="213" t="s">
        <v>1016</v>
      </c>
      <c r="B10" s="64">
        <v>77.819999999999993</v>
      </c>
      <c r="C10" s="64">
        <v>64.13</v>
      </c>
      <c r="D10" s="64">
        <v>98.44</v>
      </c>
      <c r="E10" s="64">
        <v>0.44</v>
      </c>
      <c r="F10" s="64">
        <v>3.09</v>
      </c>
      <c r="G10" s="64">
        <v>105.78</v>
      </c>
      <c r="H10" s="64">
        <v>35.33</v>
      </c>
      <c r="I10" s="64">
        <v>1.51</v>
      </c>
      <c r="J10" s="64">
        <v>0.74</v>
      </c>
      <c r="K10" s="64">
        <v>353.2</v>
      </c>
      <c r="L10" s="64">
        <v>15.47</v>
      </c>
      <c r="M10" s="64">
        <v>61.14</v>
      </c>
      <c r="N10" s="64">
        <v>56.3</v>
      </c>
      <c r="O10" s="64">
        <v>0</v>
      </c>
      <c r="P10" s="64">
        <v>1.66</v>
      </c>
      <c r="Q10" s="64">
        <v>12.48</v>
      </c>
      <c r="R10" s="198"/>
      <c r="S10" s="198"/>
      <c r="T10" s="198"/>
      <c r="U10" s="198"/>
    </row>
    <row r="11" spans="1:21" s="12" customFormat="1" x14ac:dyDescent="0.25">
      <c r="A11" s="213" t="s">
        <v>1017</v>
      </c>
      <c r="B11" s="64">
        <v>72.8</v>
      </c>
      <c r="C11" s="64">
        <v>63.75</v>
      </c>
      <c r="D11" s="64">
        <v>94.21</v>
      </c>
      <c r="E11" s="64">
        <v>0.41</v>
      </c>
      <c r="F11" s="64">
        <v>3.2</v>
      </c>
      <c r="G11" s="64">
        <v>89.37</v>
      </c>
      <c r="H11" s="64">
        <v>32.090000000000003</v>
      </c>
      <c r="I11" s="64">
        <v>1.5</v>
      </c>
      <c r="J11" s="64">
        <v>0.87</v>
      </c>
      <c r="K11" s="64">
        <v>352.33</v>
      </c>
      <c r="L11" s="64">
        <v>15.7</v>
      </c>
      <c r="M11" s="64">
        <v>57.58</v>
      </c>
      <c r="N11" s="64">
        <v>55.9</v>
      </c>
      <c r="O11" s="64">
        <v>0</v>
      </c>
      <c r="P11" s="64">
        <v>1.59</v>
      </c>
      <c r="Q11" s="64">
        <v>12.08</v>
      </c>
      <c r="R11" s="198"/>
      <c r="S11" s="198"/>
      <c r="T11" s="198"/>
      <c r="U11" s="198"/>
    </row>
    <row r="12" spans="1:21" s="12" customFormat="1" x14ac:dyDescent="0.25">
      <c r="A12" s="213" t="s">
        <v>1018</v>
      </c>
      <c r="B12" s="64">
        <v>68.11</v>
      </c>
      <c r="C12" s="64">
        <v>63.61</v>
      </c>
      <c r="D12" s="64">
        <v>90.37</v>
      </c>
      <c r="E12" s="64">
        <v>0.38</v>
      </c>
      <c r="F12" s="64">
        <v>3.02</v>
      </c>
      <c r="G12" s="64">
        <v>84.97</v>
      </c>
      <c r="H12" s="64">
        <v>32.090000000000003</v>
      </c>
      <c r="I12" s="64">
        <v>1.54</v>
      </c>
      <c r="J12" s="64">
        <v>0.84</v>
      </c>
      <c r="K12" s="64">
        <v>349.41</v>
      </c>
      <c r="L12" s="64">
        <v>16</v>
      </c>
      <c r="M12" s="64">
        <v>49.02</v>
      </c>
      <c r="N12" s="64">
        <v>56.1</v>
      </c>
      <c r="O12" s="64">
        <v>0</v>
      </c>
      <c r="P12" s="64">
        <v>1.51</v>
      </c>
      <c r="Q12" s="64">
        <v>11.74</v>
      </c>
      <c r="R12" s="198"/>
      <c r="S12" s="198"/>
      <c r="T12" s="198"/>
      <c r="U12" s="198"/>
    </row>
    <row r="13" spans="1:21" s="12" customFormat="1" x14ac:dyDescent="0.25">
      <c r="A13" s="213" t="s">
        <v>1019</v>
      </c>
      <c r="B13" s="64">
        <v>63.18</v>
      </c>
      <c r="C13" s="64">
        <v>63.32</v>
      </c>
      <c r="D13" s="64">
        <v>86.26</v>
      </c>
      <c r="E13" s="64">
        <v>0.35</v>
      </c>
      <c r="F13" s="64">
        <v>3.09</v>
      </c>
      <c r="G13" s="64">
        <v>84.97</v>
      </c>
      <c r="H13" s="64">
        <v>32.090000000000003</v>
      </c>
      <c r="I13" s="64">
        <v>1.56</v>
      </c>
      <c r="J13" s="64">
        <v>0.83</v>
      </c>
      <c r="K13" s="64">
        <v>351.97</v>
      </c>
      <c r="L13" s="64">
        <v>15.79</v>
      </c>
      <c r="M13" s="64">
        <v>54.28</v>
      </c>
      <c r="N13" s="64">
        <v>56.6</v>
      </c>
      <c r="O13" s="64">
        <v>0</v>
      </c>
      <c r="P13" s="64">
        <v>1.26</v>
      </c>
      <c r="Q13" s="64">
        <v>11.4</v>
      </c>
      <c r="R13" s="198"/>
      <c r="S13" s="198"/>
      <c r="T13" s="198"/>
      <c r="U13" s="198"/>
    </row>
    <row r="14" spans="1:21" s="12" customFormat="1" x14ac:dyDescent="0.25">
      <c r="A14" s="213" t="s">
        <v>1020</v>
      </c>
      <c r="B14" s="64">
        <v>58.66</v>
      </c>
      <c r="C14" s="64">
        <v>62.68</v>
      </c>
      <c r="D14" s="64">
        <v>82.27</v>
      </c>
      <c r="E14" s="64">
        <v>0.36</v>
      </c>
      <c r="F14" s="64">
        <v>3.16</v>
      </c>
      <c r="G14" s="64">
        <v>84.97</v>
      </c>
      <c r="H14" s="64">
        <v>32.090000000000003</v>
      </c>
      <c r="I14" s="64">
        <v>1.52</v>
      </c>
      <c r="J14" s="64">
        <v>0.72</v>
      </c>
      <c r="K14" s="64">
        <v>351.09</v>
      </c>
      <c r="L14" s="64">
        <v>15.46</v>
      </c>
      <c r="M14" s="64">
        <v>57.32</v>
      </c>
      <c r="N14" s="64">
        <v>56.7</v>
      </c>
      <c r="O14" s="64">
        <v>0</v>
      </c>
      <c r="P14" s="64">
        <v>1.25</v>
      </c>
      <c r="Q14" s="64">
        <v>11.08</v>
      </c>
      <c r="R14" s="198"/>
      <c r="S14" s="198"/>
      <c r="T14" s="198"/>
      <c r="U14" s="198"/>
    </row>
    <row r="15" spans="1:21" s="12" customFormat="1" x14ac:dyDescent="0.25">
      <c r="A15" s="213" t="s">
        <v>1021</v>
      </c>
      <c r="B15" s="64">
        <v>55.13</v>
      </c>
      <c r="C15" s="64">
        <v>61.91</v>
      </c>
      <c r="D15" s="64">
        <v>79.02</v>
      </c>
      <c r="E15" s="64">
        <v>0.39</v>
      </c>
      <c r="F15" s="64">
        <v>3.35</v>
      </c>
      <c r="G15" s="64">
        <v>77.37</v>
      </c>
      <c r="H15" s="64">
        <v>28.9</v>
      </c>
      <c r="I15" s="64">
        <v>1.44</v>
      </c>
      <c r="J15" s="64">
        <v>0.98</v>
      </c>
      <c r="K15" s="64">
        <v>351.36</v>
      </c>
      <c r="L15" s="64">
        <v>15.18</v>
      </c>
      <c r="M15" s="64">
        <v>59.18</v>
      </c>
      <c r="N15" s="64">
        <v>56.3</v>
      </c>
      <c r="O15" s="64">
        <v>0</v>
      </c>
      <c r="P15" s="64">
        <v>1.2</v>
      </c>
      <c r="Q15" s="64">
        <v>10.78</v>
      </c>
      <c r="R15" s="198"/>
      <c r="S15" s="198"/>
      <c r="T15" s="198"/>
      <c r="U15" s="198"/>
    </row>
    <row r="16" spans="1:21" s="12" customFormat="1" x14ac:dyDescent="0.25">
      <c r="A16" s="213" t="s">
        <v>1022</v>
      </c>
      <c r="B16" s="64">
        <v>52.31</v>
      </c>
      <c r="C16" s="64">
        <v>61.54</v>
      </c>
      <c r="D16" s="64">
        <v>76.55</v>
      </c>
      <c r="E16" s="64">
        <v>0.56000000000000005</v>
      </c>
      <c r="F16" s="64">
        <v>3.31</v>
      </c>
      <c r="G16" s="64">
        <v>75.34</v>
      </c>
      <c r="H16" s="64">
        <v>28.9</v>
      </c>
      <c r="I16" s="64">
        <v>1.53</v>
      </c>
      <c r="J16" s="64">
        <v>0.6</v>
      </c>
      <c r="K16" s="64">
        <v>353.22</v>
      </c>
      <c r="L16" s="64">
        <v>15.25</v>
      </c>
      <c r="M16" s="64">
        <v>58.56</v>
      </c>
      <c r="N16" s="64">
        <v>56.7</v>
      </c>
      <c r="O16" s="64">
        <v>0</v>
      </c>
      <c r="P16" s="64">
        <v>1.1499999999999999</v>
      </c>
      <c r="Q16" s="64">
        <v>10.48</v>
      </c>
      <c r="R16" s="198"/>
      <c r="S16" s="198"/>
      <c r="T16" s="198"/>
      <c r="U16" s="198"/>
    </row>
    <row r="17" spans="1:21" s="12" customFormat="1" x14ac:dyDescent="0.25">
      <c r="A17" s="213" t="s">
        <v>1023</v>
      </c>
      <c r="B17" s="64">
        <v>50.46</v>
      </c>
      <c r="C17" s="64">
        <v>60.93</v>
      </c>
      <c r="D17" s="64">
        <v>74.73</v>
      </c>
      <c r="E17" s="64">
        <v>0.6</v>
      </c>
      <c r="F17" s="64">
        <v>2.96</v>
      </c>
      <c r="G17" s="64">
        <v>75.34</v>
      </c>
      <c r="H17" s="64">
        <v>28.9</v>
      </c>
      <c r="I17" s="64">
        <v>1.5</v>
      </c>
      <c r="J17" s="64">
        <v>0.71</v>
      </c>
      <c r="K17" s="64">
        <v>352.51</v>
      </c>
      <c r="L17" s="64">
        <v>14.95</v>
      </c>
      <c r="M17" s="64">
        <v>57.96</v>
      </c>
      <c r="N17" s="64">
        <v>56.5</v>
      </c>
      <c r="O17" s="64">
        <v>0</v>
      </c>
      <c r="P17" s="64">
        <v>1.1200000000000001</v>
      </c>
      <c r="Q17" s="64">
        <v>10.23</v>
      </c>
      <c r="R17" s="198"/>
      <c r="S17" s="198"/>
      <c r="T17" s="198"/>
      <c r="U17" s="198"/>
    </row>
    <row r="18" spans="1:21" s="12" customFormat="1" x14ac:dyDescent="0.25">
      <c r="A18" s="213" t="s">
        <v>1024</v>
      </c>
      <c r="B18" s="64">
        <v>48.79</v>
      </c>
      <c r="C18" s="64">
        <v>60.57</v>
      </c>
      <c r="D18" s="64">
        <v>73.2</v>
      </c>
      <c r="E18" s="64">
        <v>0.57999999999999996</v>
      </c>
      <c r="F18" s="64">
        <v>2.77</v>
      </c>
      <c r="G18" s="64">
        <v>75.34</v>
      </c>
      <c r="H18" s="64">
        <v>28.9</v>
      </c>
      <c r="I18" s="64">
        <v>1.44</v>
      </c>
      <c r="J18" s="64">
        <v>0.82</v>
      </c>
      <c r="K18" s="64">
        <v>354.04</v>
      </c>
      <c r="L18" s="64">
        <v>14.92</v>
      </c>
      <c r="M18" s="64">
        <v>54.35</v>
      </c>
      <c r="N18" s="64">
        <v>56.4</v>
      </c>
      <c r="O18" s="64">
        <v>0</v>
      </c>
      <c r="P18" s="64">
        <v>1.1000000000000001</v>
      </c>
      <c r="Q18" s="64">
        <v>10.09</v>
      </c>
      <c r="R18" s="198"/>
      <c r="S18" s="198"/>
      <c r="T18" s="198"/>
      <c r="U18" s="198"/>
    </row>
    <row r="19" spans="1:21" s="12" customFormat="1" x14ac:dyDescent="0.25">
      <c r="A19" s="213" t="s">
        <v>1025</v>
      </c>
      <c r="B19" s="64">
        <v>46.94</v>
      </c>
      <c r="C19" s="64">
        <v>60.48</v>
      </c>
      <c r="D19" s="64">
        <v>71.67</v>
      </c>
      <c r="E19" s="64">
        <v>0.61</v>
      </c>
      <c r="F19" s="64">
        <v>2.93</v>
      </c>
      <c r="G19" s="64">
        <v>108.45</v>
      </c>
      <c r="H19" s="64">
        <v>35.11</v>
      </c>
      <c r="I19" s="64">
        <v>1.49</v>
      </c>
      <c r="J19" s="64">
        <v>0.75</v>
      </c>
      <c r="K19" s="64">
        <v>350.79</v>
      </c>
      <c r="L19" s="64">
        <v>14.9</v>
      </c>
      <c r="M19" s="64">
        <v>50.87</v>
      </c>
      <c r="N19" s="64">
        <v>56.6</v>
      </c>
      <c r="O19" s="64">
        <v>0</v>
      </c>
      <c r="P19" s="64">
        <v>1.07</v>
      </c>
      <c r="Q19" s="64">
        <v>9.94</v>
      </c>
      <c r="R19" s="198"/>
      <c r="S19" s="198"/>
      <c r="T19" s="198"/>
      <c r="U19" s="198"/>
    </row>
    <row r="20" spans="1:21" s="12" customFormat="1" x14ac:dyDescent="0.25">
      <c r="A20" s="213" t="s">
        <v>1026</v>
      </c>
      <c r="B20" s="64">
        <v>45.08</v>
      </c>
      <c r="C20" s="64">
        <v>60.13</v>
      </c>
      <c r="D20" s="64">
        <v>69.989999999999995</v>
      </c>
      <c r="E20" s="64">
        <v>0.46</v>
      </c>
      <c r="F20" s="64">
        <v>3.18</v>
      </c>
      <c r="G20" s="64">
        <v>117.31</v>
      </c>
      <c r="H20" s="64">
        <v>35.11</v>
      </c>
      <c r="I20" s="64">
        <v>1.49</v>
      </c>
      <c r="J20" s="64">
        <v>0.37</v>
      </c>
      <c r="K20" s="64">
        <v>344.62</v>
      </c>
      <c r="L20" s="64">
        <v>14.8</v>
      </c>
      <c r="M20" s="64">
        <v>49.66</v>
      </c>
      <c r="N20" s="64">
        <v>56.9</v>
      </c>
      <c r="O20" s="64">
        <v>0</v>
      </c>
      <c r="P20" s="64">
        <v>1.05</v>
      </c>
      <c r="Q20" s="64">
        <v>9.7799999999999994</v>
      </c>
      <c r="R20" s="198"/>
      <c r="S20" s="198"/>
      <c r="T20" s="198"/>
      <c r="U20" s="198"/>
    </row>
    <row r="21" spans="1:21" s="12" customFormat="1" x14ac:dyDescent="0.25">
      <c r="A21" s="213" t="s">
        <v>1027</v>
      </c>
      <c r="B21" s="64">
        <v>43.18</v>
      </c>
      <c r="C21" s="64">
        <v>59.92</v>
      </c>
      <c r="D21" s="64">
        <v>68.34</v>
      </c>
      <c r="E21" s="64">
        <v>0.51</v>
      </c>
      <c r="F21" s="64">
        <v>3.06</v>
      </c>
      <c r="G21" s="64">
        <v>117.31</v>
      </c>
      <c r="H21" s="64">
        <v>35.11</v>
      </c>
      <c r="I21" s="64">
        <v>1.57</v>
      </c>
      <c r="J21" s="64">
        <v>0.24</v>
      </c>
      <c r="K21" s="64">
        <v>18.420000000000002</v>
      </c>
      <c r="L21" s="64">
        <v>14.38</v>
      </c>
      <c r="M21" s="64">
        <v>51.23</v>
      </c>
      <c r="N21" s="64">
        <v>57</v>
      </c>
      <c r="O21" s="64">
        <v>0</v>
      </c>
      <c r="P21" s="64">
        <v>1.03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3" t="s">
        <v>1028</v>
      </c>
      <c r="B22" s="64">
        <v>41.84</v>
      </c>
      <c r="C22" s="64">
        <v>59.53</v>
      </c>
      <c r="D22" s="64">
        <v>67.05</v>
      </c>
      <c r="E22" s="64">
        <v>0.46</v>
      </c>
      <c r="F22" s="64">
        <v>2.95</v>
      </c>
      <c r="G22" s="64">
        <v>117.31</v>
      </c>
      <c r="H22" s="64">
        <v>35.11</v>
      </c>
      <c r="I22" s="64">
        <v>1.5</v>
      </c>
      <c r="J22" s="64">
        <v>0.15</v>
      </c>
      <c r="K22" s="64">
        <v>9.59</v>
      </c>
      <c r="L22" s="64">
        <v>14.02</v>
      </c>
      <c r="M22" s="64">
        <v>55.33</v>
      </c>
      <c r="N22" s="64">
        <v>57.3</v>
      </c>
      <c r="O22" s="64">
        <v>0</v>
      </c>
      <c r="P22" s="64">
        <v>1.01</v>
      </c>
      <c r="Q22" s="64">
        <v>9.52</v>
      </c>
      <c r="R22" s="198"/>
      <c r="S22" s="198"/>
      <c r="T22" s="198"/>
      <c r="U22" s="198"/>
    </row>
    <row r="23" spans="1:21" s="12" customFormat="1" x14ac:dyDescent="0.25">
      <c r="A23" s="213" t="s">
        <v>1029</v>
      </c>
      <c r="B23" s="64">
        <v>41.07</v>
      </c>
      <c r="C23" s="64">
        <v>58.43</v>
      </c>
      <c r="D23" s="64">
        <v>65.83</v>
      </c>
      <c r="E23" s="64">
        <v>0.48</v>
      </c>
      <c r="F23" s="64">
        <v>2.9</v>
      </c>
      <c r="G23" s="64">
        <v>117.22</v>
      </c>
      <c r="H23" s="64">
        <v>34.799999999999997</v>
      </c>
      <c r="I23" s="64">
        <v>1.44</v>
      </c>
      <c r="J23" s="64">
        <v>0.17</v>
      </c>
      <c r="K23" s="64">
        <v>66</v>
      </c>
      <c r="L23" s="64">
        <v>13.72</v>
      </c>
      <c r="M23" s="64">
        <v>57.21</v>
      </c>
      <c r="N23" s="64">
        <v>56.8</v>
      </c>
      <c r="O23" s="64">
        <v>0</v>
      </c>
      <c r="P23" s="64">
        <v>0.99</v>
      </c>
      <c r="Q23" s="64">
        <v>9.4</v>
      </c>
      <c r="R23" s="198"/>
      <c r="S23" s="198"/>
      <c r="T23" s="198"/>
      <c r="U23" s="198"/>
    </row>
    <row r="24" spans="1:21" s="12" customFormat="1" x14ac:dyDescent="0.25">
      <c r="A24" s="213" t="s">
        <v>1030</v>
      </c>
      <c r="B24" s="64">
        <v>40.24</v>
      </c>
      <c r="C24" s="64">
        <v>57.18</v>
      </c>
      <c r="D24" s="64">
        <v>64.47</v>
      </c>
      <c r="E24" s="64">
        <v>0.28999999999999998</v>
      </c>
      <c r="F24" s="64">
        <v>3.09</v>
      </c>
      <c r="G24" s="64">
        <v>117.19</v>
      </c>
      <c r="H24" s="64">
        <v>34.799999999999997</v>
      </c>
      <c r="I24" s="64">
        <v>1.52</v>
      </c>
      <c r="J24" s="64">
        <v>0.35</v>
      </c>
      <c r="K24" s="64">
        <v>9.5299999999999994</v>
      </c>
      <c r="L24" s="64">
        <v>13.75</v>
      </c>
      <c r="M24" s="64">
        <v>57.76</v>
      </c>
      <c r="N24" s="64">
        <v>56.3</v>
      </c>
      <c r="O24" s="64">
        <v>0</v>
      </c>
      <c r="P24" s="64">
        <v>0.98</v>
      </c>
      <c r="Q24" s="64">
        <v>9.26</v>
      </c>
      <c r="R24" s="198"/>
      <c r="S24" s="198"/>
      <c r="T24" s="198"/>
      <c r="U24" s="198"/>
    </row>
    <row r="25" spans="1:21" s="12" customFormat="1" x14ac:dyDescent="0.25">
      <c r="A25" s="213" t="s">
        <v>1031</v>
      </c>
      <c r="B25" s="64">
        <v>39.81</v>
      </c>
      <c r="C25" s="64">
        <v>56.56</v>
      </c>
      <c r="D25" s="64">
        <v>63.78</v>
      </c>
      <c r="E25" s="64">
        <v>0.31</v>
      </c>
      <c r="F25" s="64">
        <v>2.93</v>
      </c>
      <c r="G25" s="64">
        <v>117.19</v>
      </c>
      <c r="H25" s="64">
        <v>34.799999999999997</v>
      </c>
      <c r="I25" s="64">
        <v>1.56</v>
      </c>
      <c r="J25" s="64">
        <v>0.18</v>
      </c>
      <c r="K25" s="64">
        <v>31.65</v>
      </c>
      <c r="L25" s="64">
        <v>13.53</v>
      </c>
      <c r="M25" s="64">
        <v>59.27</v>
      </c>
      <c r="N25" s="64">
        <v>57</v>
      </c>
      <c r="O25" s="64">
        <v>0</v>
      </c>
      <c r="P25" s="64">
        <v>0.99</v>
      </c>
      <c r="Q25" s="64">
        <v>9.1</v>
      </c>
      <c r="R25" s="198"/>
      <c r="S25" s="198"/>
      <c r="T25" s="198"/>
      <c r="U25" s="198"/>
    </row>
    <row r="26" spans="1:21" s="12" customFormat="1" x14ac:dyDescent="0.25">
      <c r="A26" s="213" t="s">
        <v>1032</v>
      </c>
      <c r="B26" s="64">
        <v>39.19</v>
      </c>
      <c r="C26" s="64">
        <v>55.91</v>
      </c>
      <c r="D26" s="64">
        <v>62.93</v>
      </c>
      <c r="E26" s="64">
        <v>0.3</v>
      </c>
      <c r="F26" s="64">
        <v>2.98</v>
      </c>
      <c r="G26" s="64">
        <v>117.19</v>
      </c>
      <c r="H26" s="64">
        <v>34.799999999999997</v>
      </c>
      <c r="I26" s="64">
        <v>1.56</v>
      </c>
      <c r="J26" s="64">
        <v>0.11</v>
      </c>
      <c r="K26" s="64">
        <v>36.700000000000003</v>
      </c>
      <c r="L26" s="64">
        <v>13.24</v>
      </c>
      <c r="M26" s="64">
        <v>57.89</v>
      </c>
      <c r="N26" s="64">
        <v>56.8</v>
      </c>
      <c r="O26" s="64">
        <v>0</v>
      </c>
      <c r="P26" s="64">
        <v>0.98</v>
      </c>
      <c r="Q26" s="64">
        <v>9.02</v>
      </c>
      <c r="R26" s="198"/>
      <c r="S26" s="198"/>
      <c r="T26" s="198"/>
      <c r="U26" s="198"/>
    </row>
    <row r="27" spans="1:21" s="12" customFormat="1" x14ac:dyDescent="0.25">
      <c r="A27" s="213" t="s">
        <v>1033</v>
      </c>
      <c r="B27" s="64">
        <v>38.5</v>
      </c>
      <c r="C27" s="64">
        <v>55.15</v>
      </c>
      <c r="D27" s="64">
        <v>61.96</v>
      </c>
      <c r="E27" s="64">
        <v>0.26</v>
      </c>
      <c r="F27" s="64">
        <v>3.24</v>
      </c>
      <c r="G27" s="64">
        <v>117.26</v>
      </c>
      <c r="H27" s="64">
        <v>36.590000000000003</v>
      </c>
      <c r="I27" s="64">
        <v>1.58</v>
      </c>
      <c r="J27" s="64">
        <v>0.14000000000000001</v>
      </c>
      <c r="K27" s="64">
        <v>13.84</v>
      </c>
      <c r="L27" s="64">
        <v>13.18</v>
      </c>
      <c r="M27" s="64">
        <v>55.67</v>
      </c>
      <c r="N27" s="64">
        <v>56.6</v>
      </c>
      <c r="O27" s="64">
        <v>0</v>
      </c>
      <c r="P27" s="64">
        <v>0.97</v>
      </c>
      <c r="Q27" s="64">
        <v>8.94</v>
      </c>
      <c r="R27" s="198"/>
      <c r="S27" s="198"/>
      <c r="T27" s="198"/>
      <c r="U27" s="198"/>
    </row>
    <row r="28" spans="1:21" s="12" customFormat="1" x14ac:dyDescent="0.25">
      <c r="A28" s="213" t="s">
        <v>1034</v>
      </c>
      <c r="B28" s="64">
        <v>37.6</v>
      </c>
      <c r="C28" s="64">
        <v>54.93</v>
      </c>
      <c r="D28" s="64">
        <v>61.11</v>
      </c>
      <c r="E28" s="64">
        <v>0.28999999999999998</v>
      </c>
      <c r="F28" s="64">
        <v>3.24</v>
      </c>
      <c r="G28" s="64">
        <v>117.28</v>
      </c>
      <c r="H28" s="64">
        <v>36.590000000000003</v>
      </c>
      <c r="I28" s="64">
        <v>1.51</v>
      </c>
      <c r="J28" s="64">
        <v>0.17</v>
      </c>
      <c r="K28" s="64">
        <v>62.32</v>
      </c>
      <c r="L28" s="64">
        <v>13.38</v>
      </c>
      <c r="M28" s="64">
        <v>50.3</v>
      </c>
      <c r="N28" s="64">
        <v>56.4</v>
      </c>
      <c r="O28" s="64">
        <v>0</v>
      </c>
      <c r="P28" s="64">
        <v>0.94</v>
      </c>
      <c r="Q28" s="64">
        <v>8.85</v>
      </c>
      <c r="R28" s="198"/>
      <c r="S28" s="198"/>
      <c r="T28" s="198"/>
      <c r="U28" s="198"/>
    </row>
    <row r="29" spans="1:21" s="12" customFormat="1" x14ac:dyDescent="0.25">
      <c r="A29" s="213" t="s">
        <v>1035</v>
      </c>
      <c r="B29" s="64">
        <v>36.22</v>
      </c>
      <c r="C29" s="64">
        <v>54.92</v>
      </c>
      <c r="D29" s="64">
        <v>60</v>
      </c>
      <c r="E29" s="64">
        <v>0.23</v>
      </c>
      <c r="F29" s="64">
        <v>3.13</v>
      </c>
      <c r="G29" s="64">
        <v>117.28</v>
      </c>
      <c r="H29" s="64">
        <v>36.590000000000003</v>
      </c>
      <c r="I29" s="64">
        <v>1.48</v>
      </c>
      <c r="J29" s="64">
        <v>0.14000000000000001</v>
      </c>
      <c r="K29" s="64">
        <v>349.55</v>
      </c>
      <c r="L29" s="64">
        <v>13.21</v>
      </c>
      <c r="M29" s="64">
        <v>50.25</v>
      </c>
      <c r="N29" s="64">
        <v>56.7</v>
      </c>
      <c r="O29" s="64">
        <v>0</v>
      </c>
      <c r="P29" s="64">
        <v>0.9</v>
      </c>
      <c r="Q29" s="64">
        <v>8.76</v>
      </c>
      <c r="R29" s="198"/>
      <c r="S29" s="198"/>
      <c r="T29" s="198"/>
      <c r="U29" s="198"/>
    </row>
    <row r="30" spans="1:21" s="12" customFormat="1" x14ac:dyDescent="0.25">
      <c r="A30" s="213" t="s">
        <v>1036</v>
      </c>
      <c r="B30" s="64">
        <v>34.549999999999997</v>
      </c>
      <c r="C30" s="64">
        <v>54.86</v>
      </c>
      <c r="D30" s="64">
        <v>58.63</v>
      </c>
      <c r="E30" s="64">
        <v>0.22</v>
      </c>
      <c r="F30" s="64">
        <v>3.17</v>
      </c>
      <c r="G30" s="64">
        <v>117.28</v>
      </c>
      <c r="H30" s="64">
        <v>36.590000000000003</v>
      </c>
      <c r="I30" s="64">
        <v>1.53</v>
      </c>
      <c r="J30" s="64">
        <v>0.13</v>
      </c>
      <c r="K30" s="64">
        <v>356.34</v>
      </c>
      <c r="L30" s="64">
        <v>13.15</v>
      </c>
      <c r="M30" s="64">
        <v>49.1</v>
      </c>
      <c r="N30" s="64">
        <v>56.9</v>
      </c>
      <c r="O30" s="64">
        <v>0</v>
      </c>
      <c r="P30" s="64">
        <v>0.87</v>
      </c>
      <c r="Q30" s="64">
        <v>8.66</v>
      </c>
      <c r="R30" s="198"/>
      <c r="S30" s="198"/>
      <c r="T30" s="198"/>
      <c r="U30" s="198"/>
    </row>
    <row r="31" spans="1:21" s="12" customFormat="1" x14ac:dyDescent="0.25">
      <c r="A31" s="213" t="s">
        <v>1037</v>
      </c>
      <c r="B31" s="64">
        <v>33.08</v>
      </c>
      <c r="C31" s="64">
        <v>54.74</v>
      </c>
      <c r="D31" s="64">
        <v>57.38</v>
      </c>
      <c r="E31" s="64">
        <v>0.15</v>
      </c>
      <c r="F31" s="64">
        <v>3.05</v>
      </c>
      <c r="G31" s="64">
        <v>83.19</v>
      </c>
      <c r="H31" s="64">
        <v>33.58</v>
      </c>
      <c r="I31" s="64">
        <v>1.44</v>
      </c>
      <c r="J31" s="64">
        <v>0.16</v>
      </c>
      <c r="K31" s="64">
        <v>46.62</v>
      </c>
      <c r="L31" s="64">
        <v>12.94</v>
      </c>
      <c r="M31" s="64">
        <v>49.68</v>
      </c>
      <c r="N31" s="64">
        <v>56.8</v>
      </c>
      <c r="O31" s="64">
        <v>0</v>
      </c>
      <c r="P31" s="64">
        <v>0.83</v>
      </c>
      <c r="Q31" s="64">
        <v>8.56</v>
      </c>
      <c r="R31" s="198"/>
      <c r="S31" s="198"/>
      <c r="T31" s="198"/>
      <c r="U31" s="198"/>
    </row>
    <row r="32" spans="1:21" s="12" customFormat="1" x14ac:dyDescent="0.25">
      <c r="A32" s="213" t="s">
        <v>1038</v>
      </c>
      <c r="B32" s="64">
        <v>31.62</v>
      </c>
      <c r="C32" s="64">
        <v>54.29</v>
      </c>
      <c r="D32" s="64">
        <v>55.97</v>
      </c>
      <c r="E32" s="64">
        <v>0.18</v>
      </c>
      <c r="F32" s="64">
        <v>3.2</v>
      </c>
      <c r="G32" s="64">
        <v>74.069999999999993</v>
      </c>
      <c r="H32" s="64">
        <v>33.58</v>
      </c>
      <c r="I32" s="64">
        <v>1.47</v>
      </c>
      <c r="J32" s="64">
        <v>0.14000000000000001</v>
      </c>
      <c r="K32" s="64">
        <v>36.61</v>
      </c>
      <c r="L32" s="64">
        <v>12.95</v>
      </c>
      <c r="M32" s="64">
        <v>49.07</v>
      </c>
      <c r="N32" s="64">
        <v>56.6</v>
      </c>
      <c r="O32" s="64">
        <v>0</v>
      </c>
      <c r="P32" s="64">
        <v>0.79</v>
      </c>
      <c r="Q32" s="64">
        <v>8.42</v>
      </c>
      <c r="R32" s="198"/>
      <c r="S32" s="198"/>
      <c r="T32" s="198"/>
      <c r="U32" s="198"/>
    </row>
    <row r="33" spans="1:21" s="12" customFormat="1" x14ac:dyDescent="0.25">
      <c r="A33" s="213" t="s">
        <v>1039</v>
      </c>
      <c r="B33" s="64">
        <v>30.29</v>
      </c>
      <c r="C33" s="64">
        <v>54.33</v>
      </c>
      <c r="D33" s="64">
        <v>54.92</v>
      </c>
      <c r="E33" s="64">
        <v>0.16</v>
      </c>
      <c r="F33" s="64">
        <v>3.13</v>
      </c>
      <c r="G33" s="64">
        <v>74.069999999999993</v>
      </c>
      <c r="H33" s="64">
        <v>33.58</v>
      </c>
      <c r="I33" s="64">
        <v>1.52</v>
      </c>
      <c r="J33" s="64">
        <v>0.2</v>
      </c>
      <c r="K33" s="64">
        <v>71.83</v>
      </c>
      <c r="L33" s="64">
        <v>12.92</v>
      </c>
      <c r="M33" s="64">
        <v>46.85</v>
      </c>
      <c r="N33" s="64">
        <v>56.9</v>
      </c>
      <c r="O33" s="64">
        <v>0</v>
      </c>
      <c r="P33" s="64">
        <v>0.76</v>
      </c>
      <c r="Q33" s="64">
        <v>8.34</v>
      </c>
      <c r="R33" s="198"/>
      <c r="S33" s="198"/>
      <c r="T33" s="198"/>
      <c r="U33" s="198"/>
    </row>
    <row r="34" spans="1:21" s="12" customFormat="1" x14ac:dyDescent="0.25">
      <c r="A34" s="213" t="s">
        <v>1040</v>
      </c>
      <c r="B34" s="64">
        <v>29.04</v>
      </c>
      <c r="C34" s="64">
        <v>54.38</v>
      </c>
      <c r="D34" s="64">
        <v>53.94</v>
      </c>
      <c r="E34" s="64">
        <v>0.2</v>
      </c>
      <c r="F34" s="64">
        <v>3.21</v>
      </c>
      <c r="G34" s="64">
        <v>74.069999999999993</v>
      </c>
      <c r="H34" s="64">
        <v>33.58</v>
      </c>
      <c r="I34" s="64">
        <v>1.52</v>
      </c>
      <c r="J34" s="64">
        <v>0.19</v>
      </c>
      <c r="K34" s="64">
        <v>71.62</v>
      </c>
      <c r="L34" s="64">
        <v>12.77</v>
      </c>
      <c r="M34" s="64">
        <v>48.07</v>
      </c>
      <c r="N34" s="64">
        <v>59.8</v>
      </c>
      <c r="O34" s="64">
        <v>0</v>
      </c>
      <c r="P34" s="64">
        <v>0.74</v>
      </c>
      <c r="Q34" s="64">
        <v>8.24</v>
      </c>
      <c r="R34" s="198"/>
      <c r="S34" s="198"/>
      <c r="T34" s="198"/>
      <c r="U34" s="198"/>
    </row>
    <row r="35" spans="1:21" s="12" customFormat="1" x14ac:dyDescent="0.25">
      <c r="A35" s="213" t="s">
        <v>1041</v>
      </c>
      <c r="B35" s="64">
        <v>28.23</v>
      </c>
      <c r="C35" s="64">
        <v>54.55</v>
      </c>
      <c r="D35" s="64">
        <v>53.39</v>
      </c>
      <c r="E35" s="64">
        <v>0.2</v>
      </c>
      <c r="F35" s="64">
        <v>3.25</v>
      </c>
      <c r="G35" s="64">
        <v>69.209999999999994</v>
      </c>
      <c r="H35" s="64">
        <v>29.16</v>
      </c>
      <c r="I35" s="64">
        <v>1.54</v>
      </c>
      <c r="J35" s="64">
        <v>0.15</v>
      </c>
      <c r="K35" s="64">
        <v>62.87</v>
      </c>
      <c r="L35" s="64">
        <v>12.65</v>
      </c>
      <c r="M35" s="64">
        <v>50.31</v>
      </c>
      <c r="N35" s="64">
        <v>68.900000000000006</v>
      </c>
      <c r="O35" s="64">
        <v>0</v>
      </c>
      <c r="P35" s="64">
        <v>0.71</v>
      </c>
      <c r="Q35" s="64">
        <v>8.16</v>
      </c>
      <c r="R35" s="198"/>
      <c r="S35" s="198"/>
      <c r="T35" s="198"/>
      <c r="U35" s="198"/>
    </row>
    <row r="36" spans="1:21" s="12" customFormat="1" x14ac:dyDescent="0.25">
      <c r="A36" s="213" t="s">
        <v>1042</v>
      </c>
      <c r="B36" s="64">
        <v>27.65</v>
      </c>
      <c r="C36" s="64">
        <v>54.64</v>
      </c>
      <c r="D36" s="64">
        <v>52.98</v>
      </c>
      <c r="E36" s="64">
        <v>0.14000000000000001</v>
      </c>
      <c r="F36" s="64">
        <v>3.36</v>
      </c>
      <c r="G36" s="64">
        <v>67.91</v>
      </c>
      <c r="H36" s="64">
        <v>29.16</v>
      </c>
      <c r="I36" s="64">
        <v>1.46</v>
      </c>
      <c r="J36" s="64">
        <v>0.15</v>
      </c>
      <c r="K36" s="64">
        <v>342.46</v>
      </c>
      <c r="L36" s="64">
        <v>12.84</v>
      </c>
      <c r="M36" s="64">
        <v>49.72</v>
      </c>
      <c r="N36" s="64">
        <v>81.2</v>
      </c>
      <c r="O36" s="64">
        <v>0</v>
      </c>
      <c r="P36" s="64">
        <v>0.69</v>
      </c>
      <c r="Q36" s="64">
        <v>8.06</v>
      </c>
      <c r="R36" s="198"/>
      <c r="S36" s="198"/>
      <c r="T36" s="198"/>
      <c r="U36" s="198"/>
    </row>
    <row r="37" spans="1:21" s="12" customFormat="1" x14ac:dyDescent="0.25">
      <c r="A37" s="213" t="s">
        <v>1043</v>
      </c>
      <c r="B37" s="64">
        <v>28.08</v>
      </c>
      <c r="C37" s="64">
        <v>54.99</v>
      </c>
      <c r="D37" s="64">
        <v>53.51</v>
      </c>
      <c r="E37" s="64">
        <v>0.16</v>
      </c>
      <c r="F37" s="64">
        <v>3.33</v>
      </c>
      <c r="G37" s="64">
        <v>67.91</v>
      </c>
      <c r="H37" s="64">
        <v>29.16</v>
      </c>
      <c r="I37" s="64">
        <v>1.44</v>
      </c>
      <c r="J37" s="64">
        <v>0.18</v>
      </c>
      <c r="K37" s="64">
        <v>349.03</v>
      </c>
      <c r="L37" s="64">
        <v>13.14</v>
      </c>
      <c r="M37" s="64">
        <v>49.75</v>
      </c>
      <c r="N37" s="64">
        <v>101.7</v>
      </c>
      <c r="O37" s="64">
        <v>0</v>
      </c>
      <c r="P37" s="64">
        <v>0.73</v>
      </c>
      <c r="Q37" s="64">
        <v>8.02</v>
      </c>
      <c r="R37" s="198"/>
      <c r="S37" s="198"/>
      <c r="T37" s="198"/>
      <c r="U37" s="198"/>
    </row>
    <row r="38" spans="1:21" s="12" customFormat="1" x14ac:dyDescent="0.25">
      <c r="A38" s="213" t="s">
        <v>1044</v>
      </c>
      <c r="B38" s="64">
        <v>29.37</v>
      </c>
      <c r="C38" s="64">
        <v>55.6</v>
      </c>
      <c r="D38" s="64">
        <v>54.89</v>
      </c>
      <c r="E38" s="64">
        <v>0.17</v>
      </c>
      <c r="F38" s="64">
        <v>3.32</v>
      </c>
      <c r="G38" s="64">
        <v>67.91</v>
      </c>
      <c r="H38" s="64">
        <v>29.16</v>
      </c>
      <c r="I38" s="64">
        <v>1.47</v>
      </c>
      <c r="J38" s="64">
        <v>0.15</v>
      </c>
      <c r="K38" s="64">
        <v>0.7</v>
      </c>
      <c r="L38" s="64">
        <v>13.76</v>
      </c>
      <c r="M38" s="64">
        <v>47.09</v>
      </c>
      <c r="N38" s="64">
        <v>140.80000000000001</v>
      </c>
      <c r="O38" s="64">
        <v>0</v>
      </c>
      <c r="P38" s="64">
        <v>0.77</v>
      </c>
      <c r="Q38" s="64">
        <v>8.07</v>
      </c>
      <c r="R38" s="198"/>
      <c r="S38" s="198"/>
      <c r="T38" s="198"/>
      <c r="U38" s="198"/>
    </row>
    <row r="39" spans="1:21" s="12" customFormat="1" x14ac:dyDescent="0.25">
      <c r="A39" s="213" t="s">
        <v>1045</v>
      </c>
      <c r="B39" s="64">
        <v>30.07</v>
      </c>
      <c r="C39" s="64">
        <v>56.23</v>
      </c>
      <c r="D39" s="64">
        <v>55.79</v>
      </c>
      <c r="E39" s="64">
        <v>0.17</v>
      </c>
      <c r="F39" s="64">
        <v>3.27</v>
      </c>
      <c r="G39" s="64">
        <v>68.209999999999994</v>
      </c>
      <c r="H39" s="64">
        <v>25.62</v>
      </c>
      <c r="I39" s="64">
        <v>1.48</v>
      </c>
      <c r="J39" s="64">
        <v>0.17</v>
      </c>
      <c r="K39" s="64">
        <v>44.35</v>
      </c>
      <c r="L39" s="64">
        <v>15.34</v>
      </c>
      <c r="M39" s="64">
        <v>40.729999999999997</v>
      </c>
      <c r="N39" s="64">
        <v>267.10000000000002</v>
      </c>
      <c r="O39" s="64">
        <v>0</v>
      </c>
      <c r="P39" s="64">
        <v>0.76</v>
      </c>
      <c r="Q39" s="64">
        <v>8.11</v>
      </c>
      <c r="R39" s="198"/>
      <c r="S39" s="198"/>
      <c r="T39" s="198"/>
      <c r="U39" s="198"/>
    </row>
    <row r="40" spans="1:21" s="12" customFormat="1" x14ac:dyDescent="0.25">
      <c r="A40" s="213" t="s">
        <v>1046</v>
      </c>
      <c r="B40" s="64">
        <v>29.87</v>
      </c>
      <c r="C40" s="64">
        <v>56.54</v>
      </c>
      <c r="D40" s="64">
        <v>55.81</v>
      </c>
      <c r="E40" s="64">
        <v>0.19</v>
      </c>
      <c r="F40" s="64">
        <v>3.4</v>
      </c>
      <c r="G40" s="64">
        <v>68.28</v>
      </c>
      <c r="H40" s="64">
        <v>25.62</v>
      </c>
      <c r="I40" s="64">
        <v>1.51</v>
      </c>
      <c r="J40" s="64">
        <v>1.21</v>
      </c>
      <c r="K40" s="64">
        <v>100.33</v>
      </c>
      <c r="L40" s="64">
        <v>15.83</v>
      </c>
      <c r="M40" s="64">
        <v>37.869999999999997</v>
      </c>
      <c r="N40" s="64">
        <v>336.8</v>
      </c>
      <c r="O40" s="64">
        <v>0</v>
      </c>
      <c r="P40" s="64">
        <v>0.74</v>
      </c>
      <c r="Q40" s="64">
        <v>8.16</v>
      </c>
      <c r="R40" s="198"/>
      <c r="S40" s="198"/>
      <c r="T40" s="198"/>
      <c r="U40" s="198"/>
    </row>
    <row r="41" spans="1:21" s="12" customFormat="1" x14ac:dyDescent="0.25">
      <c r="A41" s="213" t="s">
        <v>1047</v>
      </c>
      <c r="B41" s="64">
        <v>28.23</v>
      </c>
      <c r="C41" s="64">
        <v>56.23</v>
      </c>
      <c r="D41" s="64">
        <v>54.31</v>
      </c>
      <c r="E41" s="64">
        <v>0.31</v>
      </c>
      <c r="F41" s="64">
        <v>3.19</v>
      </c>
      <c r="G41" s="64">
        <v>68.28</v>
      </c>
      <c r="H41" s="64">
        <v>25.62</v>
      </c>
      <c r="I41" s="64">
        <v>1.51</v>
      </c>
      <c r="J41" s="64">
        <v>0.8</v>
      </c>
      <c r="K41" s="64">
        <v>99.02</v>
      </c>
      <c r="L41" s="64">
        <v>16.39</v>
      </c>
      <c r="M41" s="64">
        <v>36.76</v>
      </c>
      <c r="N41" s="64">
        <v>393</v>
      </c>
      <c r="O41" s="64">
        <v>0</v>
      </c>
      <c r="P41" s="64">
        <v>0.72</v>
      </c>
      <c r="Q41" s="64">
        <v>8.09</v>
      </c>
      <c r="R41" s="198"/>
      <c r="S41" s="198"/>
      <c r="T41" s="198"/>
      <c r="U41" s="198"/>
    </row>
    <row r="42" spans="1:21" s="12" customFormat="1" x14ac:dyDescent="0.25">
      <c r="A42" s="213" t="s">
        <v>1048</v>
      </c>
      <c r="B42" s="64">
        <v>26.37</v>
      </c>
      <c r="C42" s="64">
        <v>56.07</v>
      </c>
      <c r="D42" s="64">
        <v>52.73</v>
      </c>
      <c r="E42" s="64">
        <v>0.3</v>
      </c>
      <c r="F42" s="64">
        <v>3.2</v>
      </c>
      <c r="G42" s="64">
        <v>68.28</v>
      </c>
      <c r="H42" s="64">
        <v>25.62</v>
      </c>
      <c r="I42" s="64">
        <v>1.58</v>
      </c>
      <c r="J42" s="64">
        <v>0.35</v>
      </c>
      <c r="K42" s="64">
        <v>43.88</v>
      </c>
      <c r="L42" s="64">
        <v>17.8</v>
      </c>
      <c r="M42" s="64">
        <v>35.130000000000003</v>
      </c>
      <c r="N42" s="64">
        <v>442.8</v>
      </c>
      <c r="O42" s="64">
        <v>0</v>
      </c>
      <c r="P42" s="64">
        <v>0.7</v>
      </c>
      <c r="Q42" s="64">
        <v>7.96</v>
      </c>
      <c r="R42" s="198"/>
      <c r="S42" s="198"/>
      <c r="T42" s="198"/>
      <c r="U42" s="198"/>
    </row>
    <row r="43" spans="1:21" s="12" customFormat="1" x14ac:dyDescent="0.25">
      <c r="A43" s="213" t="s">
        <v>1049</v>
      </c>
      <c r="B43" s="64">
        <v>26.01</v>
      </c>
      <c r="C43" s="64">
        <v>56.27</v>
      </c>
      <c r="D43" s="64">
        <v>52.56</v>
      </c>
      <c r="E43" s="64">
        <v>0.3</v>
      </c>
      <c r="F43" s="64">
        <v>3.38</v>
      </c>
      <c r="G43" s="64">
        <v>62.44</v>
      </c>
      <c r="H43" s="64">
        <v>24.25</v>
      </c>
      <c r="I43" s="64">
        <v>1.45</v>
      </c>
      <c r="J43" s="64">
        <v>1.25</v>
      </c>
      <c r="K43" s="64">
        <v>105.09</v>
      </c>
      <c r="L43" s="64">
        <v>18.57</v>
      </c>
      <c r="M43" s="64">
        <v>32.49</v>
      </c>
      <c r="N43" s="64">
        <v>503.1</v>
      </c>
      <c r="O43" s="64">
        <v>0</v>
      </c>
      <c r="P43" s="64">
        <v>0.69</v>
      </c>
      <c r="Q43" s="64">
        <v>7.88</v>
      </c>
      <c r="R43" s="198"/>
      <c r="S43" s="198"/>
      <c r="T43" s="198"/>
      <c r="U43" s="198"/>
    </row>
    <row r="44" spans="1:21" s="12" customFormat="1" x14ac:dyDescent="0.25">
      <c r="A44" s="213" t="s">
        <v>1050</v>
      </c>
      <c r="B44" s="64">
        <v>24.75</v>
      </c>
      <c r="C44" s="64">
        <v>55.95</v>
      </c>
      <c r="D44" s="64">
        <v>51.37</v>
      </c>
      <c r="E44" s="64">
        <v>0.32</v>
      </c>
      <c r="F44" s="64">
        <v>3.44</v>
      </c>
      <c r="G44" s="64">
        <v>60.87</v>
      </c>
      <c r="H44" s="64">
        <v>24.25</v>
      </c>
      <c r="I44" s="64">
        <v>1.51</v>
      </c>
      <c r="J44" s="64">
        <v>0.63</v>
      </c>
      <c r="K44" s="64">
        <v>90.96</v>
      </c>
      <c r="L44" s="64">
        <v>18.329999999999998</v>
      </c>
      <c r="M44" s="64">
        <v>29.7</v>
      </c>
      <c r="N44" s="64">
        <v>548.79999999999995</v>
      </c>
      <c r="O44" s="64">
        <v>0</v>
      </c>
      <c r="P44" s="64">
        <v>0.67</v>
      </c>
      <c r="Q44" s="64">
        <v>7.85</v>
      </c>
      <c r="R44" s="198"/>
      <c r="S44" s="198"/>
      <c r="T44" s="198"/>
      <c r="U44" s="198"/>
    </row>
    <row r="45" spans="1:21" s="12" customFormat="1" x14ac:dyDescent="0.25">
      <c r="A45" s="213" t="s">
        <v>1051</v>
      </c>
      <c r="B45" s="64">
        <v>23.51</v>
      </c>
      <c r="C45" s="64">
        <v>56.3</v>
      </c>
      <c r="D45" s="64">
        <v>50.57</v>
      </c>
      <c r="E45" s="64">
        <v>0.31</v>
      </c>
      <c r="F45" s="64">
        <v>3.24</v>
      </c>
      <c r="G45" s="64">
        <v>60.87</v>
      </c>
      <c r="H45" s="64">
        <v>24.25</v>
      </c>
      <c r="I45" s="64">
        <v>1.51</v>
      </c>
      <c r="J45" s="64">
        <v>0.33</v>
      </c>
      <c r="K45" s="64">
        <v>55.59</v>
      </c>
      <c r="L45" s="64">
        <v>20.190000000000001</v>
      </c>
      <c r="M45" s="64">
        <v>27.61</v>
      </c>
      <c r="N45" s="64">
        <v>589.9</v>
      </c>
      <c r="O45" s="64">
        <v>0</v>
      </c>
      <c r="P45" s="64">
        <v>0.65</v>
      </c>
      <c r="Q45" s="64">
        <v>7.72</v>
      </c>
      <c r="R45" s="198"/>
      <c r="S45" s="198"/>
      <c r="T45" s="198"/>
      <c r="U45" s="198"/>
    </row>
    <row r="46" spans="1:21" s="12" customFormat="1" x14ac:dyDescent="0.25">
      <c r="A46" s="213" t="s">
        <v>1052</v>
      </c>
      <c r="B46" s="64">
        <v>23.32</v>
      </c>
      <c r="C46" s="64">
        <v>56.79</v>
      </c>
      <c r="D46" s="64">
        <v>50.69</v>
      </c>
      <c r="E46" s="64">
        <v>0.24</v>
      </c>
      <c r="F46" s="64">
        <v>3.16</v>
      </c>
      <c r="G46" s="64">
        <v>60.87</v>
      </c>
      <c r="H46" s="64">
        <v>24.25</v>
      </c>
      <c r="I46" s="64">
        <v>1.58</v>
      </c>
      <c r="J46" s="64">
        <v>0.61</v>
      </c>
      <c r="K46" s="64">
        <v>86.14</v>
      </c>
      <c r="L46" s="64">
        <v>20.52</v>
      </c>
      <c r="M46" s="64">
        <v>27.18</v>
      </c>
      <c r="N46" s="64">
        <v>640.4</v>
      </c>
      <c r="O46" s="64">
        <v>0</v>
      </c>
      <c r="P46" s="64">
        <v>0.64</v>
      </c>
      <c r="Q46" s="64">
        <v>7.66</v>
      </c>
      <c r="R46" s="198"/>
      <c r="S46" s="198"/>
      <c r="T46" s="198"/>
      <c r="U46" s="198"/>
    </row>
    <row r="47" spans="1:21" s="12" customFormat="1" x14ac:dyDescent="0.25">
      <c r="A47" s="213" t="s">
        <v>1053</v>
      </c>
      <c r="B47" s="64">
        <v>23.81</v>
      </c>
      <c r="C47" s="64">
        <v>57.17</v>
      </c>
      <c r="D47" s="64">
        <v>51.29</v>
      </c>
      <c r="E47" s="64">
        <v>0.21</v>
      </c>
      <c r="F47" s="64">
        <v>3.43</v>
      </c>
      <c r="G47" s="64">
        <v>53.88</v>
      </c>
      <c r="H47" s="64">
        <v>21.28</v>
      </c>
      <c r="I47" s="64">
        <v>1.46</v>
      </c>
      <c r="J47" s="64">
        <v>1.51</v>
      </c>
      <c r="K47" s="64">
        <v>100.65</v>
      </c>
      <c r="L47" s="64">
        <v>19.11</v>
      </c>
      <c r="M47" s="64">
        <v>29.55</v>
      </c>
      <c r="N47" s="64">
        <v>685.4</v>
      </c>
      <c r="O47" s="64">
        <v>0</v>
      </c>
      <c r="P47" s="64">
        <v>0.62</v>
      </c>
      <c r="Q47" s="64">
        <v>7.68</v>
      </c>
      <c r="R47" s="198"/>
      <c r="S47" s="198"/>
      <c r="T47" s="198"/>
      <c r="U47" s="198"/>
    </row>
    <row r="48" spans="1:21" s="12" customFormat="1" x14ac:dyDescent="0.25">
      <c r="A48" s="213" t="s">
        <v>1054</v>
      </c>
      <c r="B48" s="64">
        <v>22.62</v>
      </c>
      <c r="C48" s="64">
        <v>57.17</v>
      </c>
      <c r="D48" s="64">
        <v>50.34</v>
      </c>
      <c r="E48" s="64">
        <v>0.27</v>
      </c>
      <c r="F48" s="64">
        <v>3.42</v>
      </c>
      <c r="G48" s="64">
        <v>52</v>
      </c>
      <c r="H48" s="64">
        <v>21.28</v>
      </c>
      <c r="I48" s="64">
        <v>1.52</v>
      </c>
      <c r="J48" s="64">
        <v>1.34</v>
      </c>
      <c r="K48" s="64">
        <v>100.26</v>
      </c>
      <c r="L48" s="64">
        <v>19.79</v>
      </c>
      <c r="M48" s="64">
        <v>27.13</v>
      </c>
      <c r="N48" s="64">
        <v>719.4</v>
      </c>
      <c r="O48" s="64">
        <v>0</v>
      </c>
      <c r="P48" s="64">
        <v>0.59</v>
      </c>
      <c r="Q48" s="64">
        <v>7.63</v>
      </c>
      <c r="R48" s="198"/>
      <c r="S48" s="198"/>
      <c r="T48" s="198"/>
      <c r="U48" s="198"/>
    </row>
    <row r="49" spans="1:21" s="12" customFormat="1" x14ac:dyDescent="0.25">
      <c r="A49" s="213" t="s">
        <v>1055</v>
      </c>
      <c r="B49" s="64">
        <v>20.64</v>
      </c>
      <c r="C49" s="64">
        <v>57.5</v>
      </c>
      <c r="D49" s="64">
        <v>48.93</v>
      </c>
      <c r="E49" s="64">
        <v>0.22</v>
      </c>
      <c r="F49" s="64">
        <v>3.4</v>
      </c>
      <c r="G49" s="64">
        <v>52</v>
      </c>
      <c r="H49" s="64">
        <v>21.28</v>
      </c>
      <c r="I49" s="64">
        <v>1.48</v>
      </c>
      <c r="J49" s="64">
        <v>0.74</v>
      </c>
      <c r="K49" s="64">
        <v>72.3</v>
      </c>
      <c r="L49" s="64">
        <v>20.64</v>
      </c>
      <c r="M49" s="64">
        <v>25.05</v>
      </c>
      <c r="N49" s="64">
        <v>747.2</v>
      </c>
      <c r="O49" s="64">
        <v>0</v>
      </c>
      <c r="P49" s="64">
        <v>0.56999999999999995</v>
      </c>
      <c r="Q49" s="64">
        <v>7.55</v>
      </c>
      <c r="R49" s="198"/>
      <c r="S49" s="198"/>
      <c r="T49" s="198"/>
      <c r="U49" s="198"/>
    </row>
    <row r="50" spans="1:21" s="12" customFormat="1" x14ac:dyDescent="0.25">
      <c r="A50" s="213" t="s">
        <v>1056</v>
      </c>
      <c r="B50" s="64">
        <v>18.47</v>
      </c>
      <c r="C50" s="64">
        <v>57.78</v>
      </c>
      <c r="D50" s="64">
        <v>47.35</v>
      </c>
      <c r="E50" s="64">
        <v>0.25</v>
      </c>
      <c r="F50" s="64">
        <v>3.3</v>
      </c>
      <c r="G50" s="64">
        <v>52</v>
      </c>
      <c r="H50" s="64">
        <v>21.28</v>
      </c>
      <c r="I50" s="64">
        <v>1.52</v>
      </c>
      <c r="J50" s="64">
        <v>1.04</v>
      </c>
      <c r="K50" s="64">
        <v>93.59</v>
      </c>
      <c r="L50" s="64">
        <v>21.33</v>
      </c>
      <c r="M50" s="64">
        <v>24.3</v>
      </c>
      <c r="N50" s="64">
        <v>774.9</v>
      </c>
      <c r="O50" s="64">
        <v>0</v>
      </c>
      <c r="P50" s="64">
        <v>0.55000000000000004</v>
      </c>
      <c r="Q50" s="64">
        <v>7.43</v>
      </c>
      <c r="R50" s="198"/>
      <c r="S50" s="198"/>
      <c r="T50" s="198"/>
      <c r="U50" s="198"/>
    </row>
    <row r="51" spans="1:21" s="12" customFormat="1" x14ac:dyDescent="0.25">
      <c r="A51" s="213" t="s">
        <v>1057</v>
      </c>
      <c r="B51" s="64">
        <v>13.34</v>
      </c>
      <c r="C51" s="64">
        <v>58.07</v>
      </c>
      <c r="D51" s="64">
        <v>43.39</v>
      </c>
      <c r="E51" s="64">
        <v>0.41</v>
      </c>
      <c r="F51" s="64">
        <v>4.9000000000000004</v>
      </c>
      <c r="G51" s="64">
        <v>47.01</v>
      </c>
      <c r="H51" s="64">
        <v>20.23</v>
      </c>
      <c r="I51" s="64">
        <v>1.51</v>
      </c>
      <c r="J51" s="64">
        <v>1.23</v>
      </c>
      <c r="K51" s="64">
        <v>97.38</v>
      </c>
      <c r="L51" s="64">
        <v>21.32</v>
      </c>
      <c r="M51" s="64">
        <v>24.25</v>
      </c>
      <c r="N51" s="64">
        <v>797.8</v>
      </c>
      <c r="O51" s="64">
        <v>0</v>
      </c>
      <c r="P51" s="64">
        <v>0.5</v>
      </c>
      <c r="Q51" s="64">
        <v>7.26</v>
      </c>
      <c r="R51" s="198"/>
      <c r="S51" s="198"/>
      <c r="T51" s="198"/>
      <c r="U51" s="198"/>
    </row>
    <row r="52" spans="1:21" s="12" customFormat="1" x14ac:dyDescent="0.25">
      <c r="A52" s="213" t="s">
        <v>1058</v>
      </c>
      <c r="B52" s="64">
        <v>7.6</v>
      </c>
      <c r="C52" s="64">
        <v>61.6</v>
      </c>
      <c r="D52" s="64">
        <v>40.74</v>
      </c>
      <c r="E52" s="64">
        <v>0.57999999999999996</v>
      </c>
      <c r="F52" s="64">
        <v>6.26</v>
      </c>
      <c r="G52" s="64">
        <v>45.68</v>
      </c>
      <c r="H52" s="64">
        <v>20.23</v>
      </c>
      <c r="I52" s="64">
        <v>1.42</v>
      </c>
      <c r="J52" s="64">
        <v>0.57999999999999996</v>
      </c>
      <c r="K52" s="64">
        <v>13.33</v>
      </c>
      <c r="L52" s="64">
        <v>22.75</v>
      </c>
      <c r="M52" s="64">
        <v>22.96</v>
      </c>
      <c r="N52" s="64">
        <v>820.1</v>
      </c>
      <c r="O52" s="64">
        <v>0</v>
      </c>
      <c r="P52" s="64">
        <v>0.46</v>
      </c>
      <c r="Q52" s="64">
        <v>6.79</v>
      </c>
      <c r="R52" s="198"/>
      <c r="S52" s="198"/>
      <c r="T52" s="198"/>
      <c r="U52" s="198"/>
    </row>
    <row r="53" spans="1:21" s="12" customFormat="1" x14ac:dyDescent="0.25">
      <c r="A53" s="213" t="s">
        <v>1059</v>
      </c>
      <c r="B53" s="64">
        <v>6.7</v>
      </c>
      <c r="C53" s="64">
        <v>70.5</v>
      </c>
      <c r="D53" s="64">
        <v>44.93</v>
      </c>
      <c r="E53" s="64">
        <v>1.0900000000000001</v>
      </c>
      <c r="F53" s="64">
        <v>8.2200000000000006</v>
      </c>
      <c r="G53" s="64">
        <v>45.68</v>
      </c>
      <c r="H53" s="64">
        <v>20.23</v>
      </c>
      <c r="I53" s="64">
        <v>1.52</v>
      </c>
      <c r="J53" s="64">
        <v>0.66</v>
      </c>
      <c r="K53" s="64">
        <v>22.39</v>
      </c>
      <c r="L53" s="64">
        <v>24.01</v>
      </c>
      <c r="M53" s="64">
        <v>20.94</v>
      </c>
      <c r="N53" s="64">
        <v>841</v>
      </c>
      <c r="O53" s="64">
        <v>0</v>
      </c>
      <c r="P53" s="64">
        <v>0.47</v>
      </c>
      <c r="Q53" s="64">
        <v>6.71</v>
      </c>
      <c r="R53" s="198"/>
      <c r="S53" s="198"/>
      <c r="T53" s="198"/>
      <c r="U53" s="198"/>
    </row>
    <row r="54" spans="1:21" s="12" customFormat="1" x14ac:dyDescent="0.25">
      <c r="A54" s="213" t="s">
        <v>1060</v>
      </c>
      <c r="B54" s="64">
        <v>3.96</v>
      </c>
      <c r="C54" s="64">
        <v>70.25</v>
      </c>
      <c r="D54" s="64">
        <v>42.59</v>
      </c>
      <c r="E54" s="64">
        <v>0.53</v>
      </c>
      <c r="F54" s="64">
        <v>6.54</v>
      </c>
      <c r="G54" s="64">
        <v>45.68</v>
      </c>
      <c r="H54" s="64">
        <v>20.23</v>
      </c>
      <c r="I54" s="64">
        <v>1.44</v>
      </c>
      <c r="J54" s="64">
        <v>1.1299999999999999</v>
      </c>
      <c r="K54" s="64">
        <v>102.24</v>
      </c>
      <c r="L54" s="64">
        <v>22.97</v>
      </c>
      <c r="M54" s="64">
        <v>21.94</v>
      </c>
      <c r="N54" s="64">
        <v>881.8</v>
      </c>
      <c r="O54" s="64">
        <v>0</v>
      </c>
      <c r="P54" s="64">
        <v>0.46</v>
      </c>
      <c r="Q54" s="64">
        <v>6.57</v>
      </c>
      <c r="R54" s="198"/>
      <c r="S54" s="198"/>
      <c r="T54" s="198"/>
      <c r="U54" s="198"/>
    </row>
    <row r="55" spans="1:21" s="12" customFormat="1" x14ac:dyDescent="0.25">
      <c r="A55" s="213" t="s">
        <v>1061</v>
      </c>
      <c r="B55" s="64">
        <v>3.17</v>
      </c>
      <c r="C55" s="64">
        <v>66.86</v>
      </c>
      <c r="D55" s="64">
        <v>40.090000000000003</v>
      </c>
      <c r="E55" s="64">
        <v>0.46</v>
      </c>
      <c r="F55" s="64">
        <v>6.1</v>
      </c>
      <c r="G55" s="64">
        <v>45.36</v>
      </c>
      <c r="H55" s="64">
        <v>19.52</v>
      </c>
      <c r="I55" s="64">
        <v>1.51</v>
      </c>
      <c r="J55" s="64">
        <v>0.49</v>
      </c>
      <c r="K55" s="64">
        <v>53.3</v>
      </c>
      <c r="L55" s="64">
        <v>23.4</v>
      </c>
      <c r="M55" s="64">
        <v>21.2</v>
      </c>
      <c r="N55" s="64">
        <v>879.3</v>
      </c>
      <c r="O55" s="64">
        <v>0</v>
      </c>
      <c r="P55" s="64">
        <v>0.44</v>
      </c>
      <c r="Q55" s="64">
        <v>6.34</v>
      </c>
      <c r="R55" s="198"/>
      <c r="S55" s="198"/>
      <c r="T55" s="198"/>
      <c r="U55" s="198"/>
    </row>
    <row r="56" spans="1:21" s="12" customFormat="1" x14ac:dyDescent="0.25">
      <c r="A56" s="213" t="s">
        <v>1062</v>
      </c>
      <c r="B56" s="64">
        <v>2.88</v>
      </c>
      <c r="C56" s="64">
        <v>65.430000000000007</v>
      </c>
      <c r="D56" s="64">
        <v>39.07</v>
      </c>
      <c r="E56" s="64">
        <v>0.2</v>
      </c>
      <c r="F56" s="64">
        <v>5.63</v>
      </c>
      <c r="G56" s="64">
        <v>45.28</v>
      </c>
      <c r="H56" s="64">
        <v>19.52</v>
      </c>
      <c r="I56" s="64">
        <v>1.45</v>
      </c>
      <c r="J56" s="64">
        <v>0.44</v>
      </c>
      <c r="K56" s="64">
        <v>48.93</v>
      </c>
      <c r="L56" s="64">
        <v>24.39</v>
      </c>
      <c r="M56" s="64">
        <v>20.27</v>
      </c>
      <c r="N56" s="64">
        <v>883.4</v>
      </c>
      <c r="O56" s="64">
        <v>0</v>
      </c>
      <c r="P56" s="64">
        <v>0.44</v>
      </c>
      <c r="Q56" s="64">
        <v>6.21</v>
      </c>
      <c r="R56" s="198"/>
      <c r="S56" s="198"/>
      <c r="T56" s="198"/>
      <c r="U56" s="198"/>
    </row>
    <row r="57" spans="1:21" s="12" customFormat="1" x14ac:dyDescent="0.25">
      <c r="A57" s="213" t="s">
        <v>1063</v>
      </c>
      <c r="B57" s="64">
        <v>3.15</v>
      </c>
      <c r="C57" s="64">
        <v>63.95</v>
      </c>
      <c r="D57" s="64">
        <v>38.47</v>
      </c>
      <c r="E57" s="64">
        <v>0.31</v>
      </c>
      <c r="F57" s="64">
        <v>4.45</v>
      </c>
      <c r="G57" s="64">
        <v>45.28</v>
      </c>
      <c r="H57" s="64">
        <v>19.52</v>
      </c>
      <c r="I57" s="64">
        <v>1.5</v>
      </c>
      <c r="J57" s="64">
        <v>1.3</v>
      </c>
      <c r="K57" s="64">
        <v>103.71</v>
      </c>
      <c r="L57" s="64">
        <v>23.11</v>
      </c>
      <c r="M57" s="64">
        <v>22.21</v>
      </c>
      <c r="N57" s="64">
        <v>879.7</v>
      </c>
      <c r="O57" s="64">
        <v>0</v>
      </c>
      <c r="P57" s="64">
        <v>0.44</v>
      </c>
      <c r="Q57" s="64">
        <v>6.08</v>
      </c>
      <c r="R57" s="198"/>
      <c r="S57" s="198"/>
      <c r="T57" s="198"/>
      <c r="U57" s="198"/>
    </row>
    <row r="58" spans="1:21" s="12" customFormat="1" x14ac:dyDescent="0.25">
      <c r="A58" s="213" t="s">
        <v>1064</v>
      </c>
      <c r="B58" s="64">
        <v>3.36</v>
      </c>
      <c r="C58" s="64">
        <v>61.36</v>
      </c>
      <c r="D58" s="64">
        <v>37.200000000000003</v>
      </c>
      <c r="E58" s="64">
        <v>0.26</v>
      </c>
      <c r="F58" s="64">
        <v>4.1500000000000004</v>
      </c>
      <c r="G58" s="64">
        <v>45.28</v>
      </c>
      <c r="H58" s="64">
        <v>19.52</v>
      </c>
      <c r="I58" s="64">
        <v>1.45</v>
      </c>
      <c r="J58" s="64">
        <v>0.7</v>
      </c>
      <c r="K58" s="64">
        <v>88.41</v>
      </c>
      <c r="L58" s="64">
        <v>23.61</v>
      </c>
      <c r="M58" s="64">
        <v>21.23</v>
      </c>
      <c r="N58" s="64">
        <v>883.9</v>
      </c>
      <c r="O58" s="64">
        <v>0</v>
      </c>
      <c r="P58" s="64">
        <v>0.43</v>
      </c>
      <c r="Q58" s="64">
        <v>6.02</v>
      </c>
      <c r="R58" s="198"/>
      <c r="S58" s="198"/>
      <c r="T58" s="198"/>
      <c r="U58" s="198"/>
    </row>
    <row r="59" spans="1:21" s="12" customFormat="1" x14ac:dyDescent="0.25">
      <c r="A59" s="213" t="s">
        <v>1065</v>
      </c>
      <c r="B59" s="64">
        <v>3.45</v>
      </c>
      <c r="C59" s="64">
        <v>59.29</v>
      </c>
      <c r="D59" s="64">
        <v>36.130000000000003</v>
      </c>
      <c r="E59" s="64">
        <v>0.26</v>
      </c>
      <c r="F59" s="64">
        <v>4.03</v>
      </c>
      <c r="G59" s="64">
        <v>63.02</v>
      </c>
      <c r="H59" s="64">
        <v>19.34</v>
      </c>
      <c r="I59" s="64">
        <v>1.49</v>
      </c>
      <c r="J59" s="64">
        <v>0.73</v>
      </c>
      <c r="K59" s="64">
        <v>345.48</v>
      </c>
      <c r="L59" s="64">
        <v>26.08</v>
      </c>
      <c r="M59" s="64">
        <v>19.010000000000002</v>
      </c>
      <c r="N59" s="64">
        <v>878.2</v>
      </c>
      <c r="O59" s="64">
        <v>0</v>
      </c>
      <c r="P59" s="64">
        <v>0.42</v>
      </c>
      <c r="Q59" s="64">
        <v>5.94</v>
      </c>
      <c r="R59" s="198"/>
      <c r="S59" s="198"/>
      <c r="T59" s="198"/>
      <c r="U59" s="198"/>
    </row>
    <row r="60" spans="1:21" s="12" customFormat="1" x14ac:dyDescent="0.25">
      <c r="A60" s="213" t="s">
        <v>1066</v>
      </c>
      <c r="B60" s="64">
        <v>3.8</v>
      </c>
      <c r="C60" s="64">
        <v>58.48</v>
      </c>
      <c r="D60" s="64">
        <v>35.96</v>
      </c>
      <c r="E60" s="64">
        <v>0.33</v>
      </c>
      <c r="F60" s="64">
        <v>4</v>
      </c>
      <c r="G60" s="64">
        <v>67.760000000000005</v>
      </c>
      <c r="H60" s="64">
        <v>19.34</v>
      </c>
      <c r="I60" s="64">
        <v>1.48</v>
      </c>
      <c r="J60" s="64">
        <v>0.33</v>
      </c>
      <c r="K60" s="64">
        <v>84.97</v>
      </c>
      <c r="L60" s="64">
        <v>25.77</v>
      </c>
      <c r="M60" s="64">
        <v>19.510000000000002</v>
      </c>
      <c r="N60" s="64">
        <v>845.1</v>
      </c>
      <c r="O60" s="64">
        <v>0</v>
      </c>
      <c r="P60" s="64">
        <v>0.43</v>
      </c>
      <c r="Q60" s="64">
        <v>5.89</v>
      </c>
      <c r="R60" s="198"/>
      <c r="S60" s="198"/>
      <c r="T60" s="198"/>
      <c r="U60" s="198"/>
    </row>
    <row r="61" spans="1:21" s="12" customFormat="1" x14ac:dyDescent="0.25">
      <c r="A61" s="213" t="s">
        <v>1067</v>
      </c>
      <c r="B61" s="64">
        <v>3.85</v>
      </c>
      <c r="C61" s="64">
        <v>57.58</v>
      </c>
      <c r="D61" s="64">
        <v>35.51</v>
      </c>
      <c r="E61" s="64">
        <v>0.27</v>
      </c>
      <c r="F61" s="64">
        <v>4</v>
      </c>
      <c r="G61" s="64">
        <v>67.760000000000005</v>
      </c>
      <c r="H61" s="64">
        <v>19.34</v>
      </c>
      <c r="I61" s="64">
        <v>1.51</v>
      </c>
      <c r="J61" s="64">
        <v>0.53</v>
      </c>
      <c r="K61" s="64">
        <v>7.9</v>
      </c>
      <c r="L61" s="64">
        <v>25.43</v>
      </c>
      <c r="M61" s="64">
        <v>19.649999999999999</v>
      </c>
      <c r="N61" s="64">
        <v>820.4</v>
      </c>
      <c r="O61" s="64">
        <v>0</v>
      </c>
      <c r="P61" s="64">
        <v>0.41</v>
      </c>
      <c r="Q61" s="64">
        <v>5.91</v>
      </c>
      <c r="R61" s="198"/>
      <c r="S61" s="198"/>
      <c r="T61" s="198"/>
      <c r="U61" s="198"/>
    </row>
    <row r="62" spans="1:21" s="12" customFormat="1" x14ac:dyDescent="0.25">
      <c r="A62" s="213" t="s">
        <v>1068</v>
      </c>
      <c r="B62" s="64">
        <v>4.1399999999999997</v>
      </c>
      <c r="C62" s="64">
        <v>57.22</v>
      </c>
      <c r="D62" s="64">
        <v>35.549999999999997</v>
      </c>
      <c r="E62" s="64">
        <v>0.31</v>
      </c>
      <c r="F62" s="64">
        <v>3.74</v>
      </c>
      <c r="G62" s="64">
        <v>67.760000000000005</v>
      </c>
      <c r="H62" s="64">
        <v>19.34</v>
      </c>
      <c r="I62" s="64">
        <v>1.56</v>
      </c>
      <c r="J62" s="64">
        <v>0.42</v>
      </c>
      <c r="K62" s="64">
        <v>80.349999999999994</v>
      </c>
      <c r="L62" s="64">
        <v>26.13</v>
      </c>
      <c r="M62" s="64">
        <v>19</v>
      </c>
      <c r="N62" s="64">
        <v>803.8</v>
      </c>
      <c r="O62" s="64">
        <v>0</v>
      </c>
      <c r="P62" s="64">
        <v>0.42</v>
      </c>
      <c r="Q62" s="64">
        <v>5.88</v>
      </c>
      <c r="R62" s="198"/>
      <c r="S62" s="198"/>
      <c r="T62" s="198"/>
      <c r="U62" s="198"/>
    </row>
    <row r="63" spans="1:21" s="12" customFormat="1" x14ac:dyDescent="0.25">
      <c r="A63" s="213" t="s">
        <v>1069</v>
      </c>
      <c r="B63" s="64">
        <v>4.03</v>
      </c>
      <c r="C63" s="64">
        <v>56.46</v>
      </c>
      <c r="D63" s="64">
        <v>35.04</v>
      </c>
      <c r="E63" s="64">
        <v>0.37</v>
      </c>
      <c r="F63" s="64">
        <v>4.13</v>
      </c>
      <c r="G63" s="64">
        <v>58.21</v>
      </c>
      <c r="H63" s="64">
        <v>20.25</v>
      </c>
      <c r="I63" s="64">
        <v>1.43</v>
      </c>
      <c r="J63" s="64">
        <v>0.77</v>
      </c>
      <c r="K63" s="64">
        <v>92.72</v>
      </c>
      <c r="L63" s="64">
        <v>24.44</v>
      </c>
      <c r="M63" s="64">
        <v>20.88</v>
      </c>
      <c r="N63" s="64">
        <v>779.5</v>
      </c>
      <c r="O63" s="64">
        <v>0</v>
      </c>
      <c r="P63" s="64">
        <v>0.42</v>
      </c>
      <c r="Q63" s="64">
        <v>5.9</v>
      </c>
      <c r="R63" s="198"/>
      <c r="S63" s="198"/>
      <c r="T63" s="198"/>
      <c r="U63" s="198"/>
    </row>
    <row r="64" spans="1:21" s="12" customFormat="1" x14ac:dyDescent="0.25">
      <c r="A64" s="213" t="s">
        <v>1070</v>
      </c>
      <c r="B64" s="64">
        <v>3.97</v>
      </c>
      <c r="C64" s="64">
        <v>55.58</v>
      </c>
      <c r="D64" s="64">
        <v>34.5</v>
      </c>
      <c r="E64" s="64">
        <v>0.32</v>
      </c>
      <c r="F64" s="64">
        <v>4.5199999999999996</v>
      </c>
      <c r="G64" s="64">
        <v>55.65</v>
      </c>
      <c r="H64" s="64">
        <v>20.25</v>
      </c>
      <c r="I64" s="64">
        <v>1.49</v>
      </c>
      <c r="J64" s="64">
        <v>0.78</v>
      </c>
      <c r="K64" s="64">
        <v>346.25</v>
      </c>
      <c r="L64" s="64">
        <v>26.61</v>
      </c>
      <c r="M64" s="64">
        <v>18.8</v>
      </c>
      <c r="N64" s="64">
        <v>726.6</v>
      </c>
      <c r="O64" s="64">
        <v>0</v>
      </c>
      <c r="P64" s="64">
        <v>0.41</v>
      </c>
      <c r="Q64" s="64">
        <v>5.88</v>
      </c>
      <c r="R64" s="198"/>
      <c r="S64" s="198"/>
      <c r="T64" s="198"/>
      <c r="U64" s="198"/>
    </row>
    <row r="65" spans="1:21" s="12" customFormat="1" x14ac:dyDescent="0.25">
      <c r="A65" s="213" t="s">
        <v>1071</v>
      </c>
      <c r="B65" s="64">
        <v>4.3499999999999996</v>
      </c>
      <c r="C65" s="64">
        <v>56.12</v>
      </c>
      <c r="D65" s="64">
        <v>35.11</v>
      </c>
      <c r="E65" s="64">
        <v>0.31</v>
      </c>
      <c r="F65" s="64">
        <v>4.21</v>
      </c>
      <c r="G65" s="64">
        <v>55.65</v>
      </c>
      <c r="H65" s="64">
        <v>20.25</v>
      </c>
      <c r="I65" s="64">
        <v>1.45</v>
      </c>
      <c r="J65" s="64">
        <v>0.99</v>
      </c>
      <c r="K65" s="64">
        <v>349.66</v>
      </c>
      <c r="L65" s="64">
        <v>28.02</v>
      </c>
      <c r="M65" s="64">
        <v>17.43</v>
      </c>
      <c r="N65" s="64">
        <v>702.4</v>
      </c>
      <c r="O65" s="64">
        <v>0</v>
      </c>
      <c r="P65" s="64">
        <v>0.42</v>
      </c>
      <c r="Q65" s="64">
        <v>5.87</v>
      </c>
      <c r="R65" s="198"/>
      <c r="S65" s="198"/>
      <c r="T65" s="198"/>
      <c r="U65" s="198"/>
    </row>
    <row r="66" spans="1:21" s="12" customFormat="1" x14ac:dyDescent="0.25">
      <c r="A66" s="213" t="s">
        <v>1072</v>
      </c>
      <c r="B66" s="64">
        <v>4.66</v>
      </c>
      <c r="C66" s="64">
        <v>56.84</v>
      </c>
      <c r="D66" s="64">
        <v>35.75</v>
      </c>
      <c r="E66" s="64">
        <v>0.26</v>
      </c>
      <c r="F66" s="64">
        <v>3.95</v>
      </c>
      <c r="G66" s="64">
        <v>55.65</v>
      </c>
      <c r="H66" s="64">
        <v>20.25</v>
      </c>
      <c r="I66" s="64">
        <v>1.55</v>
      </c>
      <c r="J66" s="64">
        <v>0.84</v>
      </c>
      <c r="K66" s="64">
        <v>97.94</v>
      </c>
      <c r="L66" s="64">
        <v>25.57</v>
      </c>
      <c r="M66" s="64">
        <v>19.36</v>
      </c>
      <c r="N66" s="64">
        <v>639.4</v>
      </c>
      <c r="O66" s="64">
        <v>0</v>
      </c>
      <c r="P66" s="64">
        <v>0.43</v>
      </c>
      <c r="Q66" s="64">
        <v>5.87</v>
      </c>
      <c r="R66" s="198"/>
      <c r="S66" s="198"/>
      <c r="T66" s="198"/>
      <c r="U66" s="198"/>
    </row>
    <row r="67" spans="1:21" s="12" customFormat="1" x14ac:dyDescent="0.25">
      <c r="A67" s="213" t="s">
        <v>1073</v>
      </c>
      <c r="B67" s="64">
        <v>4.66</v>
      </c>
      <c r="C67" s="64">
        <v>56.01</v>
      </c>
      <c r="D67" s="64">
        <v>35.29</v>
      </c>
      <c r="E67" s="64">
        <v>0.25</v>
      </c>
      <c r="F67" s="64">
        <v>3.49</v>
      </c>
      <c r="G67" s="64">
        <v>51</v>
      </c>
      <c r="H67" s="64">
        <v>19.5</v>
      </c>
      <c r="I67" s="64">
        <v>1.48</v>
      </c>
      <c r="J67" s="64">
        <v>0.48</v>
      </c>
      <c r="K67" s="64">
        <v>101.2</v>
      </c>
      <c r="L67" s="64">
        <v>24.78</v>
      </c>
      <c r="M67" s="64">
        <v>20.190000000000001</v>
      </c>
      <c r="N67" s="64">
        <v>467.4</v>
      </c>
      <c r="O67" s="64">
        <v>0</v>
      </c>
      <c r="P67" s="64">
        <v>0.42</v>
      </c>
      <c r="Q67" s="64">
        <v>5.92</v>
      </c>
      <c r="R67" s="198"/>
      <c r="S67" s="198"/>
      <c r="T67" s="198"/>
      <c r="U67" s="198"/>
    </row>
    <row r="68" spans="1:21" s="12" customFormat="1" x14ac:dyDescent="0.25">
      <c r="A68" s="213" t="s">
        <v>1074</v>
      </c>
      <c r="B68" s="64">
        <v>4.79</v>
      </c>
      <c r="C68" s="64">
        <v>55.22</v>
      </c>
      <c r="D68" s="64">
        <v>34.96</v>
      </c>
      <c r="E68" s="64">
        <v>0.26</v>
      </c>
      <c r="F68" s="64">
        <v>3.35</v>
      </c>
      <c r="G68" s="64">
        <v>49.76</v>
      </c>
      <c r="H68" s="64">
        <v>19.5</v>
      </c>
      <c r="I68" s="64">
        <v>1.44</v>
      </c>
      <c r="J68" s="64">
        <v>0.24</v>
      </c>
      <c r="K68" s="64">
        <v>1.59</v>
      </c>
      <c r="L68" s="64">
        <v>25.44</v>
      </c>
      <c r="M68" s="64">
        <v>19.7</v>
      </c>
      <c r="N68" s="64">
        <v>405.4</v>
      </c>
      <c r="O68" s="64">
        <v>0</v>
      </c>
      <c r="P68" s="64">
        <v>0.41</v>
      </c>
      <c r="Q68" s="64">
        <v>5.91</v>
      </c>
      <c r="R68" s="198"/>
      <c r="S68" s="198"/>
      <c r="T68" s="198"/>
      <c r="U68" s="198"/>
    </row>
    <row r="69" spans="1:21" s="12" customFormat="1" x14ac:dyDescent="0.25">
      <c r="A69" s="213" t="s">
        <v>1075</v>
      </c>
      <c r="B69" s="64">
        <v>4.92</v>
      </c>
      <c r="C69" s="64">
        <v>55.18</v>
      </c>
      <c r="D69" s="64">
        <v>35.049999999999997</v>
      </c>
      <c r="E69" s="64">
        <v>0.25</v>
      </c>
      <c r="F69" s="64">
        <v>3.72</v>
      </c>
      <c r="G69" s="64">
        <v>49.76</v>
      </c>
      <c r="H69" s="64">
        <v>19.5</v>
      </c>
      <c r="I69" s="64">
        <v>1.49</v>
      </c>
      <c r="J69" s="64">
        <v>0.32</v>
      </c>
      <c r="K69" s="64">
        <v>8.44</v>
      </c>
      <c r="L69" s="64">
        <v>26.26</v>
      </c>
      <c r="M69" s="64">
        <v>19.079999999999998</v>
      </c>
      <c r="N69" s="64">
        <v>351.9</v>
      </c>
      <c r="O69" s="64">
        <v>0</v>
      </c>
      <c r="P69" s="64">
        <v>0.42</v>
      </c>
      <c r="Q69" s="64">
        <v>5.9</v>
      </c>
      <c r="R69" s="198"/>
      <c r="S69" s="198"/>
      <c r="T69" s="198"/>
      <c r="U69" s="198"/>
    </row>
    <row r="70" spans="1:21" s="12" customFormat="1" x14ac:dyDescent="0.25">
      <c r="A70" s="213" t="s">
        <v>1076</v>
      </c>
      <c r="B70" s="64">
        <v>5.23</v>
      </c>
      <c r="C70" s="64">
        <v>55.7</v>
      </c>
      <c r="D70" s="64">
        <v>35.58</v>
      </c>
      <c r="E70" s="64">
        <v>0.26</v>
      </c>
      <c r="F70" s="64">
        <v>3.69</v>
      </c>
      <c r="G70" s="64">
        <v>49.76</v>
      </c>
      <c r="H70" s="64">
        <v>19.5</v>
      </c>
      <c r="I70" s="64">
        <v>1.45</v>
      </c>
      <c r="J70" s="64">
        <v>0.49</v>
      </c>
      <c r="K70" s="64">
        <v>337.04</v>
      </c>
      <c r="L70" s="64">
        <v>26.02</v>
      </c>
      <c r="M70" s="64">
        <v>19.87</v>
      </c>
      <c r="N70" s="64">
        <v>269.10000000000002</v>
      </c>
      <c r="O70" s="64">
        <v>0</v>
      </c>
      <c r="P70" s="64">
        <v>0.43</v>
      </c>
      <c r="Q70" s="64">
        <v>5.96</v>
      </c>
      <c r="R70" s="198"/>
      <c r="S70" s="198"/>
      <c r="T70" s="198"/>
      <c r="U70" s="198"/>
    </row>
    <row r="71" spans="1:21" s="12" customFormat="1" x14ac:dyDescent="0.25">
      <c r="A71" s="213" t="s">
        <v>1077</v>
      </c>
      <c r="B71" s="64">
        <v>5.62</v>
      </c>
      <c r="C71" s="64">
        <v>56.31</v>
      </c>
      <c r="D71" s="64">
        <v>36.24</v>
      </c>
      <c r="E71" s="64">
        <v>0.2</v>
      </c>
      <c r="F71" s="64">
        <v>3.44</v>
      </c>
      <c r="G71" s="64">
        <v>45.43</v>
      </c>
      <c r="H71" s="64">
        <v>17.16</v>
      </c>
      <c r="I71" s="64">
        <v>1.47</v>
      </c>
      <c r="J71" s="64">
        <v>0.34</v>
      </c>
      <c r="K71" s="64">
        <v>68.459999999999994</v>
      </c>
      <c r="L71" s="64">
        <v>24.73</v>
      </c>
      <c r="M71" s="64">
        <v>20.6</v>
      </c>
      <c r="N71" s="64">
        <v>211.5</v>
      </c>
      <c r="O71" s="64">
        <v>0</v>
      </c>
      <c r="P71" s="64">
        <v>0.43</v>
      </c>
      <c r="Q71" s="64">
        <v>6.03</v>
      </c>
      <c r="R71" s="198"/>
      <c r="S71" s="198"/>
      <c r="T71" s="198"/>
      <c r="U71" s="198"/>
    </row>
    <row r="72" spans="1:21" s="12" customFormat="1" x14ac:dyDescent="0.25">
      <c r="A72" s="213" t="s">
        <v>1078</v>
      </c>
      <c r="B72" s="64">
        <v>5.68</v>
      </c>
      <c r="C72" s="64">
        <v>56.29</v>
      </c>
      <c r="D72" s="64">
        <v>36.26</v>
      </c>
      <c r="E72" s="64">
        <v>0.23</v>
      </c>
      <c r="F72" s="64">
        <v>3.62</v>
      </c>
      <c r="G72" s="64">
        <v>44.27</v>
      </c>
      <c r="H72" s="64">
        <v>17.16</v>
      </c>
      <c r="I72" s="64">
        <v>1.48</v>
      </c>
      <c r="J72" s="64">
        <v>0.32</v>
      </c>
      <c r="K72" s="64">
        <v>345.44</v>
      </c>
      <c r="L72" s="64">
        <v>24.46</v>
      </c>
      <c r="M72" s="64">
        <v>21.65</v>
      </c>
      <c r="N72" s="64">
        <v>209.6</v>
      </c>
      <c r="O72" s="64">
        <v>0</v>
      </c>
      <c r="P72" s="64">
        <v>0.43</v>
      </c>
      <c r="Q72" s="64">
        <v>6.12</v>
      </c>
      <c r="R72" s="198"/>
      <c r="S72" s="198"/>
      <c r="T72" s="198"/>
      <c r="U72" s="198"/>
    </row>
    <row r="73" spans="1:21" s="12" customFormat="1" x14ac:dyDescent="0.25">
      <c r="A73" s="213" t="s">
        <v>1079</v>
      </c>
      <c r="B73" s="64">
        <v>5.8</v>
      </c>
      <c r="C73" s="64">
        <v>56.67</v>
      </c>
      <c r="D73" s="64">
        <v>36.58</v>
      </c>
      <c r="E73" s="64">
        <v>0.28999999999999998</v>
      </c>
      <c r="F73" s="64">
        <v>3.57</v>
      </c>
      <c r="G73" s="64">
        <v>44.27</v>
      </c>
      <c r="H73" s="64">
        <v>17.16</v>
      </c>
      <c r="I73" s="64">
        <v>1.42</v>
      </c>
      <c r="J73" s="64">
        <v>0.52</v>
      </c>
      <c r="K73" s="64">
        <v>16.03</v>
      </c>
      <c r="L73" s="64">
        <v>24.21</v>
      </c>
      <c r="M73" s="64">
        <v>21.88</v>
      </c>
      <c r="N73" s="64">
        <v>162</v>
      </c>
      <c r="O73" s="64">
        <v>0</v>
      </c>
      <c r="P73" s="64">
        <v>0.45</v>
      </c>
      <c r="Q73" s="64">
        <v>6.13</v>
      </c>
      <c r="R73" s="198"/>
      <c r="S73" s="198"/>
      <c r="T73" s="198"/>
      <c r="U73" s="198"/>
    </row>
    <row r="74" spans="1:21" s="12" customFormat="1" x14ac:dyDescent="0.25">
      <c r="A74" s="213" t="s">
        <v>1080</v>
      </c>
      <c r="B74" s="64">
        <v>6.06</v>
      </c>
      <c r="C74" s="64">
        <v>57.59</v>
      </c>
      <c r="D74" s="64">
        <v>37.29</v>
      </c>
      <c r="E74" s="64">
        <v>0.32</v>
      </c>
      <c r="F74" s="64">
        <v>3.47</v>
      </c>
      <c r="G74" s="64">
        <v>44.27</v>
      </c>
      <c r="H74" s="64">
        <v>17.16</v>
      </c>
      <c r="I74" s="64">
        <v>1.46</v>
      </c>
      <c r="J74" s="64">
        <v>0.24</v>
      </c>
      <c r="K74" s="64">
        <v>53.67</v>
      </c>
      <c r="L74" s="64">
        <v>23.86</v>
      </c>
      <c r="M74" s="64">
        <v>22.7</v>
      </c>
      <c r="N74" s="64">
        <v>152.19999999999999</v>
      </c>
      <c r="O74" s="64">
        <v>0</v>
      </c>
      <c r="P74" s="64">
        <v>0.47</v>
      </c>
      <c r="Q74" s="64">
        <v>6.16</v>
      </c>
      <c r="R74" s="198"/>
      <c r="S74" s="198"/>
      <c r="T74" s="198"/>
      <c r="U74" s="198"/>
    </row>
    <row r="75" spans="1:21" s="12" customFormat="1" x14ac:dyDescent="0.25">
      <c r="A75" s="213" t="s">
        <v>1081</v>
      </c>
      <c r="B75" s="64">
        <v>6.13</v>
      </c>
      <c r="C75" s="64">
        <v>58</v>
      </c>
      <c r="D75" s="64">
        <v>37.57</v>
      </c>
      <c r="E75" s="64">
        <v>0.28000000000000003</v>
      </c>
      <c r="F75" s="64">
        <v>3.37</v>
      </c>
      <c r="G75" s="64">
        <v>43.8</v>
      </c>
      <c r="H75" s="64">
        <v>16.21</v>
      </c>
      <c r="I75" s="64">
        <v>1.53</v>
      </c>
      <c r="J75" s="64">
        <v>0.32</v>
      </c>
      <c r="K75" s="64">
        <v>38.07</v>
      </c>
      <c r="L75" s="64">
        <v>23.53</v>
      </c>
      <c r="M75" s="64">
        <v>23.19</v>
      </c>
      <c r="N75" s="64">
        <v>141.1</v>
      </c>
      <c r="O75" s="64">
        <v>0</v>
      </c>
      <c r="P75" s="64">
        <v>0.47</v>
      </c>
      <c r="Q75" s="64">
        <v>6.23</v>
      </c>
      <c r="R75" s="198"/>
      <c r="S75" s="198"/>
      <c r="T75" s="198"/>
      <c r="U75" s="198"/>
    </row>
    <row r="76" spans="1:21" s="12" customFormat="1" x14ac:dyDescent="0.25">
      <c r="A76" s="213" t="s">
        <v>1082</v>
      </c>
      <c r="B76" s="64">
        <v>6.15</v>
      </c>
      <c r="C76" s="64">
        <v>58.11</v>
      </c>
      <c r="D76" s="64">
        <v>37.65</v>
      </c>
      <c r="E76" s="64">
        <v>0.28000000000000003</v>
      </c>
      <c r="F76" s="64">
        <v>3.53</v>
      </c>
      <c r="G76" s="64">
        <v>43.67</v>
      </c>
      <c r="H76" s="64">
        <v>16.21</v>
      </c>
      <c r="I76" s="64">
        <v>1.56</v>
      </c>
      <c r="J76" s="64">
        <v>0.27</v>
      </c>
      <c r="K76" s="64">
        <v>72.599999999999994</v>
      </c>
      <c r="L76" s="64">
        <v>23.27</v>
      </c>
      <c r="M76" s="64">
        <v>24.11</v>
      </c>
      <c r="N76" s="64">
        <v>130.30000000000001</v>
      </c>
      <c r="O76" s="64">
        <v>0</v>
      </c>
      <c r="P76" s="64">
        <v>0.47</v>
      </c>
      <c r="Q76" s="64">
        <v>6.28</v>
      </c>
      <c r="R76" s="198"/>
      <c r="S76" s="198"/>
      <c r="T76" s="198"/>
      <c r="U76" s="198"/>
    </row>
    <row r="77" spans="1:21" s="12" customFormat="1" x14ac:dyDescent="0.25">
      <c r="A77" s="213" t="s">
        <v>1083</v>
      </c>
      <c r="B77" s="64">
        <v>6.39</v>
      </c>
      <c r="C77" s="64">
        <v>58.6</v>
      </c>
      <c r="D77" s="64">
        <v>38.11</v>
      </c>
      <c r="E77" s="64">
        <v>0.34</v>
      </c>
      <c r="F77" s="64">
        <v>3.4</v>
      </c>
      <c r="G77" s="64">
        <v>43.67</v>
      </c>
      <c r="H77" s="64">
        <v>16.21</v>
      </c>
      <c r="I77" s="64">
        <v>1.61</v>
      </c>
      <c r="J77" s="64">
        <v>0.32</v>
      </c>
      <c r="K77" s="64">
        <v>356.87</v>
      </c>
      <c r="L77" s="64">
        <v>22.98</v>
      </c>
      <c r="M77" s="64">
        <v>25.57</v>
      </c>
      <c r="N77" s="64">
        <v>119.2</v>
      </c>
      <c r="O77" s="64">
        <v>0</v>
      </c>
      <c r="P77" s="64">
        <v>0.51</v>
      </c>
      <c r="Q77" s="64">
        <v>6.29</v>
      </c>
      <c r="R77" s="198"/>
      <c r="S77" s="198"/>
      <c r="T77" s="198"/>
      <c r="U77" s="198"/>
    </row>
    <row r="78" spans="1:21" s="12" customFormat="1" x14ac:dyDescent="0.25">
      <c r="A78" s="213" t="s">
        <v>1084</v>
      </c>
      <c r="B78" s="64">
        <v>6.92</v>
      </c>
      <c r="C78" s="64">
        <v>59.73</v>
      </c>
      <c r="D78" s="64">
        <v>39.15</v>
      </c>
      <c r="E78" s="64">
        <v>0.33</v>
      </c>
      <c r="F78" s="64">
        <v>3.32</v>
      </c>
      <c r="G78" s="64">
        <v>43.67</v>
      </c>
      <c r="H78" s="64">
        <v>16.21</v>
      </c>
      <c r="I78" s="64">
        <v>1.47</v>
      </c>
      <c r="J78" s="64">
        <v>0.64</v>
      </c>
      <c r="K78" s="64">
        <v>343.87</v>
      </c>
      <c r="L78" s="64">
        <v>22.13</v>
      </c>
      <c r="M78" s="64">
        <v>38.47</v>
      </c>
      <c r="N78" s="64">
        <v>106.9</v>
      </c>
      <c r="O78" s="64">
        <v>0</v>
      </c>
      <c r="P78" s="64">
        <v>0.51</v>
      </c>
      <c r="Q78" s="64">
        <v>6.35</v>
      </c>
      <c r="R78" s="198"/>
      <c r="S78" s="198"/>
      <c r="T78" s="198"/>
      <c r="U78" s="198"/>
    </row>
    <row r="79" spans="1:21" s="12" customFormat="1" x14ac:dyDescent="0.25">
      <c r="A79" s="213" t="s">
        <v>1085</v>
      </c>
      <c r="B79" s="64">
        <v>8.2899999999999991</v>
      </c>
      <c r="C79" s="64">
        <v>61.61</v>
      </c>
      <c r="D79" s="64">
        <v>41.29</v>
      </c>
      <c r="E79" s="64">
        <v>0.38</v>
      </c>
      <c r="F79" s="64">
        <v>3.42</v>
      </c>
      <c r="G79" s="64">
        <v>51.61</v>
      </c>
      <c r="H79" s="64">
        <v>17.27</v>
      </c>
      <c r="I79" s="64">
        <v>1.43</v>
      </c>
      <c r="J79" s="64">
        <v>0.75</v>
      </c>
      <c r="K79" s="64">
        <v>344.09</v>
      </c>
      <c r="L79" s="64">
        <v>21.61</v>
      </c>
      <c r="M79" s="64">
        <v>39.01</v>
      </c>
      <c r="N79" s="64">
        <v>96</v>
      </c>
      <c r="O79" s="64">
        <v>0</v>
      </c>
      <c r="P79" s="64">
        <v>0.53</v>
      </c>
      <c r="Q79" s="64">
        <v>6.46</v>
      </c>
      <c r="R79" s="198"/>
      <c r="S79" s="198"/>
      <c r="T79" s="198"/>
      <c r="U79" s="198"/>
    </row>
    <row r="80" spans="1:21" s="12" customFormat="1" x14ac:dyDescent="0.25">
      <c r="A80" s="213" t="s">
        <v>1086</v>
      </c>
      <c r="B80" s="64">
        <v>9.4700000000000006</v>
      </c>
      <c r="C80" s="64">
        <v>63.29</v>
      </c>
      <c r="D80" s="64">
        <v>43.17</v>
      </c>
      <c r="E80" s="64">
        <v>0.39</v>
      </c>
      <c r="F80" s="64">
        <v>3.27</v>
      </c>
      <c r="G80" s="64">
        <v>53.73</v>
      </c>
      <c r="H80" s="64">
        <v>17.27</v>
      </c>
      <c r="I80" s="64">
        <v>1.54</v>
      </c>
      <c r="J80" s="64">
        <v>1.32</v>
      </c>
      <c r="K80" s="64">
        <v>346.98</v>
      </c>
      <c r="L80" s="64">
        <v>21.14</v>
      </c>
      <c r="M80" s="64">
        <v>44.11</v>
      </c>
      <c r="N80" s="64">
        <v>89.8</v>
      </c>
      <c r="O80" s="64">
        <v>0</v>
      </c>
      <c r="P80" s="64">
        <v>0.56999999999999995</v>
      </c>
      <c r="Q80" s="64">
        <v>6.65</v>
      </c>
      <c r="R80" s="198"/>
      <c r="S80" s="198"/>
      <c r="T80" s="198"/>
      <c r="U80" s="198"/>
    </row>
    <row r="81" spans="1:26" s="12" customFormat="1" x14ac:dyDescent="0.25">
      <c r="A81" s="213" t="s">
        <v>1087</v>
      </c>
      <c r="B81" s="64">
        <v>9.67</v>
      </c>
      <c r="C81" s="64">
        <v>65.27</v>
      </c>
      <c r="D81" s="64">
        <v>44.43</v>
      </c>
      <c r="E81" s="64">
        <v>0.34</v>
      </c>
      <c r="F81" s="64">
        <v>3.99</v>
      </c>
      <c r="G81" s="64">
        <v>53.73</v>
      </c>
      <c r="H81" s="64">
        <v>17.27</v>
      </c>
      <c r="I81" s="64">
        <v>1.44</v>
      </c>
      <c r="J81" s="64">
        <v>0.99</v>
      </c>
      <c r="K81" s="64">
        <v>348.32</v>
      </c>
      <c r="L81" s="64">
        <v>20.75</v>
      </c>
      <c r="M81" s="64">
        <v>46.48</v>
      </c>
      <c r="N81" s="64">
        <v>88.4</v>
      </c>
      <c r="O81" s="64">
        <v>0</v>
      </c>
      <c r="P81" s="64">
        <v>0.61</v>
      </c>
      <c r="Q81" s="64">
        <v>6.78</v>
      </c>
      <c r="R81" s="198"/>
      <c r="S81" s="198"/>
      <c r="T81" s="198"/>
      <c r="U81" s="198"/>
    </row>
    <row r="82" spans="1:26" s="12" customFormat="1" x14ac:dyDescent="0.25">
      <c r="A82" s="213" t="s">
        <v>1088</v>
      </c>
      <c r="B82" s="64">
        <v>9.67</v>
      </c>
      <c r="C82" s="64">
        <v>66.92</v>
      </c>
      <c r="D82" s="64">
        <v>45.33</v>
      </c>
      <c r="E82" s="64">
        <v>0.35</v>
      </c>
      <c r="F82" s="64">
        <v>3.31</v>
      </c>
      <c r="G82" s="64">
        <v>53.73</v>
      </c>
      <c r="H82" s="64">
        <v>17.27</v>
      </c>
      <c r="I82" s="64">
        <v>1.53</v>
      </c>
      <c r="J82" s="64">
        <v>0.79</v>
      </c>
      <c r="K82" s="64">
        <v>344.37</v>
      </c>
      <c r="L82" s="64">
        <v>20.39</v>
      </c>
      <c r="M82" s="64">
        <v>48.66</v>
      </c>
      <c r="N82" s="64">
        <v>88</v>
      </c>
      <c r="O82" s="64">
        <v>0</v>
      </c>
      <c r="P82" s="64">
        <v>0.65</v>
      </c>
      <c r="Q82" s="64">
        <v>6.86</v>
      </c>
      <c r="R82" s="198"/>
      <c r="S82" s="198"/>
      <c r="T82" s="198"/>
      <c r="U82" s="198"/>
    </row>
    <row r="83" spans="1:26" s="12" customFormat="1" x14ac:dyDescent="0.25">
      <c r="A83" s="213" t="s">
        <v>1089</v>
      </c>
      <c r="B83" s="64">
        <v>10.02</v>
      </c>
      <c r="C83" s="64">
        <v>67.97</v>
      </c>
      <c r="D83" s="64">
        <v>46.19</v>
      </c>
      <c r="E83" s="64">
        <v>0.34</v>
      </c>
      <c r="F83" s="64">
        <v>3.31</v>
      </c>
      <c r="G83" s="64">
        <v>63.35</v>
      </c>
      <c r="H83" s="64">
        <v>19.059999999999999</v>
      </c>
      <c r="I83" s="64">
        <v>1.54</v>
      </c>
      <c r="J83" s="64">
        <v>0.75</v>
      </c>
      <c r="K83" s="64">
        <v>347.76</v>
      </c>
      <c r="L83" s="64">
        <v>20.13</v>
      </c>
      <c r="M83" s="64">
        <v>45.35</v>
      </c>
      <c r="N83" s="64">
        <v>87.8</v>
      </c>
      <c r="O83" s="64">
        <v>0</v>
      </c>
      <c r="P83" s="64">
        <v>0.69</v>
      </c>
      <c r="Q83" s="64">
        <v>6.89</v>
      </c>
      <c r="R83" s="198"/>
      <c r="S83" s="198"/>
      <c r="T83" s="198"/>
      <c r="U83" s="198"/>
    </row>
    <row r="84" spans="1:26" s="12" customFormat="1" x14ac:dyDescent="0.25">
      <c r="A84" s="213" t="s">
        <v>1090</v>
      </c>
      <c r="B84" s="64">
        <v>11.19</v>
      </c>
      <c r="C84" s="64">
        <v>69.239999999999995</v>
      </c>
      <c r="D84" s="64">
        <v>47.83</v>
      </c>
      <c r="E84" s="64">
        <v>0.4</v>
      </c>
      <c r="F84" s="64">
        <v>3.21</v>
      </c>
      <c r="G84" s="64">
        <v>65.930000000000007</v>
      </c>
      <c r="H84" s="64">
        <v>19.059999999999999</v>
      </c>
      <c r="I84" s="64">
        <v>1.43</v>
      </c>
      <c r="J84" s="64">
        <v>0.51</v>
      </c>
      <c r="K84" s="64">
        <v>350.98</v>
      </c>
      <c r="L84" s="64">
        <v>20.079999999999998</v>
      </c>
      <c r="M84" s="64">
        <v>38.1</v>
      </c>
      <c r="N84" s="64">
        <v>88.2</v>
      </c>
      <c r="O84" s="64">
        <v>0</v>
      </c>
      <c r="P84" s="64">
        <v>0.75</v>
      </c>
      <c r="Q84" s="64">
        <v>7.02</v>
      </c>
      <c r="R84" s="198"/>
      <c r="S84" s="198"/>
      <c r="T84" s="198"/>
      <c r="U84" s="198"/>
    </row>
    <row r="85" spans="1:26" s="12" customFormat="1" x14ac:dyDescent="0.25">
      <c r="A85" s="213" t="s">
        <v>1091</v>
      </c>
      <c r="B85" s="64">
        <v>13.07</v>
      </c>
      <c r="C85" s="64">
        <v>70.430000000000007</v>
      </c>
      <c r="D85" s="64">
        <v>49.99</v>
      </c>
      <c r="E85" s="64">
        <v>0.47</v>
      </c>
      <c r="F85" s="64">
        <v>2.93</v>
      </c>
      <c r="G85" s="64">
        <v>65.930000000000007</v>
      </c>
      <c r="H85" s="64">
        <v>19.059999999999999</v>
      </c>
      <c r="I85" s="64">
        <v>1.48</v>
      </c>
      <c r="J85" s="64">
        <v>0.45</v>
      </c>
      <c r="K85" s="64">
        <v>344.3</v>
      </c>
      <c r="L85" s="64">
        <v>19.809999999999999</v>
      </c>
      <c r="M85" s="64">
        <v>37.479999999999997</v>
      </c>
      <c r="N85" s="64">
        <v>88</v>
      </c>
      <c r="O85" s="64">
        <v>0</v>
      </c>
      <c r="P85" s="64">
        <v>0.81</v>
      </c>
      <c r="Q85" s="64">
        <v>7.16</v>
      </c>
      <c r="R85" s="198"/>
      <c r="S85" s="198"/>
      <c r="T85" s="198"/>
      <c r="U85" s="198"/>
    </row>
    <row r="86" spans="1:26" s="12" customFormat="1" x14ac:dyDescent="0.25">
      <c r="A86" s="213" t="s">
        <v>1092</v>
      </c>
      <c r="B86" s="64">
        <v>14.67</v>
      </c>
      <c r="C86" s="64">
        <v>71.16</v>
      </c>
      <c r="D86" s="64">
        <v>51.68</v>
      </c>
      <c r="E86" s="64">
        <v>0.42</v>
      </c>
      <c r="F86" s="64">
        <v>3.09</v>
      </c>
      <c r="G86" s="64">
        <v>65.930000000000007</v>
      </c>
      <c r="H86" s="64">
        <v>19.059999999999999</v>
      </c>
      <c r="I86" s="64">
        <v>1.47</v>
      </c>
      <c r="J86" s="64">
        <v>0.3</v>
      </c>
      <c r="K86" s="64">
        <v>343.59</v>
      </c>
      <c r="L86" s="64">
        <v>19.47</v>
      </c>
      <c r="M86" s="64">
        <v>38.68</v>
      </c>
      <c r="N86" s="64">
        <v>88.2</v>
      </c>
      <c r="O86" s="64">
        <v>0</v>
      </c>
      <c r="P86" s="64">
        <v>0.89</v>
      </c>
      <c r="Q86" s="64">
        <v>7.29</v>
      </c>
      <c r="R86" s="198"/>
      <c r="S86" s="198"/>
      <c r="T86" s="198"/>
      <c r="U86" s="198"/>
    </row>
    <row r="87" spans="1:26" s="12" customFormat="1" x14ac:dyDescent="0.25">
      <c r="A87" s="213" t="s">
        <v>1093</v>
      </c>
      <c r="B87" s="64">
        <v>16.670000000000002</v>
      </c>
      <c r="C87" s="64">
        <v>71.900000000000006</v>
      </c>
      <c r="D87" s="64">
        <v>53.7</v>
      </c>
      <c r="E87" s="64">
        <v>0.39</v>
      </c>
      <c r="F87" s="64">
        <v>3.1</v>
      </c>
      <c r="G87" s="64">
        <v>88.24</v>
      </c>
      <c r="H87" s="64">
        <v>28.32</v>
      </c>
      <c r="I87" s="64">
        <v>1.52</v>
      </c>
      <c r="J87" s="64">
        <v>0.1</v>
      </c>
      <c r="K87" s="64">
        <v>27.4</v>
      </c>
      <c r="L87" s="64">
        <v>19.05</v>
      </c>
      <c r="M87" s="64">
        <v>39.22</v>
      </c>
      <c r="N87" s="64">
        <v>88.4</v>
      </c>
      <c r="O87" s="64">
        <v>0</v>
      </c>
      <c r="P87" s="64">
        <v>0.96</v>
      </c>
      <c r="Q87" s="64">
        <v>7.46</v>
      </c>
      <c r="R87" s="198"/>
      <c r="S87" s="198"/>
      <c r="T87" s="198"/>
      <c r="U87" s="198"/>
    </row>
    <row r="88" spans="1:26" s="12" customFormat="1" x14ac:dyDescent="0.25">
      <c r="A88" s="213" t="s">
        <v>1094</v>
      </c>
      <c r="B88" s="64">
        <v>18.260000000000002</v>
      </c>
      <c r="C88" s="64">
        <v>72.239999999999995</v>
      </c>
      <c r="D88" s="64">
        <v>55.15</v>
      </c>
      <c r="E88" s="64">
        <v>0.17</v>
      </c>
      <c r="F88" s="64">
        <v>3.03</v>
      </c>
      <c r="G88" s="64">
        <v>94.21</v>
      </c>
      <c r="H88" s="64">
        <v>28.32</v>
      </c>
      <c r="I88" s="64">
        <v>1.49</v>
      </c>
      <c r="J88" s="64">
        <v>0.17</v>
      </c>
      <c r="K88" s="64">
        <v>350.17</v>
      </c>
      <c r="L88" s="64">
        <v>18.75</v>
      </c>
      <c r="M88" s="64">
        <v>40.46</v>
      </c>
      <c r="N88" s="64">
        <v>88.2</v>
      </c>
      <c r="O88" s="64">
        <v>0</v>
      </c>
      <c r="P88" s="64">
        <v>1.04</v>
      </c>
      <c r="Q88" s="64">
        <v>7.6</v>
      </c>
      <c r="R88" s="198"/>
      <c r="S88" s="198"/>
      <c r="T88" s="198"/>
      <c r="U88" s="198"/>
    </row>
    <row r="89" spans="1:26" s="12" customFormat="1" x14ac:dyDescent="0.25">
      <c r="A89" s="213" t="s">
        <v>1095</v>
      </c>
      <c r="B89" s="64">
        <v>19.57</v>
      </c>
      <c r="C89" s="64">
        <v>72.680000000000007</v>
      </c>
      <c r="D89" s="64">
        <v>56.45</v>
      </c>
      <c r="E89" s="64">
        <v>0.27</v>
      </c>
      <c r="F89" s="64">
        <v>3.09</v>
      </c>
      <c r="G89" s="64">
        <v>94.21</v>
      </c>
      <c r="H89" s="64">
        <v>28.32</v>
      </c>
      <c r="I89" s="64">
        <v>1.52</v>
      </c>
      <c r="J89" s="64">
        <v>0.17</v>
      </c>
      <c r="K89" s="64">
        <v>67.89</v>
      </c>
      <c r="L89" s="64">
        <v>18.55</v>
      </c>
      <c r="M89" s="64">
        <v>40.049999999999997</v>
      </c>
      <c r="N89" s="64">
        <v>88.2</v>
      </c>
      <c r="O89" s="64">
        <v>0</v>
      </c>
      <c r="P89" s="64">
        <v>1.1100000000000001</v>
      </c>
      <c r="Q89" s="64">
        <v>7.76</v>
      </c>
      <c r="R89" s="198"/>
      <c r="S89" s="198"/>
      <c r="T89" s="198"/>
      <c r="U89" s="198"/>
    </row>
    <row r="90" spans="1:26" s="12" customFormat="1" x14ac:dyDescent="0.25">
      <c r="A90" s="213" t="s">
        <v>1096</v>
      </c>
      <c r="B90" s="64">
        <v>19.170000000000002</v>
      </c>
      <c r="C90" s="64">
        <v>72.55</v>
      </c>
      <c r="D90" s="64">
        <v>56.06</v>
      </c>
      <c r="E90" s="64">
        <v>0.28000000000000003</v>
      </c>
      <c r="F90" s="64">
        <v>3.07</v>
      </c>
      <c r="G90" s="64">
        <v>94.21</v>
      </c>
      <c r="H90" s="64">
        <v>28.32</v>
      </c>
      <c r="I90" s="64">
        <v>1.46</v>
      </c>
      <c r="J90" s="64">
        <v>0.24</v>
      </c>
      <c r="K90" s="64">
        <v>64.97</v>
      </c>
      <c r="L90" s="64">
        <v>18.32</v>
      </c>
      <c r="M90" s="64">
        <v>40.200000000000003</v>
      </c>
      <c r="N90" s="64">
        <v>88</v>
      </c>
      <c r="O90" s="64">
        <v>0</v>
      </c>
      <c r="P90" s="64">
        <v>1.1399999999999999</v>
      </c>
      <c r="Q90" s="64">
        <v>7.78</v>
      </c>
      <c r="R90" s="198"/>
      <c r="S90" s="198"/>
      <c r="T90" s="198"/>
      <c r="U90" s="198"/>
    </row>
    <row r="91" spans="1:26" s="12" customFormat="1" x14ac:dyDescent="0.25">
      <c r="A91" s="213" t="s">
        <v>1097</v>
      </c>
      <c r="B91" s="64">
        <v>19.37</v>
      </c>
      <c r="C91" s="64">
        <v>72.09</v>
      </c>
      <c r="D91" s="64">
        <v>55.96</v>
      </c>
      <c r="E91" s="64">
        <v>0.21</v>
      </c>
      <c r="F91" s="64">
        <v>3.2</v>
      </c>
      <c r="G91" s="64">
        <v>103.9</v>
      </c>
      <c r="H91" s="64">
        <v>31.55</v>
      </c>
      <c r="I91" s="64">
        <v>1.53</v>
      </c>
      <c r="J91" s="64">
        <v>0.1</v>
      </c>
      <c r="K91" s="64">
        <v>40.020000000000003</v>
      </c>
      <c r="L91" s="64">
        <v>18.14</v>
      </c>
      <c r="M91" s="64">
        <v>41.14</v>
      </c>
      <c r="N91" s="64">
        <v>88.3</v>
      </c>
      <c r="O91" s="64">
        <v>0</v>
      </c>
      <c r="P91" s="64">
        <v>1.17</v>
      </c>
      <c r="Q91" s="64">
        <v>7.76</v>
      </c>
      <c r="R91" s="198"/>
      <c r="S91" s="198"/>
      <c r="T91" s="198"/>
      <c r="U91" s="198"/>
    </row>
    <row r="92" spans="1:26" s="12" customFormat="1" x14ac:dyDescent="0.25">
      <c r="A92" s="213" t="s">
        <v>1098</v>
      </c>
      <c r="B92" s="64">
        <v>22.52</v>
      </c>
      <c r="C92" s="64">
        <v>71.44</v>
      </c>
      <c r="D92" s="64">
        <v>58.14</v>
      </c>
      <c r="E92" s="64">
        <v>0.23</v>
      </c>
      <c r="F92" s="64">
        <v>3.04</v>
      </c>
      <c r="G92" s="64">
        <v>106.49</v>
      </c>
      <c r="H92" s="64">
        <v>31.55</v>
      </c>
      <c r="I92" s="64">
        <v>1.48</v>
      </c>
      <c r="J92" s="64">
        <v>0.22</v>
      </c>
      <c r="K92" s="64">
        <v>354.07</v>
      </c>
      <c r="L92" s="64">
        <v>17.75</v>
      </c>
      <c r="M92" s="64">
        <v>43.54</v>
      </c>
      <c r="N92" s="64">
        <v>88.2</v>
      </c>
      <c r="O92" s="64">
        <v>0</v>
      </c>
      <c r="P92" s="64">
        <v>1.25</v>
      </c>
      <c r="Q92" s="64">
        <v>7.9</v>
      </c>
      <c r="R92" s="198"/>
      <c r="S92" s="198"/>
      <c r="T92" s="198"/>
      <c r="U92" s="198"/>
    </row>
    <row r="93" spans="1:26" s="12" customFormat="1" x14ac:dyDescent="0.25">
      <c r="A93" s="213" t="s">
        <v>1099</v>
      </c>
      <c r="B93" s="64">
        <v>27.03</v>
      </c>
      <c r="C93" s="64">
        <v>71.260000000000005</v>
      </c>
      <c r="D93" s="64">
        <v>61.65</v>
      </c>
      <c r="E93" s="64">
        <v>0.23</v>
      </c>
      <c r="F93" s="64">
        <v>3.23</v>
      </c>
      <c r="G93" s="64">
        <v>106.49</v>
      </c>
      <c r="H93" s="64">
        <v>31.55</v>
      </c>
      <c r="I93" s="64">
        <v>1.51</v>
      </c>
      <c r="J93" s="64">
        <v>0.24</v>
      </c>
      <c r="K93" s="64">
        <v>352.03</v>
      </c>
      <c r="L93" s="64">
        <v>17.84</v>
      </c>
      <c r="M93" s="64">
        <v>42.04</v>
      </c>
      <c r="N93" s="64">
        <v>87.7</v>
      </c>
      <c r="O93" s="64">
        <v>0</v>
      </c>
      <c r="P93" s="64">
        <v>1.31</v>
      </c>
      <c r="Q93" s="64">
        <v>8.14</v>
      </c>
      <c r="R93" s="198"/>
      <c r="S93" s="198"/>
      <c r="T93" s="198"/>
      <c r="U93" s="198"/>
    </row>
    <row r="94" spans="1:26" s="12" customFormat="1" x14ac:dyDescent="0.25">
      <c r="A94" s="213" t="s">
        <v>1100</v>
      </c>
      <c r="B94" s="64">
        <v>29</v>
      </c>
      <c r="C94" s="64">
        <v>71.05</v>
      </c>
      <c r="D94" s="64">
        <v>63.12</v>
      </c>
      <c r="E94" s="64">
        <v>0.22</v>
      </c>
      <c r="F94" s="64">
        <v>3.14</v>
      </c>
      <c r="G94" s="64">
        <v>106.49</v>
      </c>
      <c r="H94" s="64">
        <v>31.55</v>
      </c>
      <c r="I94" s="64">
        <v>1.55</v>
      </c>
      <c r="J94" s="64">
        <v>0.48</v>
      </c>
      <c r="K94" s="64">
        <v>107.61</v>
      </c>
      <c r="L94" s="64">
        <v>18.170000000000002</v>
      </c>
      <c r="M94" s="64">
        <v>39.69</v>
      </c>
      <c r="N94" s="64">
        <v>87</v>
      </c>
      <c r="O94" s="64">
        <v>0</v>
      </c>
      <c r="P94" s="64">
        <v>1.33</v>
      </c>
      <c r="Q94" s="64">
        <v>8.2899999999999991</v>
      </c>
      <c r="R94" s="198"/>
      <c r="S94" s="198"/>
      <c r="T94" s="198"/>
      <c r="U94" s="198"/>
    </row>
    <row r="95" spans="1:26" s="12" customFormat="1" x14ac:dyDescent="0.25">
      <c r="A95" s="213" t="s">
        <v>1101</v>
      </c>
      <c r="B95" s="64">
        <v>28.6</v>
      </c>
      <c r="C95" s="64">
        <v>70.55</v>
      </c>
      <c r="D95" s="64">
        <v>62.52</v>
      </c>
      <c r="E95" s="64">
        <v>0.22</v>
      </c>
      <c r="F95" s="64">
        <v>3.25</v>
      </c>
      <c r="G95" s="64">
        <v>99.86</v>
      </c>
      <c r="H95" s="64">
        <v>32.270000000000003</v>
      </c>
      <c r="I95" s="64">
        <v>1.48</v>
      </c>
      <c r="J95" s="64">
        <v>0.13</v>
      </c>
      <c r="K95" s="64">
        <v>21.61</v>
      </c>
      <c r="L95" s="64">
        <v>18.010000000000002</v>
      </c>
      <c r="M95" s="64">
        <v>40.659999999999997</v>
      </c>
      <c r="N95" s="64">
        <v>88.3</v>
      </c>
      <c r="O95" s="64">
        <v>0</v>
      </c>
      <c r="P95" s="64">
        <v>1.32</v>
      </c>
      <c r="Q95" s="64">
        <v>8.3800000000000008</v>
      </c>
      <c r="R95" s="198"/>
      <c r="S95" s="198"/>
      <c r="T95" s="198"/>
      <c r="U95" s="198"/>
    </row>
    <row r="96" spans="1:26" s="12" customFormat="1" x14ac:dyDescent="0.25">
      <c r="A96" s="213" t="s">
        <v>1102</v>
      </c>
      <c r="B96" s="64">
        <v>29.01</v>
      </c>
      <c r="C96" s="64">
        <v>70.239999999999995</v>
      </c>
      <c r="D96" s="64">
        <v>62.67</v>
      </c>
      <c r="E96" s="64">
        <v>0.3</v>
      </c>
      <c r="F96" s="64">
        <v>3.11</v>
      </c>
      <c r="G96" s="64">
        <v>98.2</v>
      </c>
      <c r="H96" s="64">
        <v>32.270000000000003</v>
      </c>
      <c r="I96" s="64">
        <v>1.43</v>
      </c>
      <c r="J96" s="64">
        <v>0.17</v>
      </c>
      <c r="K96" s="64">
        <v>48.72</v>
      </c>
      <c r="L96" s="64">
        <v>17.649999999999999</v>
      </c>
      <c r="M96" s="64">
        <v>40.89</v>
      </c>
      <c r="N96" s="64">
        <v>88.1</v>
      </c>
      <c r="O96" s="64">
        <v>0</v>
      </c>
      <c r="P96" s="64">
        <v>1.32</v>
      </c>
      <c r="Q96" s="64">
        <v>8.4499999999999993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1103</v>
      </c>
      <c r="B97" s="64">
        <v>28.91</v>
      </c>
      <c r="C97" s="64">
        <v>70.27</v>
      </c>
      <c r="D97" s="64">
        <v>62.61</v>
      </c>
      <c r="E97" s="64">
        <v>0.23</v>
      </c>
      <c r="F97" s="64">
        <v>3.42</v>
      </c>
      <c r="G97" s="64">
        <v>98.2</v>
      </c>
      <c r="H97" s="64">
        <v>32.270000000000003</v>
      </c>
      <c r="I97" s="64">
        <v>1.49</v>
      </c>
      <c r="J97" s="64">
        <v>0.28000000000000003</v>
      </c>
      <c r="K97" s="64">
        <v>57.72</v>
      </c>
      <c r="L97" s="64">
        <v>17.579999999999998</v>
      </c>
      <c r="M97" s="64">
        <v>39.479999999999997</v>
      </c>
      <c r="N97" s="64">
        <v>87.6</v>
      </c>
      <c r="O97" s="64">
        <v>0</v>
      </c>
      <c r="P97" s="64">
        <v>1.31</v>
      </c>
      <c r="Q97" s="64">
        <v>8.4700000000000006</v>
      </c>
      <c r="R97" s="198"/>
      <c r="S97" s="198"/>
      <c r="T97" s="198"/>
      <c r="U97" s="198"/>
    </row>
    <row r="98" spans="1:33" s="12" customFormat="1" x14ac:dyDescent="0.25">
      <c r="A98" s="213" t="s">
        <v>1104</v>
      </c>
      <c r="B98" s="64">
        <v>28.06</v>
      </c>
      <c r="C98" s="64">
        <v>70.44</v>
      </c>
      <c r="D98" s="64">
        <v>62.02</v>
      </c>
      <c r="E98" s="64">
        <v>0.26</v>
      </c>
      <c r="F98" s="64">
        <v>3.05</v>
      </c>
      <c r="G98" s="64">
        <v>98.2</v>
      </c>
      <c r="H98" s="64">
        <v>32.270000000000003</v>
      </c>
      <c r="I98" s="64">
        <v>1.52</v>
      </c>
      <c r="J98" s="64">
        <v>0.14000000000000001</v>
      </c>
      <c r="K98" s="64">
        <v>6.96</v>
      </c>
      <c r="L98" s="64">
        <v>17.579999999999998</v>
      </c>
      <c r="M98" s="64">
        <v>38.44</v>
      </c>
      <c r="N98" s="64">
        <v>87.8</v>
      </c>
      <c r="O98" s="64">
        <v>0</v>
      </c>
      <c r="P98" s="64">
        <v>1.28</v>
      </c>
      <c r="Q98" s="64">
        <v>8.4499999999999993</v>
      </c>
      <c r="R98" s="198"/>
      <c r="S98" s="198"/>
      <c r="T98" s="198"/>
      <c r="U98" s="198"/>
    </row>
    <row r="99" spans="1:33" s="12" customFormat="1" x14ac:dyDescent="0.25">
      <c r="A99" s="213" t="s">
        <v>1105</v>
      </c>
      <c r="B99" s="64">
        <v>27.22</v>
      </c>
      <c r="C99" s="64">
        <v>70.569999999999993</v>
      </c>
      <c r="D99" s="64">
        <v>61.42</v>
      </c>
      <c r="E99" s="64">
        <v>0.26</v>
      </c>
      <c r="F99" s="64">
        <v>2.99</v>
      </c>
      <c r="G99" s="64">
        <v>88.95</v>
      </c>
      <c r="H99" s="64">
        <v>32.159999999999997</v>
      </c>
      <c r="I99" s="64">
        <v>1.48</v>
      </c>
      <c r="J99" s="64">
        <v>0.09</v>
      </c>
      <c r="K99" s="64">
        <v>330.78</v>
      </c>
      <c r="L99" s="64">
        <v>17.239999999999998</v>
      </c>
      <c r="M99" s="64">
        <v>39.78</v>
      </c>
      <c r="N99" s="64">
        <v>88.3</v>
      </c>
      <c r="O99" s="64">
        <v>0</v>
      </c>
      <c r="P99" s="64">
        <v>1.26</v>
      </c>
      <c r="Q99" s="64">
        <v>8.3800000000000008</v>
      </c>
      <c r="R99" s="198"/>
      <c r="S99" s="198"/>
      <c r="T99" s="198"/>
      <c r="U99" s="198"/>
    </row>
    <row r="100" spans="1:33" s="12" customFormat="1" x14ac:dyDescent="0.25">
      <c r="A100" s="213" t="s">
        <v>1106</v>
      </c>
      <c r="B100" s="64">
        <v>27.35</v>
      </c>
      <c r="C100" s="64">
        <v>70.58</v>
      </c>
      <c r="D100" s="64">
        <v>61.53</v>
      </c>
      <c r="E100" s="64">
        <v>0.24</v>
      </c>
      <c r="F100" s="64">
        <v>3.02</v>
      </c>
      <c r="G100" s="64">
        <v>86.47</v>
      </c>
      <c r="H100" s="64">
        <v>32.159999999999997</v>
      </c>
      <c r="I100" s="64">
        <v>1.53</v>
      </c>
      <c r="J100" s="64">
        <v>0.16</v>
      </c>
      <c r="K100" s="64">
        <v>353.16</v>
      </c>
      <c r="L100" s="64">
        <v>16.579999999999998</v>
      </c>
      <c r="M100" s="64">
        <v>45.73</v>
      </c>
      <c r="N100" s="64">
        <v>88.2</v>
      </c>
      <c r="O100" s="64">
        <v>0</v>
      </c>
      <c r="P100" s="64">
        <v>1.24</v>
      </c>
      <c r="Q100" s="64">
        <v>8.3699999999999992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1107</v>
      </c>
      <c r="B101" s="64">
        <v>27.02</v>
      </c>
      <c r="C101" s="64">
        <v>70.8</v>
      </c>
      <c r="D101" s="64">
        <v>61.38</v>
      </c>
      <c r="E101" s="64">
        <v>0.25</v>
      </c>
      <c r="F101" s="64">
        <v>2.76</v>
      </c>
      <c r="G101" s="64">
        <v>86.47</v>
      </c>
      <c r="H101" s="64">
        <v>32.159999999999997</v>
      </c>
      <c r="I101" s="64">
        <v>1.47</v>
      </c>
      <c r="J101" s="64">
        <v>0.15</v>
      </c>
      <c r="K101" s="64">
        <v>57.14</v>
      </c>
      <c r="L101" s="64">
        <v>16.760000000000002</v>
      </c>
      <c r="M101" s="64">
        <v>40.020000000000003</v>
      </c>
      <c r="N101" s="64">
        <v>87.8</v>
      </c>
      <c r="O101" s="64">
        <v>0</v>
      </c>
      <c r="P101" s="64">
        <v>1.2</v>
      </c>
      <c r="Q101" s="64">
        <v>8.43</v>
      </c>
      <c r="R101" s="198"/>
      <c r="S101" s="198"/>
      <c r="T101" s="198"/>
      <c r="U101" s="198"/>
    </row>
    <row r="102" spans="1:33" s="12" customFormat="1" x14ac:dyDescent="0.25">
      <c r="A102" s="213" t="s">
        <v>1108</v>
      </c>
      <c r="B102" s="64">
        <v>25.92</v>
      </c>
      <c r="C102" s="64">
        <v>71.08</v>
      </c>
      <c r="D102" s="64">
        <v>60.66</v>
      </c>
      <c r="E102" s="64">
        <v>0.24</v>
      </c>
      <c r="F102" s="64">
        <v>3.27</v>
      </c>
      <c r="G102" s="64">
        <v>86.47</v>
      </c>
      <c r="H102" s="64">
        <v>32.159999999999997</v>
      </c>
      <c r="I102" s="64">
        <v>1.48</v>
      </c>
      <c r="J102" s="64">
        <v>0.11</v>
      </c>
      <c r="K102" s="64">
        <v>10.58</v>
      </c>
      <c r="L102" s="64">
        <v>16.510000000000002</v>
      </c>
      <c r="M102" s="64">
        <v>41.83</v>
      </c>
      <c r="N102" s="64">
        <v>88.2</v>
      </c>
      <c r="O102" s="64">
        <v>0</v>
      </c>
      <c r="P102" s="64">
        <v>1.19</v>
      </c>
      <c r="Q102" s="64">
        <v>8.44</v>
      </c>
      <c r="R102" s="198"/>
      <c r="S102" s="198"/>
      <c r="T102" s="198"/>
      <c r="U102" s="198"/>
    </row>
    <row r="103" spans="1:33" s="12" customFormat="1" x14ac:dyDescent="0.25">
      <c r="A103" s="213" t="s">
        <v>1109</v>
      </c>
      <c r="B103" s="64">
        <v>24.6</v>
      </c>
      <c r="C103" s="64">
        <v>70.87</v>
      </c>
      <c r="D103" s="64">
        <v>59.49</v>
      </c>
      <c r="E103" s="64">
        <v>0.23</v>
      </c>
      <c r="F103" s="64">
        <v>3.47</v>
      </c>
      <c r="G103" s="64">
        <v>78.540000000000006</v>
      </c>
      <c r="H103" s="64">
        <v>29.64</v>
      </c>
      <c r="I103" s="64">
        <v>1.53</v>
      </c>
      <c r="J103" s="64">
        <v>0.11</v>
      </c>
      <c r="K103" s="64">
        <v>348.48</v>
      </c>
      <c r="L103" s="64">
        <v>16.21</v>
      </c>
      <c r="M103" s="64">
        <v>43.07</v>
      </c>
      <c r="N103" s="64">
        <v>88</v>
      </c>
      <c r="O103" s="64">
        <v>0</v>
      </c>
      <c r="P103" s="64">
        <v>1.1599999999999999</v>
      </c>
      <c r="Q103" s="64">
        <v>8.32</v>
      </c>
      <c r="R103" s="198"/>
      <c r="S103" s="198"/>
      <c r="T103" s="198"/>
      <c r="U103" s="198"/>
    </row>
    <row r="104" spans="1:33" s="12" customFormat="1" x14ac:dyDescent="0.25">
      <c r="A104" s="213" t="s">
        <v>1110</v>
      </c>
      <c r="B104" s="64">
        <v>23.28</v>
      </c>
      <c r="C104" s="64">
        <v>70.84</v>
      </c>
      <c r="D104" s="64">
        <v>58.41</v>
      </c>
      <c r="E104" s="64">
        <v>0.04</v>
      </c>
      <c r="F104" s="64">
        <v>3.35</v>
      </c>
      <c r="G104" s="64">
        <v>76.56</v>
      </c>
      <c r="H104" s="64">
        <v>29.64</v>
      </c>
      <c r="I104" s="64">
        <v>1.48</v>
      </c>
      <c r="J104" s="64">
        <v>0.13</v>
      </c>
      <c r="K104" s="64">
        <v>36.770000000000003</v>
      </c>
      <c r="L104" s="64">
        <v>16.440000000000001</v>
      </c>
      <c r="M104" s="64">
        <v>39.94</v>
      </c>
      <c r="N104" s="64">
        <v>87.7</v>
      </c>
      <c r="O104" s="64">
        <v>0</v>
      </c>
      <c r="P104" s="64">
        <v>1.1299999999999999</v>
      </c>
      <c r="Q104" s="64">
        <v>8.26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2.88</v>
      </c>
      <c r="C106" s="67">
        <f>MIN(C9:C104)</f>
        <v>54.29</v>
      </c>
      <c r="D106" s="67">
        <f t="shared" ref="D106:Q106" si="0">MIN(D9:D104)</f>
        <v>34.5</v>
      </c>
      <c r="E106" s="67">
        <f t="shared" si="0"/>
        <v>0.04</v>
      </c>
      <c r="F106" s="67">
        <f t="shared" si="0"/>
        <v>2.76</v>
      </c>
      <c r="G106" s="67">
        <f t="shared" si="0"/>
        <v>43.67</v>
      </c>
      <c r="H106" s="67">
        <f t="shared" si="0"/>
        <v>16.21</v>
      </c>
      <c r="I106" s="67">
        <f t="shared" si="0"/>
        <v>1.42</v>
      </c>
      <c r="J106" s="67">
        <f t="shared" si="0"/>
        <v>0.09</v>
      </c>
      <c r="K106" s="67">
        <f t="shared" si="0"/>
        <v>0.7</v>
      </c>
      <c r="L106" s="67">
        <f t="shared" si="0"/>
        <v>12.65</v>
      </c>
      <c r="M106" s="67">
        <f t="shared" si="0"/>
        <v>17.43</v>
      </c>
      <c r="N106" s="67">
        <f t="shared" si="0"/>
        <v>55.9</v>
      </c>
      <c r="O106" s="67">
        <f t="shared" si="0"/>
        <v>0</v>
      </c>
      <c r="P106" s="67">
        <f t="shared" si="0"/>
        <v>0.41</v>
      </c>
      <c r="Q106" s="67">
        <f t="shared" si="0"/>
        <v>5.87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83.63</v>
      </c>
      <c r="C107" s="66">
        <f t="shared" ref="C107:Q107" si="1">MAX(C9:C104)</f>
        <v>72.680000000000007</v>
      </c>
      <c r="D107" s="66">
        <f t="shared" si="1"/>
        <v>103.5</v>
      </c>
      <c r="E107" s="66">
        <f t="shared" si="1"/>
        <v>1.0900000000000001</v>
      </c>
      <c r="F107" s="66">
        <f t="shared" si="1"/>
        <v>8.2200000000000006</v>
      </c>
      <c r="G107" s="66">
        <f t="shared" si="1"/>
        <v>117.31</v>
      </c>
      <c r="H107" s="66">
        <f t="shared" si="1"/>
        <v>36.590000000000003</v>
      </c>
      <c r="I107" s="66">
        <f t="shared" si="1"/>
        <v>1.61</v>
      </c>
      <c r="J107" s="66">
        <f t="shared" si="1"/>
        <v>1.51</v>
      </c>
      <c r="K107" s="66">
        <f t="shared" si="1"/>
        <v>356.87</v>
      </c>
      <c r="L107" s="66">
        <f t="shared" si="1"/>
        <v>28.02</v>
      </c>
      <c r="M107" s="66">
        <f t="shared" si="1"/>
        <v>61.14</v>
      </c>
      <c r="N107" s="66">
        <f t="shared" si="1"/>
        <v>883.9</v>
      </c>
      <c r="O107" s="66">
        <f t="shared" si="1"/>
        <v>0</v>
      </c>
      <c r="P107" s="66">
        <f t="shared" si="1"/>
        <v>1.73</v>
      </c>
      <c r="Q107" s="66">
        <f t="shared" si="1"/>
        <v>13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24.192812499999999</v>
      </c>
      <c r="C108" s="67">
        <f t="shared" ref="C108:Q108" si="2">AVERAGE(C9:C104)</f>
        <v>61.553541666666668</v>
      </c>
      <c r="D108" s="67">
        <f t="shared" si="2"/>
        <v>54.017083333333339</v>
      </c>
      <c r="E108" s="67">
        <f t="shared" si="2"/>
        <v>0.31572916666666678</v>
      </c>
      <c r="F108" s="67">
        <f t="shared" si="2"/>
        <v>3.5143749999999994</v>
      </c>
      <c r="G108" s="67">
        <f t="shared" si="2"/>
        <v>74.374583333333348</v>
      </c>
      <c r="H108" s="67">
        <f t="shared" si="2"/>
        <v>26.112708333333327</v>
      </c>
      <c r="I108" s="67">
        <f t="shared" si="2"/>
        <v>1.4970833333333335</v>
      </c>
      <c r="J108" s="67">
        <f t="shared" si="2"/>
        <v>0.49166666666666697</v>
      </c>
      <c r="K108" s="67">
        <f t="shared" si="2"/>
        <v>168.7638541666667</v>
      </c>
      <c r="L108" s="67">
        <f t="shared" si="2"/>
        <v>18.888333333333332</v>
      </c>
      <c r="M108" s="67">
        <f t="shared" si="2"/>
        <v>38.109166666666667</v>
      </c>
      <c r="N108" s="67">
        <f t="shared" si="2"/>
        <v>277.13229166666673</v>
      </c>
      <c r="O108" s="67">
        <f t="shared" si="2"/>
        <v>0</v>
      </c>
      <c r="P108" s="67">
        <f t="shared" si="2"/>
        <v>0.82197916666666637</v>
      </c>
      <c r="Q108" s="67">
        <f t="shared" si="2"/>
        <v>7.895624999999999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18.39825207390637</v>
      </c>
      <c r="C109" s="67">
        <f t="shared" ref="C109:Q109" si="3">STDEV(C9:C104)</f>
        <v>6.1782542209995093</v>
      </c>
      <c r="D109" s="67">
        <f t="shared" si="3"/>
        <v>15.198724317428495</v>
      </c>
      <c r="E109" s="67">
        <f t="shared" si="3"/>
        <v>0.13675752488998569</v>
      </c>
      <c r="F109" s="67">
        <f t="shared" si="3"/>
        <v>0.83395167410159521</v>
      </c>
      <c r="G109" s="67">
        <f t="shared" si="3"/>
        <v>24.122393130675775</v>
      </c>
      <c r="H109" s="67">
        <f t="shared" si="3"/>
        <v>6.7046283274147624</v>
      </c>
      <c r="I109" s="67">
        <f t="shared" si="3"/>
        <v>4.2250298452179591E-2</v>
      </c>
      <c r="J109" s="67">
        <f t="shared" si="3"/>
        <v>0.3573135632132371</v>
      </c>
      <c r="K109" s="67">
        <f t="shared" si="3"/>
        <v>144.93742396648852</v>
      </c>
      <c r="L109" s="67">
        <f t="shared" si="3"/>
        <v>4.3051068002319504</v>
      </c>
      <c r="M109" s="67">
        <f t="shared" si="3"/>
        <v>13.403994350991205</v>
      </c>
      <c r="N109" s="67">
        <f t="shared" si="3"/>
        <v>298.66214268398278</v>
      </c>
      <c r="O109" s="67">
        <f t="shared" si="3"/>
        <v>0</v>
      </c>
      <c r="P109" s="67">
        <f t="shared" si="3"/>
        <v>0.34459623907184023</v>
      </c>
      <c r="Q109" s="67">
        <f t="shared" si="3"/>
        <v>1.6283293424146259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1111</v>
      </c>
      <c r="B9" s="64">
        <v>21.5</v>
      </c>
      <c r="C9" s="64">
        <v>70.7</v>
      </c>
      <c r="D9" s="64">
        <v>56.9</v>
      </c>
      <c r="E9" s="64">
        <v>0.11</v>
      </c>
      <c r="F9" s="64">
        <v>3.56</v>
      </c>
      <c r="G9" s="64">
        <v>76.56</v>
      </c>
      <c r="H9" s="64">
        <v>29.64</v>
      </c>
      <c r="I9" s="64">
        <v>1.46</v>
      </c>
      <c r="J9" s="64">
        <v>0.1</v>
      </c>
      <c r="K9" s="64">
        <v>316.39</v>
      </c>
      <c r="L9" s="64">
        <v>16.18</v>
      </c>
      <c r="M9" s="64">
        <v>41.78</v>
      </c>
      <c r="N9" s="64">
        <v>88.4</v>
      </c>
      <c r="O9" s="64">
        <v>0</v>
      </c>
      <c r="P9" s="64">
        <v>1.0900000000000001</v>
      </c>
      <c r="Q9" s="64">
        <v>8.2200000000000006</v>
      </c>
      <c r="R9" s="198"/>
      <c r="S9" s="198"/>
      <c r="T9" s="198"/>
      <c r="U9" s="198"/>
    </row>
    <row r="10" spans="1:21" s="12" customFormat="1" x14ac:dyDescent="0.25">
      <c r="A10" s="213" t="s">
        <v>1112</v>
      </c>
      <c r="B10" s="64">
        <v>19.989999999999998</v>
      </c>
      <c r="C10" s="64">
        <v>70.319999999999993</v>
      </c>
      <c r="D10" s="64">
        <v>55.49</v>
      </c>
      <c r="E10" s="64">
        <v>0.13</v>
      </c>
      <c r="F10" s="64">
        <v>3.42</v>
      </c>
      <c r="G10" s="64">
        <v>76.56</v>
      </c>
      <c r="H10" s="64">
        <v>29.64</v>
      </c>
      <c r="I10" s="64">
        <v>1.53</v>
      </c>
      <c r="J10" s="64">
        <v>0.16</v>
      </c>
      <c r="K10" s="64">
        <v>315.89999999999998</v>
      </c>
      <c r="L10" s="64">
        <v>15.58</v>
      </c>
      <c r="M10" s="64">
        <v>49.45</v>
      </c>
      <c r="N10" s="64">
        <v>88.5</v>
      </c>
      <c r="O10" s="64">
        <v>0</v>
      </c>
      <c r="P10" s="64">
        <v>1.07</v>
      </c>
      <c r="Q10" s="64">
        <v>8.07</v>
      </c>
      <c r="R10" s="198"/>
      <c r="S10" s="198"/>
      <c r="T10" s="198"/>
      <c r="U10" s="198"/>
    </row>
    <row r="11" spans="1:21" s="12" customFormat="1" x14ac:dyDescent="0.25">
      <c r="A11" s="213" t="s">
        <v>1113</v>
      </c>
      <c r="B11" s="64">
        <v>19.420000000000002</v>
      </c>
      <c r="C11" s="64">
        <v>69.42</v>
      </c>
      <c r="D11" s="64">
        <v>54.54</v>
      </c>
      <c r="E11" s="64">
        <v>0.09</v>
      </c>
      <c r="F11" s="64">
        <v>3.06</v>
      </c>
      <c r="G11" s="64">
        <v>66.94</v>
      </c>
      <c r="H11" s="64">
        <v>26.24</v>
      </c>
      <c r="I11" s="64">
        <v>1.42</v>
      </c>
      <c r="J11" s="64">
        <v>0.13</v>
      </c>
      <c r="K11" s="64">
        <v>301.14999999999998</v>
      </c>
      <c r="L11" s="64">
        <v>14.97</v>
      </c>
      <c r="M11" s="64">
        <v>61.64</v>
      </c>
      <c r="N11" s="64">
        <v>88.7</v>
      </c>
      <c r="O11" s="64">
        <v>0</v>
      </c>
      <c r="P11" s="64">
        <v>1.05</v>
      </c>
      <c r="Q11" s="64">
        <v>7.96</v>
      </c>
      <c r="R11" s="198"/>
      <c r="S11" s="198"/>
      <c r="T11" s="198"/>
      <c r="U11" s="198"/>
    </row>
    <row r="12" spans="1:21" s="12" customFormat="1" x14ac:dyDescent="0.25">
      <c r="A12" s="213" t="s">
        <v>1114</v>
      </c>
      <c r="B12" s="64">
        <v>18.34</v>
      </c>
      <c r="C12" s="64">
        <v>67.849999999999994</v>
      </c>
      <c r="D12" s="64">
        <v>52.79</v>
      </c>
      <c r="E12" s="64">
        <v>0.12</v>
      </c>
      <c r="F12" s="64">
        <v>3.12</v>
      </c>
      <c r="G12" s="64">
        <v>64.53</v>
      </c>
      <c r="H12" s="64">
        <v>26.24</v>
      </c>
      <c r="I12" s="64">
        <v>1.51</v>
      </c>
      <c r="J12" s="64">
        <v>0.12</v>
      </c>
      <c r="K12" s="64">
        <v>289.26</v>
      </c>
      <c r="L12" s="64">
        <v>14.55</v>
      </c>
      <c r="M12" s="64">
        <v>55.41</v>
      </c>
      <c r="N12" s="64">
        <v>88.6</v>
      </c>
      <c r="O12" s="64">
        <v>0</v>
      </c>
      <c r="P12" s="64">
        <v>1.02</v>
      </c>
      <c r="Q12" s="64">
        <v>7.85</v>
      </c>
      <c r="R12" s="198"/>
      <c r="S12" s="198"/>
      <c r="T12" s="198"/>
      <c r="U12" s="198"/>
    </row>
    <row r="13" spans="1:21" s="12" customFormat="1" x14ac:dyDescent="0.25">
      <c r="A13" s="213" t="s">
        <v>1115</v>
      </c>
      <c r="B13" s="64">
        <v>16.7</v>
      </c>
      <c r="C13" s="64">
        <v>66.7</v>
      </c>
      <c r="D13" s="64">
        <v>50.85</v>
      </c>
      <c r="E13" s="64">
        <v>0.12</v>
      </c>
      <c r="F13" s="64">
        <v>3</v>
      </c>
      <c r="G13" s="64">
        <v>64.53</v>
      </c>
      <c r="H13" s="64">
        <v>26.24</v>
      </c>
      <c r="I13" s="64">
        <v>1.46</v>
      </c>
      <c r="J13" s="64">
        <v>7.0000000000000007E-2</v>
      </c>
      <c r="K13" s="64">
        <v>304.95</v>
      </c>
      <c r="L13" s="64">
        <v>14.38</v>
      </c>
      <c r="M13" s="64">
        <v>53.28</v>
      </c>
      <c r="N13" s="64">
        <v>88.6</v>
      </c>
      <c r="O13" s="64">
        <v>0</v>
      </c>
      <c r="P13" s="64">
        <v>0.86</v>
      </c>
      <c r="Q13" s="64">
        <v>7.71</v>
      </c>
      <c r="R13" s="198"/>
      <c r="S13" s="198"/>
      <c r="T13" s="198"/>
      <c r="U13" s="198"/>
    </row>
    <row r="14" spans="1:21" s="12" customFormat="1" x14ac:dyDescent="0.25">
      <c r="A14" s="213" t="s">
        <v>1116</v>
      </c>
      <c r="B14" s="64">
        <v>15.05</v>
      </c>
      <c r="C14" s="64">
        <v>65.67</v>
      </c>
      <c r="D14" s="64">
        <v>48.95</v>
      </c>
      <c r="E14" s="64">
        <v>0.06</v>
      </c>
      <c r="F14" s="64">
        <v>3.2</v>
      </c>
      <c r="G14" s="64">
        <v>64.53</v>
      </c>
      <c r="H14" s="64">
        <v>26.24</v>
      </c>
      <c r="I14" s="64">
        <v>1.57</v>
      </c>
      <c r="J14" s="64">
        <v>0.1</v>
      </c>
      <c r="K14" s="64">
        <v>21.07</v>
      </c>
      <c r="L14" s="64">
        <v>14.31</v>
      </c>
      <c r="M14" s="64">
        <v>57.76</v>
      </c>
      <c r="N14" s="64">
        <v>88.2</v>
      </c>
      <c r="O14" s="64">
        <v>0</v>
      </c>
      <c r="P14" s="64">
        <v>0.88</v>
      </c>
      <c r="Q14" s="64">
        <v>7.55</v>
      </c>
      <c r="R14" s="198"/>
      <c r="S14" s="198"/>
      <c r="T14" s="198"/>
      <c r="U14" s="198"/>
    </row>
    <row r="15" spans="1:21" s="12" customFormat="1" x14ac:dyDescent="0.25">
      <c r="A15" s="213" t="s">
        <v>1117</v>
      </c>
      <c r="B15" s="64">
        <v>14.03</v>
      </c>
      <c r="C15" s="64">
        <v>64.52</v>
      </c>
      <c r="D15" s="64">
        <v>47.5</v>
      </c>
      <c r="E15" s="64">
        <v>7.0000000000000007E-2</v>
      </c>
      <c r="F15" s="64">
        <v>3.26</v>
      </c>
      <c r="G15" s="64">
        <v>53.89</v>
      </c>
      <c r="H15" s="64">
        <v>24.85</v>
      </c>
      <c r="I15" s="64">
        <v>1.59</v>
      </c>
      <c r="J15" s="64">
        <v>0.16</v>
      </c>
      <c r="K15" s="64">
        <v>321.19</v>
      </c>
      <c r="L15" s="64">
        <v>14.24</v>
      </c>
      <c r="M15" s="64">
        <v>62.04</v>
      </c>
      <c r="N15" s="64">
        <v>88.3</v>
      </c>
      <c r="O15" s="64">
        <v>0</v>
      </c>
      <c r="P15" s="64">
        <v>0.87</v>
      </c>
      <c r="Q15" s="64">
        <v>7.43</v>
      </c>
      <c r="R15" s="198"/>
      <c r="S15" s="198"/>
      <c r="T15" s="198"/>
      <c r="U15" s="198"/>
    </row>
    <row r="16" spans="1:21" s="12" customFormat="1" x14ac:dyDescent="0.25">
      <c r="A16" s="213" t="s">
        <v>1118</v>
      </c>
      <c r="B16" s="64">
        <v>13.54</v>
      </c>
      <c r="C16" s="64">
        <v>63.74</v>
      </c>
      <c r="D16" s="64">
        <v>46.68</v>
      </c>
      <c r="E16" s="64">
        <v>0.05</v>
      </c>
      <c r="F16" s="64">
        <v>3.06</v>
      </c>
      <c r="G16" s="64">
        <v>51.05</v>
      </c>
      <c r="H16" s="64">
        <v>24.85</v>
      </c>
      <c r="I16" s="64">
        <v>1.54</v>
      </c>
      <c r="J16" s="64">
        <v>0.04</v>
      </c>
      <c r="K16" s="64">
        <v>239.43</v>
      </c>
      <c r="L16" s="64">
        <v>14.3</v>
      </c>
      <c r="M16" s="64">
        <v>54.76</v>
      </c>
      <c r="N16" s="64">
        <v>88.3</v>
      </c>
      <c r="O16" s="64">
        <v>0</v>
      </c>
      <c r="P16" s="64">
        <v>0.84</v>
      </c>
      <c r="Q16" s="64">
        <v>7.29</v>
      </c>
      <c r="R16" s="198"/>
      <c r="S16" s="198"/>
      <c r="T16" s="198"/>
      <c r="U16" s="198"/>
    </row>
    <row r="17" spans="1:21" s="12" customFormat="1" x14ac:dyDescent="0.25">
      <c r="A17" s="213" t="s">
        <v>1119</v>
      </c>
      <c r="B17" s="64">
        <v>12.68</v>
      </c>
      <c r="C17" s="64">
        <v>62.94</v>
      </c>
      <c r="D17" s="64">
        <v>45.55</v>
      </c>
      <c r="E17" s="64">
        <v>0.09</v>
      </c>
      <c r="F17" s="64">
        <v>2.91</v>
      </c>
      <c r="G17" s="64">
        <v>51.05</v>
      </c>
      <c r="H17" s="64">
        <v>24.85</v>
      </c>
      <c r="I17" s="64">
        <v>1.48</v>
      </c>
      <c r="J17" s="64">
        <v>7.0000000000000007E-2</v>
      </c>
      <c r="K17" s="64">
        <v>264.22000000000003</v>
      </c>
      <c r="L17" s="64">
        <v>14.48</v>
      </c>
      <c r="M17" s="64">
        <v>51.41</v>
      </c>
      <c r="N17" s="64">
        <v>88.1</v>
      </c>
      <c r="O17" s="64">
        <v>0</v>
      </c>
      <c r="P17" s="64">
        <v>0.82</v>
      </c>
      <c r="Q17" s="64">
        <v>7.22</v>
      </c>
      <c r="R17" s="198"/>
      <c r="S17" s="198"/>
      <c r="T17" s="198"/>
      <c r="U17" s="198"/>
    </row>
    <row r="18" spans="1:21" s="12" customFormat="1" x14ac:dyDescent="0.25">
      <c r="A18" s="213" t="s">
        <v>1120</v>
      </c>
      <c r="B18" s="64">
        <v>11.7</v>
      </c>
      <c r="C18" s="64">
        <v>62.32</v>
      </c>
      <c r="D18" s="64">
        <v>44.42</v>
      </c>
      <c r="E18" s="64">
        <v>0.11</v>
      </c>
      <c r="F18" s="64">
        <v>3.21</v>
      </c>
      <c r="G18" s="64">
        <v>51.05</v>
      </c>
      <c r="H18" s="64">
        <v>24.85</v>
      </c>
      <c r="I18" s="64">
        <v>1.45</v>
      </c>
      <c r="J18" s="64">
        <v>0.1</v>
      </c>
      <c r="K18" s="64">
        <v>273.38</v>
      </c>
      <c r="L18" s="64">
        <v>14.37</v>
      </c>
      <c r="M18" s="64">
        <v>53.54</v>
      </c>
      <c r="N18" s="64">
        <v>88.3</v>
      </c>
      <c r="O18" s="64">
        <v>0</v>
      </c>
      <c r="P18" s="64">
        <v>0.82</v>
      </c>
      <c r="Q18" s="64">
        <v>7.12</v>
      </c>
      <c r="R18" s="198"/>
      <c r="S18" s="198"/>
      <c r="T18" s="198"/>
      <c r="U18" s="198"/>
    </row>
    <row r="19" spans="1:21" s="12" customFormat="1" x14ac:dyDescent="0.25">
      <c r="A19" s="213" t="s">
        <v>1121</v>
      </c>
      <c r="B19" s="64">
        <v>11.29</v>
      </c>
      <c r="C19" s="64">
        <v>61.73</v>
      </c>
      <c r="D19" s="64">
        <v>43.77</v>
      </c>
      <c r="E19" s="64">
        <v>0.1</v>
      </c>
      <c r="F19" s="64">
        <v>3.07</v>
      </c>
      <c r="G19" s="64">
        <v>74.19</v>
      </c>
      <c r="H19" s="64">
        <v>28.08</v>
      </c>
      <c r="I19" s="64">
        <v>1.48</v>
      </c>
      <c r="J19" s="64">
        <v>0.08</v>
      </c>
      <c r="K19" s="64">
        <v>23.96</v>
      </c>
      <c r="L19" s="64">
        <v>14.25</v>
      </c>
      <c r="M19" s="64">
        <v>56.25</v>
      </c>
      <c r="N19" s="64">
        <v>88.5</v>
      </c>
      <c r="O19" s="64">
        <v>0</v>
      </c>
      <c r="P19" s="64">
        <v>0.81</v>
      </c>
      <c r="Q19" s="64">
        <v>7</v>
      </c>
      <c r="R19" s="198"/>
      <c r="S19" s="198"/>
      <c r="T19" s="198"/>
      <c r="U19" s="198"/>
    </row>
    <row r="20" spans="1:21" s="12" customFormat="1" x14ac:dyDescent="0.25">
      <c r="A20" s="213" t="s">
        <v>1122</v>
      </c>
      <c r="B20" s="64">
        <v>10.99</v>
      </c>
      <c r="C20" s="64">
        <v>60.97</v>
      </c>
      <c r="D20" s="64">
        <v>43.11</v>
      </c>
      <c r="E20" s="64">
        <v>0.09</v>
      </c>
      <c r="F20" s="64">
        <v>3.05</v>
      </c>
      <c r="G20" s="64">
        <v>80.39</v>
      </c>
      <c r="H20" s="64">
        <v>28.08</v>
      </c>
      <c r="I20" s="64">
        <v>1.42</v>
      </c>
      <c r="J20" s="64">
        <v>0.16</v>
      </c>
      <c r="K20" s="64">
        <v>74.19</v>
      </c>
      <c r="L20" s="64">
        <v>14.28</v>
      </c>
      <c r="M20" s="64">
        <v>58.9</v>
      </c>
      <c r="N20" s="64">
        <v>88.3</v>
      </c>
      <c r="O20" s="64">
        <v>0</v>
      </c>
      <c r="P20" s="64">
        <v>0.81</v>
      </c>
      <c r="Q20" s="64">
        <v>6.97</v>
      </c>
      <c r="R20" s="198"/>
      <c r="S20" s="198"/>
      <c r="T20" s="198"/>
      <c r="U20" s="198"/>
    </row>
    <row r="21" spans="1:21" s="12" customFormat="1" x14ac:dyDescent="0.25">
      <c r="A21" s="213" t="s">
        <v>1123</v>
      </c>
      <c r="B21" s="64">
        <v>10.8</v>
      </c>
      <c r="C21" s="64">
        <v>60.16</v>
      </c>
      <c r="D21" s="64">
        <v>42.5</v>
      </c>
      <c r="E21" s="64">
        <v>0.08</v>
      </c>
      <c r="F21" s="64">
        <v>3.16</v>
      </c>
      <c r="G21" s="64">
        <v>80.39</v>
      </c>
      <c r="H21" s="64">
        <v>28.08</v>
      </c>
      <c r="I21" s="64">
        <v>1.5</v>
      </c>
      <c r="J21" s="64">
        <v>0.17</v>
      </c>
      <c r="K21" s="64">
        <v>77.48</v>
      </c>
      <c r="L21" s="64">
        <v>14.65</v>
      </c>
      <c r="M21" s="64">
        <v>58.85</v>
      </c>
      <c r="N21" s="64">
        <v>88</v>
      </c>
      <c r="O21" s="64">
        <v>0</v>
      </c>
      <c r="P21" s="64">
        <v>0.83</v>
      </c>
      <c r="Q21" s="64">
        <v>6.91</v>
      </c>
      <c r="R21" s="198"/>
      <c r="S21" s="198"/>
      <c r="T21" s="198"/>
      <c r="U21" s="198"/>
    </row>
    <row r="22" spans="1:21" s="12" customFormat="1" x14ac:dyDescent="0.25">
      <c r="A22" s="213" t="s">
        <v>1124</v>
      </c>
      <c r="B22" s="64">
        <v>10.55</v>
      </c>
      <c r="C22" s="64">
        <v>59.62</v>
      </c>
      <c r="D22" s="64">
        <v>42</v>
      </c>
      <c r="E22" s="64">
        <v>0.1</v>
      </c>
      <c r="F22" s="64">
        <v>3.03</v>
      </c>
      <c r="G22" s="64">
        <v>80.39</v>
      </c>
      <c r="H22" s="64">
        <v>28.08</v>
      </c>
      <c r="I22" s="64">
        <v>1.51</v>
      </c>
      <c r="J22" s="64">
        <v>0.1</v>
      </c>
      <c r="K22" s="64">
        <v>11.05</v>
      </c>
      <c r="L22" s="64">
        <v>14.49</v>
      </c>
      <c r="M22" s="64">
        <v>60.97</v>
      </c>
      <c r="N22" s="64">
        <v>88.2</v>
      </c>
      <c r="O22" s="64">
        <v>0</v>
      </c>
      <c r="P22" s="64">
        <v>0.88</v>
      </c>
      <c r="Q22" s="64">
        <v>6.91</v>
      </c>
      <c r="R22" s="198"/>
      <c r="S22" s="198"/>
      <c r="T22" s="198"/>
      <c r="U22" s="198"/>
    </row>
    <row r="23" spans="1:21" s="12" customFormat="1" x14ac:dyDescent="0.25">
      <c r="A23" s="213" t="s">
        <v>1125</v>
      </c>
      <c r="B23" s="64">
        <v>10.62</v>
      </c>
      <c r="C23" s="64">
        <v>59.2</v>
      </c>
      <c r="D23" s="64">
        <v>41.83</v>
      </c>
      <c r="E23" s="64">
        <v>0.17</v>
      </c>
      <c r="F23" s="64">
        <v>3.39</v>
      </c>
      <c r="G23" s="64">
        <v>115.59</v>
      </c>
      <c r="H23" s="64">
        <v>36.93</v>
      </c>
      <c r="I23" s="64">
        <v>1.46</v>
      </c>
      <c r="J23" s="64">
        <v>0.05</v>
      </c>
      <c r="K23" s="64">
        <v>340.51</v>
      </c>
      <c r="L23" s="64">
        <v>14.3</v>
      </c>
      <c r="M23" s="64">
        <v>61.01</v>
      </c>
      <c r="N23" s="64">
        <v>88.3</v>
      </c>
      <c r="O23" s="64">
        <v>0</v>
      </c>
      <c r="P23" s="64">
        <v>0.94</v>
      </c>
      <c r="Q23" s="64">
        <v>6.88</v>
      </c>
      <c r="R23" s="198"/>
      <c r="S23" s="198"/>
      <c r="T23" s="198"/>
      <c r="U23" s="198"/>
    </row>
    <row r="24" spans="1:21" s="12" customFormat="1" x14ac:dyDescent="0.25">
      <c r="A24" s="213" t="s">
        <v>1126</v>
      </c>
      <c r="B24" s="64">
        <v>10.83</v>
      </c>
      <c r="C24" s="64">
        <v>58.79</v>
      </c>
      <c r="D24" s="64">
        <v>41.78</v>
      </c>
      <c r="E24" s="64">
        <v>0.19</v>
      </c>
      <c r="F24" s="64">
        <v>3.11</v>
      </c>
      <c r="G24" s="64">
        <v>125.01</v>
      </c>
      <c r="H24" s="64">
        <v>36.93</v>
      </c>
      <c r="I24" s="64">
        <v>1.5</v>
      </c>
      <c r="J24" s="64">
        <v>0.03</v>
      </c>
      <c r="K24" s="64">
        <v>193.92</v>
      </c>
      <c r="L24" s="64">
        <v>14.31</v>
      </c>
      <c r="M24" s="64">
        <v>58.84</v>
      </c>
      <c r="N24" s="64">
        <v>88.6</v>
      </c>
      <c r="O24" s="64">
        <v>0</v>
      </c>
      <c r="P24" s="64">
        <v>0.98</v>
      </c>
      <c r="Q24" s="64">
        <v>6.88</v>
      </c>
      <c r="R24" s="198"/>
      <c r="S24" s="198"/>
      <c r="T24" s="198"/>
      <c r="U24" s="198"/>
    </row>
    <row r="25" spans="1:21" s="12" customFormat="1" x14ac:dyDescent="0.25">
      <c r="A25" s="213" t="s">
        <v>1127</v>
      </c>
      <c r="B25" s="64">
        <v>10.63</v>
      </c>
      <c r="C25" s="64">
        <v>58.44</v>
      </c>
      <c r="D25" s="64">
        <v>41.42</v>
      </c>
      <c r="E25" s="64">
        <v>0.23</v>
      </c>
      <c r="F25" s="64">
        <v>3.09</v>
      </c>
      <c r="G25" s="64">
        <v>125.01</v>
      </c>
      <c r="H25" s="64">
        <v>36.93</v>
      </c>
      <c r="I25" s="64">
        <v>1.46</v>
      </c>
      <c r="J25" s="64">
        <v>0.08</v>
      </c>
      <c r="K25" s="64">
        <v>315.38</v>
      </c>
      <c r="L25" s="64">
        <v>14.15</v>
      </c>
      <c r="M25" s="64">
        <v>58.47</v>
      </c>
      <c r="N25" s="64">
        <v>88.6</v>
      </c>
      <c r="O25" s="64">
        <v>0</v>
      </c>
      <c r="P25" s="64">
        <v>1</v>
      </c>
      <c r="Q25" s="64">
        <v>6.84</v>
      </c>
      <c r="R25" s="198"/>
      <c r="S25" s="198"/>
      <c r="T25" s="198"/>
      <c r="U25" s="198"/>
    </row>
    <row r="26" spans="1:21" s="12" customFormat="1" x14ac:dyDescent="0.25">
      <c r="A26" s="213" t="s">
        <v>1128</v>
      </c>
      <c r="B26" s="64">
        <v>10.31</v>
      </c>
      <c r="C26" s="64">
        <v>58.37</v>
      </c>
      <c r="D26" s="64">
        <v>41.13</v>
      </c>
      <c r="E26" s="64">
        <v>0.28999999999999998</v>
      </c>
      <c r="F26" s="64">
        <v>3.17</v>
      </c>
      <c r="G26" s="64">
        <v>125.01</v>
      </c>
      <c r="H26" s="64">
        <v>36.93</v>
      </c>
      <c r="I26" s="64">
        <v>1.47</v>
      </c>
      <c r="J26" s="64">
        <v>0.01</v>
      </c>
      <c r="K26" s="64">
        <v>70.98</v>
      </c>
      <c r="L26" s="64">
        <v>14.18</v>
      </c>
      <c r="M26" s="64">
        <v>58.03</v>
      </c>
      <c r="N26" s="64">
        <v>88.3</v>
      </c>
      <c r="O26" s="64">
        <v>0</v>
      </c>
      <c r="P26" s="64">
        <v>1.02</v>
      </c>
      <c r="Q26" s="64">
        <v>6.84</v>
      </c>
      <c r="R26" s="198"/>
      <c r="S26" s="198"/>
      <c r="T26" s="198"/>
      <c r="U26" s="198"/>
    </row>
    <row r="27" spans="1:21" s="12" customFormat="1" x14ac:dyDescent="0.25">
      <c r="A27" s="213" t="s">
        <v>1129</v>
      </c>
      <c r="B27" s="64">
        <v>10.26</v>
      </c>
      <c r="C27" s="64">
        <v>58.61</v>
      </c>
      <c r="D27" s="64">
        <v>41.22</v>
      </c>
      <c r="E27" s="64">
        <v>0.27</v>
      </c>
      <c r="F27" s="64">
        <v>3.08</v>
      </c>
      <c r="G27" s="64">
        <v>122.71</v>
      </c>
      <c r="H27" s="64">
        <v>30.41</v>
      </c>
      <c r="I27" s="64">
        <v>1.45</v>
      </c>
      <c r="J27" s="64">
        <v>0.2</v>
      </c>
      <c r="K27" s="64">
        <v>57.74</v>
      </c>
      <c r="L27" s="64">
        <v>14.23</v>
      </c>
      <c r="M27" s="64">
        <v>57.29</v>
      </c>
      <c r="N27" s="64">
        <v>88.2</v>
      </c>
      <c r="O27" s="64">
        <v>0</v>
      </c>
      <c r="P27" s="64">
        <v>1.02</v>
      </c>
      <c r="Q27" s="64">
        <v>6.82</v>
      </c>
      <c r="R27" s="198"/>
      <c r="S27" s="198"/>
      <c r="T27" s="198"/>
      <c r="U27" s="198"/>
    </row>
    <row r="28" spans="1:21" s="12" customFormat="1" x14ac:dyDescent="0.25">
      <c r="A28" s="213" t="s">
        <v>1130</v>
      </c>
      <c r="B28" s="64">
        <v>10.23</v>
      </c>
      <c r="C28" s="64">
        <v>58.78</v>
      </c>
      <c r="D28" s="64">
        <v>41.29</v>
      </c>
      <c r="E28" s="64">
        <v>0.25</v>
      </c>
      <c r="F28" s="64">
        <v>3.16</v>
      </c>
      <c r="G28" s="64">
        <v>122.1</v>
      </c>
      <c r="H28" s="64">
        <v>30.41</v>
      </c>
      <c r="I28" s="64">
        <v>1.53</v>
      </c>
      <c r="J28" s="64">
        <v>0.12</v>
      </c>
      <c r="K28" s="64">
        <v>38.29</v>
      </c>
      <c r="L28" s="64">
        <v>14.06</v>
      </c>
      <c r="M28" s="64">
        <v>59.45</v>
      </c>
      <c r="N28" s="64">
        <v>88.6</v>
      </c>
      <c r="O28" s="64">
        <v>0</v>
      </c>
      <c r="P28" s="64">
        <v>1</v>
      </c>
      <c r="Q28" s="64">
        <v>6.84</v>
      </c>
      <c r="R28" s="198"/>
      <c r="S28" s="198"/>
      <c r="T28" s="198"/>
      <c r="U28" s="198"/>
    </row>
    <row r="29" spans="1:21" s="12" customFormat="1" x14ac:dyDescent="0.25">
      <c r="A29" s="213" t="s">
        <v>1131</v>
      </c>
      <c r="B29" s="64">
        <v>10.18</v>
      </c>
      <c r="C29" s="64">
        <v>58.78</v>
      </c>
      <c r="D29" s="64">
        <v>41.25</v>
      </c>
      <c r="E29" s="64">
        <v>0.28000000000000003</v>
      </c>
      <c r="F29" s="64">
        <v>3.3</v>
      </c>
      <c r="G29" s="64">
        <v>122.1</v>
      </c>
      <c r="H29" s="64">
        <v>30.41</v>
      </c>
      <c r="I29" s="64">
        <v>1.46</v>
      </c>
      <c r="J29" s="64">
        <v>0.17</v>
      </c>
      <c r="K29" s="64">
        <v>349.89</v>
      </c>
      <c r="L29" s="64">
        <v>13.86</v>
      </c>
      <c r="M29" s="64">
        <v>60.67</v>
      </c>
      <c r="N29" s="64">
        <v>88.4</v>
      </c>
      <c r="O29" s="64">
        <v>0</v>
      </c>
      <c r="P29" s="64">
        <v>0.98</v>
      </c>
      <c r="Q29" s="64">
        <v>6.86</v>
      </c>
      <c r="R29" s="198"/>
      <c r="S29" s="198"/>
      <c r="T29" s="198"/>
      <c r="U29" s="198"/>
    </row>
    <row r="30" spans="1:21" s="12" customFormat="1" x14ac:dyDescent="0.25">
      <c r="A30" s="213" t="s">
        <v>1132</v>
      </c>
      <c r="B30" s="64">
        <v>10.69</v>
      </c>
      <c r="C30" s="64">
        <v>58.96</v>
      </c>
      <c r="D30" s="64">
        <v>41.76</v>
      </c>
      <c r="E30" s="64">
        <v>0.22</v>
      </c>
      <c r="F30" s="64">
        <v>3.29</v>
      </c>
      <c r="G30" s="64">
        <v>122.1</v>
      </c>
      <c r="H30" s="64">
        <v>30.41</v>
      </c>
      <c r="I30" s="64">
        <v>1.53</v>
      </c>
      <c r="J30" s="64">
        <v>0.2</v>
      </c>
      <c r="K30" s="64">
        <v>347.2</v>
      </c>
      <c r="L30" s="64">
        <v>13.63</v>
      </c>
      <c r="M30" s="64">
        <v>62.56</v>
      </c>
      <c r="N30" s="64">
        <v>88.3</v>
      </c>
      <c r="O30" s="64">
        <v>0</v>
      </c>
      <c r="P30" s="64">
        <v>0.95</v>
      </c>
      <c r="Q30" s="64">
        <v>6.85</v>
      </c>
      <c r="R30" s="198"/>
      <c r="S30" s="198"/>
      <c r="T30" s="198"/>
      <c r="U30" s="198"/>
    </row>
    <row r="31" spans="1:21" s="12" customFormat="1" x14ac:dyDescent="0.25">
      <c r="A31" s="213" t="s">
        <v>1133</v>
      </c>
      <c r="B31" s="64">
        <v>11.82</v>
      </c>
      <c r="C31" s="64">
        <v>59.21</v>
      </c>
      <c r="D31" s="64">
        <v>42.8</v>
      </c>
      <c r="E31" s="64">
        <v>0.28000000000000003</v>
      </c>
      <c r="F31" s="64">
        <v>3.22</v>
      </c>
      <c r="G31" s="64">
        <v>106.33</v>
      </c>
      <c r="H31" s="64">
        <v>40.700000000000003</v>
      </c>
      <c r="I31" s="64">
        <v>1.49</v>
      </c>
      <c r="J31" s="64">
        <v>0.59</v>
      </c>
      <c r="K31" s="64">
        <v>352.05</v>
      </c>
      <c r="L31" s="64">
        <v>13.52</v>
      </c>
      <c r="M31" s="64">
        <v>63.35</v>
      </c>
      <c r="N31" s="64">
        <v>88</v>
      </c>
      <c r="O31" s="64">
        <v>0</v>
      </c>
      <c r="P31" s="64">
        <v>0.93</v>
      </c>
      <c r="Q31" s="64">
        <v>6.95</v>
      </c>
      <c r="R31" s="198"/>
      <c r="S31" s="198"/>
      <c r="T31" s="198"/>
      <c r="U31" s="198"/>
    </row>
    <row r="32" spans="1:21" s="12" customFormat="1" x14ac:dyDescent="0.25">
      <c r="A32" s="213" t="s">
        <v>1134</v>
      </c>
      <c r="B32" s="64">
        <v>12.6</v>
      </c>
      <c r="C32" s="64">
        <v>59.47</v>
      </c>
      <c r="D32" s="64">
        <v>43.57</v>
      </c>
      <c r="E32" s="64">
        <v>0.22</v>
      </c>
      <c r="F32" s="64">
        <v>3.48</v>
      </c>
      <c r="G32" s="64">
        <v>102.11</v>
      </c>
      <c r="H32" s="64">
        <v>40.700000000000003</v>
      </c>
      <c r="I32" s="64">
        <v>1.53</v>
      </c>
      <c r="J32" s="64">
        <v>0.26</v>
      </c>
      <c r="K32" s="64">
        <v>347.52</v>
      </c>
      <c r="L32" s="64">
        <v>13.63</v>
      </c>
      <c r="M32" s="64">
        <v>63.06</v>
      </c>
      <c r="N32" s="64">
        <v>88.4</v>
      </c>
      <c r="O32" s="64">
        <v>0</v>
      </c>
      <c r="P32" s="64">
        <v>0.9</v>
      </c>
      <c r="Q32" s="64">
        <v>7</v>
      </c>
      <c r="R32" s="198"/>
      <c r="S32" s="198"/>
      <c r="T32" s="198"/>
      <c r="U32" s="198"/>
    </row>
    <row r="33" spans="1:21" s="12" customFormat="1" x14ac:dyDescent="0.25">
      <c r="A33" s="213" t="s">
        <v>1135</v>
      </c>
      <c r="B33" s="64">
        <v>12.97</v>
      </c>
      <c r="C33" s="64">
        <v>59.75</v>
      </c>
      <c r="D33" s="64">
        <v>44.02</v>
      </c>
      <c r="E33" s="64">
        <v>0.2</v>
      </c>
      <c r="F33" s="64">
        <v>3.13</v>
      </c>
      <c r="G33" s="64">
        <v>102.11</v>
      </c>
      <c r="H33" s="64">
        <v>40.700000000000003</v>
      </c>
      <c r="I33" s="64">
        <v>1.52</v>
      </c>
      <c r="J33" s="64">
        <v>0.13</v>
      </c>
      <c r="K33" s="64">
        <v>349.45</v>
      </c>
      <c r="L33" s="64">
        <v>13.63</v>
      </c>
      <c r="M33" s="64">
        <v>61.76</v>
      </c>
      <c r="N33" s="64">
        <v>88.4</v>
      </c>
      <c r="O33" s="64">
        <v>0</v>
      </c>
      <c r="P33" s="64">
        <v>0.88</v>
      </c>
      <c r="Q33" s="64">
        <v>7.02</v>
      </c>
      <c r="R33" s="198"/>
      <c r="S33" s="198"/>
      <c r="T33" s="198"/>
      <c r="U33" s="198"/>
    </row>
    <row r="34" spans="1:21" s="12" customFormat="1" x14ac:dyDescent="0.25">
      <c r="A34" s="213" t="s">
        <v>1136</v>
      </c>
      <c r="B34" s="64">
        <v>13.26</v>
      </c>
      <c r="C34" s="64">
        <v>60.06</v>
      </c>
      <c r="D34" s="64">
        <v>44.42</v>
      </c>
      <c r="E34" s="64">
        <v>0.28000000000000003</v>
      </c>
      <c r="F34" s="64">
        <v>3.08</v>
      </c>
      <c r="G34" s="64">
        <v>102.11</v>
      </c>
      <c r="H34" s="64">
        <v>40.700000000000003</v>
      </c>
      <c r="I34" s="64">
        <v>1.46</v>
      </c>
      <c r="J34" s="64">
        <v>0.12</v>
      </c>
      <c r="K34" s="64">
        <v>23.25</v>
      </c>
      <c r="L34" s="64">
        <v>13.67</v>
      </c>
      <c r="M34" s="64">
        <v>59.61</v>
      </c>
      <c r="N34" s="64">
        <v>90.5</v>
      </c>
      <c r="O34" s="64">
        <v>0</v>
      </c>
      <c r="P34" s="64">
        <v>0.87</v>
      </c>
      <c r="Q34" s="64">
        <v>7.07</v>
      </c>
      <c r="R34" s="198"/>
      <c r="S34" s="198"/>
      <c r="T34" s="198"/>
      <c r="U34" s="198"/>
    </row>
    <row r="35" spans="1:21" s="12" customFormat="1" x14ac:dyDescent="0.25">
      <c r="A35" s="213" t="s">
        <v>1137</v>
      </c>
      <c r="B35" s="64">
        <v>13.7</v>
      </c>
      <c r="C35" s="64">
        <v>60.51</v>
      </c>
      <c r="D35" s="64">
        <v>45.03</v>
      </c>
      <c r="E35" s="64">
        <v>0.3</v>
      </c>
      <c r="F35" s="64">
        <v>3.17</v>
      </c>
      <c r="G35" s="64">
        <v>92.86</v>
      </c>
      <c r="H35" s="64">
        <v>36.619999999999997</v>
      </c>
      <c r="I35" s="64">
        <v>1.52</v>
      </c>
      <c r="J35" s="64">
        <v>0.1</v>
      </c>
      <c r="K35" s="64">
        <v>6.87</v>
      </c>
      <c r="L35" s="64">
        <v>13.66</v>
      </c>
      <c r="M35" s="64">
        <v>58.43</v>
      </c>
      <c r="N35" s="64">
        <v>99.6</v>
      </c>
      <c r="O35" s="64">
        <v>0</v>
      </c>
      <c r="P35" s="64">
        <v>0.84</v>
      </c>
      <c r="Q35" s="64">
        <v>7.1</v>
      </c>
      <c r="R35" s="198"/>
      <c r="S35" s="198"/>
      <c r="T35" s="198"/>
      <c r="U35" s="198"/>
    </row>
    <row r="36" spans="1:21" s="12" customFormat="1" x14ac:dyDescent="0.25">
      <c r="A36" s="213" t="s">
        <v>1138</v>
      </c>
      <c r="B36" s="64">
        <v>13.93</v>
      </c>
      <c r="C36" s="64">
        <v>61.15</v>
      </c>
      <c r="D36" s="64">
        <v>45.57</v>
      </c>
      <c r="E36" s="64">
        <v>0.28999999999999998</v>
      </c>
      <c r="F36" s="64">
        <v>2.8</v>
      </c>
      <c r="G36" s="64">
        <v>90.39</v>
      </c>
      <c r="H36" s="64">
        <v>36.619999999999997</v>
      </c>
      <c r="I36" s="64">
        <v>1.56</v>
      </c>
      <c r="J36" s="64">
        <v>0.12</v>
      </c>
      <c r="K36" s="64">
        <v>54.27</v>
      </c>
      <c r="L36" s="64">
        <v>13.95</v>
      </c>
      <c r="M36" s="64">
        <v>54.99</v>
      </c>
      <c r="N36" s="64">
        <v>115.7</v>
      </c>
      <c r="O36" s="64">
        <v>0</v>
      </c>
      <c r="P36" s="64">
        <v>0.83</v>
      </c>
      <c r="Q36" s="64">
        <v>7.17</v>
      </c>
      <c r="R36" s="198"/>
      <c r="S36" s="198"/>
      <c r="T36" s="198"/>
      <c r="U36" s="198"/>
    </row>
    <row r="37" spans="1:21" s="12" customFormat="1" x14ac:dyDescent="0.25">
      <c r="A37" s="213" t="s">
        <v>1139</v>
      </c>
      <c r="B37" s="64">
        <v>14.03</v>
      </c>
      <c r="C37" s="64">
        <v>61.7</v>
      </c>
      <c r="D37" s="64">
        <v>45.95</v>
      </c>
      <c r="E37" s="64">
        <v>0.25</v>
      </c>
      <c r="F37" s="64">
        <v>3.14</v>
      </c>
      <c r="G37" s="64">
        <v>90.39</v>
      </c>
      <c r="H37" s="64">
        <v>36.619999999999997</v>
      </c>
      <c r="I37" s="64">
        <v>1.47</v>
      </c>
      <c r="J37" s="64">
        <v>0.13</v>
      </c>
      <c r="K37" s="64">
        <v>354.86</v>
      </c>
      <c r="L37" s="64">
        <v>14.34</v>
      </c>
      <c r="M37" s="64">
        <v>54.13</v>
      </c>
      <c r="N37" s="64">
        <v>134.6</v>
      </c>
      <c r="O37" s="64">
        <v>0</v>
      </c>
      <c r="P37" s="64">
        <v>0.79</v>
      </c>
      <c r="Q37" s="64">
        <v>7.21</v>
      </c>
      <c r="R37" s="198"/>
      <c r="S37" s="198"/>
      <c r="T37" s="198"/>
      <c r="U37" s="198"/>
    </row>
    <row r="38" spans="1:21" s="12" customFormat="1" x14ac:dyDescent="0.25">
      <c r="A38" s="213" t="s">
        <v>1140</v>
      </c>
      <c r="B38" s="64">
        <v>14.69</v>
      </c>
      <c r="C38" s="64">
        <v>62.37</v>
      </c>
      <c r="D38" s="64">
        <v>46.85</v>
      </c>
      <c r="E38" s="64">
        <v>0.3</v>
      </c>
      <c r="F38" s="64">
        <v>3.43</v>
      </c>
      <c r="G38" s="64">
        <v>90.39</v>
      </c>
      <c r="H38" s="64">
        <v>36.619999999999997</v>
      </c>
      <c r="I38" s="64">
        <v>1.53</v>
      </c>
      <c r="J38" s="64">
        <v>0.15</v>
      </c>
      <c r="K38" s="64">
        <v>324.88</v>
      </c>
      <c r="L38" s="64">
        <v>14.99</v>
      </c>
      <c r="M38" s="64">
        <v>50.08</v>
      </c>
      <c r="N38" s="64">
        <v>174.1</v>
      </c>
      <c r="O38" s="64">
        <v>0</v>
      </c>
      <c r="P38" s="64">
        <v>0.81</v>
      </c>
      <c r="Q38" s="64">
        <v>7.25</v>
      </c>
      <c r="R38" s="198"/>
      <c r="S38" s="198"/>
      <c r="T38" s="198"/>
      <c r="U38" s="198"/>
    </row>
    <row r="39" spans="1:21" s="12" customFormat="1" x14ac:dyDescent="0.25">
      <c r="A39" s="213" t="s">
        <v>1141</v>
      </c>
      <c r="B39" s="64">
        <v>16.489999999999998</v>
      </c>
      <c r="C39" s="64">
        <v>62.75</v>
      </c>
      <c r="D39" s="64">
        <v>48.5</v>
      </c>
      <c r="E39" s="64">
        <v>0.26</v>
      </c>
      <c r="F39" s="64">
        <v>3.17</v>
      </c>
      <c r="G39" s="64">
        <v>93.98</v>
      </c>
      <c r="H39" s="64">
        <v>32.22</v>
      </c>
      <c r="I39" s="64">
        <v>1.54</v>
      </c>
      <c r="J39" s="64">
        <v>0.23</v>
      </c>
      <c r="K39" s="64">
        <v>67.180000000000007</v>
      </c>
      <c r="L39" s="64">
        <v>16.37</v>
      </c>
      <c r="M39" s="64">
        <v>43.78</v>
      </c>
      <c r="N39" s="64">
        <v>266</v>
      </c>
      <c r="O39" s="64">
        <v>0</v>
      </c>
      <c r="P39" s="64">
        <v>0.8</v>
      </c>
      <c r="Q39" s="64">
        <v>7.31</v>
      </c>
      <c r="R39" s="198"/>
      <c r="S39" s="198"/>
      <c r="T39" s="198"/>
      <c r="U39" s="198"/>
    </row>
    <row r="40" spans="1:21" s="12" customFormat="1" x14ac:dyDescent="0.25">
      <c r="A40" s="213" t="s">
        <v>1142</v>
      </c>
      <c r="B40" s="64">
        <v>16.86</v>
      </c>
      <c r="C40" s="64">
        <v>62.7</v>
      </c>
      <c r="D40" s="64">
        <v>48.77</v>
      </c>
      <c r="E40" s="64">
        <v>0.19</v>
      </c>
      <c r="F40" s="64">
        <v>3.35</v>
      </c>
      <c r="G40" s="64">
        <v>94.94</v>
      </c>
      <c r="H40" s="64">
        <v>32.22</v>
      </c>
      <c r="I40" s="64">
        <v>1.48</v>
      </c>
      <c r="J40" s="64">
        <v>0.87</v>
      </c>
      <c r="K40" s="64">
        <v>98.77</v>
      </c>
      <c r="L40" s="64">
        <v>17.29</v>
      </c>
      <c r="M40" s="64">
        <v>40.229999999999997</v>
      </c>
      <c r="N40" s="64">
        <v>327.2</v>
      </c>
      <c r="O40" s="64">
        <v>0</v>
      </c>
      <c r="P40" s="64">
        <v>0.79</v>
      </c>
      <c r="Q40" s="64">
        <v>7.36</v>
      </c>
      <c r="R40" s="198"/>
      <c r="S40" s="198"/>
      <c r="T40" s="198"/>
      <c r="U40" s="198"/>
    </row>
    <row r="41" spans="1:21" s="12" customFormat="1" x14ac:dyDescent="0.25">
      <c r="A41" s="213" t="s">
        <v>1143</v>
      </c>
      <c r="B41" s="64">
        <v>16.86</v>
      </c>
      <c r="C41" s="64">
        <v>62.7</v>
      </c>
      <c r="D41" s="64">
        <v>48.77</v>
      </c>
      <c r="E41" s="64">
        <v>0.19</v>
      </c>
      <c r="F41" s="64">
        <v>3.35</v>
      </c>
      <c r="G41" s="64">
        <v>94.94</v>
      </c>
      <c r="H41" s="64">
        <v>32.22</v>
      </c>
      <c r="I41" s="64">
        <v>1.48</v>
      </c>
      <c r="J41" s="64">
        <v>0.87</v>
      </c>
      <c r="K41" s="64">
        <v>98.77</v>
      </c>
      <c r="L41" s="64">
        <v>17.29</v>
      </c>
      <c r="M41" s="64">
        <v>40.229999999999997</v>
      </c>
      <c r="N41" s="64">
        <v>327.2</v>
      </c>
      <c r="O41" s="64">
        <v>0</v>
      </c>
      <c r="P41" s="64">
        <v>0.79</v>
      </c>
      <c r="Q41" s="64">
        <v>7.36</v>
      </c>
      <c r="R41" s="198"/>
      <c r="S41" s="198"/>
      <c r="T41" s="198"/>
      <c r="U41" s="198"/>
    </row>
    <row r="42" spans="1:21" s="12" customFormat="1" x14ac:dyDescent="0.25">
      <c r="A42" s="213" t="s">
        <v>1144</v>
      </c>
      <c r="B42" s="64">
        <v>15.48</v>
      </c>
      <c r="C42" s="64">
        <v>62</v>
      </c>
      <c r="D42" s="64">
        <v>47.28</v>
      </c>
      <c r="E42" s="64">
        <v>0.27</v>
      </c>
      <c r="F42" s="64">
        <v>3.24</v>
      </c>
      <c r="G42" s="64">
        <v>94.94</v>
      </c>
      <c r="H42" s="64">
        <v>32.22</v>
      </c>
      <c r="I42" s="64">
        <v>1.46</v>
      </c>
      <c r="J42" s="64">
        <v>1.07</v>
      </c>
      <c r="K42" s="64">
        <v>100.08</v>
      </c>
      <c r="L42" s="64">
        <v>17.72</v>
      </c>
      <c r="M42" s="64">
        <v>39.24</v>
      </c>
      <c r="N42" s="64">
        <v>402.7</v>
      </c>
      <c r="O42" s="64">
        <v>0</v>
      </c>
      <c r="P42" s="64">
        <v>0.77</v>
      </c>
      <c r="Q42" s="64">
        <v>7.36</v>
      </c>
      <c r="R42" s="198"/>
      <c r="S42" s="198"/>
      <c r="T42" s="198"/>
      <c r="U42" s="198"/>
    </row>
    <row r="43" spans="1:21" s="12" customFormat="1" x14ac:dyDescent="0.25">
      <c r="A43" s="213" t="s">
        <v>1145</v>
      </c>
      <c r="B43" s="64">
        <v>13.87</v>
      </c>
      <c r="C43" s="64">
        <v>61.32</v>
      </c>
      <c r="D43" s="64">
        <v>45.61</v>
      </c>
      <c r="E43" s="64">
        <v>0.21</v>
      </c>
      <c r="F43" s="64">
        <v>3.19</v>
      </c>
      <c r="G43" s="64">
        <v>85.53</v>
      </c>
      <c r="H43" s="64">
        <v>22.42</v>
      </c>
      <c r="I43" s="64">
        <v>1.46</v>
      </c>
      <c r="J43" s="64">
        <v>1.19</v>
      </c>
      <c r="K43" s="64">
        <v>105</v>
      </c>
      <c r="L43" s="64">
        <v>18.52</v>
      </c>
      <c r="M43" s="64">
        <v>37.5</v>
      </c>
      <c r="N43" s="64">
        <v>472.7</v>
      </c>
      <c r="O43" s="64">
        <v>0</v>
      </c>
      <c r="P43" s="64">
        <v>0.75</v>
      </c>
      <c r="Q43" s="64">
        <v>7.21</v>
      </c>
      <c r="R43" s="198"/>
      <c r="S43" s="198"/>
      <c r="T43" s="198"/>
      <c r="U43" s="198"/>
    </row>
    <row r="44" spans="1:21" s="12" customFormat="1" x14ac:dyDescent="0.25">
      <c r="A44" s="213" t="s">
        <v>1146</v>
      </c>
      <c r="B44" s="64">
        <v>12.09</v>
      </c>
      <c r="C44" s="64">
        <v>60.61</v>
      </c>
      <c r="D44" s="64">
        <v>43.79</v>
      </c>
      <c r="E44" s="64">
        <v>0.19</v>
      </c>
      <c r="F44" s="64">
        <v>3.44</v>
      </c>
      <c r="G44" s="64">
        <v>82.34</v>
      </c>
      <c r="H44" s="64">
        <v>22.42</v>
      </c>
      <c r="I44" s="64">
        <v>1.51</v>
      </c>
      <c r="J44" s="64">
        <v>1.05</v>
      </c>
      <c r="K44" s="64">
        <v>108.44</v>
      </c>
      <c r="L44" s="64">
        <v>19.260000000000002</v>
      </c>
      <c r="M44" s="64">
        <v>36.229999999999997</v>
      </c>
      <c r="N44" s="64">
        <v>514.5</v>
      </c>
      <c r="O44" s="64">
        <v>0</v>
      </c>
      <c r="P44" s="64">
        <v>0.72</v>
      </c>
      <c r="Q44" s="64">
        <v>7.08</v>
      </c>
      <c r="R44" s="198"/>
      <c r="S44" s="198"/>
      <c r="T44" s="198"/>
      <c r="U44" s="198"/>
    </row>
    <row r="45" spans="1:21" s="12" customFormat="1" x14ac:dyDescent="0.25">
      <c r="A45" s="213" t="s">
        <v>1147</v>
      </c>
      <c r="B45" s="64">
        <v>10.32</v>
      </c>
      <c r="C45" s="64">
        <v>60.08</v>
      </c>
      <c r="D45" s="64">
        <v>42.08</v>
      </c>
      <c r="E45" s="64">
        <v>0.21</v>
      </c>
      <c r="F45" s="64">
        <v>3.63</v>
      </c>
      <c r="G45" s="64">
        <v>82.34</v>
      </c>
      <c r="H45" s="64">
        <v>22.42</v>
      </c>
      <c r="I45" s="64">
        <v>1.48</v>
      </c>
      <c r="J45" s="64">
        <v>1.51</v>
      </c>
      <c r="K45" s="64">
        <v>112.56</v>
      </c>
      <c r="L45" s="64">
        <v>19.489999999999998</v>
      </c>
      <c r="M45" s="64">
        <v>35.590000000000003</v>
      </c>
      <c r="N45" s="64">
        <v>558</v>
      </c>
      <c r="O45" s="64">
        <v>0</v>
      </c>
      <c r="P45" s="64">
        <v>0.7</v>
      </c>
      <c r="Q45" s="64">
        <v>6.93</v>
      </c>
      <c r="R45" s="198"/>
      <c r="S45" s="198"/>
      <c r="T45" s="198"/>
      <c r="U45" s="198"/>
    </row>
    <row r="46" spans="1:21" s="12" customFormat="1" x14ac:dyDescent="0.25">
      <c r="A46" s="213" t="s">
        <v>1148</v>
      </c>
      <c r="B46" s="64">
        <v>8.5299999999999994</v>
      </c>
      <c r="C46" s="64">
        <v>59.44</v>
      </c>
      <c r="D46" s="64">
        <v>40.29</v>
      </c>
      <c r="E46" s="64">
        <v>0.26</v>
      </c>
      <c r="F46" s="64">
        <v>3.4</v>
      </c>
      <c r="G46" s="64">
        <v>82.34</v>
      </c>
      <c r="H46" s="64">
        <v>22.42</v>
      </c>
      <c r="I46" s="64">
        <v>1.55</v>
      </c>
      <c r="J46" s="64">
        <v>0.61</v>
      </c>
      <c r="K46" s="64">
        <v>85.1</v>
      </c>
      <c r="L46" s="64">
        <v>20.72</v>
      </c>
      <c r="M46" s="64">
        <v>34.15</v>
      </c>
      <c r="N46" s="64">
        <v>595.6</v>
      </c>
      <c r="O46" s="64">
        <v>0</v>
      </c>
      <c r="P46" s="64">
        <v>0.68</v>
      </c>
      <c r="Q46" s="64">
        <v>6.79</v>
      </c>
      <c r="R46" s="198"/>
      <c r="S46" s="198"/>
      <c r="T46" s="198"/>
      <c r="U46" s="198"/>
    </row>
    <row r="47" spans="1:21" s="12" customFormat="1" x14ac:dyDescent="0.25">
      <c r="A47" s="213" t="s">
        <v>1149</v>
      </c>
      <c r="B47" s="64">
        <v>7.38</v>
      </c>
      <c r="C47" s="64">
        <v>59.59</v>
      </c>
      <c r="D47" s="64">
        <v>39.450000000000003</v>
      </c>
      <c r="E47" s="64">
        <v>0.24</v>
      </c>
      <c r="F47" s="64">
        <v>3.6</v>
      </c>
      <c r="G47" s="64">
        <v>77.55</v>
      </c>
      <c r="H47" s="64">
        <v>29.82</v>
      </c>
      <c r="I47" s="64">
        <v>1.51</v>
      </c>
      <c r="J47" s="64">
        <v>0.34</v>
      </c>
      <c r="K47" s="64">
        <v>74.83</v>
      </c>
      <c r="L47" s="64">
        <v>22.94</v>
      </c>
      <c r="M47" s="64">
        <v>30.99</v>
      </c>
      <c r="N47" s="64">
        <v>629.29999999999995</v>
      </c>
      <c r="O47" s="64">
        <v>0</v>
      </c>
      <c r="P47" s="64">
        <v>0.68</v>
      </c>
      <c r="Q47" s="64">
        <v>6.63</v>
      </c>
      <c r="R47" s="198"/>
      <c r="S47" s="198"/>
      <c r="T47" s="198"/>
      <c r="U47" s="198"/>
    </row>
    <row r="48" spans="1:21" s="12" customFormat="1" x14ac:dyDescent="0.25">
      <c r="A48" s="213" t="s">
        <v>1150</v>
      </c>
      <c r="B48" s="64">
        <v>6.44</v>
      </c>
      <c r="C48" s="64">
        <v>60.16</v>
      </c>
      <c r="D48" s="64">
        <v>39.01</v>
      </c>
      <c r="E48" s="64">
        <v>0.23</v>
      </c>
      <c r="F48" s="64">
        <v>3.88</v>
      </c>
      <c r="G48" s="64">
        <v>76.27</v>
      </c>
      <c r="H48" s="64">
        <v>29.82</v>
      </c>
      <c r="I48" s="64">
        <v>1.5</v>
      </c>
      <c r="J48" s="64">
        <v>0.42</v>
      </c>
      <c r="K48" s="64">
        <v>78.459999999999994</v>
      </c>
      <c r="L48" s="64">
        <v>23.68</v>
      </c>
      <c r="M48" s="64">
        <v>29.88</v>
      </c>
      <c r="N48" s="64">
        <v>646.29999999999995</v>
      </c>
      <c r="O48" s="64">
        <v>0</v>
      </c>
      <c r="P48" s="64">
        <v>0.68</v>
      </c>
      <c r="Q48" s="64">
        <v>6.59</v>
      </c>
      <c r="R48" s="198"/>
      <c r="S48" s="198"/>
      <c r="T48" s="198"/>
      <c r="U48" s="198"/>
    </row>
    <row r="49" spans="1:21" s="12" customFormat="1" x14ac:dyDescent="0.25">
      <c r="A49" s="213" t="s">
        <v>1151</v>
      </c>
      <c r="B49" s="64">
        <v>5.34</v>
      </c>
      <c r="C49" s="64">
        <v>60.05</v>
      </c>
      <c r="D49" s="64">
        <v>38.07</v>
      </c>
      <c r="E49" s="64">
        <v>0.28999999999999998</v>
      </c>
      <c r="F49" s="64">
        <v>3.69</v>
      </c>
      <c r="G49" s="64">
        <v>76.27</v>
      </c>
      <c r="H49" s="64">
        <v>29.82</v>
      </c>
      <c r="I49" s="64">
        <v>1.41</v>
      </c>
      <c r="J49" s="64">
        <v>0.78</v>
      </c>
      <c r="K49" s="64">
        <v>104.59</v>
      </c>
      <c r="L49" s="64">
        <v>22.71</v>
      </c>
      <c r="M49" s="64">
        <v>31.19</v>
      </c>
      <c r="N49" s="64">
        <v>686.4</v>
      </c>
      <c r="O49" s="64">
        <v>0</v>
      </c>
      <c r="P49" s="64">
        <v>0.66</v>
      </c>
      <c r="Q49" s="64">
        <v>6.54</v>
      </c>
      <c r="R49" s="198"/>
      <c r="S49" s="198"/>
      <c r="T49" s="198"/>
      <c r="U49" s="198"/>
    </row>
    <row r="50" spans="1:21" s="12" customFormat="1" x14ac:dyDescent="0.25">
      <c r="A50" s="213" t="s">
        <v>1152</v>
      </c>
      <c r="B50" s="64">
        <v>4.4400000000000004</v>
      </c>
      <c r="C50" s="64">
        <v>59.63</v>
      </c>
      <c r="D50" s="64">
        <v>37.119999999999997</v>
      </c>
      <c r="E50" s="64">
        <v>0.32</v>
      </c>
      <c r="F50" s="64">
        <v>3.78</v>
      </c>
      <c r="G50" s="64">
        <v>76.27</v>
      </c>
      <c r="H50" s="64">
        <v>29.82</v>
      </c>
      <c r="I50" s="64">
        <v>1.58</v>
      </c>
      <c r="J50" s="64">
        <v>1.02</v>
      </c>
      <c r="K50" s="64">
        <v>110.15</v>
      </c>
      <c r="L50" s="64">
        <v>23.73</v>
      </c>
      <c r="M50" s="64">
        <v>30.21</v>
      </c>
      <c r="N50" s="64">
        <v>716.2</v>
      </c>
      <c r="O50" s="64">
        <v>0</v>
      </c>
      <c r="P50" s="64">
        <v>0.65</v>
      </c>
      <c r="Q50" s="64">
        <v>6.46</v>
      </c>
      <c r="R50" s="198"/>
      <c r="S50" s="198"/>
      <c r="T50" s="198"/>
      <c r="U50" s="198"/>
    </row>
    <row r="51" spans="1:21" s="12" customFormat="1" x14ac:dyDescent="0.25">
      <c r="A51" s="213" t="s">
        <v>1153</v>
      </c>
      <c r="B51" s="64">
        <v>3.77</v>
      </c>
      <c r="C51" s="64">
        <v>59</v>
      </c>
      <c r="D51" s="64">
        <v>36.229999999999997</v>
      </c>
      <c r="E51" s="64">
        <v>0.28999999999999998</v>
      </c>
      <c r="F51" s="64">
        <v>4.13</v>
      </c>
      <c r="G51" s="64">
        <v>69.56</v>
      </c>
      <c r="H51" s="64">
        <v>28.94</v>
      </c>
      <c r="I51" s="64">
        <v>1.52</v>
      </c>
      <c r="J51" s="64">
        <v>0.78</v>
      </c>
      <c r="K51" s="64">
        <v>98.16</v>
      </c>
      <c r="L51" s="64">
        <v>23.45</v>
      </c>
      <c r="M51" s="64">
        <v>31.44</v>
      </c>
      <c r="N51" s="64">
        <v>723.9</v>
      </c>
      <c r="O51" s="64">
        <v>0</v>
      </c>
      <c r="P51" s="64">
        <v>0.63</v>
      </c>
      <c r="Q51" s="64">
        <v>6.4</v>
      </c>
      <c r="R51" s="198"/>
      <c r="S51" s="198"/>
      <c r="T51" s="198"/>
      <c r="U51" s="198"/>
    </row>
    <row r="52" spans="1:21" s="12" customFormat="1" x14ac:dyDescent="0.25">
      <c r="A52" s="213" t="s">
        <v>1154</v>
      </c>
      <c r="B52" s="64">
        <v>2.44</v>
      </c>
      <c r="C52" s="64">
        <v>56.93</v>
      </c>
      <c r="D52" s="64">
        <v>34.020000000000003</v>
      </c>
      <c r="E52" s="64">
        <v>0.68</v>
      </c>
      <c r="F52" s="64">
        <v>12.12</v>
      </c>
      <c r="G52" s="64">
        <v>67.77</v>
      </c>
      <c r="H52" s="64">
        <v>28.94</v>
      </c>
      <c r="I52" s="64">
        <v>1.48</v>
      </c>
      <c r="J52" s="64">
        <v>0.52</v>
      </c>
      <c r="K52" s="64">
        <v>86.86</v>
      </c>
      <c r="L52" s="64">
        <v>24.51</v>
      </c>
      <c r="M52" s="64">
        <v>29.32</v>
      </c>
      <c r="N52" s="64">
        <v>755.9</v>
      </c>
      <c r="O52" s="64">
        <v>0</v>
      </c>
      <c r="P52" s="64">
        <v>0.55000000000000004</v>
      </c>
      <c r="Q52" s="64">
        <v>6.27</v>
      </c>
      <c r="R52" s="198"/>
      <c r="S52" s="198"/>
      <c r="T52" s="198"/>
      <c r="U52" s="198"/>
    </row>
    <row r="53" spans="1:21" s="12" customFormat="1" x14ac:dyDescent="0.25">
      <c r="A53" s="213" t="s">
        <v>1155</v>
      </c>
      <c r="B53" s="64">
        <v>1.85</v>
      </c>
      <c r="C53" s="64">
        <v>58.04</v>
      </c>
      <c r="D53" s="64">
        <v>34.159999999999997</v>
      </c>
      <c r="E53" s="64">
        <v>0.47</v>
      </c>
      <c r="F53" s="64">
        <v>10.01</v>
      </c>
      <c r="G53" s="64">
        <v>67.77</v>
      </c>
      <c r="H53" s="64">
        <v>28.94</v>
      </c>
      <c r="I53" s="64">
        <v>1.5</v>
      </c>
      <c r="J53" s="64">
        <v>0.34</v>
      </c>
      <c r="K53" s="64">
        <v>89.16</v>
      </c>
      <c r="L53" s="64">
        <v>25.09</v>
      </c>
      <c r="M53" s="64">
        <v>28.12</v>
      </c>
      <c r="N53" s="64">
        <v>768.7</v>
      </c>
      <c r="O53" s="64">
        <v>0</v>
      </c>
      <c r="P53" s="64">
        <v>0.51</v>
      </c>
      <c r="Q53" s="64">
        <v>6.14</v>
      </c>
      <c r="R53" s="198"/>
      <c r="S53" s="198"/>
      <c r="T53" s="198"/>
      <c r="U53" s="198"/>
    </row>
    <row r="54" spans="1:21" s="12" customFormat="1" x14ac:dyDescent="0.25">
      <c r="A54" s="213" t="s">
        <v>1156</v>
      </c>
      <c r="B54" s="64">
        <v>2.23</v>
      </c>
      <c r="C54" s="64">
        <v>58.65</v>
      </c>
      <c r="D54" s="64">
        <v>34.799999999999997</v>
      </c>
      <c r="E54" s="64">
        <v>0.48</v>
      </c>
      <c r="F54" s="64">
        <v>8.34</v>
      </c>
      <c r="G54" s="64">
        <v>67.77</v>
      </c>
      <c r="H54" s="64">
        <v>28.94</v>
      </c>
      <c r="I54" s="64">
        <v>1.56</v>
      </c>
      <c r="J54" s="64">
        <v>0.68</v>
      </c>
      <c r="K54" s="64">
        <v>104.39</v>
      </c>
      <c r="L54" s="64">
        <v>25.01</v>
      </c>
      <c r="M54" s="64">
        <v>28.34</v>
      </c>
      <c r="N54" s="64">
        <v>826.9</v>
      </c>
      <c r="O54" s="64">
        <v>0</v>
      </c>
      <c r="P54" s="64">
        <v>0.49</v>
      </c>
      <c r="Q54" s="64">
        <v>6.13</v>
      </c>
      <c r="R54" s="198"/>
      <c r="S54" s="198"/>
      <c r="T54" s="198"/>
      <c r="U54" s="198"/>
    </row>
    <row r="55" spans="1:21" s="12" customFormat="1" x14ac:dyDescent="0.25">
      <c r="A55" s="213" t="s">
        <v>1157</v>
      </c>
      <c r="B55" s="64">
        <v>2.37</v>
      </c>
      <c r="C55" s="64">
        <v>58.67</v>
      </c>
      <c r="D55" s="64">
        <v>34.92</v>
      </c>
      <c r="E55" s="64">
        <v>0.51</v>
      </c>
      <c r="F55" s="64">
        <v>8.16</v>
      </c>
      <c r="G55" s="64">
        <v>60.7</v>
      </c>
      <c r="H55" s="64">
        <v>28.52</v>
      </c>
      <c r="I55" s="64">
        <v>1.49</v>
      </c>
      <c r="J55" s="64">
        <v>0.44</v>
      </c>
      <c r="K55" s="64">
        <v>356.16</v>
      </c>
      <c r="L55" s="64">
        <v>27.06</v>
      </c>
      <c r="M55" s="64">
        <v>25.06</v>
      </c>
      <c r="N55" s="64">
        <v>866.7</v>
      </c>
      <c r="O55" s="64">
        <v>0</v>
      </c>
      <c r="P55" s="64">
        <v>0.48</v>
      </c>
      <c r="Q55" s="64">
        <v>6.14</v>
      </c>
      <c r="R55" s="198"/>
      <c r="S55" s="198"/>
      <c r="T55" s="198"/>
      <c r="U55" s="198"/>
    </row>
    <row r="56" spans="1:21" s="12" customFormat="1" x14ac:dyDescent="0.25">
      <c r="A56" s="213" t="s">
        <v>1158</v>
      </c>
      <c r="B56" s="64">
        <v>2.44</v>
      </c>
      <c r="C56" s="64">
        <v>59.46</v>
      </c>
      <c r="D56" s="64">
        <v>35.42</v>
      </c>
      <c r="E56" s="64">
        <v>0.15</v>
      </c>
      <c r="F56" s="64">
        <v>7.38</v>
      </c>
      <c r="G56" s="64">
        <v>58.81</v>
      </c>
      <c r="H56" s="64">
        <v>28.52</v>
      </c>
      <c r="I56" s="64">
        <v>1.46</v>
      </c>
      <c r="J56" s="64">
        <v>0.94</v>
      </c>
      <c r="K56" s="64">
        <v>107</v>
      </c>
      <c r="L56" s="64">
        <v>26.2</v>
      </c>
      <c r="M56" s="64">
        <v>25.59</v>
      </c>
      <c r="N56" s="64">
        <v>861.4</v>
      </c>
      <c r="O56" s="64">
        <v>0</v>
      </c>
      <c r="P56" s="64">
        <v>0.5</v>
      </c>
      <c r="Q56" s="64">
        <v>6.22</v>
      </c>
      <c r="R56" s="198"/>
      <c r="S56" s="198"/>
      <c r="T56" s="198"/>
      <c r="U56" s="198"/>
    </row>
    <row r="57" spans="1:21" s="12" customFormat="1" x14ac:dyDescent="0.25">
      <c r="A57" s="213" t="s">
        <v>1159</v>
      </c>
      <c r="B57" s="64">
        <v>2.4</v>
      </c>
      <c r="C57" s="64">
        <v>58.84</v>
      </c>
      <c r="D57" s="64">
        <v>35.04</v>
      </c>
      <c r="E57" s="64">
        <v>0.28000000000000003</v>
      </c>
      <c r="F57" s="64">
        <v>6.88</v>
      </c>
      <c r="G57" s="64">
        <v>58.81</v>
      </c>
      <c r="H57" s="64">
        <v>28.52</v>
      </c>
      <c r="I57" s="64">
        <v>1.52</v>
      </c>
      <c r="J57" s="64">
        <v>0.5</v>
      </c>
      <c r="K57" s="64">
        <v>90.58</v>
      </c>
      <c r="L57" s="64">
        <v>25.85</v>
      </c>
      <c r="M57" s="64">
        <v>25.55</v>
      </c>
      <c r="N57" s="64">
        <v>807</v>
      </c>
      <c r="O57" s="64">
        <v>0</v>
      </c>
      <c r="P57" s="64">
        <v>0.49</v>
      </c>
      <c r="Q57" s="64">
        <v>6.23</v>
      </c>
      <c r="R57" s="198"/>
      <c r="S57" s="198"/>
      <c r="T57" s="198"/>
      <c r="U57" s="198"/>
    </row>
    <row r="58" spans="1:21" s="12" customFormat="1" x14ac:dyDescent="0.25">
      <c r="A58" s="213" t="s">
        <v>1160</v>
      </c>
      <c r="B58" s="64">
        <v>2.31</v>
      </c>
      <c r="C58" s="64">
        <v>58.63</v>
      </c>
      <c r="D58" s="64">
        <v>34.85</v>
      </c>
      <c r="E58" s="64">
        <v>0.32</v>
      </c>
      <c r="F58" s="64">
        <v>7.48</v>
      </c>
      <c r="G58" s="64">
        <v>58.81</v>
      </c>
      <c r="H58" s="64">
        <v>28.52</v>
      </c>
      <c r="I58" s="64">
        <v>1.53</v>
      </c>
      <c r="J58" s="64">
        <v>0.52</v>
      </c>
      <c r="K58" s="64">
        <v>103.72</v>
      </c>
      <c r="L58" s="64">
        <v>26.19</v>
      </c>
      <c r="M58" s="64">
        <v>25.31</v>
      </c>
      <c r="N58" s="64">
        <v>795.8</v>
      </c>
      <c r="O58" s="64">
        <v>0</v>
      </c>
      <c r="P58" s="64">
        <v>0.47</v>
      </c>
      <c r="Q58" s="64">
        <v>6.27</v>
      </c>
      <c r="R58" s="198"/>
      <c r="S58" s="198"/>
      <c r="T58" s="198"/>
      <c r="U58" s="198"/>
    </row>
    <row r="59" spans="1:21" s="12" customFormat="1" x14ac:dyDescent="0.25">
      <c r="A59" s="213" t="s">
        <v>1161</v>
      </c>
      <c r="B59" s="64">
        <v>2.1800000000000002</v>
      </c>
      <c r="C59" s="64">
        <v>58.16</v>
      </c>
      <c r="D59" s="64">
        <v>34.49</v>
      </c>
      <c r="E59" s="64">
        <v>0.22</v>
      </c>
      <c r="F59" s="64">
        <v>6.44</v>
      </c>
      <c r="G59" s="64">
        <v>68.709999999999994</v>
      </c>
      <c r="H59" s="64">
        <v>25.4</v>
      </c>
      <c r="I59" s="64">
        <v>1.5</v>
      </c>
      <c r="J59" s="64">
        <v>0.61</v>
      </c>
      <c r="K59" s="64">
        <v>340.22</v>
      </c>
      <c r="L59" s="64">
        <v>28.2</v>
      </c>
      <c r="M59" s="64">
        <v>21.64</v>
      </c>
      <c r="N59" s="64">
        <v>789.6</v>
      </c>
      <c r="O59" s="64">
        <v>0</v>
      </c>
      <c r="P59" s="64">
        <v>0.45</v>
      </c>
      <c r="Q59" s="64">
        <v>6.27</v>
      </c>
      <c r="R59" s="198"/>
      <c r="S59" s="198"/>
      <c r="T59" s="198"/>
      <c r="U59" s="198"/>
    </row>
    <row r="60" spans="1:21" s="12" customFormat="1" x14ac:dyDescent="0.25">
      <c r="A60" s="213" t="s">
        <v>1162</v>
      </c>
      <c r="B60" s="64">
        <v>2.61</v>
      </c>
      <c r="C60" s="64">
        <v>59.09</v>
      </c>
      <c r="D60" s="64">
        <v>35.35</v>
      </c>
      <c r="E60" s="64">
        <v>0.3</v>
      </c>
      <c r="F60" s="64">
        <v>6.62</v>
      </c>
      <c r="G60" s="64">
        <v>71.36</v>
      </c>
      <c r="H60" s="64">
        <v>25.4</v>
      </c>
      <c r="I60" s="64">
        <v>1.5</v>
      </c>
      <c r="J60" s="64">
        <v>0.79</v>
      </c>
      <c r="K60" s="64">
        <v>334.59</v>
      </c>
      <c r="L60" s="64">
        <v>30.98</v>
      </c>
      <c r="M60" s="64">
        <v>19.489999999999998</v>
      </c>
      <c r="N60" s="64">
        <v>770.7</v>
      </c>
      <c r="O60" s="64">
        <v>0</v>
      </c>
      <c r="P60" s="64">
        <v>0.47</v>
      </c>
      <c r="Q60" s="64">
        <v>6.28</v>
      </c>
      <c r="R60" s="198"/>
      <c r="S60" s="198"/>
      <c r="T60" s="198"/>
      <c r="U60" s="198"/>
    </row>
    <row r="61" spans="1:21" s="12" customFormat="1" x14ac:dyDescent="0.25">
      <c r="A61" s="213" t="s">
        <v>1163</v>
      </c>
      <c r="B61" s="64">
        <v>2.64</v>
      </c>
      <c r="C61" s="64">
        <v>61.92</v>
      </c>
      <c r="D61" s="64">
        <v>36.93</v>
      </c>
      <c r="E61" s="64">
        <v>0.28999999999999998</v>
      </c>
      <c r="F61" s="64">
        <v>6.18</v>
      </c>
      <c r="G61" s="64">
        <v>71.36</v>
      </c>
      <c r="H61" s="64">
        <v>25.4</v>
      </c>
      <c r="I61" s="64">
        <v>1.53</v>
      </c>
      <c r="J61" s="64">
        <v>0.8</v>
      </c>
      <c r="K61" s="64">
        <v>340.09</v>
      </c>
      <c r="L61" s="64">
        <v>31.28</v>
      </c>
      <c r="M61" s="64">
        <v>19.45</v>
      </c>
      <c r="N61" s="64">
        <v>756.6</v>
      </c>
      <c r="O61" s="64">
        <v>0</v>
      </c>
      <c r="P61" s="64">
        <v>0.5</v>
      </c>
      <c r="Q61" s="64">
        <v>6.39</v>
      </c>
      <c r="R61" s="198"/>
      <c r="S61" s="198"/>
      <c r="T61" s="198"/>
      <c r="U61" s="198"/>
    </row>
    <row r="62" spans="1:21" s="12" customFormat="1" x14ac:dyDescent="0.25">
      <c r="A62" s="213" t="s">
        <v>1164</v>
      </c>
      <c r="B62" s="64">
        <v>3.36</v>
      </c>
      <c r="C62" s="64">
        <v>63.85</v>
      </c>
      <c r="D62" s="64">
        <v>38.58</v>
      </c>
      <c r="E62" s="64">
        <v>0.26</v>
      </c>
      <c r="F62" s="64">
        <v>5.01</v>
      </c>
      <c r="G62" s="64">
        <v>71.36</v>
      </c>
      <c r="H62" s="64">
        <v>25.4</v>
      </c>
      <c r="I62" s="64">
        <v>1.53</v>
      </c>
      <c r="J62" s="64">
        <v>0.97</v>
      </c>
      <c r="K62" s="64">
        <v>336.31</v>
      </c>
      <c r="L62" s="64">
        <v>31.59</v>
      </c>
      <c r="M62" s="64">
        <v>19.510000000000002</v>
      </c>
      <c r="N62" s="64">
        <v>743.5</v>
      </c>
      <c r="O62" s="64">
        <v>0</v>
      </c>
      <c r="P62" s="64">
        <v>0.54</v>
      </c>
      <c r="Q62" s="64">
        <v>6.54</v>
      </c>
      <c r="R62" s="198"/>
      <c r="S62" s="198"/>
      <c r="T62" s="198"/>
      <c r="U62" s="198"/>
    </row>
    <row r="63" spans="1:21" s="12" customFormat="1" x14ac:dyDescent="0.25">
      <c r="A63" s="213" t="s">
        <v>1165</v>
      </c>
      <c r="B63" s="64">
        <v>4.1100000000000003</v>
      </c>
      <c r="C63" s="64">
        <v>69.28</v>
      </c>
      <c r="D63" s="64">
        <v>42.17</v>
      </c>
      <c r="E63" s="64">
        <v>0.59</v>
      </c>
      <c r="F63" s="64">
        <v>5.7</v>
      </c>
      <c r="G63" s="64">
        <v>65.45</v>
      </c>
      <c r="H63" s="64">
        <v>24.17</v>
      </c>
      <c r="I63" s="64">
        <v>1.52</v>
      </c>
      <c r="J63" s="64">
        <v>0.99</v>
      </c>
      <c r="K63" s="64">
        <v>336.42</v>
      </c>
      <c r="L63" s="64">
        <v>31.81</v>
      </c>
      <c r="M63" s="64">
        <v>19.489999999999998</v>
      </c>
      <c r="N63" s="64">
        <v>722.4</v>
      </c>
      <c r="O63" s="64">
        <v>0</v>
      </c>
      <c r="P63" s="64">
        <v>0.54</v>
      </c>
      <c r="Q63" s="64">
        <v>6.74</v>
      </c>
      <c r="R63" s="198"/>
      <c r="S63" s="198"/>
      <c r="T63" s="198"/>
      <c r="U63" s="198"/>
    </row>
    <row r="64" spans="1:21" s="12" customFormat="1" x14ac:dyDescent="0.25">
      <c r="A64" s="213" t="s">
        <v>1166</v>
      </c>
      <c r="B64" s="64">
        <v>3.3</v>
      </c>
      <c r="C64" s="64">
        <v>71.39</v>
      </c>
      <c r="D64" s="64">
        <v>42.7</v>
      </c>
      <c r="E64" s="64">
        <v>0.28999999999999998</v>
      </c>
      <c r="F64" s="64">
        <v>5.2</v>
      </c>
      <c r="G64" s="64">
        <v>63.86</v>
      </c>
      <c r="H64" s="64">
        <v>24.17</v>
      </c>
      <c r="I64" s="64">
        <v>1.54</v>
      </c>
      <c r="J64" s="64">
        <v>0.74</v>
      </c>
      <c r="K64" s="64">
        <v>340.27</v>
      </c>
      <c r="L64" s="64">
        <v>31.49</v>
      </c>
      <c r="M64" s="64">
        <v>20.11</v>
      </c>
      <c r="N64" s="64">
        <v>675.8</v>
      </c>
      <c r="O64" s="64">
        <v>0</v>
      </c>
      <c r="P64" s="64">
        <v>0.54</v>
      </c>
      <c r="Q64" s="64">
        <v>6.88</v>
      </c>
      <c r="R64" s="198"/>
      <c r="S64" s="198"/>
      <c r="T64" s="198"/>
      <c r="U64" s="198"/>
    </row>
    <row r="65" spans="1:21" s="12" customFormat="1" x14ac:dyDescent="0.25">
      <c r="A65" s="213" t="s">
        <v>1167</v>
      </c>
      <c r="B65" s="64">
        <v>2.87</v>
      </c>
      <c r="C65" s="64">
        <v>70.98</v>
      </c>
      <c r="D65" s="64">
        <v>42.12</v>
      </c>
      <c r="E65" s="64">
        <v>0.25</v>
      </c>
      <c r="F65" s="64">
        <v>4.71</v>
      </c>
      <c r="G65" s="64">
        <v>63.86</v>
      </c>
      <c r="H65" s="64">
        <v>24.17</v>
      </c>
      <c r="I65" s="64">
        <v>1.44</v>
      </c>
      <c r="J65" s="64">
        <v>0.4</v>
      </c>
      <c r="K65" s="64">
        <v>344.7</v>
      </c>
      <c r="L65" s="64">
        <v>30.98</v>
      </c>
      <c r="M65" s="64">
        <v>20.79</v>
      </c>
      <c r="N65" s="64">
        <v>628.1</v>
      </c>
      <c r="O65" s="64">
        <v>0</v>
      </c>
      <c r="P65" s="64">
        <v>0.54</v>
      </c>
      <c r="Q65" s="64">
        <v>6.91</v>
      </c>
      <c r="R65" s="198"/>
      <c r="S65" s="198"/>
      <c r="T65" s="198"/>
      <c r="U65" s="198"/>
    </row>
    <row r="66" spans="1:21" s="12" customFormat="1" x14ac:dyDescent="0.25">
      <c r="A66" s="213" t="s">
        <v>1168</v>
      </c>
      <c r="B66" s="64">
        <v>2.93</v>
      </c>
      <c r="C66" s="64">
        <v>69.739999999999995</v>
      </c>
      <c r="D66" s="64">
        <v>41.48</v>
      </c>
      <c r="E66" s="64">
        <v>0.26</v>
      </c>
      <c r="F66" s="64">
        <v>4.21</v>
      </c>
      <c r="G66" s="64">
        <v>63.86</v>
      </c>
      <c r="H66" s="64">
        <v>24.17</v>
      </c>
      <c r="I66" s="64">
        <v>1.54</v>
      </c>
      <c r="J66" s="64">
        <v>0.57999999999999996</v>
      </c>
      <c r="K66" s="64">
        <v>135.46</v>
      </c>
      <c r="L66" s="64">
        <v>27.67</v>
      </c>
      <c r="M66" s="64">
        <v>24.17</v>
      </c>
      <c r="N66" s="64">
        <v>559.29999999999995</v>
      </c>
      <c r="O66" s="64">
        <v>0</v>
      </c>
      <c r="P66" s="64">
        <v>0.53</v>
      </c>
      <c r="Q66" s="64">
        <v>6.89</v>
      </c>
      <c r="R66" s="198"/>
      <c r="S66" s="198"/>
      <c r="T66" s="198"/>
      <c r="U66" s="198"/>
    </row>
    <row r="67" spans="1:21" s="12" customFormat="1" x14ac:dyDescent="0.25">
      <c r="A67" s="213" t="s">
        <v>1169</v>
      </c>
      <c r="B67" s="64">
        <v>2.48</v>
      </c>
      <c r="C67" s="64">
        <v>64.150000000000006</v>
      </c>
      <c r="D67" s="64">
        <v>38.04</v>
      </c>
      <c r="E67" s="64">
        <v>0.48</v>
      </c>
      <c r="F67" s="64">
        <v>20.18</v>
      </c>
      <c r="G67" s="64">
        <v>56.06</v>
      </c>
      <c r="H67" s="64">
        <v>22.75</v>
      </c>
      <c r="I67" s="64">
        <v>1.47</v>
      </c>
      <c r="J67" s="64">
        <v>0.43</v>
      </c>
      <c r="K67" s="64">
        <v>116.79</v>
      </c>
      <c r="L67" s="64">
        <v>27.04</v>
      </c>
      <c r="M67" s="64">
        <v>26.03</v>
      </c>
      <c r="N67" s="64">
        <v>442</v>
      </c>
      <c r="O67" s="64">
        <v>0</v>
      </c>
      <c r="P67" s="64">
        <v>0.47</v>
      </c>
      <c r="Q67" s="64">
        <v>6.88</v>
      </c>
      <c r="R67" s="198"/>
      <c r="S67" s="198"/>
      <c r="T67" s="198"/>
      <c r="U67" s="198"/>
    </row>
    <row r="68" spans="1:21" s="12" customFormat="1" x14ac:dyDescent="0.25">
      <c r="A68" s="213" t="s">
        <v>1170</v>
      </c>
      <c r="B68" s="64">
        <v>1.36</v>
      </c>
      <c r="C68" s="64">
        <v>54.28</v>
      </c>
      <c r="D68" s="64">
        <v>31.69</v>
      </c>
      <c r="E68" s="64">
        <v>0.37</v>
      </c>
      <c r="F68" s="64">
        <v>18.78</v>
      </c>
      <c r="G68" s="64">
        <v>53.97</v>
      </c>
      <c r="H68" s="64">
        <v>22.75</v>
      </c>
      <c r="I68" s="64">
        <v>1.51</v>
      </c>
      <c r="J68" s="64">
        <v>7.0000000000000007E-2</v>
      </c>
      <c r="K68" s="64">
        <v>42.59</v>
      </c>
      <c r="L68" s="64">
        <v>27</v>
      </c>
      <c r="M68" s="64">
        <v>27.2</v>
      </c>
      <c r="N68" s="64">
        <v>389</v>
      </c>
      <c r="O68" s="64">
        <v>0</v>
      </c>
      <c r="P68" s="64">
        <v>0.41</v>
      </c>
      <c r="Q68" s="64">
        <v>6.3</v>
      </c>
      <c r="R68" s="198"/>
      <c r="S68" s="198"/>
      <c r="T68" s="198"/>
      <c r="U68" s="198"/>
    </row>
    <row r="69" spans="1:21" s="12" customFormat="1" x14ac:dyDescent="0.25">
      <c r="A69" s="213" t="s">
        <v>1171</v>
      </c>
      <c r="B69" s="64">
        <v>1.26</v>
      </c>
      <c r="C69" s="64">
        <v>52.65</v>
      </c>
      <c r="D69" s="64">
        <v>30.72</v>
      </c>
      <c r="E69" s="64">
        <v>0.3</v>
      </c>
      <c r="F69" s="64">
        <v>10.66</v>
      </c>
      <c r="G69" s="64">
        <v>53.97</v>
      </c>
      <c r="H69" s="64">
        <v>22.75</v>
      </c>
      <c r="I69" s="64">
        <v>1.51</v>
      </c>
      <c r="J69" s="64">
        <v>0.16</v>
      </c>
      <c r="K69" s="64">
        <v>332</v>
      </c>
      <c r="L69" s="64">
        <v>27.87</v>
      </c>
      <c r="M69" s="64">
        <v>26.31</v>
      </c>
      <c r="N69" s="64">
        <v>361.2</v>
      </c>
      <c r="O69" s="64">
        <v>0</v>
      </c>
      <c r="P69" s="64">
        <v>0.41</v>
      </c>
      <c r="Q69" s="64">
        <v>5.6</v>
      </c>
      <c r="R69" s="198"/>
      <c r="S69" s="198"/>
      <c r="T69" s="198"/>
      <c r="U69" s="198"/>
    </row>
    <row r="70" spans="1:21" s="12" customFormat="1" x14ac:dyDescent="0.25">
      <c r="A70" s="213" t="s">
        <v>1172</v>
      </c>
      <c r="B70" s="64">
        <v>1.56</v>
      </c>
      <c r="C70" s="64">
        <v>53.49</v>
      </c>
      <c r="D70" s="64">
        <v>31.42</v>
      </c>
      <c r="E70" s="64">
        <v>0.3</v>
      </c>
      <c r="F70" s="64">
        <v>6.44</v>
      </c>
      <c r="G70" s="64">
        <v>53.97</v>
      </c>
      <c r="H70" s="64">
        <v>22.75</v>
      </c>
      <c r="I70" s="64">
        <v>1.55</v>
      </c>
      <c r="J70" s="64">
        <v>0.12</v>
      </c>
      <c r="K70" s="64">
        <v>345.4</v>
      </c>
      <c r="L70" s="64">
        <v>28.28</v>
      </c>
      <c r="M70" s="64">
        <v>26.28</v>
      </c>
      <c r="N70" s="64">
        <v>280.10000000000002</v>
      </c>
      <c r="O70" s="64">
        <v>0</v>
      </c>
      <c r="P70" s="64">
        <v>0.42</v>
      </c>
      <c r="Q70" s="64">
        <v>5.55</v>
      </c>
      <c r="R70" s="198"/>
      <c r="S70" s="198"/>
      <c r="T70" s="198"/>
      <c r="U70" s="198"/>
    </row>
    <row r="71" spans="1:21" s="12" customFormat="1" x14ac:dyDescent="0.25">
      <c r="A71" s="213" t="s">
        <v>1173</v>
      </c>
      <c r="B71" s="64">
        <v>1.8</v>
      </c>
      <c r="C71" s="64">
        <v>54.07</v>
      </c>
      <c r="D71" s="64">
        <v>31.93</v>
      </c>
      <c r="E71" s="64">
        <v>0.28999999999999998</v>
      </c>
      <c r="F71" s="64">
        <v>5.98</v>
      </c>
      <c r="G71" s="64">
        <v>52.46</v>
      </c>
      <c r="H71" s="64">
        <v>22.33</v>
      </c>
      <c r="I71" s="64">
        <v>1.51</v>
      </c>
      <c r="J71" s="64">
        <v>0.51</v>
      </c>
      <c r="K71" s="64">
        <v>119.71</v>
      </c>
      <c r="L71" s="64">
        <v>26.17</v>
      </c>
      <c r="M71" s="64">
        <v>30.05</v>
      </c>
      <c r="N71" s="64">
        <v>219.7</v>
      </c>
      <c r="O71" s="64">
        <v>0</v>
      </c>
      <c r="P71" s="64">
        <v>0.43</v>
      </c>
      <c r="Q71" s="64">
        <v>5.73</v>
      </c>
      <c r="R71" s="198"/>
      <c r="S71" s="198"/>
      <c r="T71" s="198"/>
      <c r="U71" s="198"/>
    </row>
    <row r="72" spans="1:21" s="12" customFormat="1" x14ac:dyDescent="0.25">
      <c r="A72" s="213" t="s">
        <v>1174</v>
      </c>
      <c r="B72" s="64">
        <v>1.84</v>
      </c>
      <c r="C72" s="64">
        <v>54.37</v>
      </c>
      <c r="D72" s="64">
        <v>32.130000000000003</v>
      </c>
      <c r="E72" s="64">
        <v>0.21</v>
      </c>
      <c r="F72" s="64">
        <v>5.97</v>
      </c>
      <c r="G72" s="64">
        <v>52.05</v>
      </c>
      <c r="H72" s="64">
        <v>22.33</v>
      </c>
      <c r="I72" s="64">
        <v>1.48</v>
      </c>
      <c r="J72" s="64">
        <v>0.21</v>
      </c>
      <c r="K72" s="64">
        <v>329.34</v>
      </c>
      <c r="L72" s="64">
        <v>26.54</v>
      </c>
      <c r="M72" s="64">
        <v>31.61</v>
      </c>
      <c r="N72" s="64">
        <v>207.9</v>
      </c>
      <c r="O72" s="64">
        <v>0</v>
      </c>
      <c r="P72" s="64">
        <v>0.44</v>
      </c>
      <c r="Q72" s="64">
        <v>5.8</v>
      </c>
      <c r="R72" s="198"/>
      <c r="S72" s="198"/>
      <c r="T72" s="198"/>
      <c r="U72" s="198"/>
    </row>
    <row r="73" spans="1:21" s="12" customFormat="1" x14ac:dyDescent="0.25">
      <c r="A73" s="213" t="s">
        <v>1175</v>
      </c>
      <c r="B73" s="64">
        <v>2.11</v>
      </c>
      <c r="C73" s="64">
        <v>55.78</v>
      </c>
      <c r="D73" s="64">
        <v>33.119999999999997</v>
      </c>
      <c r="E73" s="64">
        <v>0.37</v>
      </c>
      <c r="F73" s="64">
        <v>5.4</v>
      </c>
      <c r="G73" s="64">
        <v>52.05</v>
      </c>
      <c r="H73" s="64">
        <v>22.33</v>
      </c>
      <c r="I73" s="64">
        <v>1.47</v>
      </c>
      <c r="J73" s="64">
        <v>0.32</v>
      </c>
      <c r="K73" s="64">
        <v>334.39</v>
      </c>
      <c r="L73" s="64">
        <v>26.82</v>
      </c>
      <c r="M73" s="64">
        <v>31.45</v>
      </c>
      <c r="N73" s="64">
        <v>172.7</v>
      </c>
      <c r="O73" s="64">
        <v>0</v>
      </c>
      <c r="P73" s="64">
        <v>0.45</v>
      </c>
      <c r="Q73" s="64">
        <v>6.02</v>
      </c>
      <c r="R73" s="198"/>
      <c r="S73" s="198"/>
      <c r="T73" s="198"/>
      <c r="U73" s="198"/>
    </row>
    <row r="74" spans="1:21" s="12" customFormat="1" x14ac:dyDescent="0.25">
      <c r="A74" s="213" t="s">
        <v>1176</v>
      </c>
      <c r="B74" s="64">
        <v>2.36</v>
      </c>
      <c r="C74" s="64">
        <v>57.57</v>
      </c>
      <c r="D74" s="64">
        <v>34.31</v>
      </c>
      <c r="E74" s="64">
        <v>0.31</v>
      </c>
      <c r="F74" s="64">
        <v>4.78</v>
      </c>
      <c r="G74" s="64">
        <v>52.05</v>
      </c>
      <c r="H74" s="64">
        <v>22.33</v>
      </c>
      <c r="I74" s="64">
        <v>1.53</v>
      </c>
      <c r="J74" s="64">
        <v>0.56000000000000005</v>
      </c>
      <c r="K74" s="64">
        <v>351.63</v>
      </c>
      <c r="L74" s="64">
        <v>26.43</v>
      </c>
      <c r="M74" s="64">
        <v>31.1</v>
      </c>
      <c r="N74" s="64">
        <v>157.30000000000001</v>
      </c>
      <c r="O74" s="64">
        <v>0</v>
      </c>
      <c r="P74" s="64">
        <v>0.47</v>
      </c>
      <c r="Q74" s="64">
        <v>6.24</v>
      </c>
      <c r="R74" s="198"/>
      <c r="S74" s="198"/>
      <c r="T74" s="198"/>
      <c r="U74" s="198"/>
    </row>
    <row r="75" spans="1:21" s="12" customFormat="1" x14ac:dyDescent="0.25">
      <c r="A75" s="213" t="s">
        <v>1177</v>
      </c>
      <c r="B75" s="64">
        <v>2.92</v>
      </c>
      <c r="C75" s="64">
        <v>60.03</v>
      </c>
      <c r="D75" s="64">
        <v>36.119999999999997</v>
      </c>
      <c r="E75" s="64">
        <v>0.38</v>
      </c>
      <c r="F75" s="64">
        <v>4.54</v>
      </c>
      <c r="G75" s="64">
        <v>52.94</v>
      </c>
      <c r="H75" s="64">
        <v>21.75</v>
      </c>
      <c r="I75" s="64">
        <v>1.47</v>
      </c>
      <c r="J75" s="64">
        <v>1.39</v>
      </c>
      <c r="K75" s="64">
        <v>346.33</v>
      </c>
      <c r="L75" s="64">
        <v>25.81</v>
      </c>
      <c r="M75" s="64">
        <v>31.33</v>
      </c>
      <c r="N75" s="64">
        <v>140</v>
      </c>
      <c r="O75" s="64">
        <v>0</v>
      </c>
      <c r="P75" s="64">
        <v>0.49</v>
      </c>
      <c r="Q75" s="64">
        <v>6.34</v>
      </c>
      <c r="R75" s="198"/>
      <c r="S75" s="198"/>
      <c r="T75" s="198"/>
      <c r="U75" s="198"/>
    </row>
    <row r="76" spans="1:21" s="12" customFormat="1" x14ac:dyDescent="0.25">
      <c r="A76" s="213" t="s">
        <v>1178</v>
      </c>
      <c r="B76" s="64">
        <v>3.26</v>
      </c>
      <c r="C76" s="64">
        <v>62.68</v>
      </c>
      <c r="D76" s="64">
        <v>37.85</v>
      </c>
      <c r="E76" s="64">
        <v>0.4</v>
      </c>
      <c r="F76" s="64">
        <v>4.6500000000000004</v>
      </c>
      <c r="G76" s="64">
        <v>53.18</v>
      </c>
      <c r="H76" s="64">
        <v>21.75</v>
      </c>
      <c r="I76" s="64">
        <v>1.52</v>
      </c>
      <c r="J76" s="64">
        <v>1.2</v>
      </c>
      <c r="K76" s="64">
        <v>339.82</v>
      </c>
      <c r="L76" s="64">
        <v>25.23</v>
      </c>
      <c r="M76" s="64">
        <v>33.19</v>
      </c>
      <c r="N76" s="64">
        <v>122.3</v>
      </c>
      <c r="O76" s="64">
        <v>0</v>
      </c>
      <c r="P76" s="64">
        <v>0.53</v>
      </c>
      <c r="Q76" s="64">
        <v>6.41</v>
      </c>
      <c r="R76" s="198"/>
      <c r="S76" s="198"/>
      <c r="T76" s="198"/>
      <c r="U76" s="198"/>
    </row>
    <row r="77" spans="1:21" s="12" customFormat="1" x14ac:dyDescent="0.25">
      <c r="A77" s="213" t="s">
        <v>1179</v>
      </c>
      <c r="B77" s="64">
        <v>3.71</v>
      </c>
      <c r="C77" s="64">
        <v>65.73</v>
      </c>
      <c r="D77" s="64">
        <v>39.9</v>
      </c>
      <c r="E77" s="64">
        <v>0.44</v>
      </c>
      <c r="F77" s="64">
        <v>4.47</v>
      </c>
      <c r="G77" s="64">
        <v>53.18</v>
      </c>
      <c r="H77" s="64">
        <v>21.75</v>
      </c>
      <c r="I77" s="64">
        <v>1.53</v>
      </c>
      <c r="J77" s="64">
        <v>1.49</v>
      </c>
      <c r="K77" s="64">
        <v>349.67</v>
      </c>
      <c r="L77" s="64">
        <v>24.65</v>
      </c>
      <c r="M77" s="64">
        <v>34.08</v>
      </c>
      <c r="N77" s="64">
        <v>107.5</v>
      </c>
      <c r="O77" s="64">
        <v>0</v>
      </c>
      <c r="P77" s="64">
        <v>0.56999999999999995</v>
      </c>
      <c r="Q77" s="64">
        <v>6.51</v>
      </c>
      <c r="R77" s="198"/>
      <c r="S77" s="198"/>
      <c r="T77" s="198"/>
      <c r="U77" s="198"/>
    </row>
    <row r="78" spans="1:21" s="12" customFormat="1" x14ac:dyDescent="0.25">
      <c r="A78" s="213" t="s">
        <v>1180</v>
      </c>
      <c r="B78" s="64">
        <v>3.32</v>
      </c>
      <c r="C78" s="64">
        <v>69.37</v>
      </c>
      <c r="D78" s="64">
        <v>41.59</v>
      </c>
      <c r="E78" s="64">
        <v>0.49</v>
      </c>
      <c r="F78" s="64">
        <v>5.34</v>
      </c>
      <c r="G78" s="64">
        <v>53.18</v>
      </c>
      <c r="H78" s="64">
        <v>21.75</v>
      </c>
      <c r="I78" s="64">
        <v>1.5</v>
      </c>
      <c r="J78" s="64">
        <v>1.57</v>
      </c>
      <c r="K78" s="64">
        <v>350.71</v>
      </c>
      <c r="L78" s="64">
        <v>23.86</v>
      </c>
      <c r="M78" s="64">
        <v>37.86</v>
      </c>
      <c r="N78" s="64">
        <v>92.8</v>
      </c>
      <c r="O78" s="64">
        <v>0</v>
      </c>
      <c r="P78" s="64">
        <v>0.6</v>
      </c>
      <c r="Q78" s="64">
        <v>6.61</v>
      </c>
      <c r="R78" s="198"/>
      <c r="S78" s="198"/>
      <c r="T78" s="198"/>
      <c r="U78" s="198"/>
    </row>
    <row r="79" spans="1:21" s="12" customFormat="1" x14ac:dyDescent="0.25">
      <c r="A79" s="213" t="s">
        <v>1181</v>
      </c>
      <c r="B79" s="64">
        <v>2.93</v>
      </c>
      <c r="C79" s="64">
        <v>72.19</v>
      </c>
      <c r="D79" s="64">
        <v>42.83</v>
      </c>
      <c r="E79" s="64">
        <v>0.48</v>
      </c>
      <c r="F79" s="64">
        <v>5.05</v>
      </c>
      <c r="G79" s="64">
        <v>72.83</v>
      </c>
      <c r="H79" s="64">
        <v>25.71</v>
      </c>
      <c r="I79" s="64">
        <v>1.52</v>
      </c>
      <c r="J79" s="64">
        <v>1.1399999999999999</v>
      </c>
      <c r="K79" s="64">
        <v>348.26</v>
      </c>
      <c r="L79" s="64">
        <v>22.72</v>
      </c>
      <c r="M79" s="64">
        <v>50.31</v>
      </c>
      <c r="N79" s="64">
        <v>80.8</v>
      </c>
      <c r="O79" s="64">
        <v>0</v>
      </c>
      <c r="P79" s="64">
        <v>0.63</v>
      </c>
      <c r="Q79" s="64">
        <v>6.69</v>
      </c>
      <c r="R79" s="198"/>
      <c r="S79" s="198"/>
      <c r="T79" s="198"/>
      <c r="U79" s="198"/>
    </row>
    <row r="80" spans="1:21" s="12" customFormat="1" x14ac:dyDescent="0.25">
      <c r="A80" s="213" t="s">
        <v>1182</v>
      </c>
      <c r="B80" s="64">
        <v>3.13</v>
      </c>
      <c r="C80" s="64">
        <v>73.98</v>
      </c>
      <c r="D80" s="64">
        <v>43.98</v>
      </c>
      <c r="E80" s="64">
        <v>0.36</v>
      </c>
      <c r="F80" s="64">
        <v>4.6399999999999997</v>
      </c>
      <c r="G80" s="64">
        <v>78.09</v>
      </c>
      <c r="H80" s="64">
        <v>25.71</v>
      </c>
      <c r="I80" s="64">
        <v>1.49</v>
      </c>
      <c r="J80" s="64">
        <v>1.28</v>
      </c>
      <c r="K80" s="64">
        <v>348.2</v>
      </c>
      <c r="L80" s="64">
        <v>22.19</v>
      </c>
      <c r="M80" s="64">
        <v>50.87</v>
      </c>
      <c r="N80" s="64">
        <v>74.099999999999994</v>
      </c>
      <c r="O80" s="64">
        <v>0</v>
      </c>
      <c r="P80" s="64">
        <v>0.66</v>
      </c>
      <c r="Q80" s="64">
        <v>6.79</v>
      </c>
      <c r="R80" s="198"/>
      <c r="S80" s="198"/>
      <c r="T80" s="198"/>
      <c r="U80" s="198"/>
    </row>
    <row r="81" spans="1:26" s="12" customFormat="1" x14ac:dyDescent="0.25">
      <c r="A81" s="213" t="s">
        <v>1183</v>
      </c>
      <c r="B81" s="64">
        <v>3.5</v>
      </c>
      <c r="C81" s="64">
        <v>75.37</v>
      </c>
      <c r="D81" s="64">
        <v>45.05</v>
      </c>
      <c r="E81" s="64">
        <v>0.41</v>
      </c>
      <c r="F81" s="64">
        <v>4.4400000000000004</v>
      </c>
      <c r="G81" s="64">
        <v>78.09</v>
      </c>
      <c r="H81" s="64">
        <v>25.71</v>
      </c>
      <c r="I81" s="64">
        <v>1.44</v>
      </c>
      <c r="J81" s="64">
        <v>1.29</v>
      </c>
      <c r="K81" s="64">
        <v>348.32</v>
      </c>
      <c r="L81" s="64">
        <v>21.62</v>
      </c>
      <c r="M81" s="64">
        <v>55.88</v>
      </c>
      <c r="N81" s="64">
        <v>72.599999999999994</v>
      </c>
      <c r="O81" s="64">
        <v>0</v>
      </c>
      <c r="P81" s="64">
        <v>0.68</v>
      </c>
      <c r="Q81" s="64">
        <v>6.92</v>
      </c>
      <c r="R81" s="198"/>
      <c r="S81" s="198"/>
      <c r="T81" s="198"/>
      <c r="U81" s="198"/>
    </row>
    <row r="82" spans="1:26" s="12" customFormat="1" x14ac:dyDescent="0.25">
      <c r="A82" s="213" t="s">
        <v>1184</v>
      </c>
      <c r="B82" s="64">
        <v>3.69</v>
      </c>
      <c r="C82" s="64">
        <v>75.87</v>
      </c>
      <c r="D82" s="64">
        <v>45.48</v>
      </c>
      <c r="E82" s="64">
        <v>0.37</v>
      </c>
      <c r="F82" s="64">
        <v>4.2699999999999996</v>
      </c>
      <c r="G82" s="64">
        <v>78.09</v>
      </c>
      <c r="H82" s="64">
        <v>25.71</v>
      </c>
      <c r="I82" s="64">
        <v>1.43</v>
      </c>
      <c r="J82" s="64">
        <v>1.03</v>
      </c>
      <c r="K82" s="64">
        <v>347.29</v>
      </c>
      <c r="L82" s="64">
        <v>21.33</v>
      </c>
      <c r="M82" s="64">
        <v>57.24</v>
      </c>
      <c r="N82" s="64">
        <v>72.5</v>
      </c>
      <c r="O82" s="64">
        <v>0</v>
      </c>
      <c r="P82" s="64">
        <v>0.7</v>
      </c>
      <c r="Q82" s="64">
        <v>7.07</v>
      </c>
      <c r="R82" s="198"/>
      <c r="S82" s="198"/>
      <c r="T82" s="198"/>
      <c r="U82" s="198"/>
    </row>
    <row r="83" spans="1:26" s="12" customFormat="1" x14ac:dyDescent="0.25">
      <c r="A83" s="213" t="s">
        <v>1185</v>
      </c>
      <c r="B83" s="64">
        <v>3.93</v>
      </c>
      <c r="C83" s="64">
        <v>76.069999999999993</v>
      </c>
      <c r="D83" s="64">
        <v>45.78</v>
      </c>
      <c r="E83" s="64">
        <v>0.38</v>
      </c>
      <c r="F83" s="64">
        <v>3.73</v>
      </c>
      <c r="G83" s="64">
        <v>84.4</v>
      </c>
      <c r="H83" s="64">
        <v>26.65</v>
      </c>
      <c r="I83" s="64">
        <v>1.5</v>
      </c>
      <c r="J83" s="64">
        <v>1.1100000000000001</v>
      </c>
      <c r="K83" s="64">
        <v>349.73</v>
      </c>
      <c r="L83" s="64">
        <v>21.22</v>
      </c>
      <c r="M83" s="64">
        <v>50.24</v>
      </c>
      <c r="N83" s="64">
        <v>72.599999999999994</v>
      </c>
      <c r="O83" s="64">
        <v>0</v>
      </c>
      <c r="P83" s="64">
        <v>0.75</v>
      </c>
      <c r="Q83" s="64">
        <v>7.19</v>
      </c>
      <c r="R83" s="198"/>
      <c r="S83" s="198"/>
      <c r="T83" s="198"/>
      <c r="U83" s="198"/>
    </row>
    <row r="84" spans="1:26" s="12" customFormat="1" x14ac:dyDescent="0.25">
      <c r="A84" s="213" t="s">
        <v>1186</v>
      </c>
      <c r="B84" s="64">
        <v>4.5</v>
      </c>
      <c r="C84" s="64">
        <v>76.53</v>
      </c>
      <c r="D84" s="64">
        <v>46.49</v>
      </c>
      <c r="E84" s="64">
        <v>0.41</v>
      </c>
      <c r="F84" s="64">
        <v>3.65</v>
      </c>
      <c r="G84" s="64">
        <v>86.09</v>
      </c>
      <c r="H84" s="64">
        <v>26.65</v>
      </c>
      <c r="I84" s="64">
        <v>1.47</v>
      </c>
      <c r="J84" s="64">
        <v>0.75</v>
      </c>
      <c r="K84" s="64">
        <v>349.08</v>
      </c>
      <c r="L84" s="64">
        <v>21.36</v>
      </c>
      <c r="M84" s="64">
        <v>41.64</v>
      </c>
      <c r="N84" s="64">
        <v>73</v>
      </c>
      <c r="O84" s="64">
        <v>0</v>
      </c>
      <c r="P84" s="64">
        <v>0.81</v>
      </c>
      <c r="Q84" s="64">
        <v>7.26</v>
      </c>
      <c r="R84" s="198"/>
      <c r="S84" s="198"/>
      <c r="T84" s="198"/>
      <c r="U84" s="198"/>
    </row>
    <row r="85" spans="1:26" s="12" customFormat="1" x14ac:dyDescent="0.25">
      <c r="A85" s="213" t="s">
        <v>1187</v>
      </c>
      <c r="B85" s="64">
        <v>5.34</v>
      </c>
      <c r="C85" s="64">
        <v>77.28</v>
      </c>
      <c r="D85" s="64">
        <v>47.58</v>
      </c>
      <c r="E85" s="64">
        <v>0.47</v>
      </c>
      <c r="F85" s="64">
        <v>3.65</v>
      </c>
      <c r="G85" s="64">
        <v>86.09</v>
      </c>
      <c r="H85" s="64">
        <v>26.65</v>
      </c>
      <c r="I85" s="64">
        <v>1.54</v>
      </c>
      <c r="J85" s="64">
        <v>0.56999999999999995</v>
      </c>
      <c r="K85" s="64">
        <v>351.27</v>
      </c>
      <c r="L85" s="64">
        <v>21.26</v>
      </c>
      <c r="M85" s="64">
        <v>41.38</v>
      </c>
      <c r="N85" s="64">
        <v>73.400000000000006</v>
      </c>
      <c r="O85" s="64">
        <v>0</v>
      </c>
      <c r="P85" s="64">
        <v>0.84</v>
      </c>
      <c r="Q85" s="64">
        <v>7.37</v>
      </c>
      <c r="R85" s="198"/>
      <c r="S85" s="198"/>
      <c r="T85" s="198"/>
      <c r="U85" s="198"/>
    </row>
    <row r="86" spans="1:26" s="12" customFormat="1" x14ac:dyDescent="0.25">
      <c r="A86" s="213" t="s">
        <v>1188</v>
      </c>
      <c r="B86" s="64">
        <v>6.96</v>
      </c>
      <c r="C86" s="64">
        <v>78.09</v>
      </c>
      <c r="D86" s="64">
        <v>49.33</v>
      </c>
      <c r="E86" s="64">
        <v>0.39</v>
      </c>
      <c r="F86" s="64">
        <v>3.39</v>
      </c>
      <c r="G86" s="64">
        <v>86.09</v>
      </c>
      <c r="H86" s="64">
        <v>26.65</v>
      </c>
      <c r="I86" s="64">
        <v>1.43</v>
      </c>
      <c r="J86" s="64">
        <v>0.5</v>
      </c>
      <c r="K86" s="64">
        <v>345.27</v>
      </c>
      <c r="L86" s="64">
        <v>21.08</v>
      </c>
      <c r="M86" s="64">
        <v>40.65</v>
      </c>
      <c r="N86" s="64">
        <v>73.3</v>
      </c>
      <c r="O86" s="64">
        <v>0</v>
      </c>
      <c r="P86" s="64">
        <v>0.94</v>
      </c>
      <c r="Q86" s="64">
        <v>7.48</v>
      </c>
      <c r="R86" s="198"/>
      <c r="S86" s="198"/>
      <c r="T86" s="198"/>
      <c r="U86" s="198"/>
    </row>
    <row r="87" spans="1:26" s="12" customFormat="1" x14ac:dyDescent="0.25">
      <c r="A87" s="213" t="s">
        <v>1189</v>
      </c>
      <c r="B87" s="64">
        <v>8.7799999999999994</v>
      </c>
      <c r="C87" s="64">
        <v>78.83</v>
      </c>
      <c r="D87" s="64">
        <v>51.19</v>
      </c>
      <c r="E87" s="64">
        <v>0.43</v>
      </c>
      <c r="F87" s="64">
        <v>3.27</v>
      </c>
      <c r="G87" s="64">
        <v>98.49</v>
      </c>
      <c r="H87" s="64">
        <v>34.96</v>
      </c>
      <c r="I87" s="64">
        <v>1.5</v>
      </c>
      <c r="J87" s="64">
        <v>0.61</v>
      </c>
      <c r="K87" s="64">
        <v>347.74</v>
      </c>
      <c r="L87" s="64">
        <v>21.03</v>
      </c>
      <c r="M87" s="64">
        <v>39.82</v>
      </c>
      <c r="N87" s="64">
        <v>72.900000000000006</v>
      </c>
      <c r="O87" s="64">
        <v>0</v>
      </c>
      <c r="P87" s="64">
        <v>0.98</v>
      </c>
      <c r="Q87" s="64">
        <v>7.61</v>
      </c>
      <c r="R87" s="198"/>
      <c r="S87" s="198"/>
      <c r="T87" s="198"/>
      <c r="U87" s="198"/>
    </row>
    <row r="88" spans="1:26" s="12" customFormat="1" x14ac:dyDescent="0.25">
      <c r="A88" s="213" t="s">
        <v>1190</v>
      </c>
      <c r="B88" s="64">
        <v>9.69</v>
      </c>
      <c r="C88" s="64">
        <v>79.290000000000006</v>
      </c>
      <c r="D88" s="64">
        <v>52.17</v>
      </c>
      <c r="E88" s="64">
        <v>0.2</v>
      </c>
      <c r="F88" s="64">
        <v>3.33</v>
      </c>
      <c r="G88" s="64">
        <v>101.81</v>
      </c>
      <c r="H88" s="64">
        <v>34.96</v>
      </c>
      <c r="I88" s="64">
        <v>1.54</v>
      </c>
      <c r="J88" s="64">
        <v>0.57999999999999996</v>
      </c>
      <c r="K88" s="64">
        <v>348.73</v>
      </c>
      <c r="L88" s="64">
        <v>20.98</v>
      </c>
      <c r="M88" s="64">
        <v>39.6</v>
      </c>
      <c r="N88" s="64">
        <v>72.7</v>
      </c>
      <c r="O88" s="64">
        <v>0</v>
      </c>
      <c r="P88" s="64">
        <v>1.02</v>
      </c>
      <c r="Q88" s="64">
        <v>7.8</v>
      </c>
      <c r="R88" s="198"/>
      <c r="S88" s="198"/>
      <c r="T88" s="198"/>
      <c r="U88" s="198"/>
    </row>
    <row r="89" spans="1:26" s="12" customFormat="1" x14ac:dyDescent="0.25">
      <c r="A89" s="213" t="s">
        <v>1191</v>
      </c>
      <c r="B89" s="64">
        <v>10.32</v>
      </c>
      <c r="C89" s="64">
        <v>79.760000000000005</v>
      </c>
      <c r="D89" s="64">
        <v>52.93</v>
      </c>
      <c r="E89" s="64">
        <v>0.43</v>
      </c>
      <c r="F89" s="64">
        <v>3.31</v>
      </c>
      <c r="G89" s="64">
        <v>101.81</v>
      </c>
      <c r="H89" s="64">
        <v>34.96</v>
      </c>
      <c r="I89" s="64">
        <v>1.42</v>
      </c>
      <c r="J89" s="64">
        <v>0.54</v>
      </c>
      <c r="K89" s="64">
        <v>344.01</v>
      </c>
      <c r="L89" s="64">
        <v>20.91</v>
      </c>
      <c r="M89" s="64">
        <v>38.4</v>
      </c>
      <c r="N89" s="64">
        <v>72.7</v>
      </c>
      <c r="O89" s="64">
        <v>0</v>
      </c>
      <c r="P89" s="64">
        <v>1.0900000000000001</v>
      </c>
      <c r="Q89" s="64">
        <v>7.85</v>
      </c>
      <c r="R89" s="198"/>
      <c r="S89" s="198"/>
      <c r="T89" s="198"/>
      <c r="U89" s="198"/>
    </row>
    <row r="90" spans="1:26" s="12" customFormat="1" x14ac:dyDescent="0.25">
      <c r="A90" s="213" t="s">
        <v>1192</v>
      </c>
      <c r="B90" s="64">
        <v>10.99</v>
      </c>
      <c r="C90" s="64">
        <v>80.069999999999993</v>
      </c>
      <c r="D90" s="64">
        <v>53.65</v>
      </c>
      <c r="E90" s="64">
        <v>0.41</v>
      </c>
      <c r="F90" s="64">
        <v>3.29</v>
      </c>
      <c r="G90" s="64">
        <v>101.81</v>
      </c>
      <c r="H90" s="64">
        <v>34.96</v>
      </c>
      <c r="I90" s="64">
        <v>1.57</v>
      </c>
      <c r="J90" s="64">
        <v>0.41</v>
      </c>
      <c r="K90" s="64">
        <v>347.17</v>
      </c>
      <c r="L90" s="64">
        <v>20.82</v>
      </c>
      <c r="M90" s="64">
        <v>38.44</v>
      </c>
      <c r="N90" s="64">
        <v>72.599999999999994</v>
      </c>
      <c r="O90" s="64">
        <v>0</v>
      </c>
      <c r="P90" s="64">
        <v>1.1000000000000001</v>
      </c>
      <c r="Q90" s="64">
        <v>7.96</v>
      </c>
      <c r="R90" s="198"/>
      <c r="S90" s="198"/>
      <c r="T90" s="198"/>
      <c r="U90" s="198"/>
    </row>
    <row r="91" spans="1:26" s="12" customFormat="1" x14ac:dyDescent="0.25">
      <c r="A91" s="213" t="s">
        <v>1193</v>
      </c>
      <c r="B91" s="64">
        <v>11.2</v>
      </c>
      <c r="C91" s="64">
        <v>80.12</v>
      </c>
      <c r="D91" s="64">
        <v>53.84</v>
      </c>
      <c r="E91" s="64">
        <v>0.39</v>
      </c>
      <c r="F91" s="64">
        <v>3.26</v>
      </c>
      <c r="G91" s="64">
        <v>106.41</v>
      </c>
      <c r="H91" s="64">
        <v>38.08</v>
      </c>
      <c r="I91" s="64">
        <v>1.43</v>
      </c>
      <c r="J91" s="64">
        <v>0.38</v>
      </c>
      <c r="K91" s="64">
        <v>340.16</v>
      </c>
      <c r="L91" s="64">
        <v>20.64</v>
      </c>
      <c r="M91" s="64">
        <v>39.659999999999997</v>
      </c>
      <c r="N91" s="64">
        <v>72.7</v>
      </c>
      <c r="O91" s="64">
        <v>0</v>
      </c>
      <c r="P91" s="64">
        <v>1.1200000000000001</v>
      </c>
      <c r="Q91" s="64">
        <v>8.0399999999999991</v>
      </c>
      <c r="R91" s="198"/>
      <c r="S91" s="198"/>
      <c r="T91" s="198"/>
      <c r="U91" s="198"/>
    </row>
    <row r="92" spans="1:26" s="12" customFormat="1" x14ac:dyDescent="0.25">
      <c r="A92" s="213" t="s">
        <v>1194</v>
      </c>
      <c r="B92" s="64">
        <v>11.3</v>
      </c>
      <c r="C92" s="64">
        <v>79.650000000000006</v>
      </c>
      <c r="D92" s="64">
        <v>53.67</v>
      </c>
      <c r="E92" s="64">
        <v>0.33</v>
      </c>
      <c r="F92" s="64">
        <v>3.34</v>
      </c>
      <c r="G92" s="64">
        <v>107.64</v>
      </c>
      <c r="H92" s="64">
        <v>38.08</v>
      </c>
      <c r="I92" s="64">
        <v>1.47</v>
      </c>
      <c r="J92" s="64">
        <v>0.19</v>
      </c>
      <c r="K92" s="64">
        <v>352.68</v>
      </c>
      <c r="L92" s="64">
        <v>20.49</v>
      </c>
      <c r="M92" s="64">
        <v>40.57</v>
      </c>
      <c r="N92" s="64">
        <v>72.8</v>
      </c>
      <c r="O92" s="64">
        <v>0</v>
      </c>
      <c r="P92" s="64">
        <v>1.1399999999999999</v>
      </c>
      <c r="Q92" s="64">
        <v>8.0500000000000007</v>
      </c>
      <c r="R92" s="198"/>
      <c r="S92" s="198"/>
      <c r="T92" s="198"/>
      <c r="U92" s="198"/>
    </row>
    <row r="93" spans="1:26" s="12" customFormat="1" x14ac:dyDescent="0.25">
      <c r="A93" s="213" t="s">
        <v>1195</v>
      </c>
      <c r="B93" s="64">
        <v>11.55</v>
      </c>
      <c r="C93" s="64">
        <v>79.14</v>
      </c>
      <c r="D93" s="64">
        <v>53.58</v>
      </c>
      <c r="E93" s="64">
        <v>0.37</v>
      </c>
      <c r="F93" s="64">
        <v>3.49</v>
      </c>
      <c r="G93" s="64">
        <v>107.64</v>
      </c>
      <c r="H93" s="64">
        <v>38.08</v>
      </c>
      <c r="I93" s="64">
        <v>1.49</v>
      </c>
      <c r="J93" s="64">
        <v>0.27</v>
      </c>
      <c r="K93" s="64">
        <v>79.98</v>
      </c>
      <c r="L93" s="64">
        <v>20.38</v>
      </c>
      <c r="M93" s="64">
        <v>41.29</v>
      </c>
      <c r="N93" s="64">
        <v>72.599999999999994</v>
      </c>
      <c r="O93" s="64">
        <v>0</v>
      </c>
      <c r="P93" s="64">
        <v>1.1399999999999999</v>
      </c>
      <c r="Q93" s="64">
        <v>8.01</v>
      </c>
      <c r="R93" s="198"/>
      <c r="S93" s="198"/>
      <c r="T93" s="198"/>
      <c r="U93" s="198"/>
    </row>
    <row r="94" spans="1:26" s="12" customFormat="1" x14ac:dyDescent="0.25">
      <c r="A94" s="213" t="s">
        <v>1196</v>
      </c>
      <c r="B94" s="64">
        <v>11.08</v>
      </c>
      <c r="C94" s="64">
        <v>77.97</v>
      </c>
      <c r="D94" s="64">
        <v>52.56</v>
      </c>
      <c r="E94" s="64">
        <v>0.31</v>
      </c>
      <c r="F94" s="64">
        <v>3.35</v>
      </c>
      <c r="G94" s="64">
        <v>107.64</v>
      </c>
      <c r="H94" s="64">
        <v>38.08</v>
      </c>
      <c r="I94" s="64">
        <v>1.48</v>
      </c>
      <c r="J94" s="64">
        <v>0.26</v>
      </c>
      <c r="K94" s="64">
        <v>90.25</v>
      </c>
      <c r="L94" s="64">
        <v>20.2</v>
      </c>
      <c r="M94" s="64">
        <v>42.73</v>
      </c>
      <c r="N94" s="64">
        <v>72.7</v>
      </c>
      <c r="O94" s="64">
        <v>0</v>
      </c>
      <c r="P94" s="64">
        <v>1.1299999999999999</v>
      </c>
      <c r="Q94" s="64">
        <v>7.95</v>
      </c>
      <c r="R94" s="198"/>
      <c r="S94" s="198"/>
      <c r="T94" s="198"/>
      <c r="U94" s="198"/>
    </row>
    <row r="95" spans="1:26" s="12" customFormat="1" x14ac:dyDescent="0.25">
      <c r="A95" s="213" t="s">
        <v>1197</v>
      </c>
      <c r="B95" s="64">
        <v>10.49</v>
      </c>
      <c r="C95" s="64">
        <v>77.33</v>
      </c>
      <c r="D95" s="64">
        <v>51.74</v>
      </c>
      <c r="E95" s="64">
        <v>0.3</v>
      </c>
      <c r="F95" s="64">
        <v>3.26</v>
      </c>
      <c r="G95" s="64">
        <v>101.34</v>
      </c>
      <c r="H95" s="64">
        <v>34.880000000000003</v>
      </c>
      <c r="I95" s="64">
        <v>1.62</v>
      </c>
      <c r="J95" s="64">
        <v>0.16</v>
      </c>
      <c r="K95" s="64">
        <v>347.32</v>
      </c>
      <c r="L95" s="64">
        <v>19.98</v>
      </c>
      <c r="M95" s="64">
        <v>43.79</v>
      </c>
      <c r="N95" s="64">
        <v>72.7</v>
      </c>
      <c r="O95" s="64">
        <v>0</v>
      </c>
      <c r="P95" s="64">
        <v>1.1299999999999999</v>
      </c>
      <c r="Q95" s="64">
        <v>7.87</v>
      </c>
      <c r="R95" s="198"/>
      <c r="S95" s="198"/>
      <c r="T95" s="198"/>
      <c r="U95" s="198"/>
    </row>
    <row r="96" spans="1:26" s="12" customFormat="1" x14ac:dyDescent="0.25">
      <c r="A96" s="213" t="s">
        <v>1198</v>
      </c>
      <c r="B96" s="64">
        <v>10.86</v>
      </c>
      <c r="C96" s="64">
        <v>77.849999999999994</v>
      </c>
      <c r="D96" s="64">
        <v>52.32</v>
      </c>
      <c r="E96" s="64">
        <v>0.35</v>
      </c>
      <c r="F96" s="64">
        <v>3.26</v>
      </c>
      <c r="G96" s="64">
        <v>99.65</v>
      </c>
      <c r="H96" s="64">
        <v>34.880000000000003</v>
      </c>
      <c r="I96" s="64">
        <v>1.46</v>
      </c>
      <c r="J96" s="64">
        <v>0.23</v>
      </c>
      <c r="K96" s="64">
        <v>81.680000000000007</v>
      </c>
      <c r="L96" s="64">
        <v>19.940000000000001</v>
      </c>
      <c r="M96" s="64">
        <v>43.79</v>
      </c>
      <c r="N96" s="64">
        <v>72.5</v>
      </c>
      <c r="O96" s="64">
        <v>0</v>
      </c>
      <c r="P96" s="64">
        <v>1.1299999999999999</v>
      </c>
      <c r="Q96" s="64">
        <v>7.86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1199</v>
      </c>
      <c r="B97" s="64">
        <v>10.3</v>
      </c>
      <c r="C97" s="64">
        <v>77.7</v>
      </c>
      <c r="D97" s="64">
        <v>51.79</v>
      </c>
      <c r="E97" s="64">
        <v>0.34</v>
      </c>
      <c r="F97" s="64">
        <v>3.58</v>
      </c>
      <c r="G97" s="64">
        <v>99.65</v>
      </c>
      <c r="H97" s="64">
        <v>34.880000000000003</v>
      </c>
      <c r="I97" s="64">
        <v>1.57</v>
      </c>
      <c r="J97" s="64">
        <v>0.42</v>
      </c>
      <c r="K97" s="64">
        <v>88.58</v>
      </c>
      <c r="L97" s="64">
        <v>19.97</v>
      </c>
      <c r="M97" s="64">
        <v>43.52</v>
      </c>
      <c r="N97" s="64">
        <v>72.3</v>
      </c>
      <c r="O97" s="64">
        <v>0</v>
      </c>
      <c r="P97" s="64">
        <v>1.1200000000000001</v>
      </c>
      <c r="Q97" s="64">
        <v>7.86</v>
      </c>
      <c r="R97" s="198"/>
      <c r="S97" s="198"/>
      <c r="T97" s="198"/>
      <c r="U97" s="198"/>
    </row>
    <row r="98" spans="1:33" s="12" customFormat="1" x14ac:dyDescent="0.25">
      <c r="A98" s="213" t="s">
        <v>1200</v>
      </c>
      <c r="B98" s="64">
        <v>8.99</v>
      </c>
      <c r="C98" s="64">
        <v>76.89</v>
      </c>
      <c r="D98" s="64">
        <v>50.29</v>
      </c>
      <c r="E98" s="64">
        <v>0.39</v>
      </c>
      <c r="F98" s="64">
        <v>3.45</v>
      </c>
      <c r="G98" s="64">
        <v>99.65</v>
      </c>
      <c r="H98" s="64">
        <v>34.880000000000003</v>
      </c>
      <c r="I98" s="64">
        <v>1.52</v>
      </c>
      <c r="J98" s="64">
        <v>0.51</v>
      </c>
      <c r="K98" s="64">
        <v>92.88</v>
      </c>
      <c r="L98" s="64">
        <v>19.93</v>
      </c>
      <c r="M98" s="64">
        <v>43.73</v>
      </c>
      <c r="N98" s="64">
        <v>72.400000000000006</v>
      </c>
      <c r="O98" s="64">
        <v>0</v>
      </c>
      <c r="P98" s="64">
        <v>1.1000000000000001</v>
      </c>
      <c r="Q98" s="64">
        <v>7.82</v>
      </c>
      <c r="R98" s="198"/>
      <c r="S98" s="198"/>
      <c r="T98" s="198"/>
      <c r="U98" s="198"/>
    </row>
    <row r="99" spans="1:33" s="12" customFormat="1" x14ac:dyDescent="0.25">
      <c r="A99" s="213" t="s">
        <v>1201</v>
      </c>
      <c r="B99" s="64">
        <v>7.59</v>
      </c>
      <c r="C99" s="64">
        <v>75.97</v>
      </c>
      <c r="D99" s="64">
        <v>48.66</v>
      </c>
      <c r="E99" s="64">
        <v>0.39</v>
      </c>
      <c r="F99" s="64">
        <v>3.43</v>
      </c>
      <c r="G99" s="64">
        <v>93.24</v>
      </c>
      <c r="H99" s="64">
        <v>36.54</v>
      </c>
      <c r="I99" s="64">
        <v>1.53</v>
      </c>
      <c r="J99" s="64">
        <v>0.73</v>
      </c>
      <c r="K99" s="64">
        <v>98.96</v>
      </c>
      <c r="L99" s="64">
        <v>19.899999999999999</v>
      </c>
      <c r="M99" s="64">
        <v>44.16</v>
      </c>
      <c r="N99" s="64">
        <v>72.400000000000006</v>
      </c>
      <c r="O99" s="64">
        <v>0</v>
      </c>
      <c r="P99" s="64">
        <v>1.07</v>
      </c>
      <c r="Q99" s="64">
        <v>7.7</v>
      </c>
      <c r="R99" s="198"/>
      <c r="S99" s="198"/>
      <c r="T99" s="198"/>
      <c r="U99" s="198"/>
    </row>
    <row r="100" spans="1:33" s="12" customFormat="1" x14ac:dyDescent="0.25">
      <c r="A100" s="213" t="s">
        <v>1202</v>
      </c>
      <c r="B100" s="64">
        <v>6.37</v>
      </c>
      <c r="C100" s="64">
        <v>74.61</v>
      </c>
      <c r="D100" s="64">
        <v>46.93</v>
      </c>
      <c r="E100" s="64">
        <v>0.33</v>
      </c>
      <c r="F100" s="64">
        <v>3.56</v>
      </c>
      <c r="G100" s="64">
        <v>91.52</v>
      </c>
      <c r="H100" s="64">
        <v>36.54</v>
      </c>
      <c r="I100" s="64">
        <v>1.49</v>
      </c>
      <c r="J100" s="64">
        <v>0.48</v>
      </c>
      <c r="K100" s="64">
        <v>95.15</v>
      </c>
      <c r="L100" s="64">
        <v>19.649999999999999</v>
      </c>
      <c r="M100" s="64">
        <v>44.86</v>
      </c>
      <c r="N100" s="64">
        <v>72.7</v>
      </c>
      <c r="O100" s="64">
        <v>0</v>
      </c>
      <c r="P100" s="64">
        <v>1.05</v>
      </c>
      <c r="Q100" s="64">
        <v>7.56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1203</v>
      </c>
      <c r="B101" s="64">
        <v>5.28</v>
      </c>
      <c r="C101" s="64">
        <v>73.099999999999994</v>
      </c>
      <c r="D101" s="64">
        <v>45.22</v>
      </c>
      <c r="E101" s="64">
        <v>0.33</v>
      </c>
      <c r="F101" s="64">
        <v>3.71</v>
      </c>
      <c r="G101" s="64">
        <v>91.52</v>
      </c>
      <c r="H101" s="64">
        <v>36.54</v>
      </c>
      <c r="I101" s="64">
        <v>1.58</v>
      </c>
      <c r="J101" s="64">
        <v>0.83</v>
      </c>
      <c r="K101" s="64">
        <v>105.03</v>
      </c>
      <c r="L101" s="64">
        <v>19.63</v>
      </c>
      <c r="M101" s="64">
        <v>45.71</v>
      </c>
      <c r="N101" s="64">
        <v>72.400000000000006</v>
      </c>
      <c r="O101" s="64">
        <v>0</v>
      </c>
      <c r="P101" s="64">
        <v>1.02</v>
      </c>
      <c r="Q101" s="64">
        <v>7.44</v>
      </c>
      <c r="R101" s="198"/>
      <c r="S101" s="198"/>
      <c r="T101" s="198"/>
      <c r="U101" s="198"/>
    </row>
    <row r="102" spans="1:33" s="12" customFormat="1" x14ac:dyDescent="0.25">
      <c r="A102" s="213" t="s">
        <v>1204</v>
      </c>
      <c r="B102" s="64">
        <v>4.26</v>
      </c>
      <c r="C102" s="64">
        <v>71.17</v>
      </c>
      <c r="D102" s="64">
        <v>43.34</v>
      </c>
      <c r="E102" s="64">
        <v>0.32</v>
      </c>
      <c r="F102" s="64">
        <v>3.79</v>
      </c>
      <c r="G102" s="64">
        <v>91.52</v>
      </c>
      <c r="H102" s="64">
        <v>36.54</v>
      </c>
      <c r="I102" s="64">
        <v>1.49</v>
      </c>
      <c r="J102" s="64">
        <v>0.43</v>
      </c>
      <c r="K102" s="64">
        <v>90.56</v>
      </c>
      <c r="L102" s="64">
        <v>19.48</v>
      </c>
      <c r="M102" s="64">
        <v>46.85</v>
      </c>
      <c r="N102" s="64">
        <v>72.7</v>
      </c>
      <c r="O102" s="64">
        <v>0</v>
      </c>
      <c r="P102" s="64">
        <v>1</v>
      </c>
      <c r="Q102" s="64">
        <v>7.24</v>
      </c>
      <c r="R102" s="198"/>
      <c r="S102" s="198"/>
      <c r="T102" s="198"/>
      <c r="U102" s="198"/>
    </row>
    <row r="103" spans="1:33" s="12" customFormat="1" x14ac:dyDescent="0.25">
      <c r="A103" s="213" t="s">
        <v>1205</v>
      </c>
      <c r="B103" s="64">
        <v>3.69</v>
      </c>
      <c r="C103" s="64">
        <v>69.849999999999994</v>
      </c>
      <c r="D103" s="64">
        <v>42.15</v>
      </c>
      <c r="E103" s="64">
        <v>0.36</v>
      </c>
      <c r="F103" s="64">
        <v>4.05</v>
      </c>
      <c r="G103" s="64">
        <v>88.77</v>
      </c>
      <c r="H103" s="64">
        <v>35.36</v>
      </c>
      <c r="I103" s="64">
        <v>1.41</v>
      </c>
      <c r="J103" s="64">
        <v>0.44</v>
      </c>
      <c r="K103" s="64">
        <v>91.57</v>
      </c>
      <c r="L103" s="64">
        <v>19.36</v>
      </c>
      <c r="M103" s="64">
        <v>47.61</v>
      </c>
      <c r="N103" s="64">
        <v>72.599999999999994</v>
      </c>
      <c r="O103" s="64">
        <v>0</v>
      </c>
      <c r="P103" s="64">
        <v>0.98</v>
      </c>
      <c r="Q103" s="64">
        <v>7.14</v>
      </c>
      <c r="R103" s="198"/>
      <c r="S103" s="198"/>
      <c r="T103" s="198"/>
      <c r="U103" s="198"/>
    </row>
    <row r="104" spans="1:33" s="12" customFormat="1" x14ac:dyDescent="0.25">
      <c r="A104" s="213" t="s">
        <v>1206</v>
      </c>
      <c r="B104" s="64">
        <v>3.32</v>
      </c>
      <c r="C104" s="64">
        <v>68.12</v>
      </c>
      <c r="D104" s="64">
        <v>40.9</v>
      </c>
      <c r="E104" s="64">
        <v>0.09</v>
      </c>
      <c r="F104" s="64">
        <v>4.2699999999999996</v>
      </c>
      <c r="G104" s="64">
        <v>88.04</v>
      </c>
      <c r="H104" s="64">
        <v>35.36</v>
      </c>
      <c r="I104" s="64">
        <v>1.45</v>
      </c>
      <c r="J104" s="64">
        <v>0.84</v>
      </c>
      <c r="K104" s="64">
        <v>108.63</v>
      </c>
      <c r="L104" s="64">
        <v>19.41</v>
      </c>
      <c r="M104" s="64">
        <v>48.01</v>
      </c>
      <c r="N104" s="64">
        <v>72.099999999999994</v>
      </c>
      <c r="O104" s="64">
        <v>0</v>
      </c>
      <c r="P104" s="64">
        <v>0.95</v>
      </c>
      <c r="Q104" s="64">
        <v>7.06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1.26</v>
      </c>
      <c r="C106" s="67">
        <f>MIN(C9:C104)</f>
        <v>52.65</v>
      </c>
      <c r="D106" s="67">
        <f t="shared" ref="D106:Q106" si="0">MIN(D9:D104)</f>
        <v>30.72</v>
      </c>
      <c r="E106" s="67">
        <f t="shared" si="0"/>
        <v>0.05</v>
      </c>
      <c r="F106" s="67">
        <f t="shared" si="0"/>
        <v>2.8</v>
      </c>
      <c r="G106" s="67">
        <f t="shared" si="0"/>
        <v>51.05</v>
      </c>
      <c r="H106" s="67">
        <f t="shared" si="0"/>
        <v>21.75</v>
      </c>
      <c r="I106" s="67">
        <f t="shared" si="0"/>
        <v>1.41</v>
      </c>
      <c r="J106" s="67">
        <f t="shared" si="0"/>
        <v>0.01</v>
      </c>
      <c r="K106" s="67">
        <f t="shared" si="0"/>
        <v>6.87</v>
      </c>
      <c r="L106" s="67">
        <f t="shared" si="0"/>
        <v>13.52</v>
      </c>
      <c r="M106" s="67">
        <f t="shared" si="0"/>
        <v>19.45</v>
      </c>
      <c r="N106" s="67">
        <f t="shared" si="0"/>
        <v>72.099999999999994</v>
      </c>
      <c r="O106" s="67">
        <f t="shared" si="0"/>
        <v>0</v>
      </c>
      <c r="P106" s="67">
        <f t="shared" si="0"/>
        <v>0.41</v>
      </c>
      <c r="Q106" s="67">
        <f t="shared" si="0"/>
        <v>5.55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21.5</v>
      </c>
      <c r="C107" s="66">
        <f t="shared" ref="C107:Q107" si="1">MAX(C9:C104)</f>
        <v>80.12</v>
      </c>
      <c r="D107" s="66">
        <f t="shared" si="1"/>
        <v>56.9</v>
      </c>
      <c r="E107" s="66">
        <f t="shared" si="1"/>
        <v>0.68</v>
      </c>
      <c r="F107" s="66">
        <f t="shared" si="1"/>
        <v>20.18</v>
      </c>
      <c r="G107" s="66">
        <f t="shared" si="1"/>
        <v>125.01</v>
      </c>
      <c r="H107" s="66">
        <f t="shared" si="1"/>
        <v>40.700000000000003</v>
      </c>
      <c r="I107" s="66">
        <f t="shared" si="1"/>
        <v>1.62</v>
      </c>
      <c r="J107" s="66">
        <f t="shared" si="1"/>
        <v>1.57</v>
      </c>
      <c r="K107" s="66">
        <f t="shared" si="1"/>
        <v>356.16</v>
      </c>
      <c r="L107" s="66">
        <f t="shared" si="1"/>
        <v>31.81</v>
      </c>
      <c r="M107" s="66">
        <f t="shared" si="1"/>
        <v>63.35</v>
      </c>
      <c r="N107" s="66">
        <f t="shared" si="1"/>
        <v>866.7</v>
      </c>
      <c r="O107" s="66">
        <f t="shared" si="1"/>
        <v>0</v>
      </c>
      <c r="P107" s="66">
        <f t="shared" si="1"/>
        <v>1.1399999999999999</v>
      </c>
      <c r="Q107" s="66">
        <f t="shared" si="1"/>
        <v>8.2200000000000006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8.2631250000000041</v>
      </c>
      <c r="C108" s="67">
        <f t="shared" ref="C108:Q108" si="2">AVERAGE(C9:C104)</f>
        <v>65.327500000000001</v>
      </c>
      <c r="D108" s="67">
        <f t="shared" si="2"/>
        <v>43.325104166666641</v>
      </c>
      <c r="E108" s="67">
        <f t="shared" si="2"/>
        <v>0.28666666666666657</v>
      </c>
      <c r="F108" s="67">
        <f t="shared" si="2"/>
        <v>4.5671874999999984</v>
      </c>
      <c r="G108" s="67">
        <f t="shared" si="2"/>
        <v>81.530000000000044</v>
      </c>
      <c r="H108" s="67">
        <f t="shared" si="2"/>
        <v>29.644583333333347</v>
      </c>
      <c r="I108" s="67">
        <f t="shared" si="2"/>
        <v>1.4986458333333337</v>
      </c>
      <c r="J108" s="67">
        <f t="shared" si="2"/>
        <v>0.50614583333333307</v>
      </c>
      <c r="K108" s="67">
        <f t="shared" si="2"/>
        <v>215.05812500000002</v>
      </c>
      <c r="L108" s="67">
        <f t="shared" si="2"/>
        <v>20.493750000000009</v>
      </c>
      <c r="M108" s="67">
        <f t="shared" si="2"/>
        <v>42.266770833333339</v>
      </c>
      <c r="N108" s="67">
        <f t="shared" si="2"/>
        <v>266.76354166666664</v>
      </c>
      <c r="O108" s="67">
        <f t="shared" si="2"/>
        <v>0</v>
      </c>
      <c r="P108" s="67">
        <f t="shared" si="2"/>
        <v>0.78395833333333309</v>
      </c>
      <c r="Q108" s="67">
        <f t="shared" si="2"/>
        <v>6.9967708333333354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5.2139118181427264</v>
      </c>
      <c r="C109" s="67">
        <f t="shared" ref="C109:Q109" si="3">STDEV(C9:C104)</f>
        <v>7.8166083639765116</v>
      </c>
      <c r="D109" s="67">
        <f t="shared" si="3"/>
        <v>6.3894900537471013</v>
      </c>
      <c r="E109" s="67">
        <f t="shared" si="3"/>
        <v>0.12366905468919608</v>
      </c>
      <c r="F109" s="67">
        <f t="shared" si="3"/>
        <v>2.7908782632467442</v>
      </c>
      <c r="G109" s="67">
        <f t="shared" si="3"/>
        <v>20.903850816233923</v>
      </c>
      <c r="H109" s="67">
        <f t="shared" si="3"/>
        <v>5.6145915006612883</v>
      </c>
      <c r="I109" s="67">
        <f t="shared" si="3"/>
        <v>4.3081802035971874E-2</v>
      </c>
      <c r="J109" s="67">
        <f t="shared" si="3"/>
        <v>0.40136705812868773</v>
      </c>
      <c r="K109" s="67">
        <f t="shared" si="3"/>
        <v>128.68897123082218</v>
      </c>
      <c r="L109" s="67">
        <f t="shared" si="3"/>
        <v>5.3383670379226089</v>
      </c>
      <c r="M109" s="67">
        <f t="shared" si="3"/>
        <v>13.107761260115803</v>
      </c>
      <c r="N109" s="67">
        <f t="shared" si="3"/>
        <v>269.7781482781308</v>
      </c>
      <c r="O109" s="67">
        <f t="shared" si="3"/>
        <v>0</v>
      </c>
      <c r="P109" s="67">
        <f t="shared" si="3"/>
        <v>0.22552618784413758</v>
      </c>
      <c r="Q109" s="67">
        <f t="shared" si="3"/>
        <v>0.61098625153222863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1207</v>
      </c>
      <c r="B9" s="64">
        <v>2.93</v>
      </c>
      <c r="C9" s="64">
        <v>66.040000000000006</v>
      </c>
      <c r="D9" s="64">
        <v>39.44</v>
      </c>
      <c r="E9" s="64">
        <v>0.21</v>
      </c>
      <c r="F9" s="64">
        <v>4.2</v>
      </c>
      <c r="G9" s="64">
        <v>88.04</v>
      </c>
      <c r="H9" s="64">
        <v>35.36</v>
      </c>
      <c r="I9" s="64">
        <v>1.48</v>
      </c>
      <c r="J9" s="64">
        <v>1.28</v>
      </c>
      <c r="K9" s="64">
        <v>104.4</v>
      </c>
      <c r="L9" s="64">
        <v>19.68</v>
      </c>
      <c r="M9" s="64">
        <v>48.16</v>
      </c>
      <c r="N9" s="64">
        <v>71.900000000000006</v>
      </c>
      <c r="O9" s="64">
        <v>0</v>
      </c>
      <c r="P9" s="64">
        <v>0.93</v>
      </c>
      <c r="Q9" s="64">
        <v>6.92</v>
      </c>
      <c r="R9" s="198"/>
      <c r="S9" s="198"/>
      <c r="T9" s="198"/>
      <c r="U9" s="198"/>
    </row>
    <row r="10" spans="1:21" s="12" customFormat="1" x14ac:dyDescent="0.25">
      <c r="A10" s="213" t="s">
        <v>1208</v>
      </c>
      <c r="B10" s="64">
        <v>2.5499999999999998</v>
      </c>
      <c r="C10" s="64">
        <v>63.65</v>
      </c>
      <c r="D10" s="64">
        <v>37.82</v>
      </c>
      <c r="E10" s="64">
        <v>0.2</v>
      </c>
      <c r="F10" s="64">
        <v>4.46</v>
      </c>
      <c r="G10" s="64">
        <v>88.04</v>
      </c>
      <c r="H10" s="64">
        <v>35.36</v>
      </c>
      <c r="I10" s="64">
        <v>1.49</v>
      </c>
      <c r="J10" s="64">
        <v>1.43</v>
      </c>
      <c r="K10" s="64">
        <v>102.99</v>
      </c>
      <c r="L10" s="64">
        <v>19.649999999999999</v>
      </c>
      <c r="M10" s="64">
        <v>49.3</v>
      </c>
      <c r="N10" s="64">
        <v>72.5</v>
      </c>
      <c r="O10" s="64">
        <v>0</v>
      </c>
      <c r="P10" s="64">
        <v>0.9</v>
      </c>
      <c r="Q10" s="64">
        <v>6.78</v>
      </c>
      <c r="R10" s="198"/>
      <c r="S10" s="198"/>
      <c r="T10" s="198"/>
      <c r="U10" s="198"/>
    </row>
    <row r="11" spans="1:21" s="12" customFormat="1" x14ac:dyDescent="0.25">
      <c r="A11" s="213" t="s">
        <v>1209</v>
      </c>
      <c r="B11" s="64">
        <v>2.2999999999999998</v>
      </c>
      <c r="C11" s="64">
        <v>61.31</v>
      </c>
      <c r="D11" s="64">
        <v>36.33</v>
      </c>
      <c r="E11" s="64">
        <v>0.19</v>
      </c>
      <c r="F11" s="64">
        <v>4.66</v>
      </c>
      <c r="G11" s="64">
        <v>82.12</v>
      </c>
      <c r="H11" s="64">
        <v>33.590000000000003</v>
      </c>
      <c r="I11" s="64">
        <v>1.48</v>
      </c>
      <c r="J11" s="64">
        <v>1.1200000000000001</v>
      </c>
      <c r="K11" s="64">
        <v>97.65</v>
      </c>
      <c r="L11" s="64">
        <v>19.47</v>
      </c>
      <c r="M11" s="64">
        <v>52.1</v>
      </c>
      <c r="N11" s="64">
        <v>72.7</v>
      </c>
      <c r="O11" s="64">
        <v>0</v>
      </c>
      <c r="P11" s="64">
        <v>0.86</v>
      </c>
      <c r="Q11" s="64">
        <v>6.66</v>
      </c>
      <c r="R11" s="198"/>
      <c r="S11" s="198"/>
      <c r="T11" s="198"/>
      <c r="U11" s="198"/>
    </row>
    <row r="12" spans="1:21" s="12" customFormat="1" x14ac:dyDescent="0.25">
      <c r="A12" s="213" t="s">
        <v>1210</v>
      </c>
      <c r="B12" s="64">
        <v>2.13</v>
      </c>
      <c r="C12" s="64">
        <v>59.13</v>
      </c>
      <c r="D12" s="64">
        <v>34.979999999999997</v>
      </c>
      <c r="E12" s="64">
        <v>0.18</v>
      </c>
      <c r="F12" s="64">
        <v>4.74</v>
      </c>
      <c r="G12" s="64">
        <v>80.540000000000006</v>
      </c>
      <c r="H12" s="64">
        <v>33.590000000000003</v>
      </c>
      <c r="I12" s="64">
        <v>1.5</v>
      </c>
      <c r="J12" s="64">
        <v>0.92</v>
      </c>
      <c r="K12" s="64">
        <v>104.24</v>
      </c>
      <c r="L12" s="64">
        <v>19.260000000000002</v>
      </c>
      <c r="M12" s="64">
        <v>54.46</v>
      </c>
      <c r="N12" s="64">
        <v>72.900000000000006</v>
      </c>
      <c r="O12" s="64">
        <v>0</v>
      </c>
      <c r="P12" s="64">
        <v>0.84</v>
      </c>
      <c r="Q12" s="64">
        <v>6.55</v>
      </c>
      <c r="R12" s="198"/>
      <c r="S12" s="198"/>
      <c r="T12" s="198"/>
      <c r="U12" s="198"/>
    </row>
    <row r="13" spans="1:21" s="12" customFormat="1" x14ac:dyDescent="0.25">
      <c r="A13" s="213" t="s">
        <v>1211</v>
      </c>
      <c r="B13" s="64">
        <v>2.0499999999999998</v>
      </c>
      <c r="C13" s="64">
        <v>57.73</v>
      </c>
      <c r="D13" s="64">
        <v>34.15</v>
      </c>
      <c r="E13" s="64">
        <v>0.13</v>
      </c>
      <c r="F13" s="64">
        <v>4.5199999999999996</v>
      </c>
      <c r="G13" s="64">
        <v>80.540000000000006</v>
      </c>
      <c r="H13" s="64">
        <v>33.590000000000003</v>
      </c>
      <c r="I13" s="64">
        <v>1.49</v>
      </c>
      <c r="J13" s="64">
        <v>0.17</v>
      </c>
      <c r="K13" s="64">
        <v>69.459999999999994</v>
      </c>
      <c r="L13" s="64">
        <v>18.93</v>
      </c>
      <c r="M13" s="64">
        <v>56.95</v>
      </c>
      <c r="N13" s="64">
        <v>73.3</v>
      </c>
      <c r="O13" s="64">
        <v>0</v>
      </c>
      <c r="P13" s="64">
        <v>0.79</v>
      </c>
      <c r="Q13" s="64">
        <v>6.52</v>
      </c>
      <c r="R13" s="198"/>
      <c r="S13" s="198"/>
      <c r="T13" s="198"/>
      <c r="U13" s="198"/>
    </row>
    <row r="14" spans="1:21" s="12" customFormat="1" x14ac:dyDescent="0.25">
      <c r="A14" s="213" t="s">
        <v>1212</v>
      </c>
      <c r="B14" s="64">
        <v>2.27</v>
      </c>
      <c r="C14" s="64">
        <v>57.12</v>
      </c>
      <c r="D14" s="64">
        <v>33.99</v>
      </c>
      <c r="E14" s="64">
        <v>0.19</v>
      </c>
      <c r="F14" s="64">
        <v>4.17</v>
      </c>
      <c r="G14" s="64">
        <v>80.540000000000006</v>
      </c>
      <c r="H14" s="64">
        <v>33.590000000000003</v>
      </c>
      <c r="I14" s="64">
        <v>1.48</v>
      </c>
      <c r="J14" s="64">
        <v>0.17</v>
      </c>
      <c r="K14" s="64">
        <v>3.12</v>
      </c>
      <c r="L14" s="64">
        <v>18.440000000000001</v>
      </c>
      <c r="M14" s="64">
        <v>61.08</v>
      </c>
      <c r="N14" s="64">
        <v>73.5</v>
      </c>
      <c r="O14" s="64">
        <v>0</v>
      </c>
      <c r="P14" s="64">
        <v>0.78</v>
      </c>
      <c r="Q14" s="64">
        <v>6.43</v>
      </c>
      <c r="R14" s="198"/>
      <c r="S14" s="198"/>
      <c r="T14" s="198"/>
      <c r="U14" s="198"/>
    </row>
    <row r="15" spans="1:21" s="12" customFormat="1" x14ac:dyDescent="0.25">
      <c r="A15" s="213" t="s">
        <v>1213</v>
      </c>
      <c r="B15" s="64">
        <v>2.64</v>
      </c>
      <c r="C15" s="64">
        <v>56.78</v>
      </c>
      <c r="D15" s="64">
        <v>34.090000000000003</v>
      </c>
      <c r="E15" s="64">
        <v>0.18</v>
      </c>
      <c r="F15" s="64">
        <v>3.75</v>
      </c>
      <c r="G15" s="64">
        <v>76.489999999999995</v>
      </c>
      <c r="H15" s="64">
        <v>32.35</v>
      </c>
      <c r="I15" s="64">
        <v>1.58</v>
      </c>
      <c r="J15" s="64">
        <v>0.12</v>
      </c>
      <c r="K15" s="64">
        <v>354.72</v>
      </c>
      <c r="L15" s="64">
        <v>17.93</v>
      </c>
      <c r="M15" s="64">
        <v>65.88</v>
      </c>
      <c r="N15" s="64">
        <v>73.400000000000006</v>
      </c>
      <c r="O15" s="64">
        <v>0</v>
      </c>
      <c r="P15" s="64">
        <v>0.78</v>
      </c>
      <c r="Q15" s="64">
        <v>6.41</v>
      </c>
      <c r="R15" s="198"/>
      <c r="S15" s="198"/>
      <c r="T15" s="198"/>
      <c r="U15" s="198"/>
    </row>
    <row r="16" spans="1:21" s="12" customFormat="1" x14ac:dyDescent="0.25">
      <c r="A16" s="213" t="s">
        <v>1214</v>
      </c>
      <c r="B16" s="64">
        <v>3.02</v>
      </c>
      <c r="C16" s="64">
        <v>56.59</v>
      </c>
      <c r="D16" s="64">
        <v>34.299999999999997</v>
      </c>
      <c r="E16" s="64">
        <v>0.2</v>
      </c>
      <c r="F16" s="64">
        <v>3.52</v>
      </c>
      <c r="G16" s="64">
        <v>75.41</v>
      </c>
      <c r="H16" s="64">
        <v>32.35</v>
      </c>
      <c r="I16" s="64">
        <v>1.5</v>
      </c>
      <c r="J16" s="64">
        <v>0.16</v>
      </c>
      <c r="K16" s="64">
        <v>247.93</v>
      </c>
      <c r="L16" s="64">
        <v>17.62</v>
      </c>
      <c r="M16" s="64">
        <v>68.349999999999994</v>
      </c>
      <c r="N16" s="64">
        <v>73</v>
      </c>
      <c r="O16" s="64">
        <v>0</v>
      </c>
      <c r="P16" s="64">
        <v>0.76</v>
      </c>
      <c r="Q16" s="64">
        <v>6.47</v>
      </c>
      <c r="R16" s="198"/>
      <c r="S16" s="198"/>
      <c r="T16" s="198"/>
      <c r="U16" s="198"/>
    </row>
    <row r="17" spans="1:21" s="12" customFormat="1" x14ac:dyDescent="0.25">
      <c r="A17" s="213" t="s">
        <v>1215</v>
      </c>
      <c r="B17" s="64">
        <v>3.32</v>
      </c>
      <c r="C17" s="64">
        <v>56.38</v>
      </c>
      <c r="D17" s="64">
        <v>34.42</v>
      </c>
      <c r="E17" s="64">
        <v>0.17</v>
      </c>
      <c r="F17" s="64">
        <v>3.6</v>
      </c>
      <c r="G17" s="64">
        <v>75.41</v>
      </c>
      <c r="H17" s="64">
        <v>32.35</v>
      </c>
      <c r="I17" s="64">
        <v>1.52</v>
      </c>
      <c r="J17" s="64">
        <v>0.06</v>
      </c>
      <c r="K17" s="64">
        <v>329.14</v>
      </c>
      <c r="L17" s="64">
        <v>17.46</v>
      </c>
      <c r="M17" s="64">
        <v>71.3</v>
      </c>
      <c r="N17" s="64">
        <v>73.3</v>
      </c>
      <c r="O17" s="64">
        <v>0</v>
      </c>
      <c r="P17" s="64">
        <v>0.74</v>
      </c>
      <c r="Q17" s="64">
        <v>6.45</v>
      </c>
      <c r="R17" s="198"/>
      <c r="S17" s="198"/>
      <c r="T17" s="198"/>
      <c r="U17" s="198"/>
    </row>
    <row r="18" spans="1:21" s="12" customFormat="1" x14ac:dyDescent="0.25">
      <c r="A18" s="213" t="s">
        <v>1216</v>
      </c>
      <c r="B18" s="64">
        <v>3.59</v>
      </c>
      <c r="C18" s="64">
        <v>56.31</v>
      </c>
      <c r="D18" s="64">
        <v>34.6</v>
      </c>
      <c r="E18" s="64">
        <v>0.22</v>
      </c>
      <c r="F18" s="64">
        <v>3.46</v>
      </c>
      <c r="G18" s="64">
        <v>75.41</v>
      </c>
      <c r="H18" s="64">
        <v>32.35</v>
      </c>
      <c r="I18" s="64">
        <v>1.59</v>
      </c>
      <c r="J18" s="64">
        <v>0.13</v>
      </c>
      <c r="K18" s="64">
        <v>265.39</v>
      </c>
      <c r="L18" s="64">
        <v>17.43</v>
      </c>
      <c r="M18" s="64">
        <v>70</v>
      </c>
      <c r="N18" s="64">
        <v>72.900000000000006</v>
      </c>
      <c r="O18" s="64">
        <v>0</v>
      </c>
      <c r="P18" s="64">
        <v>0.73</v>
      </c>
      <c r="Q18" s="64">
        <v>6.47</v>
      </c>
      <c r="R18" s="198"/>
      <c r="S18" s="198"/>
      <c r="T18" s="198"/>
      <c r="U18" s="198"/>
    </row>
    <row r="19" spans="1:21" s="12" customFormat="1" x14ac:dyDescent="0.25">
      <c r="A19" s="213" t="s">
        <v>1217</v>
      </c>
      <c r="B19" s="64">
        <v>3.93</v>
      </c>
      <c r="C19" s="64">
        <v>56.36</v>
      </c>
      <c r="D19" s="64">
        <v>34.9</v>
      </c>
      <c r="E19" s="64">
        <v>0.2</v>
      </c>
      <c r="F19" s="64">
        <v>3.39</v>
      </c>
      <c r="G19" s="64">
        <v>71.930000000000007</v>
      </c>
      <c r="H19" s="64">
        <v>32.549999999999997</v>
      </c>
      <c r="I19" s="64">
        <v>1.47</v>
      </c>
      <c r="J19" s="64">
        <v>0.05</v>
      </c>
      <c r="K19" s="64">
        <v>2.17</v>
      </c>
      <c r="L19" s="64">
        <v>17.329999999999998</v>
      </c>
      <c r="M19" s="64">
        <v>73.150000000000006</v>
      </c>
      <c r="N19" s="64">
        <v>73.3</v>
      </c>
      <c r="O19" s="64">
        <v>0</v>
      </c>
      <c r="P19" s="64">
        <v>0.73</v>
      </c>
      <c r="Q19" s="64">
        <v>6.5</v>
      </c>
      <c r="R19" s="198"/>
      <c r="S19" s="198"/>
      <c r="T19" s="198"/>
      <c r="U19" s="198"/>
    </row>
    <row r="20" spans="1:21" s="12" customFormat="1" x14ac:dyDescent="0.25">
      <c r="A20" s="213" t="s">
        <v>1218</v>
      </c>
      <c r="B20" s="64">
        <v>4.37</v>
      </c>
      <c r="C20" s="64">
        <v>56.54</v>
      </c>
      <c r="D20" s="64">
        <v>35.36</v>
      </c>
      <c r="E20" s="64">
        <v>0.22</v>
      </c>
      <c r="F20" s="64">
        <v>3.43</v>
      </c>
      <c r="G20" s="64">
        <v>71</v>
      </c>
      <c r="H20" s="64">
        <v>32.549999999999997</v>
      </c>
      <c r="I20" s="64">
        <v>1.52</v>
      </c>
      <c r="J20" s="64">
        <v>0.14000000000000001</v>
      </c>
      <c r="K20" s="64">
        <v>320.77999999999997</v>
      </c>
      <c r="L20" s="64">
        <v>17.2</v>
      </c>
      <c r="M20" s="64">
        <v>76.73</v>
      </c>
      <c r="N20" s="64">
        <v>73.5</v>
      </c>
      <c r="O20" s="64">
        <v>0</v>
      </c>
      <c r="P20" s="64">
        <v>0.72</v>
      </c>
      <c r="Q20" s="64">
        <v>6.56</v>
      </c>
      <c r="R20" s="198"/>
      <c r="S20" s="198"/>
      <c r="T20" s="198"/>
      <c r="U20" s="198"/>
    </row>
    <row r="21" spans="1:21" s="12" customFormat="1" x14ac:dyDescent="0.25">
      <c r="A21" s="213" t="s">
        <v>1219</v>
      </c>
      <c r="B21" s="64">
        <v>4.8</v>
      </c>
      <c r="C21" s="64">
        <v>56.74</v>
      </c>
      <c r="D21" s="64">
        <v>35.81</v>
      </c>
      <c r="E21" s="64">
        <v>0.23</v>
      </c>
      <c r="F21" s="64">
        <v>3.33</v>
      </c>
      <c r="G21" s="64">
        <v>71</v>
      </c>
      <c r="H21" s="64">
        <v>32.549999999999997</v>
      </c>
      <c r="I21" s="64">
        <v>1.36</v>
      </c>
      <c r="J21" s="64">
        <v>0.38</v>
      </c>
      <c r="K21" s="64">
        <v>155.13</v>
      </c>
      <c r="L21" s="64">
        <v>17.21</v>
      </c>
      <c r="M21" s="64">
        <v>76.239999999999995</v>
      </c>
      <c r="N21" s="64">
        <v>72.8</v>
      </c>
      <c r="O21" s="64">
        <v>0</v>
      </c>
      <c r="P21" s="64">
        <v>0.71</v>
      </c>
      <c r="Q21" s="64">
        <v>6.59</v>
      </c>
      <c r="R21" s="198"/>
      <c r="S21" s="198"/>
      <c r="T21" s="198"/>
      <c r="U21" s="198"/>
    </row>
    <row r="22" spans="1:21" s="12" customFormat="1" x14ac:dyDescent="0.25">
      <c r="A22" s="213" t="s">
        <v>1220</v>
      </c>
      <c r="B22" s="64">
        <v>5.09</v>
      </c>
      <c r="C22" s="64">
        <v>56.66</v>
      </c>
      <c r="D22" s="64">
        <v>36</v>
      </c>
      <c r="E22" s="64">
        <v>0.2</v>
      </c>
      <c r="F22" s="64">
        <v>3.33</v>
      </c>
      <c r="G22" s="64">
        <v>71</v>
      </c>
      <c r="H22" s="64">
        <v>32.549999999999997</v>
      </c>
      <c r="I22" s="64">
        <v>1.54</v>
      </c>
      <c r="J22" s="64">
        <v>0.55000000000000004</v>
      </c>
      <c r="K22" s="64">
        <v>356.46</v>
      </c>
      <c r="L22" s="64">
        <v>17.95</v>
      </c>
      <c r="M22" s="64">
        <v>70.17</v>
      </c>
      <c r="N22" s="64">
        <v>72.900000000000006</v>
      </c>
      <c r="O22" s="64">
        <v>0</v>
      </c>
      <c r="P22" s="64">
        <v>0.7</v>
      </c>
      <c r="Q22" s="64">
        <v>6.62</v>
      </c>
      <c r="R22" s="198"/>
      <c r="S22" s="198"/>
      <c r="T22" s="198"/>
      <c r="U22" s="198"/>
    </row>
    <row r="23" spans="1:21" s="12" customFormat="1" x14ac:dyDescent="0.25">
      <c r="A23" s="213" t="s">
        <v>1221</v>
      </c>
      <c r="B23" s="64">
        <v>5.29</v>
      </c>
      <c r="C23" s="64">
        <v>56.94</v>
      </c>
      <c r="D23" s="64">
        <v>36.32</v>
      </c>
      <c r="E23" s="64">
        <v>0.2</v>
      </c>
      <c r="F23" s="64">
        <v>3.29</v>
      </c>
      <c r="G23" s="64">
        <v>73.260000000000005</v>
      </c>
      <c r="H23" s="64">
        <v>31.63</v>
      </c>
      <c r="I23" s="64">
        <v>1.55</v>
      </c>
      <c r="J23" s="64">
        <v>1.05</v>
      </c>
      <c r="K23" s="64">
        <v>347.8</v>
      </c>
      <c r="L23" s="64">
        <v>17.68</v>
      </c>
      <c r="M23" s="64">
        <v>69.2</v>
      </c>
      <c r="N23" s="64">
        <v>73.3</v>
      </c>
      <c r="O23" s="64">
        <v>0</v>
      </c>
      <c r="P23" s="64">
        <v>0.7</v>
      </c>
      <c r="Q23" s="64">
        <v>6.65</v>
      </c>
      <c r="R23" s="198"/>
      <c r="S23" s="198"/>
      <c r="T23" s="198"/>
      <c r="U23" s="198"/>
    </row>
    <row r="24" spans="1:21" s="12" customFormat="1" x14ac:dyDescent="0.25">
      <c r="A24" s="213" t="s">
        <v>1222</v>
      </c>
      <c r="B24" s="64">
        <v>5.32</v>
      </c>
      <c r="C24" s="64">
        <v>57.32</v>
      </c>
      <c r="D24" s="64">
        <v>36.549999999999997</v>
      </c>
      <c r="E24" s="64">
        <v>0.11</v>
      </c>
      <c r="F24" s="64">
        <v>3.41</v>
      </c>
      <c r="G24" s="64">
        <v>73.86</v>
      </c>
      <c r="H24" s="64">
        <v>31.63</v>
      </c>
      <c r="I24" s="64">
        <v>1.51</v>
      </c>
      <c r="J24" s="64">
        <v>0.7</v>
      </c>
      <c r="K24" s="64">
        <v>353.27</v>
      </c>
      <c r="L24" s="64">
        <v>17.47</v>
      </c>
      <c r="M24" s="64">
        <v>65.569999999999993</v>
      </c>
      <c r="N24" s="64">
        <v>74</v>
      </c>
      <c r="O24" s="64">
        <v>0</v>
      </c>
      <c r="P24" s="64">
        <v>0.69</v>
      </c>
      <c r="Q24" s="64">
        <v>6.65</v>
      </c>
      <c r="R24" s="198"/>
      <c r="S24" s="198"/>
      <c r="T24" s="198"/>
      <c r="U24" s="198"/>
    </row>
    <row r="25" spans="1:21" s="12" customFormat="1" x14ac:dyDescent="0.25">
      <c r="A25" s="213" t="s">
        <v>1223</v>
      </c>
      <c r="B25" s="64">
        <v>5.15</v>
      </c>
      <c r="C25" s="64">
        <v>57.91</v>
      </c>
      <c r="D25" s="64">
        <v>36.729999999999997</v>
      </c>
      <c r="E25" s="64">
        <v>0.2</v>
      </c>
      <c r="F25" s="64">
        <v>3.35</v>
      </c>
      <c r="G25" s="64">
        <v>73.86</v>
      </c>
      <c r="H25" s="64">
        <v>31.63</v>
      </c>
      <c r="I25" s="64">
        <v>1.56</v>
      </c>
      <c r="J25" s="64">
        <v>0.16</v>
      </c>
      <c r="K25" s="64">
        <v>116.75</v>
      </c>
      <c r="L25" s="64">
        <v>17.14</v>
      </c>
      <c r="M25" s="64">
        <v>67.41</v>
      </c>
      <c r="N25" s="64">
        <v>73.7</v>
      </c>
      <c r="O25" s="64">
        <v>0</v>
      </c>
      <c r="P25" s="64">
        <v>0.68</v>
      </c>
      <c r="Q25" s="64">
        <v>6.68</v>
      </c>
      <c r="R25" s="198"/>
      <c r="S25" s="198"/>
      <c r="T25" s="198"/>
      <c r="U25" s="198"/>
    </row>
    <row r="26" spans="1:21" s="12" customFormat="1" x14ac:dyDescent="0.25">
      <c r="A26" s="213" t="s">
        <v>1224</v>
      </c>
      <c r="B26" s="64">
        <v>4.99</v>
      </c>
      <c r="C26" s="64">
        <v>57.52</v>
      </c>
      <c r="D26" s="64">
        <v>36.39</v>
      </c>
      <c r="E26" s="64">
        <v>0.27</v>
      </c>
      <c r="F26" s="64">
        <v>3.48</v>
      </c>
      <c r="G26" s="64">
        <v>73.86</v>
      </c>
      <c r="H26" s="64">
        <v>31.63</v>
      </c>
      <c r="I26" s="64">
        <v>1.51</v>
      </c>
      <c r="J26" s="64">
        <v>0.25</v>
      </c>
      <c r="K26" s="64">
        <v>109.12</v>
      </c>
      <c r="L26" s="64">
        <v>17.23</v>
      </c>
      <c r="M26" s="64">
        <v>67.41</v>
      </c>
      <c r="N26" s="64">
        <v>73.3</v>
      </c>
      <c r="O26" s="64">
        <v>0</v>
      </c>
      <c r="P26" s="64">
        <v>0.68</v>
      </c>
      <c r="Q26" s="64">
        <v>6.69</v>
      </c>
      <c r="R26" s="198"/>
      <c r="S26" s="198"/>
      <c r="T26" s="198"/>
      <c r="U26" s="198"/>
    </row>
    <row r="27" spans="1:21" s="12" customFormat="1" x14ac:dyDescent="0.25">
      <c r="A27" s="213" t="s">
        <v>1225</v>
      </c>
      <c r="B27" s="64">
        <v>4.8099999999999996</v>
      </c>
      <c r="C27" s="64">
        <v>57.32</v>
      </c>
      <c r="D27" s="64">
        <v>36.130000000000003</v>
      </c>
      <c r="E27" s="64">
        <v>0.33</v>
      </c>
      <c r="F27" s="64">
        <v>3.55</v>
      </c>
      <c r="G27" s="64">
        <v>76.55</v>
      </c>
      <c r="H27" s="64">
        <v>32.71</v>
      </c>
      <c r="I27" s="64">
        <v>1.51</v>
      </c>
      <c r="J27" s="64">
        <v>0.11</v>
      </c>
      <c r="K27" s="64">
        <v>334.62</v>
      </c>
      <c r="L27" s="64">
        <v>16.850000000000001</v>
      </c>
      <c r="M27" s="64">
        <v>72.09</v>
      </c>
      <c r="N27" s="64">
        <v>74</v>
      </c>
      <c r="O27" s="64">
        <v>0</v>
      </c>
      <c r="P27" s="64">
        <v>0.68</v>
      </c>
      <c r="Q27" s="64">
        <v>6.7</v>
      </c>
      <c r="R27" s="198"/>
      <c r="S27" s="198"/>
      <c r="T27" s="198"/>
      <c r="U27" s="198"/>
    </row>
    <row r="28" spans="1:21" s="12" customFormat="1" x14ac:dyDescent="0.25">
      <c r="A28" s="213" t="s">
        <v>1226</v>
      </c>
      <c r="B28" s="64">
        <v>5.31</v>
      </c>
      <c r="C28" s="64">
        <v>57.9</v>
      </c>
      <c r="D28" s="64">
        <v>36.86</v>
      </c>
      <c r="E28" s="64">
        <v>0.28999999999999998</v>
      </c>
      <c r="F28" s="64">
        <v>3.61</v>
      </c>
      <c r="G28" s="64">
        <v>77.27</v>
      </c>
      <c r="H28" s="64">
        <v>32.71</v>
      </c>
      <c r="I28" s="64">
        <v>1.47</v>
      </c>
      <c r="J28" s="64">
        <v>0.06</v>
      </c>
      <c r="K28" s="64">
        <v>271.14999999999998</v>
      </c>
      <c r="L28" s="64">
        <v>16.559999999999999</v>
      </c>
      <c r="M28" s="64">
        <v>75.680000000000007</v>
      </c>
      <c r="N28" s="64">
        <v>73.599999999999994</v>
      </c>
      <c r="O28" s="64">
        <v>0</v>
      </c>
      <c r="P28" s="64">
        <v>0.68</v>
      </c>
      <c r="Q28" s="64">
        <v>6.66</v>
      </c>
      <c r="R28" s="198"/>
      <c r="S28" s="198"/>
      <c r="T28" s="198"/>
      <c r="U28" s="198"/>
    </row>
    <row r="29" spans="1:21" s="12" customFormat="1" x14ac:dyDescent="0.25">
      <c r="A29" s="213" t="s">
        <v>1227</v>
      </c>
      <c r="B29" s="64">
        <v>5.56</v>
      </c>
      <c r="C29" s="64">
        <v>58.17</v>
      </c>
      <c r="D29" s="64">
        <v>37.21</v>
      </c>
      <c r="E29" s="64">
        <v>0.27</v>
      </c>
      <c r="F29" s="64">
        <v>3.5</v>
      </c>
      <c r="G29" s="64">
        <v>77.27</v>
      </c>
      <c r="H29" s="64">
        <v>32.71</v>
      </c>
      <c r="I29" s="64">
        <v>1.56</v>
      </c>
      <c r="J29" s="64">
        <v>0.08</v>
      </c>
      <c r="K29" s="64">
        <v>277.06</v>
      </c>
      <c r="L29" s="64">
        <v>16.829999999999998</v>
      </c>
      <c r="M29" s="64">
        <v>73.25</v>
      </c>
      <c r="N29" s="64">
        <v>73.599999999999994</v>
      </c>
      <c r="O29" s="64">
        <v>0</v>
      </c>
      <c r="P29" s="64">
        <v>0.69</v>
      </c>
      <c r="Q29" s="64">
        <v>6.67</v>
      </c>
      <c r="R29" s="198"/>
      <c r="S29" s="198"/>
      <c r="T29" s="198"/>
      <c r="U29" s="198"/>
    </row>
    <row r="30" spans="1:21" s="12" customFormat="1" x14ac:dyDescent="0.25">
      <c r="A30" s="213" t="s">
        <v>1228</v>
      </c>
      <c r="B30" s="64">
        <v>7.04</v>
      </c>
      <c r="C30" s="64">
        <v>58.79</v>
      </c>
      <c r="D30" s="64">
        <v>38.74</v>
      </c>
      <c r="E30" s="64">
        <v>0.27</v>
      </c>
      <c r="F30" s="64">
        <v>3.23</v>
      </c>
      <c r="G30" s="64">
        <v>77.27</v>
      </c>
      <c r="H30" s="64">
        <v>32.71</v>
      </c>
      <c r="I30" s="64">
        <v>1.47</v>
      </c>
      <c r="J30" s="64">
        <v>0.08</v>
      </c>
      <c r="K30" s="64">
        <v>74.62</v>
      </c>
      <c r="L30" s="64">
        <v>16.62</v>
      </c>
      <c r="M30" s="64">
        <v>73.989999999999995</v>
      </c>
      <c r="N30" s="64">
        <v>73.8</v>
      </c>
      <c r="O30" s="64">
        <v>0</v>
      </c>
      <c r="P30" s="64">
        <v>0.71</v>
      </c>
      <c r="Q30" s="64">
        <v>6.72</v>
      </c>
      <c r="R30" s="198"/>
      <c r="S30" s="198"/>
      <c r="T30" s="198"/>
      <c r="U30" s="198"/>
    </row>
    <row r="31" spans="1:21" s="12" customFormat="1" x14ac:dyDescent="0.25">
      <c r="A31" s="213" t="s">
        <v>1229</v>
      </c>
      <c r="B31" s="64">
        <v>8.93</v>
      </c>
      <c r="C31" s="64">
        <v>59.69</v>
      </c>
      <c r="D31" s="64">
        <v>40.75</v>
      </c>
      <c r="E31" s="64">
        <v>0.26</v>
      </c>
      <c r="F31" s="64">
        <v>3.28</v>
      </c>
      <c r="G31" s="64">
        <v>78.5</v>
      </c>
      <c r="H31" s="64">
        <v>32.590000000000003</v>
      </c>
      <c r="I31" s="64">
        <v>1.46</v>
      </c>
      <c r="J31" s="64">
        <v>0</v>
      </c>
      <c r="K31" s="64">
        <v>108.73</v>
      </c>
      <c r="L31" s="64">
        <v>16.309999999999999</v>
      </c>
      <c r="M31" s="64">
        <v>78.22</v>
      </c>
      <c r="N31" s="64">
        <v>73.5</v>
      </c>
      <c r="O31" s="64">
        <v>0</v>
      </c>
      <c r="P31" s="64">
        <v>0.72</v>
      </c>
      <c r="Q31" s="64">
        <v>6.86</v>
      </c>
      <c r="R31" s="198"/>
      <c r="S31" s="198"/>
      <c r="T31" s="198"/>
      <c r="U31" s="198"/>
    </row>
    <row r="32" spans="1:21" s="12" customFormat="1" x14ac:dyDescent="0.25">
      <c r="A32" s="213" t="s">
        <v>1230</v>
      </c>
      <c r="B32" s="64">
        <v>11.63</v>
      </c>
      <c r="C32" s="64">
        <v>60.31</v>
      </c>
      <c r="D32" s="64">
        <v>43.25</v>
      </c>
      <c r="E32" s="64">
        <v>0.24</v>
      </c>
      <c r="F32" s="64">
        <v>3.4</v>
      </c>
      <c r="G32" s="64">
        <v>78.83</v>
      </c>
      <c r="H32" s="64">
        <v>32.590000000000003</v>
      </c>
      <c r="I32" s="64">
        <v>1.52</v>
      </c>
      <c r="J32" s="64">
        <v>0.1</v>
      </c>
      <c r="K32" s="64">
        <v>294.63</v>
      </c>
      <c r="L32" s="64">
        <v>16.2</v>
      </c>
      <c r="M32" s="64">
        <v>79.63</v>
      </c>
      <c r="N32" s="64">
        <v>73.400000000000006</v>
      </c>
      <c r="O32" s="64">
        <v>0</v>
      </c>
      <c r="P32" s="64">
        <v>0.73</v>
      </c>
      <c r="Q32" s="64">
        <v>7</v>
      </c>
      <c r="R32" s="198"/>
      <c r="S32" s="198"/>
      <c r="T32" s="198"/>
      <c r="U32" s="198"/>
    </row>
    <row r="33" spans="1:21" s="12" customFormat="1" x14ac:dyDescent="0.25">
      <c r="A33" s="213" t="s">
        <v>1231</v>
      </c>
      <c r="B33" s="64">
        <v>17.34</v>
      </c>
      <c r="C33" s="64">
        <v>61.02</v>
      </c>
      <c r="D33" s="64">
        <v>48.23</v>
      </c>
      <c r="E33" s="64">
        <v>0.23</v>
      </c>
      <c r="F33" s="64">
        <v>2.83</v>
      </c>
      <c r="G33" s="64">
        <v>78.83</v>
      </c>
      <c r="H33" s="64">
        <v>32.590000000000003</v>
      </c>
      <c r="I33" s="64">
        <v>1.53</v>
      </c>
      <c r="J33" s="64">
        <v>0.15</v>
      </c>
      <c r="K33" s="64">
        <v>352.11</v>
      </c>
      <c r="L33" s="64">
        <v>15.97</v>
      </c>
      <c r="M33" s="64">
        <v>83.38</v>
      </c>
      <c r="N33" s="64">
        <v>73.8</v>
      </c>
      <c r="O33" s="64">
        <v>0</v>
      </c>
      <c r="P33" s="64">
        <v>0.78</v>
      </c>
      <c r="Q33" s="64">
        <v>7.3</v>
      </c>
      <c r="R33" s="198"/>
      <c r="S33" s="198"/>
      <c r="T33" s="198"/>
      <c r="U33" s="198"/>
    </row>
    <row r="34" spans="1:21" s="12" customFormat="1" x14ac:dyDescent="0.25">
      <c r="A34" s="213" t="s">
        <v>1232</v>
      </c>
      <c r="B34" s="64">
        <v>21.71</v>
      </c>
      <c r="C34" s="64">
        <v>61.52</v>
      </c>
      <c r="D34" s="64">
        <v>52.01</v>
      </c>
      <c r="E34" s="64">
        <v>0.28999999999999998</v>
      </c>
      <c r="F34" s="64">
        <v>3.22</v>
      </c>
      <c r="G34" s="64">
        <v>78.83</v>
      </c>
      <c r="H34" s="64">
        <v>32.590000000000003</v>
      </c>
      <c r="I34" s="64">
        <v>1.45</v>
      </c>
      <c r="J34" s="64">
        <v>0.14000000000000001</v>
      </c>
      <c r="K34" s="64">
        <v>50.12</v>
      </c>
      <c r="L34" s="64">
        <v>15.84</v>
      </c>
      <c r="M34" s="64">
        <v>82.79</v>
      </c>
      <c r="N34" s="64">
        <v>75.2</v>
      </c>
      <c r="O34" s="64">
        <v>0</v>
      </c>
      <c r="P34" s="64">
        <v>0.8</v>
      </c>
      <c r="Q34" s="64">
        <v>7.64</v>
      </c>
      <c r="R34" s="198"/>
      <c r="S34" s="198"/>
      <c r="T34" s="198"/>
      <c r="U34" s="198"/>
    </row>
    <row r="35" spans="1:21" s="12" customFormat="1" x14ac:dyDescent="0.25">
      <c r="A35" s="213" t="s">
        <v>1233</v>
      </c>
      <c r="B35" s="64">
        <v>23.54</v>
      </c>
      <c r="C35" s="64">
        <v>62</v>
      </c>
      <c r="D35" s="64">
        <v>53.74</v>
      </c>
      <c r="E35" s="64">
        <v>0.27</v>
      </c>
      <c r="F35" s="64">
        <v>3.14</v>
      </c>
      <c r="G35" s="64">
        <v>87.59</v>
      </c>
      <c r="H35" s="64">
        <v>34.64</v>
      </c>
      <c r="I35" s="64">
        <v>1.46</v>
      </c>
      <c r="J35" s="64">
        <v>0.14000000000000001</v>
      </c>
      <c r="K35" s="64">
        <v>21.39</v>
      </c>
      <c r="L35" s="64">
        <v>16.13</v>
      </c>
      <c r="M35" s="64">
        <v>77.36</v>
      </c>
      <c r="N35" s="64">
        <v>78.8</v>
      </c>
      <c r="O35" s="64">
        <v>0</v>
      </c>
      <c r="P35" s="64">
        <v>0.82</v>
      </c>
      <c r="Q35" s="64">
        <v>7.84</v>
      </c>
      <c r="R35" s="198"/>
      <c r="S35" s="198"/>
      <c r="T35" s="198"/>
      <c r="U35" s="198"/>
    </row>
    <row r="36" spans="1:21" s="12" customFormat="1" x14ac:dyDescent="0.25">
      <c r="A36" s="213" t="s">
        <v>1234</v>
      </c>
      <c r="B36" s="64">
        <v>23.49</v>
      </c>
      <c r="C36" s="64">
        <v>62.6</v>
      </c>
      <c r="D36" s="64">
        <v>54.03</v>
      </c>
      <c r="E36" s="64">
        <v>0.28000000000000003</v>
      </c>
      <c r="F36" s="64">
        <v>2.77</v>
      </c>
      <c r="G36" s="64">
        <v>89.93</v>
      </c>
      <c r="H36" s="64">
        <v>34.64</v>
      </c>
      <c r="I36" s="64">
        <v>1.46</v>
      </c>
      <c r="J36" s="64">
        <v>0.38</v>
      </c>
      <c r="K36" s="64">
        <v>344.78</v>
      </c>
      <c r="L36" s="64">
        <v>16.48</v>
      </c>
      <c r="M36" s="64">
        <v>74.73</v>
      </c>
      <c r="N36" s="64">
        <v>88.8</v>
      </c>
      <c r="O36" s="64">
        <v>0</v>
      </c>
      <c r="P36" s="64">
        <v>0.83</v>
      </c>
      <c r="Q36" s="64">
        <v>7.97</v>
      </c>
      <c r="R36" s="198"/>
      <c r="S36" s="198"/>
      <c r="T36" s="198"/>
      <c r="U36" s="198"/>
    </row>
    <row r="37" spans="1:21" s="12" customFormat="1" x14ac:dyDescent="0.25">
      <c r="A37" s="213" t="s">
        <v>1235</v>
      </c>
      <c r="B37" s="64">
        <v>23.2</v>
      </c>
      <c r="C37" s="64">
        <v>63.29</v>
      </c>
      <c r="D37" s="64">
        <v>54.18</v>
      </c>
      <c r="E37" s="64">
        <v>0.34</v>
      </c>
      <c r="F37" s="64">
        <v>2.91</v>
      </c>
      <c r="G37" s="64">
        <v>89.93</v>
      </c>
      <c r="H37" s="64">
        <v>34.64</v>
      </c>
      <c r="I37" s="64">
        <v>1.58</v>
      </c>
      <c r="J37" s="64">
        <v>0.24</v>
      </c>
      <c r="K37" s="64">
        <v>350.43</v>
      </c>
      <c r="L37" s="64">
        <v>16.61</v>
      </c>
      <c r="M37" s="64">
        <v>74.959999999999994</v>
      </c>
      <c r="N37" s="64">
        <v>100.1</v>
      </c>
      <c r="O37" s="64">
        <v>0</v>
      </c>
      <c r="P37" s="64">
        <v>0.76</v>
      </c>
      <c r="Q37" s="64">
        <v>8.0299999999999994</v>
      </c>
      <c r="R37" s="198"/>
      <c r="S37" s="198"/>
      <c r="T37" s="198"/>
      <c r="U37" s="198"/>
    </row>
    <row r="38" spans="1:21" s="12" customFormat="1" x14ac:dyDescent="0.25">
      <c r="A38" s="213" t="s">
        <v>1236</v>
      </c>
      <c r="B38" s="64">
        <v>24.11</v>
      </c>
      <c r="C38" s="64">
        <v>63.86</v>
      </c>
      <c r="D38" s="64">
        <v>55.22</v>
      </c>
      <c r="E38" s="64">
        <v>0.3</v>
      </c>
      <c r="F38" s="64">
        <v>2.98</v>
      </c>
      <c r="G38" s="64">
        <v>89.93</v>
      </c>
      <c r="H38" s="64">
        <v>34.64</v>
      </c>
      <c r="I38" s="64">
        <v>1.5</v>
      </c>
      <c r="J38" s="64">
        <v>0.4</v>
      </c>
      <c r="K38" s="64">
        <v>5.07</v>
      </c>
      <c r="L38" s="64">
        <v>17</v>
      </c>
      <c r="M38" s="64">
        <v>72.78</v>
      </c>
      <c r="N38" s="64">
        <v>149.1</v>
      </c>
      <c r="O38" s="64">
        <v>0</v>
      </c>
      <c r="P38" s="64">
        <v>0.83</v>
      </c>
      <c r="Q38" s="64">
        <v>8.07</v>
      </c>
      <c r="R38" s="198"/>
      <c r="S38" s="198"/>
      <c r="T38" s="198"/>
      <c r="U38" s="198"/>
    </row>
    <row r="39" spans="1:21" s="12" customFormat="1" x14ac:dyDescent="0.25">
      <c r="A39" s="213" t="s">
        <v>1237</v>
      </c>
      <c r="B39" s="64">
        <v>24.15</v>
      </c>
      <c r="C39" s="64">
        <v>64.69</v>
      </c>
      <c r="D39" s="64">
        <v>55.71</v>
      </c>
      <c r="E39" s="64">
        <v>0.31</v>
      </c>
      <c r="F39" s="64">
        <v>2.9</v>
      </c>
      <c r="G39" s="64">
        <v>93.89</v>
      </c>
      <c r="H39" s="64">
        <v>40.369999999999997</v>
      </c>
      <c r="I39" s="64">
        <v>1.5</v>
      </c>
      <c r="J39" s="64">
        <v>0.38</v>
      </c>
      <c r="K39" s="64">
        <v>352.72</v>
      </c>
      <c r="L39" s="64">
        <v>18.09</v>
      </c>
      <c r="M39" s="64">
        <v>66.03</v>
      </c>
      <c r="N39" s="64">
        <v>199</v>
      </c>
      <c r="O39" s="64">
        <v>0</v>
      </c>
      <c r="P39" s="64">
        <v>0.84</v>
      </c>
      <c r="Q39" s="64">
        <v>8.1999999999999993</v>
      </c>
      <c r="R39" s="198"/>
      <c r="S39" s="198"/>
      <c r="T39" s="198"/>
      <c r="U39" s="198"/>
    </row>
    <row r="40" spans="1:21" s="12" customFormat="1" x14ac:dyDescent="0.25">
      <c r="A40" s="213" t="s">
        <v>1238</v>
      </c>
      <c r="B40" s="64">
        <v>23.54</v>
      </c>
      <c r="C40" s="64">
        <v>65.38</v>
      </c>
      <c r="D40" s="64">
        <v>55.61</v>
      </c>
      <c r="E40" s="64">
        <v>0.17</v>
      </c>
      <c r="F40" s="64">
        <v>2.98</v>
      </c>
      <c r="G40" s="64">
        <v>94.95</v>
      </c>
      <c r="H40" s="64">
        <v>42.63</v>
      </c>
      <c r="I40" s="64">
        <v>1.46</v>
      </c>
      <c r="J40" s="64">
        <v>0.3</v>
      </c>
      <c r="K40" s="64">
        <v>72.34</v>
      </c>
      <c r="L40" s="64">
        <v>18.739999999999998</v>
      </c>
      <c r="M40" s="64">
        <v>63.68</v>
      </c>
      <c r="N40" s="64">
        <v>245</v>
      </c>
      <c r="O40" s="64">
        <v>0</v>
      </c>
      <c r="P40" s="64">
        <v>0.86</v>
      </c>
      <c r="Q40" s="64">
        <v>8.15</v>
      </c>
      <c r="R40" s="198"/>
      <c r="S40" s="198"/>
      <c r="T40" s="198"/>
      <c r="U40" s="198"/>
    </row>
    <row r="41" spans="1:21" s="12" customFormat="1" x14ac:dyDescent="0.25">
      <c r="A41" s="213" t="s">
        <v>1239</v>
      </c>
      <c r="B41" s="64">
        <v>23.4</v>
      </c>
      <c r="C41" s="64">
        <v>66.03</v>
      </c>
      <c r="D41" s="64">
        <v>55.85</v>
      </c>
      <c r="E41" s="64">
        <v>0.23</v>
      </c>
      <c r="F41" s="64">
        <v>3.08</v>
      </c>
      <c r="G41" s="64">
        <v>94.95</v>
      </c>
      <c r="H41" s="64">
        <v>42.63</v>
      </c>
      <c r="I41" s="64">
        <v>1.5</v>
      </c>
      <c r="J41" s="64">
        <v>0.24</v>
      </c>
      <c r="K41" s="64">
        <v>359.29</v>
      </c>
      <c r="L41" s="64">
        <v>19.82</v>
      </c>
      <c r="M41" s="64">
        <v>59.68</v>
      </c>
      <c r="N41" s="64">
        <v>315.3</v>
      </c>
      <c r="O41" s="64">
        <v>0</v>
      </c>
      <c r="P41" s="64">
        <v>0.88</v>
      </c>
      <c r="Q41" s="64">
        <v>8.16</v>
      </c>
      <c r="R41" s="198"/>
      <c r="S41" s="198"/>
      <c r="T41" s="198"/>
      <c r="U41" s="198"/>
    </row>
    <row r="42" spans="1:21" s="12" customFormat="1" x14ac:dyDescent="0.25">
      <c r="A42" s="213" t="s">
        <v>1240</v>
      </c>
      <c r="B42" s="64">
        <v>22.72</v>
      </c>
      <c r="C42" s="64">
        <v>66.25</v>
      </c>
      <c r="D42" s="64">
        <v>55.43</v>
      </c>
      <c r="E42" s="64">
        <v>0.28000000000000003</v>
      </c>
      <c r="F42" s="64">
        <v>3.22</v>
      </c>
      <c r="G42" s="64">
        <v>94.95</v>
      </c>
      <c r="H42" s="64">
        <v>42.63</v>
      </c>
      <c r="I42" s="64">
        <v>1.52</v>
      </c>
      <c r="J42" s="64">
        <v>0.8</v>
      </c>
      <c r="K42" s="64">
        <v>100.32</v>
      </c>
      <c r="L42" s="64">
        <v>19.89</v>
      </c>
      <c r="M42" s="64">
        <v>60.1</v>
      </c>
      <c r="N42" s="64">
        <v>363.7</v>
      </c>
      <c r="O42" s="64">
        <v>0</v>
      </c>
      <c r="P42" s="64">
        <v>0.88</v>
      </c>
      <c r="Q42" s="64">
        <v>8.16</v>
      </c>
      <c r="R42" s="198"/>
      <c r="S42" s="198"/>
      <c r="T42" s="198"/>
      <c r="U42" s="198"/>
    </row>
    <row r="43" spans="1:21" s="12" customFormat="1" x14ac:dyDescent="0.25">
      <c r="A43" s="213" t="s">
        <v>1241</v>
      </c>
      <c r="B43" s="64">
        <v>21.59</v>
      </c>
      <c r="C43" s="64">
        <v>65.95</v>
      </c>
      <c r="D43" s="64">
        <v>54.36</v>
      </c>
      <c r="E43" s="64">
        <v>0.28999999999999998</v>
      </c>
      <c r="F43" s="64">
        <v>3.07</v>
      </c>
      <c r="G43" s="64">
        <v>98.88</v>
      </c>
      <c r="H43" s="64">
        <v>41.41</v>
      </c>
      <c r="I43" s="64">
        <v>1.51</v>
      </c>
      <c r="J43" s="64">
        <v>0.26</v>
      </c>
      <c r="K43" s="64">
        <v>58.41</v>
      </c>
      <c r="L43" s="64">
        <v>20.76</v>
      </c>
      <c r="M43" s="64">
        <v>57.8</v>
      </c>
      <c r="N43" s="64">
        <v>353.7</v>
      </c>
      <c r="O43" s="64">
        <v>0</v>
      </c>
      <c r="P43" s="64">
        <v>0.88</v>
      </c>
      <c r="Q43" s="64">
        <v>8.14</v>
      </c>
      <c r="R43" s="198"/>
      <c r="S43" s="198"/>
      <c r="T43" s="198"/>
      <c r="U43" s="198"/>
    </row>
    <row r="44" spans="1:21" s="12" customFormat="1" x14ac:dyDescent="0.25">
      <c r="A44" s="213" t="s">
        <v>1242</v>
      </c>
      <c r="B44" s="64">
        <v>20.88</v>
      </c>
      <c r="C44" s="64">
        <v>66.13</v>
      </c>
      <c r="D44" s="64">
        <v>53.89</v>
      </c>
      <c r="E44" s="64">
        <v>0.3</v>
      </c>
      <c r="F44" s="64">
        <v>3.19</v>
      </c>
      <c r="G44" s="64">
        <v>99.93</v>
      </c>
      <c r="H44" s="64">
        <v>41.41</v>
      </c>
      <c r="I44" s="64">
        <v>1.5</v>
      </c>
      <c r="J44" s="64">
        <v>0.88</v>
      </c>
      <c r="K44" s="64">
        <v>110.56</v>
      </c>
      <c r="L44" s="64">
        <v>21.47</v>
      </c>
      <c r="M44" s="64">
        <v>55.97</v>
      </c>
      <c r="N44" s="64">
        <v>447.4</v>
      </c>
      <c r="O44" s="64">
        <v>0</v>
      </c>
      <c r="P44" s="64">
        <v>0.89</v>
      </c>
      <c r="Q44" s="64">
        <v>8.14</v>
      </c>
      <c r="R44" s="198"/>
      <c r="S44" s="198"/>
      <c r="T44" s="198"/>
      <c r="U44" s="198"/>
    </row>
    <row r="45" spans="1:21" s="12" customFormat="1" x14ac:dyDescent="0.25">
      <c r="A45" s="213" t="s">
        <v>1243</v>
      </c>
      <c r="B45" s="64">
        <v>19.579999999999998</v>
      </c>
      <c r="C45" s="64">
        <v>66.05</v>
      </c>
      <c r="D45" s="64">
        <v>52.8</v>
      </c>
      <c r="E45" s="64">
        <v>0.25</v>
      </c>
      <c r="F45" s="64">
        <v>3.15</v>
      </c>
      <c r="G45" s="64">
        <v>99.93</v>
      </c>
      <c r="H45" s="64">
        <v>41.41</v>
      </c>
      <c r="I45" s="64">
        <v>1.44</v>
      </c>
      <c r="J45" s="64">
        <v>1.06</v>
      </c>
      <c r="K45" s="64">
        <v>111.68</v>
      </c>
      <c r="L45" s="64">
        <v>21.06</v>
      </c>
      <c r="M45" s="64">
        <v>57.54</v>
      </c>
      <c r="N45" s="64">
        <v>491.3</v>
      </c>
      <c r="O45" s="64">
        <v>0</v>
      </c>
      <c r="P45" s="64">
        <v>0.88</v>
      </c>
      <c r="Q45" s="64">
        <v>8.08</v>
      </c>
      <c r="R45" s="198"/>
      <c r="S45" s="198"/>
      <c r="T45" s="198"/>
      <c r="U45" s="198"/>
    </row>
    <row r="46" spans="1:21" s="12" customFormat="1" x14ac:dyDescent="0.25">
      <c r="A46" s="213" t="s">
        <v>1244</v>
      </c>
      <c r="B46" s="64">
        <v>17.59</v>
      </c>
      <c r="C46" s="64">
        <v>65.900000000000006</v>
      </c>
      <c r="D46" s="64">
        <v>51.12</v>
      </c>
      <c r="E46" s="64">
        <v>0.3</v>
      </c>
      <c r="F46" s="64">
        <v>3.28</v>
      </c>
      <c r="G46" s="64">
        <v>99.93</v>
      </c>
      <c r="H46" s="64">
        <v>41.41</v>
      </c>
      <c r="I46" s="64">
        <v>1.43</v>
      </c>
      <c r="J46" s="64">
        <v>0.63</v>
      </c>
      <c r="K46" s="64">
        <v>115.45</v>
      </c>
      <c r="L46" s="64">
        <v>22.12</v>
      </c>
      <c r="M46" s="64">
        <v>53.54</v>
      </c>
      <c r="N46" s="64">
        <v>524.5</v>
      </c>
      <c r="O46" s="64">
        <v>0</v>
      </c>
      <c r="P46" s="64">
        <v>0.87</v>
      </c>
      <c r="Q46" s="64">
        <v>8.02</v>
      </c>
      <c r="R46" s="198"/>
      <c r="S46" s="198"/>
      <c r="T46" s="198"/>
      <c r="U46" s="198"/>
    </row>
    <row r="47" spans="1:21" s="12" customFormat="1" x14ac:dyDescent="0.25">
      <c r="A47" s="213" t="s">
        <v>1245</v>
      </c>
      <c r="B47" s="64">
        <v>15.87</v>
      </c>
      <c r="C47" s="64">
        <v>65.77</v>
      </c>
      <c r="D47" s="64">
        <v>49.67</v>
      </c>
      <c r="E47" s="64">
        <v>0.3</v>
      </c>
      <c r="F47" s="64">
        <v>3.24</v>
      </c>
      <c r="G47" s="64">
        <v>97.73</v>
      </c>
      <c r="H47" s="64">
        <v>40.270000000000003</v>
      </c>
      <c r="I47" s="64">
        <v>1.55</v>
      </c>
      <c r="J47" s="64">
        <v>0.31</v>
      </c>
      <c r="K47" s="64">
        <v>83.93</v>
      </c>
      <c r="L47" s="64">
        <v>23.48</v>
      </c>
      <c r="M47" s="64">
        <v>50.67</v>
      </c>
      <c r="N47" s="64">
        <v>560.29999999999995</v>
      </c>
      <c r="O47" s="64">
        <v>0</v>
      </c>
      <c r="P47" s="64">
        <v>0.86</v>
      </c>
      <c r="Q47" s="64">
        <v>7.91</v>
      </c>
      <c r="R47" s="198"/>
      <c r="S47" s="198"/>
      <c r="T47" s="198"/>
      <c r="U47" s="198"/>
    </row>
    <row r="48" spans="1:21" s="12" customFormat="1" x14ac:dyDescent="0.25">
      <c r="A48" s="213" t="s">
        <v>1246</v>
      </c>
      <c r="B48" s="64">
        <v>14.48</v>
      </c>
      <c r="C48" s="64">
        <v>65.900000000000006</v>
      </c>
      <c r="D48" s="64">
        <v>48.63</v>
      </c>
      <c r="E48" s="64">
        <v>0.27</v>
      </c>
      <c r="F48" s="64">
        <v>3.15</v>
      </c>
      <c r="G48" s="64">
        <v>97.14</v>
      </c>
      <c r="H48" s="64">
        <v>40.270000000000003</v>
      </c>
      <c r="I48" s="64">
        <v>1.51</v>
      </c>
      <c r="J48" s="64">
        <v>0.38</v>
      </c>
      <c r="K48" s="64">
        <v>9.06</v>
      </c>
      <c r="L48" s="64">
        <v>24.69</v>
      </c>
      <c r="M48" s="64">
        <v>47.21</v>
      </c>
      <c r="N48" s="64">
        <v>623.5</v>
      </c>
      <c r="O48" s="64">
        <v>0</v>
      </c>
      <c r="P48" s="64">
        <v>0.86</v>
      </c>
      <c r="Q48" s="64">
        <v>7.79</v>
      </c>
      <c r="R48" s="198"/>
      <c r="S48" s="198"/>
      <c r="T48" s="198"/>
      <c r="U48" s="198"/>
    </row>
    <row r="49" spans="1:21" s="12" customFormat="1" x14ac:dyDescent="0.25">
      <c r="A49" s="213" t="s">
        <v>1247</v>
      </c>
      <c r="B49" s="64">
        <v>13.47</v>
      </c>
      <c r="C49" s="64">
        <v>66.78</v>
      </c>
      <c r="D49" s="64">
        <v>48.31</v>
      </c>
      <c r="E49" s="64">
        <v>0.26</v>
      </c>
      <c r="F49" s="64">
        <v>3.05</v>
      </c>
      <c r="G49" s="64">
        <v>97.14</v>
      </c>
      <c r="H49" s="64">
        <v>40.270000000000003</v>
      </c>
      <c r="I49" s="64">
        <v>1.51</v>
      </c>
      <c r="J49" s="64">
        <v>0.31</v>
      </c>
      <c r="K49" s="64">
        <v>11.9</v>
      </c>
      <c r="L49" s="64">
        <v>27.17</v>
      </c>
      <c r="M49" s="64">
        <v>40.64</v>
      </c>
      <c r="N49" s="64">
        <v>635.29999999999995</v>
      </c>
      <c r="O49" s="64">
        <v>0</v>
      </c>
      <c r="P49" s="64">
        <v>0.86</v>
      </c>
      <c r="Q49" s="64">
        <v>7.78</v>
      </c>
      <c r="R49" s="198"/>
      <c r="S49" s="198"/>
      <c r="T49" s="198"/>
      <c r="U49" s="198"/>
    </row>
    <row r="50" spans="1:21" s="12" customFormat="1" x14ac:dyDescent="0.25">
      <c r="A50" s="213" t="s">
        <v>1248</v>
      </c>
      <c r="B50" s="64">
        <v>12.17</v>
      </c>
      <c r="C50" s="64">
        <v>67.45</v>
      </c>
      <c r="D50" s="64">
        <v>47.63</v>
      </c>
      <c r="E50" s="64">
        <v>0.31</v>
      </c>
      <c r="F50" s="64">
        <v>3.38</v>
      </c>
      <c r="G50" s="64">
        <v>97.14</v>
      </c>
      <c r="H50" s="64">
        <v>40.270000000000003</v>
      </c>
      <c r="I50" s="64">
        <v>1.47</v>
      </c>
      <c r="J50" s="64">
        <v>0.26</v>
      </c>
      <c r="K50" s="64">
        <v>45.23</v>
      </c>
      <c r="L50" s="64">
        <v>26.66</v>
      </c>
      <c r="M50" s="64">
        <v>41.77</v>
      </c>
      <c r="N50" s="64">
        <v>642.29999999999995</v>
      </c>
      <c r="O50" s="64">
        <v>0</v>
      </c>
      <c r="P50" s="64">
        <v>0.86</v>
      </c>
      <c r="Q50" s="64">
        <v>7.7</v>
      </c>
      <c r="R50" s="198"/>
      <c r="S50" s="198"/>
      <c r="T50" s="198"/>
      <c r="U50" s="198"/>
    </row>
    <row r="51" spans="1:21" s="12" customFormat="1" x14ac:dyDescent="0.25">
      <c r="A51" s="213" t="s">
        <v>1249</v>
      </c>
      <c r="B51" s="64">
        <v>10.88</v>
      </c>
      <c r="C51" s="64">
        <v>68.099999999999994</v>
      </c>
      <c r="D51" s="64">
        <v>46.95</v>
      </c>
      <c r="E51" s="64">
        <v>0.27</v>
      </c>
      <c r="F51" s="64">
        <v>3.55</v>
      </c>
      <c r="G51" s="64">
        <v>90.87</v>
      </c>
      <c r="H51" s="64">
        <v>38.299999999999997</v>
      </c>
      <c r="I51" s="64">
        <v>1.48</v>
      </c>
      <c r="J51" s="64">
        <v>0.72</v>
      </c>
      <c r="K51" s="64">
        <v>327.67</v>
      </c>
      <c r="L51" s="64">
        <v>29.76</v>
      </c>
      <c r="M51" s="64">
        <v>35.520000000000003</v>
      </c>
      <c r="N51" s="64">
        <v>660.9</v>
      </c>
      <c r="O51" s="64">
        <v>0</v>
      </c>
      <c r="P51" s="64">
        <v>0.86</v>
      </c>
      <c r="Q51" s="64">
        <v>7.62</v>
      </c>
      <c r="R51" s="198"/>
      <c r="S51" s="198"/>
      <c r="T51" s="198"/>
      <c r="U51" s="198"/>
    </row>
    <row r="52" spans="1:21" s="12" customFormat="1" x14ac:dyDescent="0.25">
      <c r="A52" s="213" t="s">
        <v>1250</v>
      </c>
      <c r="B52" s="64">
        <v>9.74</v>
      </c>
      <c r="C52" s="64">
        <v>69.27</v>
      </c>
      <c r="D52" s="64">
        <v>46.68</v>
      </c>
      <c r="E52" s="64">
        <v>0.26</v>
      </c>
      <c r="F52" s="64">
        <v>3.64</v>
      </c>
      <c r="G52" s="64">
        <v>89.2</v>
      </c>
      <c r="H52" s="64">
        <v>38.299999999999997</v>
      </c>
      <c r="I52" s="64">
        <v>1.45</v>
      </c>
      <c r="J52" s="64">
        <v>0.62</v>
      </c>
      <c r="K52" s="64">
        <v>345.28</v>
      </c>
      <c r="L52" s="64">
        <v>30.51</v>
      </c>
      <c r="M52" s="64">
        <v>34.03</v>
      </c>
      <c r="N52" s="64">
        <v>693.2</v>
      </c>
      <c r="O52" s="64">
        <v>0</v>
      </c>
      <c r="P52" s="64">
        <v>0.86</v>
      </c>
      <c r="Q52" s="64">
        <v>7.58</v>
      </c>
      <c r="R52" s="198"/>
      <c r="S52" s="198"/>
      <c r="T52" s="198"/>
      <c r="U52" s="198"/>
    </row>
    <row r="53" spans="1:21" s="12" customFormat="1" x14ac:dyDescent="0.25">
      <c r="A53" s="213" t="s">
        <v>1251</v>
      </c>
      <c r="B53" s="64">
        <v>8.74</v>
      </c>
      <c r="C53" s="64">
        <v>70.260000000000005</v>
      </c>
      <c r="D53" s="64">
        <v>46.43</v>
      </c>
      <c r="E53" s="64">
        <v>0.31</v>
      </c>
      <c r="F53" s="64">
        <v>3.53</v>
      </c>
      <c r="G53" s="64">
        <v>89.2</v>
      </c>
      <c r="H53" s="64">
        <v>38.299999999999997</v>
      </c>
      <c r="I53" s="64">
        <v>1.52</v>
      </c>
      <c r="J53" s="64">
        <v>0.41</v>
      </c>
      <c r="K53" s="64">
        <v>111.46</v>
      </c>
      <c r="L53" s="64">
        <v>28.43</v>
      </c>
      <c r="M53" s="64">
        <v>38.65</v>
      </c>
      <c r="N53" s="64">
        <v>705.8</v>
      </c>
      <c r="O53" s="64">
        <v>0</v>
      </c>
      <c r="P53" s="64">
        <v>0.87</v>
      </c>
      <c r="Q53" s="64">
        <v>7.53</v>
      </c>
      <c r="R53" s="198"/>
      <c r="S53" s="198"/>
      <c r="T53" s="198"/>
      <c r="U53" s="198"/>
    </row>
    <row r="54" spans="1:21" s="12" customFormat="1" x14ac:dyDescent="0.25">
      <c r="A54" s="213" t="s">
        <v>1252</v>
      </c>
      <c r="B54" s="64">
        <v>7.43</v>
      </c>
      <c r="C54" s="64">
        <v>70.08</v>
      </c>
      <c r="D54" s="64">
        <v>45.28</v>
      </c>
      <c r="E54" s="64">
        <v>0.25</v>
      </c>
      <c r="F54" s="64">
        <v>3.74</v>
      </c>
      <c r="G54" s="64">
        <v>89.2</v>
      </c>
      <c r="H54" s="64">
        <v>38.299999999999997</v>
      </c>
      <c r="I54" s="64">
        <v>1.51</v>
      </c>
      <c r="J54" s="64">
        <v>0.48</v>
      </c>
      <c r="K54" s="64">
        <v>106.23</v>
      </c>
      <c r="L54" s="64">
        <v>27.23</v>
      </c>
      <c r="M54" s="64">
        <v>41.45</v>
      </c>
      <c r="N54" s="64">
        <v>717.7</v>
      </c>
      <c r="O54" s="64">
        <v>0</v>
      </c>
      <c r="P54" s="64">
        <v>0.85</v>
      </c>
      <c r="Q54" s="64">
        <v>7.43</v>
      </c>
      <c r="R54" s="198"/>
      <c r="S54" s="198"/>
      <c r="T54" s="198"/>
      <c r="U54" s="198"/>
    </row>
    <row r="55" spans="1:21" s="12" customFormat="1" x14ac:dyDescent="0.25">
      <c r="A55" s="213" t="s">
        <v>1253</v>
      </c>
      <c r="B55" s="64">
        <v>5.84</v>
      </c>
      <c r="C55" s="64">
        <v>69.55</v>
      </c>
      <c r="D55" s="64">
        <v>43.71</v>
      </c>
      <c r="E55" s="64">
        <v>0.28000000000000003</v>
      </c>
      <c r="F55" s="64">
        <v>4.1399999999999997</v>
      </c>
      <c r="G55" s="64">
        <v>85.39</v>
      </c>
      <c r="H55" s="64">
        <v>35.340000000000003</v>
      </c>
      <c r="I55" s="64">
        <v>1.47</v>
      </c>
      <c r="J55" s="64">
        <v>0.23</v>
      </c>
      <c r="K55" s="64">
        <v>121.58</v>
      </c>
      <c r="L55" s="64">
        <v>27.4</v>
      </c>
      <c r="M55" s="64">
        <v>41.3</v>
      </c>
      <c r="N55" s="64">
        <v>722.7</v>
      </c>
      <c r="O55" s="64">
        <v>0</v>
      </c>
      <c r="P55" s="64">
        <v>0.83</v>
      </c>
      <c r="Q55" s="64">
        <v>7.41</v>
      </c>
      <c r="R55" s="198"/>
      <c r="S55" s="198"/>
      <c r="T55" s="198"/>
      <c r="U55" s="198"/>
    </row>
    <row r="56" spans="1:21" s="12" customFormat="1" x14ac:dyDescent="0.25">
      <c r="A56" s="213" t="s">
        <v>1254</v>
      </c>
      <c r="B56" s="64">
        <v>4.29</v>
      </c>
      <c r="C56" s="64">
        <v>69.03</v>
      </c>
      <c r="D56" s="64">
        <v>42.18</v>
      </c>
      <c r="E56" s="64">
        <v>7.0000000000000007E-2</v>
      </c>
      <c r="F56" s="64">
        <v>4.8899999999999997</v>
      </c>
      <c r="G56" s="64">
        <v>84.37</v>
      </c>
      <c r="H56" s="64">
        <v>35.340000000000003</v>
      </c>
      <c r="I56" s="64">
        <v>1.55</v>
      </c>
      <c r="J56" s="64">
        <v>0.68</v>
      </c>
      <c r="K56" s="64">
        <v>138.47</v>
      </c>
      <c r="L56" s="64">
        <v>27.24</v>
      </c>
      <c r="M56" s="64">
        <v>41.45</v>
      </c>
      <c r="N56" s="64">
        <v>728.6</v>
      </c>
      <c r="O56" s="64">
        <v>0</v>
      </c>
      <c r="P56" s="64">
        <v>0.8</v>
      </c>
      <c r="Q56" s="64">
        <v>7.29</v>
      </c>
      <c r="R56" s="198"/>
      <c r="S56" s="198"/>
      <c r="T56" s="198"/>
      <c r="U56" s="198"/>
    </row>
    <row r="57" spans="1:21" s="12" customFormat="1" x14ac:dyDescent="0.25">
      <c r="A57" s="213" t="s">
        <v>1255</v>
      </c>
      <c r="B57" s="64">
        <v>3.13</v>
      </c>
      <c r="C57" s="64">
        <v>67.3</v>
      </c>
      <c r="D57" s="64">
        <v>40.299999999999997</v>
      </c>
      <c r="E57" s="64">
        <v>0.27</v>
      </c>
      <c r="F57" s="64">
        <v>4.9800000000000004</v>
      </c>
      <c r="G57" s="64">
        <v>84.37</v>
      </c>
      <c r="H57" s="64">
        <v>35.340000000000003</v>
      </c>
      <c r="I57" s="64">
        <v>1.49</v>
      </c>
      <c r="J57" s="64">
        <v>0.28999999999999998</v>
      </c>
      <c r="K57" s="64">
        <v>95.06</v>
      </c>
      <c r="L57" s="64">
        <v>27.19</v>
      </c>
      <c r="M57" s="64">
        <v>42.27</v>
      </c>
      <c r="N57" s="64">
        <v>642.79999999999995</v>
      </c>
      <c r="O57" s="64">
        <v>0</v>
      </c>
      <c r="P57" s="64">
        <v>0.77</v>
      </c>
      <c r="Q57" s="64">
        <v>7.18</v>
      </c>
      <c r="R57" s="198"/>
      <c r="S57" s="198"/>
      <c r="T57" s="198"/>
      <c r="U57" s="198"/>
    </row>
    <row r="58" spans="1:21" s="12" customFormat="1" x14ac:dyDescent="0.25">
      <c r="A58" s="213" t="s">
        <v>1256</v>
      </c>
      <c r="B58" s="64">
        <v>2.5099999999999998</v>
      </c>
      <c r="C58" s="64">
        <v>65.06</v>
      </c>
      <c r="D58" s="64">
        <v>38.56</v>
      </c>
      <c r="E58" s="64">
        <v>0.28000000000000003</v>
      </c>
      <c r="F58" s="64">
        <v>4.92</v>
      </c>
      <c r="G58" s="64">
        <v>84.37</v>
      </c>
      <c r="H58" s="64">
        <v>35.340000000000003</v>
      </c>
      <c r="I58" s="64">
        <v>1.47</v>
      </c>
      <c r="J58" s="64">
        <v>0.46</v>
      </c>
      <c r="K58" s="64">
        <v>94.48</v>
      </c>
      <c r="L58" s="64">
        <v>27.81</v>
      </c>
      <c r="M58" s="64">
        <v>41.24</v>
      </c>
      <c r="N58" s="64">
        <v>632.79999999999995</v>
      </c>
      <c r="O58" s="64">
        <v>0</v>
      </c>
      <c r="P58" s="64">
        <v>0.74</v>
      </c>
      <c r="Q58" s="64">
        <v>7.09</v>
      </c>
      <c r="R58" s="198"/>
      <c r="S58" s="198"/>
      <c r="T58" s="198"/>
      <c r="U58" s="198"/>
    </row>
    <row r="59" spans="1:21" s="12" customFormat="1" x14ac:dyDescent="0.25">
      <c r="A59" s="213" t="s">
        <v>1257</v>
      </c>
      <c r="B59" s="64">
        <v>2.12</v>
      </c>
      <c r="C59" s="64">
        <v>62.59</v>
      </c>
      <c r="D59" s="64">
        <v>36.89</v>
      </c>
      <c r="E59" s="64">
        <v>0.28999999999999998</v>
      </c>
      <c r="F59" s="64">
        <v>5.1100000000000003</v>
      </c>
      <c r="G59" s="64">
        <v>75.33</v>
      </c>
      <c r="H59" s="64">
        <v>28.18</v>
      </c>
      <c r="I59" s="64">
        <v>1.53</v>
      </c>
      <c r="J59" s="64">
        <v>0.13</v>
      </c>
      <c r="K59" s="64">
        <v>138.93</v>
      </c>
      <c r="L59" s="64">
        <v>28.36</v>
      </c>
      <c r="M59" s="64">
        <v>40.08</v>
      </c>
      <c r="N59" s="64">
        <v>627.5</v>
      </c>
      <c r="O59" s="64">
        <v>0</v>
      </c>
      <c r="P59" s="64">
        <v>0.7</v>
      </c>
      <c r="Q59" s="64">
        <v>6.98</v>
      </c>
      <c r="R59" s="198"/>
      <c r="S59" s="198"/>
      <c r="T59" s="198"/>
      <c r="U59" s="198"/>
    </row>
    <row r="60" spans="1:21" s="12" customFormat="1" x14ac:dyDescent="0.25">
      <c r="A60" s="213" t="s">
        <v>1258</v>
      </c>
      <c r="B60" s="64">
        <v>1.86</v>
      </c>
      <c r="C60" s="64">
        <v>60.22</v>
      </c>
      <c r="D60" s="64">
        <v>35.369999999999997</v>
      </c>
      <c r="E60" s="64">
        <v>0.22</v>
      </c>
      <c r="F60" s="64">
        <v>5.58</v>
      </c>
      <c r="G60" s="64">
        <v>72.91</v>
      </c>
      <c r="H60" s="64">
        <v>28.18</v>
      </c>
      <c r="I60" s="64">
        <v>1.51</v>
      </c>
      <c r="J60" s="64">
        <v>0.18</v>
      </c>
      <c r="K60" s="64">
        <v>23.14</v>
      </c>
      <c r="L60" s="64">
        <v>28.95</v>
      </c>
      <c r="M60" s="64">
        <v>39.14</v>
      </c>
      <c r="N60" s="64">
        <v>613</v>
      </c>
      <c r="O60" s="64">
        <v>0</v>
      </c>
      <c r="P60" s="64">
        <v>0.68</v>
      </c>
      <c r="Q60" s="64">
        <v>6.78</v>
      </c>
      <c r="R60" s="198"/>
      <c r="S60" s="198"/>
      <c r="T60" s="198"/>
      <c r="U60" s="198"/>
    </row>
    <row r="61" spans="1:21" s="12" customFormat="1" x14ac:dyDescent="0.25">
      <c r="A61" s="213" t="s">
        <v>1259</v>
      </c>
      <c r="B61" s="64">
        <v>2</v>
      </c>
      <c r="C61" s="64">
        <v>58.81</v>
      </c>
      <c r="D61" s="64">
        <v>34.71</v>
      </c>
      <c r="E61" s="64">
        <v>0.26</v>
      </c>
      <c r="F61" s="64">
        <v>5.38</v>
      </c>
      <c r="G61" s="64">
        <v>72.91</v>
      </c>
      <c r="H61" s="64">
        <v>28.18</v>
      </c>
      <c r="I61" s="64">
        <v>1.46</v>
      </c>
      <c r="J61" s="64">
        <v>0.56000000000000005</v>
      </c>
      <c r="K61" s="64">
        <v>331.92</v>
      </c>
      <c r="L61" s="64">
        <v>30.88</v>
      </c>
      <c r="M61" s="64">
        <v>36.229999999999997</v>
      </c>
      <c r="N61" s="64">
        <v>584</v>
      </c>
      <c r="O61" s="64">
        <v>0</v>
      </c>
      <c r="P61" s="64">
        <v>0.65</v>
      </c>
      <c r="Q61" s="64">
        <v>6.66</v>
      </c>
      <c r="R61" s="198"/>
      <c r="S61" s="198"/>
      <c r="T61" s="198"/>
      <c r="U61" s="198"/>
    </row>
    <row r="62" spans="1:21" s="12" customFormat="1" x14ac:dyDescent="0.25">
      <c r="A62" s="213" t="s">
        <v>1260</v>
      </c>
      <c r="B62" s="64">
        <v>2.1800000000000002</v>
      </c>
      <c r="C62" s="64">
        <v>58.48</v>
      </c>
      <c r="D62" s="64">
        <v>34.67</v>
      </c>
      <c r="E62" s="64">
        <v>0.26</v>
      </c>
      <c r="F62" s="64">
        <v>5.2</v>
      </c>
      <c r="G62" s="64">
        <v>72.91</v>
      </c>
      <c r="H62" s="64">
        <v>28.18</v>
      </c>
      <c r="I62" s="64">
        <v>1.52</v>
      </c>
      <c r="J62" s="64">
        <v>0.31</v>
      </c>
      <c r="K62" s="64">
        <v>160.18</v>
      </c>
      <c r="L62" s="64">
        <v>29.84</v>
      </c>
      <c r="M62" s="64">
        <v>38.61</v>
      </c>
      <c r="N62" s="64">
        <v>573.20000000000005</v>
      </c>
      <c r="O62" s="64">
        <v>0</v>
      </c>
      <c r="P62" s="64">
        <v>0.67</v>
      </c>
      <c r="Q62" s="64">
        <v>6.57</v>
      </c>
      <c r="R62" s="198"/>
      <c r="S62" s="198"/>
      <c r="T62" s="198"/>
      <c r="U62" s="198"/>
    </row>
    <row r="63" spans="1:21" s="12" customFormat="1" x14ac:dyDescent="0.25">
      <c r="A63" s="213" t="s">
        <v>1261</v>
      </c>
      <c r="B63" s="64">
        <v>2.15</v>
      </c>
      <c r="C63" s="64">
        <v>57.63</v>
      </c>
      <c r="D63" s="64">
        <v>34.18</v>
      </c>
      <c r="E63" s="64">
        <v>0.37</v>
      </c>
      <c r="F63" s="64">
        <v>5.38</v>
      </c>
      <c r="G63" s="64">
        <v>64.67</v>
      </c>
      <c r="H63" s="64">
        <v>19.22</v>
      </c>
      <c r="I63" s="64">
        <v>1.52</v>
      </c>
      <c r="J63" s="64">
        <v>0.67</v>
      </c>
      <c r="K63" s="64">
        <v>327.42</v>
      </c>
      <c r="L63" s="64">
        <v>30.44</v>
      </c>
      <c r="M63" s="64">
        <v>37.729999999999997</v>
      </c>
      <c r="N63" s="64">
        <v>538.9</v>
      </c>
      <c r="O63" s="64">
        <v>0</v>
      </c>
      <c r="P63" s="64">
        <v>0.65</v>
      </c>
      <c r="Q63" s="64">
        <v>6.53</v>
      </c>
      <c r="R63" s="198"/>
      <c r="S63" s="198"/>
      <c r="T63" s="198"/>
      <c r="U63" s="198"/>
    </row>
    <row r="64" spans="1:21" s="12" customFormat="1" x14ac:dyDescent="0.25">
      <c r="A64" s="213" t="s">
        <v>1262</v>
      </c>
      <c r="B64" s="64">
        <v>2.29</v>
      </c>
      <c r="C64" s="64">
        <v>57.7</v>
      </c>
      <c r="D64" s="64">
        <v>34.32</v>
      </c>
      <c r="E64" s="64">
        <v>0.27</v>
      </c>
      <c r="F64" s="64">
        <v>5.47</v>
      </c>
      <c r="G64" s="64">
        <v>62.46</v>
      </c>
      <c r="H64" s="64">
        <v>19.22</v>
      </c>
      <c r="I64" s="64">
        <v>1.53</v>
      </c>
      <c r="J64" s="64">
        <v>0.15</v>
      </c>
      <c r="K64" s="64">
        <v>307.56</v>
      </c>
      <c r="L64" s="64">
        <v>30.9</v>
      </c>
      <c r="M64" s="64">
        <v>36.33</v>
      </c>
      <c r="N64" s="64">
        <v>500.9</v>
      </c>
      <c r="O64" s="64">
        <v>0</v>
      </c>
      <c r="P64" s="64">
        <v>0.65</v>
      </c>
      <c r="Q64" s="64">
        <v>6.44</v>
      </c>
      <c r="R64" s="198"/>
      <c r="S64" s="198"/>
      <c r="T64" s="198"/>
      <c r="U64" s="198"/>
    </row>
    <row r="65" spans="1:21" s="12" customFormat="1" x14ac:dyDescent="0.25">
      <c r="A65" s="213" t="s">
        <v>1263</v>
      </c>
      <c r="B65" s="64">
        <v>2.0499999999999998</v>
      </c>
      <c r="C65" s="64">
        <v>57.19</v>
      </c>
      <c r="D65" s="64">
        <v>33.85</v>
      </c>
      <c r="E65" s="64">
        <v>0.21</v>
      </c>
      <c r="F65" s="64">
        <v>5.58</v>
      </c>
      <c r="G65" s="64">
        <v>62.46</v>
      </c>
      <c r="H65" s="64">
        <v>19.22</v>
      </c>
      <c r="I65" s="64">
        <v>1.47</v>
      </c>
      <c r="J65" s="64">
        <v>0.88</v>
      </c>
      <c r="K65" s="64">
        <v>156.34</v>
      </c>
      <c r="L65" s="64">
        <v>28.37</v>
      </c>
      <c r="M65" s="64">
        <v>41.38</v>
      </c>
      <c r="N65" s="64">
        <v>487.1</v>
      </c>
      <c r="O65" s="64">
        <v>0</v>
      </c>
      <c r="P65" s="64">
        <v>0.63</v>
      </c>
      <c r="Q65" s="64">
        <v>6.39</v>
      </c>
      <c r="R65" s="198"/>
      <c r="S65" s="198"/>
      <c r="T65" s="198"/>
      <c r="U65" s="198"/>
    </row>
    <row r="66" spans="1:21" s="12" customFormat="1" x14ac:dyDescent="0.25">
      <c r="A66" s="213" t="s">
        <v>1264</v>
      </c>
      <c r="B66" s="64">
        <v>1.79</v>
      </c>
      <c r="C66" s="64">
        <v>55.94</v>
      </c>
      <c r="D66" s="64">
        <v>32.950000000000003</v>
      </c>
      <c r="E66" s="64">
        <v>0.27</v>
      </c>
      <c r="F66" s="64">
        <v>5.67</v>
      </c>
      <c r="G66" s="64">
        <v>62.46</v>
      </c>
      <c r="H66" s="64">
        <v>19.22</v>
      </c>
      <c r="I66" s="64">
        <v>1.41</v>
      </c>
      <c r="J66" s="64">
        <v>0.17</v>
      </c>
      <c r="K66" s="64">
        <v>130.06</v>
      </c>
      <c r="L66" s="64">
        <v>28.45</v>
      </c>
      <c r="M66" s="64">
        <v>41.99</v>
      </c>
      <c r="N66" s="64">
        <v>416.6</v>
      </c>
      <c r="O66" s="64">
        <v>0</v>
      </c>
      <c r="P66" s="64">
        <v>0.61</v>
      </c>
      <c r="Q66" s="64">
        <v>6.18</v>
      </c>
      <c r="R66" s="198"/>
      <c r="S66" s="198"/>
      <c r="T66" s="198"/>
      <c r="U66" s="198"/>
    </row>
    <row r="67" spans="1:21" s="12" customFormat="1" x14ac:dyDescent="0.25">
      <c r="A67" s="213" t="s">
        <v>1265</v>
      </c>
      <c r="B67" s="64">
        <v>1.84</v>
      </c>
      <c r="C67" s="64">
        <v>55.57</v>
      </c>
      <c r="D67" s="64">
        <v>32.78</v>
      </c>
      <c r="E67" s="64">
        <v>0.27</v>
      </c>
      <c r="F67" s="64">
        <v>5.23</v>
      </c>
      <c r="G67" s="64">
        <v>58.47</v>
      </c>
      <c r="H67" s="64">
        <v>31.65</v>
      </c>
      <c r="I67" s="64">
        <v>1.55</v>
      </c>
      <c r="J67" s="64">
        <v>0.24</v>
      </c>
      <c r="K67" s="64">
        <v>358.85</v>
      </c>
      <c r="L67" s="64">
        <v>29.74</v>
      </c>
      <c r="M67" s="64">
        <v>39.75</v>
      </c>
      <c r="N67" s="64">
        <v>379.2</v>
      </c>
      <c r="O67" s="64">
        <v>0</v>
      </c>
      <c r="P67" s="64">
        <v>0.61</v>
      </c>
      <c r="Q67" s="64">
        <v>5.89</v>
      </c>
      <c r="R67" s="198"/>
      <c r="S67" s="198"/>
      <c r="T67" s="198"/>
      <c r="U67" s="198"/>
    </row>
    <row r="68" spans="1:21" s="12" customFormat="1" x14ac:dyDescent="0.25">
      <c r="A68" s="213" t="s">
        <v>1266</v>
      </c>
      <c r="B68" s="64">
        <v>1.97</v>
      </c>
      <c r="C68" s="64">
        <v>55.44</v>
      </c>
      <c r="D68" s="64">
        <v>32.82</v>
      </c>
      <c r="E68" s="64">
        <v>0.31</v>
      </c>
      <c r="F68" s="64">
        <v>5.16</v>
      </c>
      <c r="G68" s="64">
        <v>57.4</v>
      </c>
      <c r="H68" s="64">
        <v>31.65</v>
      </c>
      <c r="I68" s="64">
        <v>1.5</v>
      </c>
      <c r="J68" s="64">
        <v>0.23</v>
      </c>
      <c r="K68" s="64">
        <v>334.46</v>
      </c>
      <c r="L68" s="64">
        <v>29.99</v>
      </c>
      <c r="M68" s="64">
        <v>38.56</v>
      </c>
      <c r="N68" s="64">
        <v>344.9</v>
      </c>
      <c r="O68" s="64">
        <v>0</v>
      </c>
      <c r="P68" s="64">
        <v>0.6</v>
      </c>
      <c r="Q68" s="64">
        <v>5.77</v>
      </c>
      <c r="R68" s="198"/>
      <c r="S68" s="198"/>
      <c r="T68" s="198"/>
      <c r="U68" s="198"/>
    </row>
    <row r="69" spans="1:21" s="12" customFormat="1" x14ac:dyDescent="0.25">
      <c r="A69" s="213" t="s">
        <v>1267</v>
      </c>
      <c r="B69" s="64">
        <v>2.0299999999999998</v>
      </c>
      <c r="C69" s="64">
        <v>56.45</v>
      </c>
      <c r="D69" s="64">
        <v>33.43</v>
      </c>
      <c r="E69" s="64">
        <v>0.3</v>
      </c>
      <c r="F69" s="64">
        <v>4.71</v>
      </c>
      <c r="G69" s="64">
        <v>57.4</v>
      </c>
      <c r="H69" s="64">
        <v>31.65</v>
      </c>
      <c r="I69" s="64">
        <v>1.43</v>
      </c>
      <c r="J69" s="64">
        <v>0.15</v>
      </c>
      <c r="K69" s="64">
        <v>86.93</v>
      </c>
      <c r="L69" s="64">
        <v>28.74</v>
      </c>
      <c r="M69" s="64">
        <v>41.35</v>
      </c>
      <c r="N69" s="64">
        <v>302.8</v>
      </c>
      <c r="O69" s="64">
        <v>0</v>
      </c>
      <c r="P69" s="64">
        <v>0.57999999999999996</v>
      </c>
      <c r="Q69" s="64">
        <v>5.72</v>
      </c>
      <c r="R69" s="198"/>
      <c r="S69" s="198"/>
      <c r="T69" s="198"/>
      <c r="U69" s="198"/>
    </row>
    <row r="70" spans="1:21" s="12" customFormat="1" x14ac:dyDescent="0.25">
      <c r="A70" s="213" t="s">
        <v>1268</v>
      </c>
      <c r="B70" s="64">
        <v>2.2200000000000002</v>
      </c>
      <c r="C70" s="64">
        <v>56.62</v>
      </c>
      <c r="D70" s="64">
        <v>33.67</v>
      </c>
      <c r="E70" s="64">
        <v>0.35</v>
      </c>
      <c r="F70" s="64">
        <v>4.2300000000000004</v>
      </c>
      <c r="G70" s="64">
        <v>57.4</v>
      </c>
      <c r="H70" s="64">
        <v>31.65</v>
      </c>
      <c r="I70" s="64">
        <v>1.56</v>
      </c>
      <c r="J70" s="64">
        <v>0.13</v>
      </c>
      <c r="K70" s="64">
        <v>110.5</v>
      </c>
      <c r="L70" s="64">
        <v>28.27</v>
      </c>
      <c r="M70" s="64">
        <v>41.66</v>
      </c>
      <c r="N70" s="64">
        <v>248.6</v>
      </c>
      <c r="O70" s="64">
        <v>0</v>
      </c>
      <c r="P70" s="64">
        <v>0.57999999999999996</v>
      </c>
      <c r="Q70" s="64">
        <v>5.55</v>
      </c>
      <c r="R70" s="198"/>
      <c r="S70" s="198"/>
      <c r="T70" s="198"/>
      <c r="U70" s="198"/>
    </row>
    <row r="71" spans="1:21" s="12" customFormat="1" x14ac:dyDescent="0.25">
      <c r="A71" s="213" t="s">
        <v>1269</v>
      </c>
      <c r="B71" s="64">
        <v>2.29</v>
      </c>
      <c r="C71" s="64">
        <v>56.28</v>
      </c>
      <c r="D71" s="64">
        <v>33.54</v>
      </c>
      <c r="E71" s="64">
        <v>0.39</v>
      </c>
      <c r="F71" s="64">
        <v>4.1500000000000004</v>
      </c>
      <c r="G71" s="64">
        <v>53.08</v>
      </c>
      <c r="H71" s="64">
        <v>26.97</v>
      </c>
      <c r="I71" s="64">
        <v>1.55</v>
      </c>
      <c r="J71" s="64">
        <v>0.01</v>
      </c>
      <c r="K71" s="64">
        <v>330.52</v>
      </c>
      <c r="L71" s="64">
        <v>27.67</v>
      </c>
      <c r="M71" s="64">
        <v>42.68</v>
      </c>
      <c r="N71" s="64">
        <v>215</v>
      </c>
      <c r="O71" s="64">
        <v>0</v>
      </c>
      <c r="P71" s="64">
        <v>0.56000000000000005</v>
      </c>
      <c r="Q71" s="64">
        <v>5.29</v>
      </c>
      <c r="R71" s="198"/>
      <c r="S71" s="198"/>
      <c r="T71" s="198"/>
      <c r="U71" s="198"/>
    </row>
    <row r="72" spans="1:21" s="12" customFormat="1" x14ac:dyDescent="0.25">
      <c r="A72" s="213" t="s">
        <v>1270</v>
      </c>
      <c r="B72" s="64">
        <v>2.33</v>
      </c>
      <c r="C72" s="64">
        <v>55.57</v>
      </c>
      <c r="D72" s="64">
        <v>33.19</v>
      </c>
      <c r="E72" s="64">
        <v>0.06</v>
      </c>
      <c r="F72" s="64">
        <v>4.26</v>
      </c>
      <c r="G72" s="64">
        <v>51.92</v>
      </c>
      <c r="H72" s="64">
        <v>26.97</v>
      </c>
      <c r="I72" s="64">
        <v>1.44</v>
      </c>
      <c r="J72" s="64">
        <v>0.05</v>
      </c>
      <c r="K72" s="64">
        <v>196.96</v>
      </c>
      <c r="L72" s="64">
        <v>27.64</v>
      </c>
      <c r="M72" s="64">
        <v>42.09</v>
      </c>
      <c r="N72" s="64">
        <v>189.6</v>
      </c>
      <c r="O72" s="64">
        <v>0</v>
      </c>
      <c r="P72" s="64">
        <v>0.55000000000000004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3" t="s">
        <v>1271</v>
      </c>
      <c r="B73" s="64">
        <v>2.4500000000000002</v>
      </c>
      <c r="C73" s="64">
        <v>55.16</v>
      </c>
      <c r="D73" s="64">
        <v>33.049999999999997</v>
      </c>
      <c r="E73" s="64">
        <v>0.11</v>
      </c>
      <c r="F73" s="64">
        <v>4.05</v>
      </c>
      <c r="G73" s="64">
        <v>51.92</v>
      </c>
      <c r="H73" s="64">
        <v>26.97</v>
      </c>
      <c r="I73" s="64">
        <v>1.58</v>
      </c>
      <c r="J73" s="64">
        <v>0.16</v>
      </c>
      <c r="K73" s="64">
        <v>148.96</v>
      </c>
      <c r="L73" s="64">
        <v>27.77</v>
      </c>
      <c r="M73" s="64">
        <v>41.52</v>
      </c>
      <c r="N73" s="64">
        <v>180.2</v>
      </c>
      <c r="O73" s="64">
        <v>0</v>
      </c>
      <c r="P73" s="64">
        <v>0.55000000000000004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3" t="s">
        <v>1272</v>
      </c>
      <c r="B74" s="64">
        <v>2.4900000000000002</v>
      </c>
      <c r="C74" s="64">
        <v>54.62</v>
      </c>
      <c r="D74" s="64">
        <v>32.79</v>
      </c>
      <c r="E74" s="64">
        <v>0.14000000000000001</v>
      </c>
      <c r="F74" s="64">
        <v>4.2699999999999996</v>
      </c>
      <c r="G74" s="64">
        <v>51.92</v>
      </c>
      <c r="H74" s="64">
        <v>26.97</v>
      </c>
      <c r="I74" s="64">
        <v>1.54</v>
      </c>
      <c r="J74" s="64">
        <v>0.18</v>
      </c>
      <c r="K74" s="64">
        <v>184.01</v>
      </c>
      <c r="L74" s="64">
        <v>27.18</v>
      </c>
      <c r="M74" s="64">
        <v>42.28</v>
      </c>
      <c r="N74" s="64">
        <v>165.5</v>
      </c>
      <c r="O74" s="64">
        <v>0</v>
      </c>
      <c r="P74" s="64">
        <v>0.54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3" t="s">
        <v>1273</v>
      </c>
      <c r="B75" s="64">
        <v>2.35</v>
      </c>
      <c r="C75" s="64">
        <v>53.94</v>
      </c>
      <c r="D75" s="64">
        <v>32.299999999999997</v>
      </c>
      <c r="E75" s="64">
        <v>0.21</v>
      </c>
      <c r="F75" s="64">
        <v>4.42</v>
      </c>
      <c r="G75" s="64">
        <v>48.45</v>
      </c>
      <c r="H75" s="64">
        <v>22.31</v>
      </c>
      <c r="I75" s="64">
        <v>1.52</v>
      </c>
      <c r="J75" s="64">
        <v>0.06</v>
      </c>
      <c r="K75" s="64">
        <v>132.11000000000001</v>
      </c>
      <c r="L75" s="64">
        <v>26.91</v>
      </c>
      <c r="M75" s="64">
        <v>42.91</v>
      </c>
      <c r="N75" s="64">
        <v>135.1</v>
      </c>
      <c r="O75" s="64">
        <v>0</v>
      </c>
      <c r="P75" s="64">
        <v>0.52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3" t="s">
        <v>1274</v>
      </c>
      <c r="B76" s="64">
        <v>2.38</v>
      </c>
      <c r="C76" s="64">
        <v>53.71</v>
      </c>
      <c r="D76" s="64">
        <v>32.200000000000003</v>
      </c>
      <c r="E76" s="64">
        <v>0.12</v>
      </c>
      <c r="F76" s="64">
        <v>4.13</v>
      </c>
      <c r="G76" s="64">
        <v>47.52</v>
      </c>
      <c r="H76" s="64">
        <v>22.31</v>
      </c>
      <c r="I76" s="64">
        <v>1.5</v>
      </c>
      <c r="J76" s="64">
        <v>0.15</v>
      </c>
      <c r="K76" s="64">
        <v>334.5</v>
      </c>
      <c r="L76" s="64">
        <v>26.92</v>
      </c>
      <c r="M76" s="64">
        <v>43.66</v>
      </c>
      <c r="N76" s="64">
        <v>145.19999999999999</v>
      </c>
      <c r="O76" s="64">
        <v>0</v>
      </c>
      <c r="P76" s="64">
        <v>0.55000000000000004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3" t="s">
        <v>1275</v>
      </c>
      <c r="B77" s="64">
        <v>2.95</v>
      </c>
      <c r="C77" s="64">
        <v>54.06</v>
      </c>
      <c r="D77" s="64">
        <v>32.840000000000003</v>
      </c>
      <c r="E77" s="64">
        <v>0.16</v>
      </c>
      <c r="F77" s="64">
        <v>3.83</v>
      </c>
      <c r="G77" s="64">
        <v>47.52</v>
      </c>
      <c r="H77" s="64">
        <v>22.31</v>
      </c>
      <c r="I77" s="64">
        <v>1.5</v>
      </c>
      <c r="J77" s="64">
        <v>0.77</v>
      </c>
      <c r="K77" s="64">
        <v>330.81</v>
      </c>
      <c r="L77" s="64">
        <v>27.13</v>
      </c>
      <c r="M77" s="64">
        <v>44.61</v>
      </c>
      <c r="N77" s="64">
        <v>127.4</v>
      </c>
      <c r="O77" s="64">
        <v>0</v>
      </c>
      <c r="P77" s="64">
        <v>0.59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3" t="s">
        <v>1276</v>
      </c>
      <c r="B78" s="64">
        <v>3.56</v>
      </c>
      <c r="C78" s="64">
        <v>55.67</v>
      </c>
      <c r="D78" s="64">
        <v>34.22</v>
      </c>
      <c r="E78" s="64">
        <v>0.19</v>
      </c>
      <c r="F78" s="64">
        <v>4.1900000000000004</v>
      </c>
      <c r="G78" s="64">
        <v>47.52</v>
      </c>
      <c r="H78" s="64">
        <v>22.31</v>
      </c>
      <c r="I78" s="64">
        <v>1.49</v>
      </c>
      <c r="J78" s="64">
        <v>1.85</v>
      </c>
      <c r="K78" s="64">
        <v>347.36</v>
      </c>
      <c r="L78" s="64">
        <v>25.74</v>
      </c>
      <c r="M78" s="64">
        <v>48.19</v>
      </c>
      <c r="N78" s="64">
        <v>106.9</v>
      </c>
      <c r="O78" s="64">
        <v>0</v>
      </c>
      <c r="P78" s="64">
        <v>0.59</v>
      </c>
      <c r="Q78" s="64">
        <v>5.45</v>
      </c>
      <c r="R78" s="198"/>
      <c r="S78" s="198"/>
      <c r="T78" s="198"/>
      <c r="U78" s="198"/>
    </row>
    <row r="79" spans="1:21" s="12" customFormat="1" x14ac:dyDescent="0.25">
      <c r="A79" s="213" t="s">
        <v>1277</v>
      </c>
      <c r="B79" s="64">
        <v>3.36</v>
      </c>
      <c r="C79" s="64">
        <v>59.52</v>
      </c>
      <c r="D79" s="64">
        <v>36.19</v>
      </c>
      <c r="E79" s="64">
        <v>0.25</v>
      </c>
      <c r="F79" s="64">
        <v>4.6900000000000004</v>
      </c>
      <c r="G79" s="64">
        <v>56.69</v>
      </c>
      <c r="H79" s="64">
        <v>22.6</v>
      </c>
      <c r="I79" s="64">
        <v>1.47</v>
      </c>
      <c r="J79" s="64">
        <v>2.42</v>
      </c>
      <c r="K79" s="64">
        <v>343.66</v>
      </c>
      <c r="L79" s="64">
        <v>24.1</v>
      </c>
      <c r="M79" s="64">
        <v>53.69</v>
      </c>
      <c r="N79" s="64">
        <v>117.4</v>
      </c>
      <c r="O79" s="64">
        <v>0</v>
      </c>
      <c r="P79" s="64">
        <v>0.61</v>
      </c>
      <c r="Q79" s="64">
        <v>5.78</v>
      </c>
      <c r="R79" s="198"/>
      <c r="S79" s="198"/>
      <c r="T79" s="198"/>
      <c r="U79" s="198"/>
    </row>
    <row r="80" spans="1:21" s="12" customFormat="1" x14ac:dyDescent="0.25">
      <c r="A80" s="213" t="s">
        <v>1278</v>
      </c>
      <c r="B80" s="64">
        <v>2.99</v>
      </c>
      <c r="C80" s="64">
        <v>62.97</v>
      </c>
      <c r="D80" s="64">
        <v>37.79</v>
      </c>
      <c r="E80" s="64">
        <v>0.33</v>
      </c>
      <c r="F80" s="64">
        <v>5.38</v>
      </c>
      <c r="G80" s="64">
        <v>59.14</v>
      </c>
      <c r="H80" s="64">
        <v>22.6</v>
      </c>
      <c r="I80" s="64">
        <v>1.46</v>
      </c>
      <c r="J80" s="64">
        <v>1.82</v>
      </c>
      <c r="K80" s="64">
        <v>350.42</v>
      </c>
      <c r="L80" s="64">
        <v>22.65</v>
      </c>
      <c r="M80" s="64">
        <v>58.41</v>
      </c>
      <c r="N80" s="64">
        <v>100.4</v>
      </c>
      <c r="O80" s="64">
        <v>0</v>
      </c>
      <c r="P80" s="64">
        <v>0.64</v>
      </c>
      <c r="Q80" s="64">
        <v>5.98</v>
      </c>
      <c r="R80" s="198"/>
      <c r="S80" s="198"/>
      <c r="T80" s="198"/>
      <c r="U80" s="198"/>
    </row>
    <row r="81" spans="1:26" s="12" customFormat="1" x14ac:dyDescent="0.25">
      <c r="A81" s="213" t="s">
        <v>1279</v>
      </c>
      <c r="B81" s="64">
        <v>2.75</v>
      </c>
      <c r="C81" s="64">
        <v>65.14</v>
      </c>
      <c r="D81" s="64">
        <v>38.799999999999997</v>
      </c>
      <c r="E81" s="64">
        <v>0.25</v>
      </c>
      <c r="F81" s="64">
        <v>5.0999999999999996</v>
      </c>
      <c r="G81" s="64">
        <v>59.14</v>
      </c>
      <c r="H81" s="64">
        <v>22.6</v>
      </c>
      <c r="I81" s="64">
        <v>1.5</v>
      </c>
      <c r="J81" s="64">
        <v>1.49</v>
      </c>
      <c r="K81" s="64">
        <v>350.87</v>
      </c>
      <c r="L81" s="64">
        <v>21.84</v>
      </c>
      <c r="M81" s="64">
        <v>59.45</v>
      </c>
      <c r="N81" s="64">
        <v>64.8</v>
      </c>
      <c r="O81" s="64">
        <v>0</v>
      </c>
      <c r="P81" s="64">
        <v>0.67</v>
      </c>
      <c r="Q81" s="64">
        <v>6.13</v>
      </c>
      <c r="R81" s="198"/>
      <c r="S81" s="198"/>
      <c r="T81" s="198"/>
      <c r="U81" s="198"/>
    </row>
    <row r="82" spans="1:26" s="12" customFormat="1" x14ac:dyDescent="0.25">
      <c r="A82" s="213" t="s">
        <v>1280</v>
      </c>
      <c r="B82" s="64">
        <v>2.85</v>
      </c>
      <c r="C82" s="64">
        <v>65.010000000000005</v>
      </c>
      <c r="D82" s="64">
        <v>38.81</v>
      </c>
      <c r="E82" s="64">
        <v>0.23</v>
      </c>
      <c r="F82" s="64">
        <v>4.99</v>
      </c>
      <c r="G82" s="64">
        <v>59.14</v>
      </c>
      <c r="H82" s="64">
        <v>22.6</v>
      </c>
      <c r="I82" s="64">
        <v>1.46</v>
      </c>
      <c r="J82" s="64">
        <v>1.05</v>
      </c>
      <c r="K82" s="64">
        <v>348.58</v>
      </c>
      <c r="L82" s="64">
        <v>21.27</v>
      </c>
      <c r="M82" s="64">
        <v>61.03</v>
      </c>
      <c r="N82" s="64">
        <v>51.1</v>
      </c>
      <c r="O82" s="64">
        <v>0</v>
      </c>
      <c r="P82" s="64">
        <v>0.69</v>
      </c>
      <c r="Q82" s="64">
        <v>6.21</v>
      </c>
      <c r="R82" s="198"/>
      <c r="S82" s="198"/>
      <c r="T82" s="198"/>
      <c r="U82" s="198"/>
    </row>
    <row r="83" spans="1:26" s="12" customFormat="1" x14ac:dyDescent="0.25">
      <c r="A83" s="213" t="s">
        <v>1281</v>
      </c>
      <c r="B83" s="64">
        <v>3.05</v>
      </c>
      <c r="C83" s="64">
        <v>66.790000000000006</v>
      </c>
      <c r="D83" s="64">
        <v>39.950000000000003</v>
      </c>
      <c r="E83" s="64">
        <v>0.24</v>
      </c>
      <c r="F83" s="64">
        <v>4.7</v>
      </c>
      <c r="G83" s="64">
        <v>75.92</v>
      </c>
      <c r="H83" s="64">
        <v>29.97</v>
      </c>
      <c r="I83" s="64">
        <v>1.46</v>
      </c>
      <c r="J83" s="64">
        <v>0.83</v>
      </c>
      <c r="K83" s="64">
        <v>344.98</v>
      </c>
      <c r="L83" s="64">
        <v>21</v>
      </c>
      <c r="M83" s="64">
        <v>62.32</v>
      </c>
      <c r="N83" s="64">
        <v>44.6</v>
      </c>
      <c r="O83" s="64">
        <v>0</v>
      </c>
      <c r="P83" s="64">
        <v>0.7</v>
      </c>
      <c r="Q83" s="64">
        <v>6.31</v>
      </c>
      <c r="R83" s="198"/>
      <c r="S83" s="198"/>
      <c r="T83" s="198"/>
      <c r="U83" s="198"/>
    </row>
    <row r="84" spans="1:26" s="12" customFormat="1" x14ac:dyDescent="0.25">
      <c r="A84" s="213" t="s">
        <v>1282</v>
      </c>
      <c r="B84" s="64">
        <v>3.3</v>
      </c>
      <c r="C84" s="64">
        <v>67.650000000000006</v>
      </c>
      <c r="D84" s="64">
        <v>40.630000000000003</v>
      </c>
      <c r="E84" s="64">
        <v>0.18</v>
      </c>
      <c r="F84" s="64">
        <v>4.47</v>
      </c>
      <c r="G84" s="64">
        <v>80.41</v>
      </c>
      <c r="H84" s="64">
        <v>29.97</v>
      </c>
      <c r="I84" s="64">
        <v>1.48</v>
      </c>
      <c r="J84" s="64">
        <v>0.36</v>
      </c>
      <c r="K84" s="64">
        <v>20.25</v>
      </c>
      <c r="L84" s="64">
        <v>20.62</v>
      </c>
      <c r="M84" s="64">
        <v>64.59</v>
      </c>
      <c r="N84" s="64">
        <v>59.6</v>
      </c>
      <c r="O84" s="64">
        <v>0</v>
      </c>
      <c r="P84" s="64">
        <v>0.72</v>
      </c>
      <c r="Q84" s="64">
        <v>6.38</v>
      </c>
      <c r="R84" s="198"/>
      <c r="S84" s="198"/>
      <c r="T84" s="198"/>
      <c r="U84" s="198"/>
    </row>
    <row r="85" spans="1:26" s="12" customFormat="1" x14ac:dyDescent="0.25">
      <c r="A85" s="213" t="s">
        <v>1283</v>
      </c>
      <c r="B85" s="64">
        <v>3.29</v>
      </c>
      <c r="C85" s="64">
        <v>67.77</v>
      </c>
      <c r="D85" s="64">
        <v>40.68</v>
      </c>
      <c r="E85" s="64">
        <v>0.19</v>
      </c>
      <c r="F85" s="64">
        <v>4.28</v>
      </c>
      <c r="G85" s="64">
        <v>80.41</v>
      </c>
      <c r="H85" s="64">
        <v>29.97</v>
      </c>
      <c r="I85" s="64">
        <v>1.55</v>
      </c>
      <c r="J85" s="64">
        <v>0.36</v>
      </c>
      <c r="K85" s="64">
        <v>17.53</v>
      </c>
      <c r="L85" s="64">
        <v>20.25</v>
      </c>
      <c r="M85" s="64">
        <v>67.540000000000006</v>
      </c>
      <c r="N85" s="64">
        <v>69</v>
      </c>
      <c r="O85" s="64">
        <v>0</v>
      </c>
      <c r="P85" s="64">
        <v>0.66</v>
      </c>
      <c r="Q85" s="64">
        <v>6.35</v>
      </c>
      <c r="R85" s="198"/>
      <c r="S85" s="198"/>
      <c r="T85" s="198"/>
      <c r="U85" s="198"/>
    </row>
    <row r="86" spans="1:26" s="12" customFormat="1" x14ac:dyDescent="0.25">
      <c r="A86" s="213" t="s">
        <v>1284</v>
      </c>
      <c r="B86" s="64">
        <v>3.12</v>
      </c>
      <c r="C86" s="64">
        <v>67</v>
      </c>
      <c r="D86" s="64">
        <v>40.119999999999997</v>
      </c>
      <c r="E86" s="64">
        <v>0.22</v>
      </c>
      <c r="F86" s="64">
        <v>4.4800000000000004</v>
      </c>
      <c r="G86" s="64">
        <v>80.41</v>
      </c>
      <c r="H86" s="64">
        <v>29.97</v>
      </c>
      <c r="I86" s="64">
        <v>1.5</v>
      </c>
      <c r="J86" s="64">
        <v>0.31</v>
      </c>
      <c r="K86" s="64">
        <v>26.77</v>
      </c>
      <c r="L86" s="64">
        <v>19.989999999999998</v>
      </c>
      <c r="M86" s="64">
        <v>67.55</v>
      </c>
      <c r="N86" s="64">
        <v>66</v>
      </c>
      <c r="O86" s="64">
        <v>0</v>
      </c>
      <c r="P86" s="64">
        <v>0.72</v>
      </c>
      <c r="Q86" s="64">
        <v>6.29</v>
      </c>
      <c r="R86" s="198"/>
      <c r="S86" s="198"/>
      <c r="T86" s="198"/>
      <c r="U86" s="198"/>
    </row>
    <row r="87" spans="1:26" s="12" customFormat="1" x14ac:dyDescent="0.25">
      <c r="A87" s="213" t="s">
        <v>1285</v>
      </c>
      <c r="B87" s="64">
        <v>3.23</v>
      </c>
      <c r="C87" s="64">
        <v>66.61</v>
      </c>
      <c r="D87" s="64">
        <v>40</v>
      </c>
      <c r="E87" s="64">
        <v>0.19</v>
      </c>
      <c r="F87" s="64">
        <v>4.1500000000000004</v>
      </c>
      <c r="G87" s="64">
        <v>69.78</v>
      </c>
      <c r="H87" s="64">
        <v>28.39</v>
      </c>
      <c r="I87" s="64">
        <v>1.47</v>
      </c>
      <c r="J87" s="64">
        <v>0.32</v>
      </c>
      <c r="K87" s="64">
        <v>15.59</v>
      </c>
      <c r="L87" s="64">
        <v>19.91</v>
      </c>
      <c r="M87" s="64">
        <v>67.25</v>
      </c>
      <c r="N87" s="64">
        <v>69.599999999999994</v>
      </c>
      <c r="O87" s="64">
        <v>0</v>
      </c>
      <c r="P87" s="64">
        <v>0.72</v>
      </c>
      <c r="Q87" s="64">
        <v>6.3</v>
      </c>
      <c r="R87" s="198"/>
      <c r="S87" s="198"/>
      <c r="T87" s="198"/>
      <c r="U87" s="198"/>
    </row>
    <row r="88" spans="1:26" s="12" customFormat="1" x14ac:dyDescent="0.25">
      <c r="A88" s="213" t="s">
        <v>1286</v>
      </c>
      <c r="B88" s="64">
        <v>3.4</v>
      </c>
      <c r="C88" s="64">
        <v>66.17</v>
      </c>
      <c r="D88" s="64">
        <v>39.89</v>
      </c>
      <c r="E88" s="64">
        <v>0.19</v>
      </c>
      <c r="F88" s="64">
        <v>3.93</v>
      </c>
      <c r="G88" s="64">
        <v>66.94</v>
      </c>
      <c r="H88" s="64">
        <v>28.39</v>
      </c>
      <c r="I88" s="64">
        <v>1.5</v>
      </c>
      <c r="J88" s="64">
        <v>0.54</v>
      </c>
      <c r="K88" s="64">
        <v>345.31</v>
      </c>
      <c r="L88" s="64">
        <v>19.920000000000002</v>
      </c>
      <c r="M88" s="64">
        <v>68.52</v>
      </c>
      <c r="N88" s="64">
        <v>70.099999999999994</v>
      </c>
      <c r="O88" s="64">
        <v>0</v>
      </c>
      <c r="P88" s="64">
        <v>0.73</v>
      </c>
      <c r="Q88" s="64">
        <v>6.29</v>
      </c>
      <c r="R88" s="198"/>
      <c r="S88" s="198"/>
      <c r="T88" s="198"/>
      <c r="U88" s="198"/>
    </row>
    <row r="89" spans="1:26" s="12" customFormat="1" x14ac:dyDescent="0.25">
      <c r="A89" s="213" t="s">
        <v>1287</v>
      </c>
      <c r="B89" s="64">
        <v>3.6</v>
      </c>
      <c r="C89" s="64">
        <v>66.260000000000005</v>
      </c>
      <c r="D89" s="64">
        <v>40.1</v>
      </c>
      <c r="E89" s="64">
        <v>0.3</v>
      </c>
      <c r="F89" s="64">
        <v>3.82</v>
      </c>
      <c r="G89" s="64">
        <v>66.94</v>
      </c>
      <c r="H89" s="64">
        <v>28.39</v>
      </c>
      <c r="I89" s="64">
        <v>1.5</v>
      </c>
      <c r="J89" s="64">
        <v>0.33</v>
      </c>
      <c r="K89" s="64">
        <v>48.48</v>
      </c>
      <c r="L89" s="64">
        <v>19.760000000000002</v>
      </c>
      <c r="M89" s="64">
        <v>68.680000000000007</v>
      </c>
      <c r="N89" s="64">
        <v>63.4</v>
      </c>
      <c r="O89" s="64">
        <v>0</v>
      </c>
      <c r="P89" s="64">
        <v>0.75</v>
      </c>
      <c r="Q89" s="64">
        <v>6.29</v>
      </c>
      <c r="R89" s="198"/>
      <c r="S89" s="198"/>
      <c r="T89" s="198"/>
      <c r="U89" s="198"/>
    </row>
    <row r="90" spans="1:26" s="12" customFormat="1" x14ac:dyDescent="0.25">
      <c r="A90" s="213" t="s">
        <v>1288</v>
      </c>
      <c r="B90" s="64">
        <v>3.84</v>
      </c>
      <c r="C90" s="64">
        <v>66.02</v>
      </c>
      <c r="D90" s="64">
        <v>40.159999999999997</v>
      </c>
      <c r="E90" s="64">
        <v>0.34</v>
      </c>
      <c r="F90" s="64">
        <v>3.77</v>
      </c>
      <c r="G90" s="64">
        <v>66.94</v>
      </c>
      <c r="H90" s="64">
        <v>28.39</v>
      </c>
      <c r="I90" s="64">
        <v>1.55</v>
      </c>
      <c r="J90" s="64">
        <v>0.44</v>
      </c>
      <c r="K90" s="64">
        <v>341.4</v>
      </c>
      <c r="L90" s="64">
        <v>19.78</v>
      </c>
      <c r="M90" s="64">
        <v>67.25</v>
      </c>
      <c r="N90" s="64">
        <v>67.599999999999994</v>
      </c>
      <c r="O90" s="64">
        <v>0</v>
      </c>
      <c r="P90" s="64">
        <v>0.76</v>
      </c>
      <c r="Q90" s="64">
        <v>6.28</v>
      </c>
      <c r="R90" s="198"/>
      <c r="S90" s="198"/>
      <c r="T90" s="198"/>
      <c r="U90" s="198"/>
    </row>
    <row r="91" spans="1:26" s="12" customFormat="1" x14ac:dyDescent="0.25">
      <c r="A91" s="213" t="s">
        <v>1289</v>
      </c>
      <c r="B91" s="64">
        <v>4.12</v>
      </c>
      <c r="C91" s="64">
        <v>66.55</v>
      </c>
      <c r="D91" s="64">
        <v>40.67</v>
      </c>
      <c r="E91" s="64">
        <v>0.3</v>
      </c>
      <c r="F91" s="64">
        <v>3.51</v>
      </c>
      <c r="G91" s="64">
        <v>63.33</v>
      </c>
      <c r="H91" s="64">
        <v>25.89</v>
      </c>
      <c r="I91" s="64">
        <v>1.52</v>
      </c>
      <c r="J91" s="64">
        <v>0.46</v>
      </c>
      <c r="K91" s="64">
        <v>352.04</v>
      </c>
      <c r="L91" s="64">
        <v>19.73</v>
      </c>
      <c r="M91" s="64">
        <v>67.33</v>
      </c>
      <c r="N91" s="64">
        <v>71.599999999999994</v>
      </c>
      <c r="O91" s="64">
        <v>0</v>
      </c>
      <c r="P91" s="64">
        <v>0.77</v>
      </c>
      <c r="Q91" s="64">
        <v>6.33</v>
      </c>
      <c r="R91" s="198"/>
      <c r="S91" s="198"/>
      <c r="T91" s="198"/>
      <c r="U91" s="198"/>
    </row>
    <row r="92" spans="1:26" s="12" customFormat="1" x14ac:dyDescent="0.25">
      <c r="A92" s="213" t="s">
        <v>1290</v>
      </c>
      <c r="B92" s="64">
        <v>4.3600000000000003</v>
      </c>
      <c r="C92" s="64">
        <v>66.180000000000007</v>
      </c>
      <c r="D92" s="64">
        <v>40.659999999999997</v>
      </c>
      <c r="E92" s="64">
        <v>0.28000000000000003</v>
      </c>
      <c r="F92" s="64">
        <v>3.43</v>
      </c>
      <c r="G92" s="64">
        <v>62.36</v>
      </c>
      <c r="H92" s="64">
        <v>25.89</v>
      </c>
      <c r="I92" s="64">
        <v>1.48</v>
      </c>
      <c r="J92" s="64">
        <v>0.37</v>
      </c>
      <c r="K92" s="64">
        <v>29.08</v>
      </c>
      <c r="L92" s="64">
        <v>19.57</v>
      </c>
      <c r="M92" s="64">
        <v>68.569999999999993</v>
      </c>
      <c r="N92" s="64">
        <v>69.2</v>
      </c>
      <c r="O92" s="64">
        <v>0</v>
      </c>
      <c r="P92" s="64">
        <v>0.78</v>
      </c>
      <c r="Q92" s="64">
        <v>6.38</v>
      </c>
      <c r="R92" s="198"/>
      <c r="S92" s="198"/>
      <c r="T92" s="198"/>
      <c r="U92" s="198"/>
    </row>
    <row r="93" spans="1:26" s="12" customFormat="1" x14ac:dyDescent="0.25">
      <c r="A93" s="213" t="s">
        <v>1291</v>
      </c>
      <c r="B93" s="64">
        <v>4.6900000000000004</v>
      </c>
      <c r="C93" s="64">
        <v>66.03</v>
      </c>
      <c r="D93" s="64">
        <v>40.85</v>
      </c>
      <c r="E93" s="64">
        <v>0.33</v>
      </c>
      <c r="F93" s="64">
        <v>3.31</v>
      </c>
      <c r="G93" s="64">
        <v>62.36</v>
      </c>
      <c r="H93" s="64">
        <v>25.89</v>
      </c>
      <c r="I93" s="64">
        <v>1.45</v>
      </c>
      <c r="J93" s="64">
        <v>0.31</v>
      </c>
      <c r="K93" s="64">
        <v>36.049999999999997</v>
      </c>
      <c r="L93" s="64">
        <v>19.47</v>
      </c>
      <c r="M93" s="64">
        <v>70.260000000000005</v>
      </c>
      <c r="N93" s="64">
        <v>74.5</v>
      </c>
      <c r="O93" s="64">
        <v>0</v>
      </c>
      <c r="P93" s="64">
        <v>0.78</v>
      </c>
      <c r="Q93" s="64">
        <v>6.39</v>
      </c>
      <c r="R93" s="198"/>
      <c r="S93" s="198"/>
      <c r="T93" s="198"/>
      <c r="U93" s="198"/>
    </row>
    <row r="94" spans="1:26" s="12" customFormat="1" x14ac:dyDescent="0.25">
      <c r="A94" s="213" t="s">
        <v>1292</v>
      </c>
      <c r="B94" s="64">
        <v>6.31</v>
      </c>
      <c r="C94" s="64">
        <v>66.56</v>
      </c>
      <c r="D94" s="64">
        <v>42.44</v>
      </c>
      <c r="E94" s="64">
        <v>0.25</v>
      </c>
      <c r="F94" s="64">
        <v>3.28</v>
      </c>
      <c r="G94" s="64">
        <v>62.36</v>
      </c>
      <c r="H94" s="64">
        <v>25.89</v>
      </c>
      <c r="I94" s="64">
        <v>1.52</v>
      </c>
      <c r="J94" s="64">
        <v>0.35</v>
      </c>
      <c r="K94" s="64">
        <v>356.7</v>
      </c>
      <c r="L94" s="64">
        <v>19.38</v>
      </c>
      <c r="M94" s="64">
        <v>71.11</v>
      </c>
      <c r="N94" s="64">
        <v>81</v>
      </c>
      <c r="O94" s="64">
        <v>0</v>
      </c>
      <c r="P94" s="64">
        <v>0.79</v>
      </c>
      <c r="Q94" s="64">
        <v>6.44</v>
      </c>
      <c r="R94" s="198"/>
      <c r="S94" s="198"/>
      <c r="T94" s="198"/>
      <c r="U94" s="198"/>
    </row>
    <row r="95" spans="1:26" s="12" customFormat="1" x14ac:dyDescent="0.25">
      <c r="A95" s="213" t="s">
        <v>1293</v>
      </c>
      <c r="B95" s="64">
        <v>7.17</v>
      </c>
      <c r="C95" s="64">
        <v>67.180000000000007</v>
      </c>
      <c r="D95" s="64">
        <v>43.47</v>
      </c>
      <c r="E95" s="64">
        <v>0.31</v>
      </c>
      <c r="F95" s="64">
        <v>3.37</v>
      </c>
      <c r="G95" s="64">
        <v>64.599999999999994</v>
      </c>
      <c r="H95" s="64">
        <v>25.36</v>
      </c>
      <c r="I95" s="64">
        <v>1.4</v>
      </c>
      <c r="J95" s="64">
        <v>0.35</v>
      </c>
      <c r="K95" s="64">
        <v>54.28</v>
      </c>
      <c r="L95" s="64">
        <v>19.239999999999998</v>
      </c>
      <c r="M95" s="64">
        <v>71.16</v>
      </c>
      <c r="N95" s="64">
        <v>77.099999999999994</v>
      </c>
      <c r="O95" s="64">
        <v>0</v>
      </c>
      <c r="P95" s="64">
        <v>0.79</v>
      </c>
      <c r="Q95" s="64">
        <v>6.56</v>
      </c>
      <c r="R95" s="198"/>
      <c r="S95" s="198"/>
      <c r="T95" s="198"/>
      <c r="U95" s="198"/>
    </row>
    <row r="96" spans="1:26" s="12" customFormat="1" x14ac:dyDescent="0.25">
      <c r="A96" s="213" t="s">
        <v>1294</v>
      </c>
      <c r="B96" s="64">
        <v>6.99</v>
      </c>
      <c r="C96" s="64">
        <v>67.39</v>
      </c>
      <c r="D96" s="64">
        <v>43.45</v>
      </c>
      <c r="E96" s="64">
        <v>0.23</v>
      </c>
      <c r="F96" s="64">
        <v>3.6</v>
      </c>
      <c r="G96" s="64">
        <v>65.16</v>
      </c>
      <c r="H96" s="64">
        <v>25.36</v>
      </c>
      <c r="I96" s="64">
        <v>1.55</v>
      </c>
      <c r="J96" s="64">
        <v>0.43</v>
      </c>
      <c r="K96" s="64">
        <v>71.39</v>
      </c>
      <c r="L96" s="64">
        <v>19.239999999999998</v>
      </c>
      <c r="M96" s="64">
        <v>71</v>
      </c>
      <c r="N96" s="64">
        <v>86.4</v>
      </c>
      <c r="O96" s="64">
        <v>0</v>
      </c>
      <c r="P96" s="64">
        <v>0.79</v>
      </c>
      <c r="Q96" s="64">
        <v>6.62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1295</v>
      </c>
      <c r="B97" s="64">
        <v>6.87</v>
      </c>
      <c r="C97" s="64">
        <v>67.61</v>
      </c>
      <c r="D97" s="64">
        <v>43.47</v>
      </c>
      <c r="E97" s="64">
        <v>0.31</v>
      </c>
      <c r="F97" s="64">
        <v>3.6</v>
      </c>
      <c r="G97" s="64">
        <v>65.16</v>
      </c>
      <c r="H97" s="64">
        <v>25.36</v>
      </c>
      <c r="I97" s="64">
        <v>1.51</v>
      </c>
      <c r="J97" s="64">
        <v>0.28999999999999998</v>
      </c>
      <c r="K97" s="64">
        <v>51.4</v>
      </c>
      <c r="L97" s="64">
        <v>19.39</v>
      </c>
      <c r="M97" s="64">
        <v>69.39</v>
      </c>
      <c r="N97" s="64">
        <v>95.7</v>
      </c>
      <c r="O97" s="64">
        <v>0</v>
      </c>
      <c r="P97" s="64">
        <v>0.78</v>
      </c>
      <c r="Q97" s="64">
        <v>6.61</v>
      </c>
      <c r="R97" s="198"/>
      <c r="S97" s="198"/>
      <c r="T97" s="198"/>
      <c r="U97" s="198"/>
    </row>
    <row r="98" spans="1:33" s="12" customFormat="1" x14ac:dyDescent="0.25">
      <c r="A98" s="213" t="s">
        <v>1296</v>
      </c>
      <c r="B98" s="64">
        <v>6.65</v>
      </c>
      <c r="C98" s="64">
        <v>66.930000000000007</v>
      </c>
      <c r="D98" s="64">
        <v>42.92</v>
      </c>
      <c r="E98" s="64">
        <v>0.25</v>
      </c>
      <c r="F98" s="64">
        <v>3.32</v>
      </c>
      <c r="G98" s="64">
        <v>65.16</v>
      </c>
      <c r="H98" s="64">
        <v>25.36</v>
      </c>
      <c r="I98" s="64">
        <v>1.53</v>
      </c>
      <c r="J98" s="64">
        <v>1.36</v>
      </c>
      <c r="K98" s="64">
        <v>102.26</v>
      </c>
      <c r="L98" s="64">
        <v>19.46</v>
      </c>
      <c r="M98" s="64">
        <v>68</v>
      </c>
      <c r="N98" s="64">
        <v>144.30000000000001</v>
      </c>
      <c r="O98" s="64">
        <v>0</v>
      </c>
      <c r="P98" s="64">
        <v>0.77</v>
      </c>
      <c r="Q98" s="64">
        <v>6.61</v>
      </c>
      <c r="R98" s="198"/>
      <c r="S98" s="198"/>
      <c r="T98" s="198"/>
      <c r="U98" s="198"/>
    </row>
    <row r="99" spans="1:33" s="12" customFormat="1" x14ac:dyDescent="0.25">
      <c r="A99" s="213" t="s">
        <v>1297</v>
      </c>
      <c r="B99" s="64">
        <v>6.09</v>
      </c>
      <c r="C99" s="64">
        <v>65.83</v>
      </c>
      <c r="D99" s="64">
        <v>41.87</v>
      </c>
      <c r="E99" s="64">
        <v>0.28000000000000003</v>
      </c>
      <c r="F99" s="64">
        <v>3.29</v>
      </c>
      <c r="G99" s="64">
        <v>66.760000000000005</v>
      </c>
      <c r="H99" s="64">
        <v>31.26</v>
      </c>
      <c r="I99" s="64">
        <v>1.47</v>
      </c>
      <c r="J99" s="64">
        <v>0.97</v>
      </c>
      <c r="K99" s="64">
        <v>96.8</v>
      </c>
      <c r="L99" s="64">
        <v>19.510000000000002</v>
      </c>
      <c r="M99" s="64">
        <v>67.569999999999993</v>
      </c>
      <c r="N99" s="64">
        <v>197.8</v>
      </c>
      <c r="O99" s="64">
        <v>0</v>
      </c>
      <c r="P99" s="64">
        <v>0.74</v>
      </c>
      <c r="Q99" s="64">
        <v>6.65</v>
      </c>
      <c r="R99" s="198"/>
      <c r="S99" s="198"/>
      <c r="T99" s="198"/>
      <c r="U99" s="198"/>
    </row>
    <row r="100" spans="1:33" s="12" customFormat="1" x14ac:dyDescent="0.25">
      <c r="A100" s="213" t="s">
        <v>1298</v>
      </c>
      <c r="B100" s="64">
        <v>5.63</v>
      </c>
      <c r="C100" s="64">
        <v>64.650000000000006</v>
      </c>
      <c r="D100" s="64">
        <v>40.840000000000003</v>
      </c>
      <c r="E100" s="64">
        <v>0.28000000000000003</v>
      </c>
      <c r="F100" s="64">
        <v>3.56</v>
      </c>
      <c r="G100" s="64">
        <v>67.180000000000007</v>
      </c>
      <c r="H100" s="64">
        <v>31.26</v>
      </c>
      <c r="I100" s="64">
        <v>1.45</v>
      </c>
      <c r="J100" s="64">
        <v>1.33</v>
      </c>
      <c r="K100" s="64">
        <v>103.79</v>
      </c>
      <c r="L100" s="64">
        <v>19.34</v>
      </c>
      <c r="M100" s="64">
        <v>68.73</v>
      </c>
      <c r="N100" s="64">
        <v>185</v>
      </c>
      <c r="O100" s="64">
        <v>0</v>
      </c>
      <c r="P100" s="64">
        <v>0.74</v>
      </c>
      <c r="Q100" s="64">
        <v>6.64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1299</v>
      </c>
      <c r="B101" s="64">
        <v>5.18</v>
      </c>
      <c r="C101" s="64">
        <v>63.21</v>
      </c>
      <c r="D101" s="64">
        <v>39.68</v>
      </c>
      <c r="E101" s="64">
        <v>0.31</v>
      </c>
      <c r="F101" s="64">
        <v>3.8</v>
      </c>
      <c r="G101" s="64">
        <v>67.180000000000007</v>
      </c>
      <c r="H101" s="64">
        <v>31.26</v>
      </c>
      <c r="I101" s="64">
        <v>1.42</v>
      </c>
      <c r="J101" s="64">
        <v>0.98</v>
      </c>
      <c r="K101" s="64">
        <v>102.31</v>
      </c>
      <c r="L101" s="64">
        <v>19.48</v>
      </c>
      <c r="M101" s="64">
        <v>66.5</v>
      </c>
      <c r="N101" s="64">
        <v>132.80000000000001</v>
      </c>
      <c r="O101" s="64">
        <v>0</v>
      </c>
      <c r="P101" s="64">
        <v>0.72</v>
      </c>
      <c r="Q101" s="64">
        <v>6.64</v>
      </c>
      <c r="R101" s="198"/>
      <c r="S101" s="198"/>
      <c r="T101" s="198"/>
      <c r="U101" s="198"/>
    </row>
    <row r="102" spans="1:33" s="12" customFormat="1" x14ac:dyDescent="0.25">
      <c r="A102" s="213" t="s">
        <v>1300</v>
      </c>
      <c r="B102" s="64">
        <v>4.82</v>
      </c>
      <c r="C102" s="64">
        <v>62.15</v>
      </c>
      <c r="D102" s="64">
        <v>38.81</v>
      </c>
      <c r="E102" s="64">
        <v>0.33</v>
      </c>
      <c r="F102" s="64">
        <v>3.55</v>
      </c>
      <c r="G102" s="64">
        <v>67.180000000000007</v>
      </c>
      <c r="H102" s="64">
        <v>31.26</v>
      </c>
      <c r="I102" s="64">
        <v>1.46</v>
      </c>
      <c r="J102" s="64">
        <v>0.92</v>
      </c>
      <c r="K102" s="64">
        <v>103.25</v>
      </c>
      <c r="L102" s="64">
        <v>19.47</v>
      </c>
      <c r="M102" s="64">
        <v>66.319999999999993</v>
      </c>
      <c r="N102" s="64">
        <v>129.19999999999999</v>
      </c>
      <c r="O102" s="64">
        <v>0</v>
      </c>
      <c r="P102" s="64">
        <v>0.7</v>
      </c>
      <c r="Q102" s="64">
        <v>6.61</v>
      </c>
      <c r="R102" s="198"/>
      <c r="S102" s="198"/>
      <c r="T102" s="198"/>
      <c r="U102" s="198"/>
    </row>
    <row r="103" spans="1:33" s="12" customFormat="1" x14ac:dyDescent="0.25">
      <c r="A103" s="213" t="s">
        <v>1301</v>
      </c>
      <c r="B103" s="64">
        <v>4.5999999999999996</v>
      </c>
      <c r="C103" s="64">
        <v>61.28</v>
      </c>
      <c r="D103" s="64">
        <v>38.15</v>
      </c>
      <c r="E103" s="64">
        <v>0.3</v>
      </c>
      <c r="F103" s="64">
        <v>3.35</v>
      </c>
      <c r="G103" s="64">
        <v>66.88</v>
      </c>
      <c r="H103" s="64">
        <v>27.78</v>
      </c>
      <c r="I103" s="64">
        <v>1.49</v>
      </c>
      <c r="J103" s="64">
        <v>0.88</v>
      </c>
      <c r="K103" s="64">
        <v>96.97</v>
      </c>
      <c r="L103" s="64">
        <v>19.37</v>
      </c>
      <c r="M103" s="64">
        <v>67.47</v>
      </c>
      <c r="N103" s="64">
        <v>133.69999999999999</v>
      </c>
      <c r="O103" s="64">
        <v>0</v>
      </c>
      <c r="P103" s="64">
        <v>0.68</v>
      </c>
      <c r="Q103" s="64">
        <v>6.63</v>
      </c>
      <c r="R103" s="198"/>
      <c r="S103" s="198"/>
      <c r="T103" s="198"/>
      <c r="U103" s="198"/>
    </row>
    <row r="104" spans="1:33" s="12" customFormat="1" x14ac:dyDescent="0.25">
      <c r="A104" s="213" t="s">
        <v>1302</v>
      </c>
      <c r="B104" s="64">
        <v>4.47</v>
      </c>
      <c r="C104" s="64">
        <v>60.3</v>
      </c>
      <c r="D104" s="64">
        <v>37.51</v>
      </c>
      <c r="E104" s="64">
        <v>0.23</v>
      </c>
      <c r="F104" s="64">
        <v>3.4</v>
      </c>
      <c r="G104" s="64">
        <v>66.81</v>
      </c>
      <c r="H104" s="64">
        <v>27.78</v>
      </c>
      <c r="I104" s="64">
        <v>1.44</v>
      </c>
      <c r="J104" s="64">
        <v>0.64</v>
      </c>
      <c r="K104" s="64">
        <v>91.55</v>
      </c>
      <c r="L104" s="64">
        <v>19.3</v>
      </c>
      <c r="M104" s="64">
        <v>67.760000000000005</v>
      </c>
      <c r="N104" s="64">
        <v>143.9</v>
      </c>
      <c r="O104" s="64">
        <v>0</v>
      </c>
      <c r="P104" s="64">
        <v>0.66</v>
      </c>
      <c r="Q104" s="64">
        <v>6.63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1.79</v>
      </c>
      <c r="C106" s="67">
        <f>MIN(C9:C104)</f>
        <v>53.71</v>
      </c>
      <c r="D106" s="67">
        <f t="shared" ref="D106:Q106" si="0">MIN(D9:D104)</f>
        <v>32.200000000000003</v>
      </c>
      <c r="E106" s="67">
        <f t="shared" si="0"/>
        <v>0.06</v>
      </c>
      <c r="F106" s="67">
        <f t="shared" si="0"/>
        <v>2.77</v>
      </c>
      <c r="G106" s="67">
        <f t="shared" si="0"/>
        <v>47.52</v>
      </c>
      <c r="H106" s="67">
        <f t="shared" si="0"/>
        <v>19.22</v>
      </c>
      <c r="I106" s="67">
        <f t="shared" si="0"/>
        <v>1.36</v>
      </c>
      <c r="J106" s="67">
        <f t="shared" si="0"/>
        <v>0</v>
      </c>
      <c r="K106" s="67">
        <f t="shared" si="0"/>
        <v>2.17</v>
      </c>
      <c r="L106" s="67">
        <f t="shared" si="0"/>
        <v>15.84</v>
      </c>
      <c r="M106" s="67">
        <f t="shared" si="0"/>
        <v>34.03</v>
      </c>
      <c r="N106" s="67">
        <f t="shared" si="0"/>
        <v>44.6</v>
      </c>
      <c r="O106" s="67">
        <f t="shared" si="0"/>
        <v>0</v>
      </c>
      <c r="P106" s="67">
        <f t="shared" si="0"/>
        <v>0.52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24.15</v>
      </c>
      <c r="C107" s="66">
        <f t="shared" ref="C107:Q107" si="1">MAX(C9:C104)</f>
        <v>70.260000000000005</v>
      </c>
      <c r="D107" s="66">
        <f t="shared" si="1"/>
        <v>55.85</v>
      </c>
      <c r="E107" s="66">
        <f t="shared" si="1"/>
        <v>0.39</v>
      </c>
      <c r="F107" s="66">
        <f t="shared" si="1"/>
        <v>5.67</v>
      </c>
      <c r="G107" s="66">
        <f t="shared" si="1"/>
        <v>99.93</v>
      </c>
      <c r="H107" s="66">
        <f t="shared" si="1"/>
        <v>42.63</v>
      </c>
      <c r="I107" s="66">
        <f t="shared" si="1"/>
        <v>1.59</v>
      </c>
      <c r="J107" s="66">
        <f t="shared" si="1"/>
        <v>2.42</v>
      </c>
      <c r="K107" s="66">
        <f t="shared" si="1"/>
        <v>359.29</v>
      </c>
      <c r="L107" s="66">
        <f t="shared" si="1"/>
        <v>30.9</v>
      </c>
      <c r="M107" s="66">
        <f t="shared" si="1"/>
        <v>83.38</v>
      </c>
      <c r="N107" s="66">
        <f t="shared" si="1"/>
        <v>728.6</v>
      </c>
      <c r="O107" s="66">
        <f t="shared" si="1"/>
        <v>0</v>
      </c>
      <c r="P107" s="66">
        <f t="shared" si="1"/>
        <v>0.93</v>
      </c>
      <c r="Q107" s="66">
        <f t="shared" si="1"/>
        <v>8.1999999999999993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7.1504166666666658</v>
      </c>
      <c r="C108" s="67">
        <f t="shared" ref="C108:Q108" si="2">AVERAGE(C9:C104)</f>
        <v>61.925416666666699</v>
      </c>
      <c r="D108" s="67">
        <f t="shared" si="2"/>
        <v>40.555312499999992</v>
      </c>
      <c r="E108" s="67">
        <f t="shared" si="2"/>
        <v>0.24781250000000002</v>
      </c>
      <c r="F108" s="67">
        <f t="shared" si="2"/>
        <v>3.9137500000000003</v>
      </c>
      <c r="G108" s="67">
        <f t="shared" si="2"/>
        <v>74.349374999999966</v>
      </c>
      <c r="H108" s="67">
        <f t="shared" si="2"/>
        <v>31.283958333333331</v>
      </c>
      <c r="I108" s="67">
        <f t="shared" si="2"/>
        <v>1.4962499999999996</v>
      </c>
      <c r="J108" s="67">
        <f t="shared" si="2"/>
        <v>0.49333333333333335</v>
      </c>
      <c r="K108" s="67">
        <f t="shared" si="2"/>
        <v>180.93312499999999</v>
      </c>
      <c r="L108" s="67">
        <f t="shared" si="2"/>
        <v>21.926354166666673</v>
      </c>
      <c r="M108" s="67">
        <f t="shared" si="2"/>
        <v>58.344374999999985</v>
      </c>
      <c r="N108" s="67">
        <f t="shared" si="2"/>
        <v>235.17812499999994</v>
      </c>
      <c r="O108" s="67">
        <f t="shared" si="2"/>
        <v>0</v>
      </c>
      <c r="P108" s="67">
        <f t="shared" si="2"/>
        <v>0.73614583333333317</v>
      </c>
      <c r="Q108" s="67">
        <f t="shared" si="2"/>
        <v>6.7209374999999971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6.7927834643084593</v>
      </c>
      <c r="C109" s="67">
        <f t="shared" ref="C109:Q109" si="3">STDEV(C9:C104)</f>
        <v>4.7488693206448005</v>
      </c>
      <c r="D109" s="67">
        <f t="shared" si="3"/>
        <v>6.8629335377389511</v>
      </c>
      <c r="E109" s="67">
        <f t="shared" si="3"/>
        <v>6.3415142222957188E-2</v>
      </c>
      <c r="F109" s="67">
        <f t="shared" si="3"/>
        <v>0.76749112801318364</v>
      </c>
      <c r="G109" s="67">
        <f t="shared" si="3"/>
        <v>13.861651972068275</v>
      </c>
      <c r="H109" s="67">
        <f t="shared" si="3"/>
        <v>5.8324923767255612</v>
      </c>
      <c r="I109" s="67">
        <f t="shared" si="3"/>
        <v>4.223368573220098E-2</v>
      </c>
      <c r="J109" s="67">
        <f t="shared" si="3"/>
        <v>0.45523311938220862</v>
      </c>
      <c r="K109" s="67">
        <f t="shared" si="3"/>
        <v>127.8515732716118</v>
      </c>
      <c r="L109" s="67">
        <f t="shared" si="3"/>
        <v>4.689083878607172</v>
      </c>
      <c r="M109" s="67">
        <f t="shared" si="3"/>
        <v>13.88098190160315</v>
      </c>
      <c r="N109" s="67">
        <f t="shared" si="3"/>
        <v>221.42484347046766</v>
      </c>
      <c r="O109" s="67">
        <f t="shared" si="3"/>
        <v>0</v>
      </c>
      <c r="P109" s="67">
        <f t="shared" si="3"/>
        <v>9.7876074079386727E-2</v>
      </c>
      <c r="Q109" s="67">
        <f t="shared" si="3"/>
        <v>0.78516384897479241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1303</v>
      </c>
      <c r="B9" s="64">
        <v>4.2300000000000004</v>
      </c>
      <c r="C9" s="64">
        <v>59.29</v>
      </c>
      <c r="D9" s="64">
        <v>36.75</v>
      </c>
      <c r="E9" s="64">
        <v>0.36</v>
      </c>
      <c r="F9" s="64">
        <v>3.75</v>
      </c>
      <c r="G9" s="64">
        <v>66.81</v>
      </c>
      <c r="H9" s="64">
        <v>27.78</v>
      </c>
      <c r="I9" s="64">
        <v>1.41</v>
      </c>
      <c r="J9" s="64">
        <v>0.38</v>
      </c>
      <c r="K9" s="64">
        <v>104.87</v>
      </c>
      <c r="L9" s="64">
        <v>19.11</v>
      </c>
      <c r="M9" s="64">
        <v>73.739999999999995</v>
      </c>
      <c r="N9" s="64">
        <v>150.5</v>
      </c>
      <c r="O9" s="64">
        <v>0.8</v>
      </c>
      <c r="P9" s="64">
        <v>0.65</v>
      </c>
      <c r="Q9" s="64">
        <v>6.62</v>
      </c>
      <c r="R9" s="198"/>
      <c r="S9" s="198"/>
      <c r="T9" s="198"/>
      <c r="U9" s="198"/>
    </row>
    <row r="10" spans="1:21" s="12" customFormat="1" x14ac:dyDescent="0.25">
      <c r="A10" s="213" t="s">
        <v>1304</v>
      </c>
      <c r="B10" s="64">
        <v>3.76</v>
      </c>
      <c r="C10" s="64">
        <v>58.47</v>
      </c>
      <c r="D10" s="64">
        <v>35.93</v>
      </c>
      <c r="E10" s="64">
        <v>0.35</v>
      </c>
      <c r="F10" s="64">
        <v>3.85</v>
      </c>
      <c r="G10" s="64">
        <v>66.81</v>
      </c>
      <c r="H10" s="64">
        <v>27.78</v>
      </c>
      <c r="I10" s="64">
        <v>1.5</v>
      </c>
      <c r="J10" s="64">
        <v>0.46</v>
      </c>
      <c r="K10" s="64">
        <v>85.57</v>
      </c>
      <c r="L10" s="64">
        <v>17.21</v>
      </c>
      <c r="M10" s="64">
        <v>91.35</v>
      </c>
      <c r="N10" s="64">
        <v>150</v>
      </c>
      <c r="O10" s="64">
        <v>0</v>
      </c>
      <c r="P10" s="64">
        <v>0.63</v>
      </c>
      <c r="Q10" s="64">
        <v>6.62</v>
      </c>
      <c r="R10" s="198"/>
      <c r="S10" s="198"/>
      <c r="T10" s="198"/>
      <c r="U10" s="198"/>
    </row>
    <row r="11" spans="1:21" s="12" customFormat="1" x14ac:dyDescent="0.25">
      <c r="A11" s="213" t="s">
        <v>1305</v>
      </c>
      <c r="B11" s="64">
        <v>3.71</v>
      </c>
      <c r="C11" s="64">
        <v>57.96</v>
      </c>
      <c r="D11" s="64">
        <v>35.61</v>
      </c>
      <c r="E11" s="64">
        <v>0.34</v>
      </c>
      <c r="F11" s="64">
        <v>3.39</v>
      </c>
      <c r="G11" s="64">
        <v>66.45</v>
      </c>
      <c r="H11" s="64">
        <v>26.26</v>
      </c>
      <c r="I11" s="64">
        <v>1.51</v>
      </c>
      <c r="J11" s="64">
        <v>0.2</v>
      </c>
      <c r="K11" s="64">
        <v>43.02</v>
      </c>
      <c r="L11" s="64">
        <v>16.7</v>
      </c>
      <c r="M11" s="64">
        <v>95.78</v>
      </c>
      <c r="N11" s="64">
        <v>149.4</v>
      </c>
      <c r="O11" s="64">
        <v>0.2</v>
      </c>
      <c r="P11" s="64">
        <v>0.62</v>
      </c>
      <c r="Q11" s="64">
        <v>6.63</v>
      </c>
      <c r="R11" s="198"/>
      <c r="S11" s="198"/>
      <c r="T11" s="198"/>
      <c r="U11" s="198"/>
    </row>
    <row r="12" spans="1:21" s="12" customFormat="1" x14ac:dyDescent="0.25">
      <c r="A12" s="213" t="s">
        <v>1306</v>
      </c>
      <c r="B12" s="64">
        <v>4.08</v>
      </c>
      <c r="C12" s="64">
        <v>57.45</v>
      </c>
      <c r="D12" s="64">
        <v>35.619999999999997</v>
      </c>
      <c r="E12" s="64">
        <v>0.32</v>
      </c>
      <c r="F12" s="64">
        <v>3.75</v>
      </c>
      <c r="G12" s="64">
        <v>66.349999999999994</v>
      </c>
      <c r="H12" s="64">
        <v>26.26</v>
      </c>
      <c r="I12" s="64">
        <v>1.45</v>
      </c>
      <c r="J12" s="64">
        <v>0.73</v>
      </c>
      <c r="K12" s="64">
        <v>102.34</v>
      </c>
      <c r="L12" s="64">
        <v>16.86</v>
      </c>
      <c r="M12" s="64">
        <v>92.53</v>
      </c>
      <c r="N12" s="64">
        <v>150.9</v>
      </c>
      <c r="O12" s="64">
        <v>0</v>
      </c>
      <c r="P12" s="64">
        <v>0.61</v>
      </c>
      <c r="Q12" s="64">
        <v>6.67</v>
      </c>
      <c r="R12" s="198"/>
      <c r="S12" s="198"/>
      <c r="T12" s="198"/>
      <c r="U12" s="198"/>
    </row>
    <row r="13" spans="1:21" s="12" customFormat="1" x14ac:dyDescent="0.25">
      <c r="A13" s="213" t="s">
        <v>1307</v>
      </c>
      <c r="B13" s="64">
        <v>4.32</v>
      </c>
      <c r="C13" s="64">
        <v>56.91</v>
      </c>
      <c r="D13" s="64">
        <v>35.520000000000003</v>
      </c>
      <c r="E13" s="64">
        <v>0.33</v>
      </c>
      <c r="F13" s="64">
        <v>3.69</v>
      </c>
      <c r="G13" s="64">
        <v>66.349999999999994</v>
      </c>
      <c r="H13" s="64">
        <v>26.26</v>
      </c>
      <c r="I13" s="64">
        <v>1.52</v>
      </c>
      <c r="J13" s="64">
        <v>0.37</v>
      </c>
      <c r="K13" s="64">
        <v>109.65</v>
      </c>
      <c r="L13" s="64">
        <v>17.09</v>
      </c>
      <c r="M13" s="64">
        <v>90.63</v>
      </c>
      <c r="N13" s="64">
        <v>142.9</v>
      </c>
      <c r="O13" s="64">
        <v>0</v>
      </c>
      <c r="P13" s="64">
        <v>0.56999999999999995</v>
      </c>
      <c r="Q13" s="64">
        <v>6.69</v>
      </c>
      <c r="R13" s="198"/>
      <c r="S13" s="198"/>
      <c r="T13" s="198"/>
      <c r="U13" s="198"/>
    </row>
    <row r="14" spans="1:21" s="12" customFormat="1" x14ac:dyDescent="0.25">
      <c r="A14" s="213" t="s">
        <v>1308</v>
      </c>
      <c r="B14" s="64">
        <v>4.3499999999999996</v>
      </c>
      <c r="C14" s="64">
        <v>54.62</v>
      </c>
      <c r="D14" s="64">
        <v>34.28</v>
      </c>
      <c r="E14" s="64">
        <v>0.36</v>
      </c>
      <c r="F14" s="64">
        <v>3.32</v>
      </c>
      <c r="G14" s="64">
        <v>66.349999999999994</v>
      </c>
      <c r="H14" s="64">
        <v>26.26</v>
      </c>
      <c r="I14" s="64">
        <v>1.46</v>
      </c>
      <c r="J14" s="64">
        <v>0.26</v>
      </c>
      <c r="K14" s="64">
        <v>64.05</v>
      </c>
      <c r="L14" s="64">
        <v>17.22</v>
      </c>
      <c r="M14" s="64">
        <v>89.84</v>
      </c>
      <c r="N14" s="64">
        <v>136.9</v>
      </c>
      <c r="O14" s="64">
        <v>0</v>
      </c>
      <c r="P14" s="64">
        <v>0.59</v>
      </c>
      <c r="Q14" s="64">
        <v>6.66</v>
      </c>
      <c r="R14" s="198"/>
      <c r="S14" s="198"/>
      <c r="T14" s="198"/>
      <c r="U14" s="198"/>
    </row>
    <row r="15" spans="1:21" s="12" customFormat="1" x14ac:dyDescent="0.25">
      <c r="A15" s="213" t="s">
        <v>1309</v>
      </c>
      <c r="B15" s="64">
        <v>4.22</v>
      </c>
      <c r="C15" s="64">
        <v>54.8</v>
      </c>
      <c r="D15" s="64">
        <v>34.270000000000003</v>
      </c>
      <c r="E15" s="64">
        <v>0.35</v>
      </c>
      <c r="F15" s="64">
        <v>3.37</v>
      </c>
      <c r="G15" s="64">
        <v>65.52</v>
      </c>
      <c r="H15" s="64">
        <v>28.73</v>
      </c>
      <c r="I15" s="64">
        <v>1.51</v>
      </c>
      <c r="J15" s="64">
        <v>0.83</v>
      </c>
      <c r="K15" s="64">
        <v>102.68</v>
      </c>
      <c r="L15" s="64">
        <v>17.350000000000001</v>
      </c>
      <c r="M15" s="64">
        <v>87.5</v>
      </c>
      <c r="N15" s="64">
        <v>137.69999999999999</v>
      </c>
      <c r="O15" s="64">
        <v>0</v>
      </c>
      <c r="P15" s="64">
        <v>0.56999999999999995</v>
      </c>
      <c r="Q15" s="64">
        <v>6.68</v>
      </c>
      <c r="R15" s="198"/>
      <c r="S15" s="198"/>
      <c r="T15" s="198"/>
      <c r="U15" s="198"/>
    </row>
    <row r="16" spans="1:21" s="12" customFormat="1" x14ac:dyDescent="0.25">
      <c r="A16" s="213" t="s">
        <v>1310</v>
      </c>
      <c r="B16" s="64">
        <v>4.08</v>
      </c>
      <c r="C16" s="64">
        <v>54.59</v>
      </c>
      <c r="D16" s="64">
        <v>34.04</v>
      </c>
      <c r="E16" s="64">
        <v>0.36</v>
      </c>
      <c r="F16" s="64">
        <v>3.44</v>
      </c>
      <c r="G16" s="64">
        <v>65.3</v>
      </c>
      <c r="H16" s="64">
        <v>28.73</v>
      </c>
      <c r="I16" s="64">
        <v>1.46</v>
      </c>
      <c r="J16" s="64">
        <v>0.17</v>
      </c>
      <c r="K16" s="64">
        <v>42.97</v>
      </c>
      <c r="L16" s="64">
        <v>17.34</v>
      </c>
      <c r="M16" s="64">
        <v>90.27</v>
      </c>
      <c r="N16" s="64">
        <v>144.4</v>
      </c>
      <c r="O16" s="64">
        <v>0</v>
      </c>
      <c r="P16" s="64">
        <v>0.56000000000000005</v>
      </c>
      <c r="Q16" s="64">
        <v>6.71</v>
      </c>
      <c r="R16" s="198"/>
      <c r="S16" s="198"/>
      <c r="T16" s="198"/>
      <c r="U16" s="198"/>
    </row>
    <row r="17" spans="1:21" s="12" customFormat="1" x14ac:dyDescent="0.25">
      <c r="A17" s="213" t="s">
        <v>1311</v>
      </c>
      <c r="B17" s="64">
        <v>3.96</v>
      </c>
      <c r="C17" s="64">
        <v>54.42</v>
      </c>
      <c r="D17" s="64">
        <v>33.86</v>
      </c>
      <c r="E17" s="64">
        <v>0.34</v>
      </c>
      <c r="F17" s="64">
        <v>3.49</v>
      </c>
      <c r="G17" s="64">
        <v>65.3</v>
      </c>
      <c r="H17" s="64">
        <v>28.73</v>
      </c>
      <c r="I17" s="64">
        <v>1.49</v>
      </c>
      <c r="J17" s="64">
        <v>0.39</v>
      </c>
      <c r="K17" s="64">
        <v>98.87</v>
      </c>
      <c r="L17" s="64">
        <v>17.38</v>
      </c>
      <c r="M17" s="64">
        <v>88.97</v>
      </c>
      <c r="N17" s="64">
        <v>148.30000000000001</v>
      </c>
      <c r="O17" s="64">
        <v>0</v>
      </c>
      <c r="P17" s="64">
        <v>0.55000000000000004</v>
      </c>
      <c r="Q17" s="64">
        <v>6.69</v>
      </c>
      <c r="R17" s="198"/>
      <c r="S17" s="198"/>
      <c r="T17" s="198"/>
      <c r="U17" s="198"/>
    </row>
    <row r="18" spans="1:21" s="12" customFormat="1" x14ac:dyDescent="0.25">
      <c r="A18" s="213" t="s">
        <v>1312</v>
      </c>
      <c r="B18" s="64">
        <v>3.86</v>
      </c>
      <c r="C18" s="64">
        <v>54.09</v>
      </c>
      <c r="D18" s="64">
        <v>33.590000000000003</v>
      </c>
      <c r="E18" s="64">
        <v>0.32</v>
      </c>
      <c r="F18" s="64">
        <v>3.71</v>
      </c>
      <c r="G18" s="64">
        <v>65.3</v>
      </c>
      <c r="H18" s="64">
        <v>28.73</v>
      </c>
      <c r="I18" s="64">
        <v>1.46</v>
      </c>
      <c r="J18" s="64">
        <v>0.27</v>
      </c>
      <c r="K18" s="64">
        <v>348.61</v>
      </c>
      <c r="L18" s="64">
        <v>17.21</v>
      </c>
      <c r="M18" s="64">
        <v>90.91</v>
      </c>
      <c r="N18" s="64">
        <v>152.1</v>
      </c>
      <c r="O18" s="64">
        <v>0</v>
      </c>
      <c r="P18" s="64">
        <v>0.55000000000000004</v>
      </c>
      <c r="Q18" s="64">
        <v>6.61</v>
      </c>
      <c r="R18" s="198"/>
      <c r="S18" s="198"/>
      <c r="T18" s="198"/>
      <c r="U18" s="198"/>
    </row>
    <row r="19" spans="1:21" s="12" customFormat="1" x14ac:dyDescent="0.25">
      <c r="A19" s="213" t="s">
        <v>1313</v>
      </c>
      <c r="B19" s="64">
        <v>4.01</v>
      </c>
      <c r="C19" s="64">
        <v>53.69</v>
      </c>
      <c r="D19" s="64">
        <v>33.49</v>
      </c>
      <c r="E19" s="64">
        <v>0.32</v>
      </c>
      <c r="F19" s="64">
        <v>3.47</v>
      </c>
      <c r="G19" s="64">
        <v>60.37</v>
      </c>
      <c r="H19" s="64">
        <v>30.71</v>
      </c>
      <c r="I19" s="64">
        <v>1.42</v>
      </c>
      <c r="J19" s="64">
        <v>0.19</v>
      </c>
      <c r="K19" s="64">
        <v>355.13</v>
      </c>
      <c r="L19" s="64">
        <v>16.88</v>
      </c>
      <c r="M19" s="64">
        <v>93.91</v>
      </c>
      <c r="N19" s="64">
        <v>137.30000000000001</v>
      </c>
      <c r="O19" s="64">
        <v>0</v>
      </c>
      <c r="P19" s="64">
        <v>0.54</v>
      </c>
      <c r="Q19" s="64">
        <v>6.63</v>
      </c>
      <c r="R19" s="198"/>
      <c r="S19" s="198"/>
      <c r="T19" s="198"/>
      <c r="U19" s="198"/>
    </row>
    <row r="20" spans="1:21" s="12" customFormat="1" x14ac:dyDescent="0.25">
      <c r="A20" s="213" t="s">
        <v>1314</v>
      </c>
      <c r="B20" s="64">
        <v>4.16</v>
      </c>
      <c r="C20" s="64">
        <v>53.53</v>
      </c>
      <c r="D20" s="64">
        <v>33.520000000000003</v>
      </c>
      <c r="E20" s="64">
        <v>0.28999999999999998</v>
      </c>
      <c r="F20" s="64">
        <v>3.3</v>
      </c>
      <c r="G20" s="64">
        <v>59.05</v>
      </c>
      <c r="H20" s="64">
        <v>30.71</v>
      </c>
      <c r="I20" s="64">
        <v>1.49</v>
      </c>
      <c r="J20" s="64">
        <v>0.19</v>
      </c>
      <c r="K20" s="64">
        <v>25.29</v>
      </c>
      <c r="L20" s="64">
        <v>16.600000000000001</v>
      </c>
      <c r="M20" s="64">
        <v>96.45</v>
      </c>
      <c r="N20" s="64">
        <v>138.1</v>
      </c>
      <c r="O20" s="64">
        <v>0</v>
      </c>
      <c r="P20" s="64">
        <v>0.54</v>
      </c>
      <c r="Q20" s="64">
        <v>6.63</v>
      </c>
      <c r="R20" s="198"/>
      <c r="S20" s="198"/>
      <c r="T20" s="198"/>
      <c r="U20" s="198"/>
    </row>
    <row r="21" spans="1:21" s="12" customFormat="1" x14ac:dyDescent="0.25">
      <c r="A21" s="213" t="s">
        <v>1315</v>
      </c>
      <c r="B21" s="64">
        <v>4.1900000000000004</v>
      </c>
      <c r="C21" s="64">
        <v>53.33</v>
      </c>
      <c r="D21" s="64">
        <v>33.44</v>
      </c>
      <c r="E21" s="64">
        <v>0.26</v>
      </c>
      <c r="F21" s="64">
        <v>3.42</v>
      </c>
      <c r="G21" s="64">
        <v>59.05</v>
      </c>
      <c r="H21" s="64">
        <v>30.71</v>
      </c>
      <c r="I21" s="64">
        <v>1.52</v>
      </c>
      <c r="J21" s="64">
        <v>0.25</v>
      </c>
      <c r="K21" s="64">
        <v>58.76</v>
      </c>
      <c r="L21" s="64">
        <v>16.579999999999998</v>
      </c>
      <c r="M21" s="64">
        <v>94.01</v>
      </c>
      <c r="N21" s="64">
        <v>140.19999999999999</v>
      </c>
      <c r="O21" s="64">
        <v>0</v>
      </c>
      <c r="P21" s="64">
        <v>0.53</v>
      </c>
      <c r="Q21" s="64">
        <v>6.61</v>
      </c>
      <c r="R21" s="198"/>
      <c r="S21" s="198"/>
      <c r="T21" s="198"/>
      <c r="U21" s="198"/>
    </row>
    <row r="22" spans="1:21" s="12" customFormat="1" x14ac:dyDescent="0.25">
      <c r="A22" s="213" t="s">
        <v>1316</v>
      </c>
      <c r="B22" s="64">
        <v>4.1399999999999997</v>
      </c>
      <c r="C22" s="64">
        <v>52.6</v>
      </c>
      <c r="D22" s="64">
        <v>33</v>
      </c>
      <c r="E22" s="64">
        <v>0.28999999999999998</v>
      </c>
      <c r="F22" s="64">
        <v>3.58</v>
      </c>
      <c r="G22" s="64">
        <v>59.05</v>
      </c>
      <c r="H22" s="64">
        <v>30.71</v>
      </c>
      <c r="I22" s="64">
        <v>1.43</v>
      </c>
      <c r="J22" s="64">
        <v>0.4</v>
      </c>
      <c r="K22" s="64">
        <v>87.62</v>
      </c>
      <c r="L22" s="64">
        <v>16.61</v>
      </c>
      <c r="M22" s="64">
        <v>93.36</v>
      </c>
      <c r="N22" s="64">
        <v>142.80000000000001</v>
      </c>
      <c r="O22" s="64">
        <v>0</v>
      </c>
      <c r="P22" s="64">
        <v>0.52</v>
      </c>
      <c r="Q22" s="64">
        <v>6.55</v>
      </c>
      <c r="R22" s="198"/>
      <c r="S22" s="198"/>
      <c r="T22" s="198"/>
      <c r="U22" s="198"/>
    </row>
    <row r="23" spans="1:21" s="12" customFormat="1" x14ac:dyDescent="0.25">
      <c r="A23" s="213" t="s">
        <v>1317</v>
      </c>
      <c r="B23" s="64">
        <v>4.03</v>
      </c>
      <c r="C23" s="64">
        <v>52.68</v>
      </c>
      <c r="D23" s="64">
        <v>32.950000000000003</v>
      </c>
      <c r="E23" s="64">
        <v>0.28000000000000003</v>
      </c>
      <c r="F23" s="64">
        <v>3.7</v>
      </c>
      <c r="G23" s="64">
        <v>56.83</v>
      </c>
      <c r="H23" s="64">
        <v>31.13</v>
      </c>
      <c r="I23" s="64">
        <v>1.56</v>
      </c>
      <c r="J23" s="64">
        <v>0.75</v>
      </c>
      <c r="K23" s="64">
        <v>99.41</v>
      </c>
      <c r="L23" s="64">
        <v>16.350000000000001</v>
      </c>
      <c r="M23" s="64">
        <v>94.56</v>
      </c>
      <c r="N23" s="64">
        <v>145.19999999999999</v>
      </c>
      <c r="O23" s="64">
        <v>0</v>
      </c>
      <c r="P23" s="64">
        <v>0.51</v>
      </c>
      <c r="Q23" s="64">
        <v>6.49</v>
      </c>
      <c r="R23" s="198"/>
      <c r="S23" s="198"/>
      <c r="T23" s="198"/>
      <c r="U23" s="198"/>
    </row>
    <row r="24" spans="1:21" s="12" customFormat="1" x14ac:dyDescent="0.25">
      <c r="A24" s="213" t="s">
        <v>1318</v>
      </c>
      <c r="B24" s="64">
        <v>3.85</v>
      </c>
      <c r="C24" s="64">
        <v>52.31</v>
      </c>
      <c r="D24" s="64">
        <v>32.6</v>
      </c>
      <c r="E24" s="64">
        <v>0.1</v>
      </c>
      <c r="F24" s="64">
        <v>3.63</v>
      </c>
      <c r="G24" s="64">
        <v>56.24</v>
      </c>
      <c r="H24" s="64">
        <v>31.13</v>
      </c>
      <c r="I24" s="64">
        <v>1.59</v>
      </c>
      <c r="J24" s="64">
        <v>1.22</v>
      </c>
      <c r="K24" s="64">
        <v>103.25</v>
      </c>
      <c r="L24" s="64">
        <v>16.16</v>
      </c>
      <c r="M24" s="64">
        <v>95.01</v>
      </c>
      <c r="N24" s="64">
        <v>145.80000000000001</v>
      </c>
      <c r="O24" s="64">
        <v>0</v>
      </c>
      <c r="P24" s="64">
        <v>0.5</v>
      </c>
      <c r="Q24" s="64">
        <v>6.39</v>
      </c>
      <c r="R24" s="198"/>
      <c r="S24" s="198"/>
      <c r="T24" s="198"/>
      <c r="U24" s="198"/>
    </row>
    <row r="25" spans="1:21" s="12" customFormat="1" x14ac:dyDescent="0.25">
      <c r="A25" s="213" t="s">
        <v>1319</v>
      </c>
      <c r="B25" s="64">
        <v>3.64</v>
      </c>
      <c r="C25" s="64">
        <v>51.29</v>
      </c>
      <c r="D25" s="64">
        <v>31.88</v>
      </c>
      <c r="E25" s="64">
        <v>0.14000000000000001</v>
      </c>
      <c r="F25" s="64">
        <v>3.68</v>
      </c>
      <c r="G25" s="64">
        <v>56.24</v>
      </c>
      <c r="H25" s="64">
        <v>31.13</v>
      </c>
      <c r="I25" s="64">
        <v>1.55</v>
      </c>
      <c r="J25" s="64">
        <v>0.74</v>
      </c>
      <c r="K25" s="64">
        <v>94</v>
      </c>
      <c r="L25" s="64">
        <v>16.14</v>
      </c>
      <c r="M25" s="64">
        <v>94.54</v>
      </c>
      <c r="N25" s="64">
        <v>144.9</v>
      </c>
      <c r="O25" s="64">
        <v>0</v>
      </c>
      <c r="P25" s="64">
        <v>0.5</v>
      </c>
      <c r="Q25" s="64">
        <v>6.22</v>
      </c>
      <c r="R25" s="198"/>
      <c r="S25" s="198"/>
      <c r="T25" s="198"/>
      <c r="U25" s="198"/>
    </row>
    <row r="26" spans="1:21" s="12" customFormat="1" x14ac:dyDescent="0.25">
      <c r="A26" s="213" t="s">
        <v>1320</v>
      </c>
      <c r="B26" s="64">
        <v>3.47</v>
      </c>
      <c r="C26" s="64">
        <v>51</v>
      </c>
      <c r="D26" s="64">
        <v>31.57</v>
      </c>
      <c r="E26" s="64">
        <v>0.13</v>
      </c>
      <c r="F26" s="64">
        <v>3.7</v>
      </c>
      <c r="G26" s="64">
        <v>56.24</v>
      </c>
      <c r="H26" s="64">
        <v>31.13</v>
      </c>
      <c r="I26" s="64">
        <v>1.53</v>
      </c>
      <c r="J26" s="64">
        <v>0.68</v>
      </c>
      <c r="K26" s="64">
        <v>102.11</v>
      </c>
      <c r="L26" s="64">
        <v>16.059999999999999</v>
      </c>
      <c r="M26" s="64">
        <v>95.81</v>
      </c>
      <c r="N26" s="64">
        <v>148.5</v>
      </c>
      <c r="O26" s="64">
        <v>0</v>
      </c>
      <c r="P26" s="64">
        <v>0.49</v>
      </c>
      <c r="Q26" s="64">
        <v>6.1</v>
      </c>
      <c r="R26" s="198"/>
      <c r="S26" s="198"/>
      <c r="T26" s="198"/>
      <c r="U26" s="198"/>
    </row>
    <row r="27" spans="1:21" s="12" customFormat="1" x14ac:dyDescent="0.25">
      <c r="A27" s="213" t="s">
        <v>1321</v>
      </c>
      <c r="B27" s="64">
        <v>3.48</v>
      </c>
      <c r="C27" s="64">
        <v>51.15</v>
      </c>
      <c r="D27" s="64">
        <v>31.67</v>
      </c>
      <c r="E27" s="64">
        <v>0.21</v>
      </c>
      <c r="F27" s="64">
        <v>3.71</v>
      </c>
      <c r="G27" s="64">
        <v>53.63</v>
      </c>
      <c r="H27" s="64">
        <v>27.24</v>
      </c>
      <c r="I27" s="64">
        <v>1.4</v>
      </c>
      <c r="J27" s="64">
        <v>0.86</v>
      </c>
      <c r="K27" s="64">
        <v>107.54</v>
      </c>
      <c r="L27" s="64">
        <v>16.02</v>
      </c>
      <c r="M27" s="64">
        <v>95.78</v>
      </c>
      <c r="N27" s="64">
        <v>151.30000000000001</v>
      </c>
      <c r="O27" s="64">
        <v>0</v>
      </c>
      <c r="P27" s="64">
        <v>0.5</v>
      </c>
      <c r="Q27" s="64">
        <v>6.09</v>
      </c>
      <c r="R27" s="198"/>
      <c r="S27" s="198"/>
      <c r="T27" s="198"/>
      <c r="U27" s="198"/>
    </row>
    <row r="28" spans="1:21" s="12" customFormat="1" x14ac:dyDescent="0.25">
      <c r="A28" s="213" t="s">
        <v>1322</v>
      </c>
      <c r="B28" s="64">
        <v>3.71</v>
      </c>
      <c r="C28" s="64">
        <v>51.62</v>
      </c>
      <c r="D28" s="64">
        <v>32.11</v>
      </c>
      <c r="E28" s="64">
        <v>0.21</v>
      </c>
      <c r="F28" s="64">
        <v>3.49</v>
      </c>
      <c r="G28" s="64">
        <v>52.93</v>
      </c>
      <c r="H28" s="64">
        <v>27.24</v>
      </c>
      <c r="I28" s="64">
        <v>1.56</v>
      </c>
      <c r="J28" s="64">
        <v>0.19</v>
      </c>
      <c r="K28" s="64">
        <v>57.62</v>
      </c>
      <c r="L28" s="64">
        <v>16.04</v>
      </c>
      <c r="M28" s="64">
        <v>95.98</v>
      </c>
      <c r="N28" s="64">
        <v>177.2</v>
      </c>
      <c r="O28" s="64">
        <v>0</v>
      </c>
      <c r="P28" s="64">
        <v>0.49</v>
      </c>
      <c r="Q28" s="64">
        <v>6.14</v>
      </c>
      <c r="R28" s="198"/>
      <c r="S28" s="198"/>
      <c r="T28" s="198"/>
      <c r="U28" s="198"/>
    </row>
    <row r="29" spans="1:21" s="12" customFormat="1" x14ac:dyDescent="0.25">
      <c r="A29" s="213" t="s">
        <v>1323</v>
      </c>
      <c r="B29" s="64">
        <v>4.26</v>
      </c>
      <c r="C29" s="64">
        <v>53.14</v>
      </c>
      <c r="D29" s="64">
        <v>33.39</v>
      </c>
      <c r="E29" s="64">
        <v>0.2</v>
      </c>
      <c r="F29" s="64">
        <v>3.11</v>
      </c>
      <c r="G29" s="64">
        <v>52.93</v>
      </c>
      <c r="H29" s="64">
        <v>27.24</v>
      </c>
      <c r="I29" s="64">
        <v>1.51</v>
      </c>
      <c r="J29" s="64">
        <v>0.22</v>
      </c>
      <c r="K29" s="64">
        <v>67.48</v>
      </c>
      <c r="L29" s="64">
        <v>15.99</v>
      </c>
      <c r="M29" s="64">
        <v>96.28</v>
      </c>
      <c r="N29" s="64">
        <v>162</v>
      </c>
      <c r="O29" s="64">
        <v>0</v>
      </c>
      <c r="P29" s="64">
        <v>0.48</v>
      </c>
      <c r="Q29" s="64">
        <v>6.39</v>
      </c>
      <c r="R29" s="198"/>
      <c r="S29" s="198"/>
      <c r="T29" s="198"/>
      <c r="U29" s="198"/>
    </row>
    <row r="30" spans="1:21" s="12" customFormat="1" x14ac:dyDescent="0.25">
      <c r="A30" s="213" t="s">
        <v>1324</v>
      </c>
      <c r="B30" s="64">
        <v>4.8600000000000003</v>
      </c>
      <c r="C30" s="64">
        <v>53.75</v>
      </c>
      <c r="D30" s="64">
        <v>34.21</v>
      </c>
      <c r="E30" s="64">
        <v>0.18</v>
      </c>
      <c r="F30" s="64">
        <v>3.25</v>
      </c>
      <c r="G30" s="64">
        <v>52.93</v>
      </c>
      <c r="H30" s="64">
        <v>27.24</v>
      </c>
      <c r="I30" s="64">
        <v>1.5</v>
      </c>
      <c r="J30" s="64">
        <v>0.57999999999999996</v>
      </c>
      <c r="K30" s="64">
        <v>102.29</v>
      </c>
      <c r="L30" s="64">
        <v>15.91</v>
      </c>
      <c r="M30" s="64">
        <v>96.26</v>
      </c>
      <c r="N30" s="64">
        <v>141.80000000000001</v>
      </c>
      <c r="O30" s="64">
        <v>0</v>
      </c>
      <c r="P30" s="64">
        <v>0.49</v>
      </c>
      <c r="Q30" s="64">
        <v>6.59</v>
      </c>
      <c r="R30" s="198"/>
      <c r="S30" s="198"/>
      <c r="T30" s="198"/>
      <c r="U30" s="198"/>
    </row>
    <row r="31" spans="1:21" s="12" customFormat="1" x14ac:dyDescent="0.25">
      <c r="A31" s="213" t="s">
        <v>1325</v>
      </c>
      <c r="B31" s="64">
        <v>5.21</v>
      </c>
      <c r="C31" s="64">
        <v>53.95</v>
      </c>
      <c r="D31" s="64">
        <v>34.6</v>
      </c>
      <c r="E31" s="64">
        <v>0.18</v>
      </c>
      <c r="F31" s="64">
        <v>3.19</v>
      </c>
      <c r="G31" s="64">
        <v>51.67</v>
      </c>
      <c r="H31" s="64">
        <v>26.16</v>
      </c>
      <c r="I31" s="64">
        <v>1.49</v>
      </c>
      <c r="J31" s="64">
        <v>0.38</v>
      </c>
      <c r="K31" s="64">
        <v>84.67</v>
      </c>
      <c r="L31" s="64">
        <v>15.89</v>
      </c>
      <c r="M31" s="64">
        <v>97.05</v>
      </c>
      <c r="N31" s="64">
        <v>140.4</v>
      </c>
      <c r="O31" s="64">
        <v>0</v>
      </c>
      <c r="P31" s="64">
        <v>0.49</v>
      </c>
      <c r="Q31" s="64">
        <v>6.68</v>
      </c>
      <c r="R31" s="198"/>
      <c r="S31" s="198"/>
      <c r="T31" s="198"/>
      <c r="U31" s="198"/>
    </row>
    <row r="32" spans="1:21" s="12" customFormat="1" x14ac:dyDescent="0.25">
      <c r="A32" s="213" t="s">
        <v>1326</v>
      </c>
      <c r="B32" s="64">
        <v>5.66</v>
      </c>
      <c r="C32" s="64">
        <v>54.04</v>
      </c>
      <c r="D32" s="64">
        <v>35.01</v>
      </c>
      <c r="E32" s="64">
        <v>0.18</v>
      </c>
      <c r="F32" s="64">
        <v>3.04</v>
      </c>
      <c r="G32" s="64">
        <v>51.33</v>
      </c>
      <c r="H32" s="64">
        <v>26.16</v>
      </c>
      <c r="I32" s="64">
        <v>1.54</v>
      </c>
      <c r="J32" s="64">
        <v>0.35</v>
      </c>
      <c r="K32" s="64">
        <v>89.98</v>
      </c>
      <c r="L32" s="64">
        <v>16.02</v>
      </c>
      <c r="M32" s="64">
        <v>97.24</v>
      </c>
      <c r="N32" s="64">
        <v>164</v>
      </c>
      <c r="O32" s="64">
        <v>0</v>
      </c>
      <c r="P32" s="64">
        <v>0.48</v>
      </c>
      <c r="Q32" s="64">
        <v>6.76</v>
      </c>
      <c r="R32" s="198"/>
      <c r="S32" s="198"/>
      <c r="T32" s="198"/>
      <c r="U32" s="198"/>
    </row>
    <row r="33" spans="1:21" s="12" customFormat="1" x14ac:dyDescent="0.25">
      <c r="A33" s="213" t="s">
        <v>1327</v>
      </c>
      <c r="B33" s="64">
        <v>6.33</v>
      </c>
      <c r="C33" s="64">
        <v>54.66</v>
      </c>
      <c r="D33" s="64">
        <v>35.880000000000003</v>
      </c>
      <c r="E33" s="64">
        <v>0.18</v>
      </c>
      <c r="F33" s="64">
        <v>3</v>
      </c>
      <c r="G33" s="64">
        <v>51.33</v>
      </c>
      <c r="H33" s="64">
        <v>26.16</v>
      </c>
      <c r="I33" s="64">
        <v>1.52</v>
      </c>
      <c r="J33" s="64">
        <v>0.27</v>
      </c>
      <c r="K33" s="64">
        <v>25.2</v>
      </c>
      <c r="L33" s="64">
        <v>16.09</v>
      </c>
      <c r="M33" s="64">
        <v>97.4</v>
      </c>
      <c r="N33" s="64">
        <v>149.4</v>
      </c>
      <c r="O33" s="64">
        <v>0</v>
      </c>
      <c r="P33" s="64">
        <v>0.48</v>
      </c>
      <c r="Q33" s="64">
        <v>6.8</v>
      </c>
      <c r="R33" s="198"/>
      <c r="S33" s="198"/>
      <c r="T33" s="198"/>
      <c r="U33" s="198"/>
    </row>
    <row r="34" spans="1:21" s="12" customFormat="1" x14ac:dyDescent="0.25">
      <c r="A34" s="213" t="s">
        <v>1328</v>
      </c>
      <c r="B34" s="64">
        <v>7.2</v>
      </c>
      <c r="C34" s="64">
        <v>55.21</v>
      </c>
      <c r="D34" s="64">
        <v>36.89</v>
      </c>
      <c r="E34" s="64">
        <v>0.17</v>
      </c>
      <c r="F34" s="64">
        <v>3.02</v>
      </c>
      <c r="G34" s="64">
        <v>51.33</v>
      </c>
      <c r="H34" s="64">
        <v>26.16</v>
      </c>
      <c r="I34" s="64">
        <v>1.54</v>
      </c>
      <c r="J34" s="64">
        <v>0.41</v>
      </c>
      <c r="K34" s="64">
        <v>350.28</v>
      </c>
      <c r="L34" s="64">
        <v>16.09</v>
      </c>
      <c r="M34" s="64">
        <v>97.59</v>
      </c>
      <c r="N34" s="64">
        <v>191.8</v>
      </c>
      <c r="O34" s="64">
        <v>0</v>
      </c>
      <c r="P34" s="64">
        <v>0.49</v>
      </c>
      <c r="Q34" s="64">
        <v>6.83</v>
      </c>
      <c r="R34" s="198"/>
      <c r="S34" s="198"/>
      <c r="T34" s="198"/>
      <c r="U34" s="198"/>
    </row>
    <row r="35" spans="1:21" s="12" customFormat="1" x14ac:dyDescent="0.25">
      <c r="A35" s="213" t="s">
        <v>1329</v>
      </c>
      <c r="B35" s="64">
        <v>8.5299999999999994</v>
      </c>
      <c r="C35" s="64">
        <v>55.95</v>
      </c>
      <c r="D35" s="64">
        <v>38.369999999999997</v>
      </c>
      <c r="E35" s="64">
        <v>0.18</v>
      </c>
      <c r="F35" s="64">
        <v>3.29</v>
      </c>
      <c r="G35" s="64">
        <v>52.86</v>
      </c>
      <c r="H35" s="64">
        <v>28.25</v>
      </c>
      <c r="I35" s="64">
        <v>1.55</v>
      </c>
      <c r="J35" s="64">
        <v>0.5</v>
      </c>
      <c r="K35" s="64">
        <v>353.1</v>
      </c>
      <c r="L35" s="64">
        <v>16.260000000000002</v>
      </c>
      <c r="M35" s="64">
        <v>97.55</v>
      </c>
      <c r="N35" s="64">
        <v>202.7</v>
      </c>
      <c r="O35" s="64">
        <v>0</v>
      </c>
      <c r="P35" s="64">
        <v>0.5</v>
      </c>
      <c r="Q35" s="64">
        <v>6.9</v>
      </c>
      <c r="R35" s="198"/>
      <c r="S35" s="198"/>
      <c r="T35" s="198"/>
      <c r="U35" s="198"/>
    </row>
    <row r="36" spans="1:21" s="12" customFormat="1" x14ac:dyDescent="0.25">
      <c r="A36" s="213" t="s">
        <v>1330</v>
      </c>
      <c r="B36" s="64">
        <v>9.8699999999999992</v>
      </c>
      <c r="C36" s="64">
        <v>56.49</v>
      </c>
      <c r="D36" s="64">
        <v>39.729999999999997</v>
      </c>
      <c r="E36" s="64">
        <v>0.23</v>
      </c>
      <c r="F36" s="64">
        <v>3.23</v>
      </c>
      <c r="G36" s="64">
        <v>53.26</v>
      </c>
      <c r="H36" s="64">
        <v>28.25</v>
      </c>
      <c r="I36" s="64">
        <v>1.5</v>
      </c>
      <c r="J36" s="64">
        <v>0.46</v>
      </c>
      <c r="K36" s="64">
        <v>348.04</v>
      </c>
      <c r="L36" s="64">
        <v>16.2</v>
      </c>
      <c r="M36" s="64">
        <v>97.79</v>
      </c>
      <c r="N36" s="64">
        <v>221.4</v>
      </c>
      <c r="O36" s="64">
        <v>0</v>
      </c>
      <c r="P36" s="64">
        <v>0.51</v>
      </c>
      <c r="Q36" s="64">
        <v>6.96</v>
      </c>
      <c r="R36" s="198"/>
      <c r="S36" s="198"/>
      <c r="T36" s="198"/>
      <c r="U36" s="198"/>
    </row>
    <row r="37" spans="1:21" s="12" customFormat="1" x14ac:dyDescent="0.25">
      <c r="A37" s="213" t="s">
        <v>1331</v>
      </c>
      <c r="B37" s="64">
        <v>11.17</v>
      </c>
      <c r="C37" s="64">
        <v>57.14</v>
      </c>
      <c r="D37" s="64">
        <v>41.14</v>
      </c>
      <c r="E37" s="64">
        <v>0.2</v>
      </c>
      <c r="F37" s="64">
        <v>3.06</v>
      </c>
      <c r="G37" s="64">
        <v>53.26</v>
      </c>
      <c r="H37" s="64">
        <v>28.25</v>
      </c>
      <c r="I37" s="64">
        <v>1.5</v>
      </c>
      <c r="J37" s="64">
        <v>0.41</v>
      </c>
      <c r="K37" s="64">
        <v>349.88</v>
      </c>
      <c r="L37" s="64">
        <v>16.309999999999999</v>
      </c>
      <c r="M37" s="64">
        <v>98.47</v>
      </c>
      <c r="N37" s="64">
        <v>248.2</v>
      </c>
      <c r="O37" s="64">
        <v>0</v>
      </c>
      <c r="P37" s="64">
        <v>0.5</v>
      </c>
      <c r="Q37" s="64">
        <v>6.98</v>
      </c>
      <c r="R37" s="198"/>
      <c r="S37" s="198"/>
      <c r="T37" s="198"/>
      <c r="U37" s="198"/>
    </row>
    <row r="38" spans="1:21" s="12" customFormat="1" x14ac:dyDescent="0.25">
      <c r="A38" s="213" t="s">
        <v>1332</v>
      </c>
      <c r="B38" s="64">
        <v>12.28</v>
      </c>
      <c r="C38" s="64">
        <v>57.64</v>
      </c>
      <c r="D38" s="64">
        <v>42.3</v>
      </c>
      <c r="E38" s="64">
        <v>0.19</v>
      </c>
      <c r="F38" s="64">
        <v>3.1</v>
      </c>
      <c r="G38" s="64">
        <v>53.26</v>
      </c>
      <c r="H38" s="64">
        <v>28.25</v>
      </c>
      <c r="I38" s="64">
        <v>1.47</v>
      </c>
      <c r="J38" s="64">
        <v>0.94</v>
      </c>
      <c r="K38" s="64">
        <v>351.93</v>
      </c>
      <c r="L38" s="64">
        <v>16.600000000000001</v>
      </c>
      <c r="M38" s="64">
        <v>97.11</v>
      </c>
      <c r="N38" s="64">
        <v>253.7</v>
      </c>
      <c r="O38" s="64">
        <v>0</v>
      </c>
      <c r="P38" s="64">
        <v>0.53</v>
      </c>
      <c r="Q38" s="64">
        <v>7.01</v>
      </c>
      <c r="R38" s="198"/>
      <c r="S38" s="198"/>
      <c r="T38" s="198"/>
      <c r="U38" s="198"/>
    </row>
    <row r="39" spans="1:21" s="12" customFormat="1" x14ac:dyDescent="0.25">
      <c r="A39" s="213" t="s">
        <v>1333</v>
      </c>
      <c r="B39" s="64">
        <v>12.94</v>
      </c>
      <c r="C39" s="64">
        <v>57.98</v>
      </c>
      <c r="D39" s="64">
        <v>43.02</v>
      </c>
      <c r="E39" s="64">
        <v>0.19</v>
      </c>
      <c r="F39" s="64">
        <v>3.09</v>
      </c>
      <c r="G39" s="64">
        <v>54.4</v>
      </c>
      <c r="H39" s="64">
        <v>29.2</v>
      </c>
      <c r="I39" s="64">
        <v>1.52</v>
      </c>
      <c r="J39" s="64">
        <v>0.97</v>
      </c>
      <c r="K39" s="64">
        <v>351.49</v>
      </c>
      <c r="L39" s="64">
        <v>16.59</v>
      </c>
      <c r="M39" s="64">
        <v>97.16</v>
      </c>
      <c r="N39" s="64">
        <v>241.2</v>
      </c>
      <c r="O39" s="64">
        <v>0</v>
      </c>
      <c r="P39" s="64">
        <v>0.55000000000000004</v>
      </c>
      <c r="Q39" s="64">
        <v>7.02</v>
      </c>
      <c r="R39" s="198"/>
      <c r="S39" s="198"/>
      <c r="T39" s="198"/>
      <c r="U39" s="198"/>
    </row>
    <row r="40" spans="1:21" s="12" customFormat="1" x14ac:dyDescent="0.25">
      <c r="A40" s="213" t="s">
        <v>1334</v>
      </c>
      <c r="B40" s="64">
        <v>14.03</v>
      </c>
      <c r="C40" s="64">
        <v>58.62</v>
      </c>
      <c r="D40" s="64">
        <v>44.25</v>
      </c>
      <c r="E40" s="64">
        <v>0.06</v>
      </c>
      <c r="F40" s="64">
        <v>3.43</v>
      </c>
      <c r="G40" s="64">
        <v>54.7</v>
      </c>
      <c r="H40" s="64">
        <v>29.2</v>
      </c>
      <c r="I40" s="64">
        <v>1.52</v>
      </c>
      <c r="J40" s="64">
        <v>0.81</v>
      </c>
      <c r="K40" s="64">
        <v>314.20999999999998</v>
      </c>
      <c r="L40" s="64">
        <v>16.62</v>
      </c>
      <c r="M40" s="64">
        <v>96.9</v>
      </c>
      <c r="N40" s="64">
        <v>223.8</v>
      </c>
      <c r="O40" s="64">
        <v>0</v>
      </c>
      <c r="P40" s="64">
        <v>0.56000000000000005</v>
      </c>
      <c r="Q40" s="64">
        <v>7.02</v>
      </c>
      <c r="R40" s="198"/>
      <c r="S40" s="198"/>
      <c r="T40" s="198"/>
      <c r="U40" s="198"/>
    </row>
    <row r="41" spans="1:21" s="12" customFormat="1" x14ac:dyDescent="0.25">
      <c r="A41" s="213" t="s">
        <v>1335</v>
      </c>
      <c r="B41" s="64">
        <v>14.02</v>
      </c>
      <c r="C41" s="64">
        <v>59.2</v>
      </c>
      <c r="D41" s="64">
        <v>44.56</v>
      </c>
      <c r="E41" s="64">
        <v>0.23</v>
      </c>
      <c r="F41" s="64">
        <v>3.39</v>
      </c>
      <c r="G41" s="64">
        <v>54.7</v>
      </c>
      <c r="H41" s="64">
        <v>29.2</v>
      </c>
      <c r="I41" s="64">
        <v>1.5</v>
      </c>
      <c r="J41" s="64">
        <v>1.78</v>
      </c>
      <c r="K41" s="64">
        <v>339.69</v>
      </c>
      <c r="L41" s="64">
        <v>15.77</v>
      </c>
      <c r="M41" s="64">
        <v>99.15</v>
      </c>
      <c r="N41" s="64">
        <v>239.3</v>
      </c>
      <c r="O41" s="64">
        <v>4.5999999999999996</v>
      </c>
      <c r="P41" s="64">
        <v>0.56999999999999995</v>
      </c>
      <c r="Q41" s="64">
        <v>7.03</v>
      </c>
      <c r="R41" s="198"/>
      <c r="S41" s="198"/>
      <c r="T41" s="198"/>
      <c r="U41" s="198"/>
    </row>
    <row r="42" spans="1:21" s="12" customFormat="1" x14ac:dyDescent="0.25">
      <c r="A42" s="213" t="s">
        <v>1336</v>
      </c>
      <c r="B42" s="64">
        <v>13.49</v>
      </c>
      <c r="C42" s="64">
        <v>57.86</v>
      </c>
      <c r="D42" s="64">
        <v>43.39</v>
      </c>
      <c r="E42" s="64">
        <v>0.25</v>
      </c>
      <c r="F42" s="64">
        <v>2.92</v>
      </c>
      <c r="G42" s="64">
        <v>54.7</v>
      </c>
      <c r="H42" s="64">
        <v>29.2</v>
      </c>
      <c r="I42" s="64">
        <v>1.54</v>
      </c>
      <c r="J42" s="64">
        <v>0.28000000000000003</v>
      </c>
      <c r="K42" s="64">
        <v>106.07</v>
      </c>
      <c r="L42" s="64">
        <v>14.84</v>
      </c>
      <c r="M42" s="64">
        <v>99.67</v>
      </c>
      <c r="N42" s="64">
        <v>308.8</v>
      </c>
      <c r="O42" s="64">
        <v>0</v>
      </c>
      <c r="P42" s="64">
        <v>0.56999999999999995</v>
      </c>
      <c r="Q42" s="64">
        <v>6.91</v>
      </c>
      <c r="R42" s="198"/>
      <c r="S42" s="198"/>
      <c r="T42" s="198"/>
      <c r="U42" s="198"/>
    </row>
    <row r="43" spans="1:21" s="12" customFormat="1" x14ac:dyDescent="0.25">
      <c r="A43" s="213" t="s">
        <v>1337</v>
      </c>
      <c r="B43" s="64">
        <v>13.71</v>
      </c>
      <c r="C43" s="64">
        <v>58.2</v>
      </c>
      <c r="D43" s="64">
        <v>43.77</v>
      </c>
      <c r="E43" s="64">
        <v>0.22</v>
      </c>
      <c r="F43" s="64">
        <v>3.18</v>
      </c>
      <c r="G43" s="64">
        <v>61.18</v>
      </c>
      <c r="H43" s="64">
        <v>28.14</v>
      </c>
      <c r="I43" s="64">
        <v>1.51</v>
      </c>
      <c r="J43" s="64">
        <v>1.1499999999999999</v>
      </c>
      <c r="K43" s="64">
        <v>108.69</v>
      </c>
      <c r="L43" s="64">
        <v>15.35</v>
      </c>
      <c r="M43" s="64">
        <v>99.34</v>
      </c>
      <c r="N43" s="64">
        <v>415.8</v>
      </c>
      <c r="O43" s="64">
        <v>0.2</v>
      </c>
      <c r="P43" s="64">
        <v>0.57999999999999996</v>
      </c>
      <c r="Q43" s="64">
        <v>6.78</v>
      </c>
      <c r="R43" s="198"/>
      <c r="S43" s="198"/>
      <c r="T43" s="198"/>
      <c r="U43" s="198"/>
    </row>
    <row r="44" spans="1:21" s="12" customFormat="1" x14ac:dyDescent="0.25">
      <c r="A44" s="213" t="s">
        <v>1338</v>
      </c>
      <c r="B44" s="64">
        <v>14.06</v>
      </c>
      <c r="C44" s="64">
        <v>57.8</v>
      </c>
      <c r="D44" s="64">
        <v>43.82</v>
      </c>
      <c r="E44" s="64">
        <v>0.17</v>
      </c>
      <c r="F44" s="64">
        <v>3.13</v>
      </c>
      <c r="G44" s="64">
        <v>62.91</v>
      </c>
      <c r="H44" s="64">
        <v>28.14</v>
      </c>
      <c r="I44" s="64">
        <v>1.55</v>
      </c>
      <c r="J44" s="64">
        <v>1.22</v>
      </c>
      <c r="K44" s="64">
        <v>90.1</v>
      </c>
      <c r="L44" s="64">
        <v>16.29</v>
      </c>
      <c r="M44" s="64">
        <v>99.33</v>
      </c>
      <c r="N44" s="64">
        <v>445.5</v>
      </c>
      <c r="O44" s="64">
        <v>0</v>
      </c>
      <c r="P44" s="64">
        <v>0.59</v>
      </c>
      <c r="Q44" s="64">
        <v>6.74</v>
      </c>
      <c r="R44" s="198"/>
      <c r="S44" s="198"/>
      <c r="T44" s="198"/>
      <c r="U44" s="198"/>
    </row>
    <row r="45" spans="1:21" s="12" customFormat="1" x14ac:dyDescent="0.25">
      <c r="A45" s="213" t="s">
        <v>1339</v>
      </c>
      <c r="B45" s="64">
        <v>14.42</v>
      </c>
      <c r="C45" s="64">
        <v>57.05</v>
      </c>
      <c r="D45" s="64">
        <v>43.7</v>
      </c>
      <c r="E45" s="64">
        <v>0.16</v>
      </c>
      <c r="F45" s="64">
        <v>3.24</v>
      </c>
      <c r="G45" s="64">
        <v>62.91</v>
      </c>
      <c r="H45" s="64">
        <v>28.14</v>
      </c>
      <c r="I45" s="64">
        <v>1.51</v>
      </c>
      <c r="J45" s="64">
        <v>1.65</v>
      </c>
      <c r="K45" s="64">
        <v>107.07</v>
      </c>
      <c r="L45" s="64">
        <v>17.11</v>
      </c>
      <c r="M45" s="64">
        <v>99.82</v>
      </c>
      <c r="N45" s="64">
        <v>506.9</v>
      </c>
      <c r="O45" s="64">
        <v>0</v>
      </c>
      <c r="P45" s="64">
        <v>0.59</v>
      </c>
      <c r="Q45" s="64">
        <v>6.67</v>
      </c>
      <c r="R45" s="198"/>
      <c r="S45" s="198"/>
      <c r="T45" s="198"/>
      <c r="U45" s="198"/>
    </row>
    <row r="46" spans="1:21" s="12" customFormat="1" x14ac:dyDescent="0.25">
      <c r="A46" s="213" t="s">
        <v>1340</v>
      </c>
      <c r="B46" s="64">
        <v>13.92</v>
      </c>
      <c r="C46" s="64">
        <v>56.74</v>
      </c>
      <c r="D46" s="64">
        <v>43.12</v>
      </c>
      <c r="E46" s="64">
        <v>0.2</v>
      </c>
      <c r="F46" s="64">
        <v>3.26</v>
      </c>
      <c r="G46" s="64">
        <v>62.91</v>
      </c>
      <c r="H46" s="64">
        <v>28.14</v>
      </c>
      <c r="I46" s="64">
        <v>1.53</v>
      </c>
      <c r="J46" s="64">
        <v>1.1200000000000001</v>
      </c>
      <c r="K46" s="64">
        <v>97.43</v>
      </c>
      <c r="L46" s="64">
        <v>18.059999999999999</v>
      </c>
      <c r="M46" s="64">
        <v>97.35</v>
      </c>
      <c r="N46" s="64">
        <v>508.1</v>
      </c>
      <c r="O46" s="64">
        <v>0</v>
      </c>
      <c r="P46" s="64">
        <v>0.59</v>
      </c>
      <c r="Q46" s="64">
        <v>6.63</v>
      </c>
      <c r="R46" s="198"/>
      <c r="S46" s="198"/>
      <c r="T46" s="198"/>
      <c r="U46" s="198"/>
    </row>
    <row r="47" spans="1:21" s="12" customFormat="1" x14ac:dyDescent="0.25">
      <c r="A47" s="213" t="s">
        <v>1341</v>
      </c>
      <c r="B47" s="64">
        <v>12.94</v>
      </c>
      <c r="C47" s="64">
        <v>57.38</v>
      </c>
      <c r="D47" s="64">
        <v>42.69</v>
      </c>
      <c r="E47" s="64">
        <v>0.27</v>
      </c>
      <c r="F47" s="64">
        <v>3.2</v>
      </c>
      <c r="G47" s="64">
        <v>62.74</v>
      </c>
      <c r="H47" s="64">
        <v>29.92</v>
      </c>
      <c r="I47" s="64">
        <v>1.51</v>
      </c>
      <c r="J47" s="64">
        <v>1.03</v>
      </c>
      <c r="K47" s="64">
        <v>95.87</v>
      </c>
      <c r="L47" s="64">
        <v>19.09</v>
      </c>
      <c r="M47" s="64">
        <v>92.64</v>
      </c>
      <c r="N47" s="64">
        <v>525.20000000000005</v>
      </c>
      <c r="O47" s="64">
        <v>0</v>
      </c>
      <c r="P47" s="64">
        <v>0.6</v>
      </c>
      <c r="Q47" s="64">
        <v>6.56</v>
      </c>
      <c r="R47" s="198"/>
      <c r="S47" s="198"/>
      <c r="T47" s="198"/>
      <c r="U47" s="198"/>
    </row>
    <row r="48" spans="1:21" s="12" customFormat="1" x14ac:dyDescent="0.25">
      <c r="A48" s="213" t="s">
        <v>1342</v>
      </c>
      <c r="B48" s="64">
        <v>11.76</v>
      </c>
      <c r="C48" s="64">
        <v>56.36</v>
      </c>
      <c r="D48" s="64">
        <v>41.18</v>
      </c>
      <c r="E48" s="64">
        <v>0.21</v>
      </c>
      <c r="F48" s="64">
        <v>3.26</v>
      </c>
      <c r="G48" s="64">
        <v>62.7</v>
      </c>
      <c r="H48" s="64">
        <v>29.92</v>
      </c>
      <c r="I48" s="64">
        <v>1.55</v>
      </c>
      <c r="J48" s="64">
        <v>0.54</v>
      </c>
      <c r="K48" s="64">
        <v>124.46</v>
      </c>
      <c r="L48" s="64">
        <v>20.49</v>
      </c>
      <c r="M48" s="64">
        <v>86.51</v>
      </c>
      <c r="N48" s="64">
        <v>543.29999999999995</v>
      </c>
      <c r="O48" s="64">
        <v>0</v>
      </c>
      <c r="P48" s="64">
        <v>0.59</v>
      </c>
      <c r="Q48" s="64">
        <v>6.48</v>
      </c>
      <c r="R48" s="198"/>
      <c r="S48" s="198"/>
      <c r="T48" s="198"/>
      <c r="U48" s="198"/>
    </row>
    <row r="49" spans="1:21" s="12" customFormat="1" x14ac:dyDescent="0.25">
      <c r="A49" s="213" t="s">
        <v>1343</v>
      </c>
      <c r="B49" s="64">
        <v>10.65</v>
      </c>
      <c r="C49" s="64">
        <v>57.24</v>
      </c>
      <c r="D49" s="64">
        <v>40.78</v>
      </c>
      <c r="E49" s="64">
        <v>0.17</v>
      </c>
      <c r="F49" s="64">
        <v>3.42</v>
      </c>
      <c r="G49" s="64">
        <v>62.7</v>
      </c>
      <c r="H49" s="64">
        <v>29.92</v>
      </c>
      <c r="I49" s="64">
        <v>1.55</v>
      </c>
      <c r="J49" s="64">
        <v>0.53</v>
      </c>
      <c r="K49" s="64">
        <v>100.52</v>
      </c>
      <c r="L49" s="64">
        <v>21.58</v>
      </c>
      <c r="M49" s="64">
        <v>80.5</v>
      </c>
      <c r="N49" s="64">
        <v>620</v>
      </c>
      <c r="O49" s="64">
        <v>0</v>
      </c>
      <c r="P49" s="64">
        <v>0.59</v>
      </c>
      <c r="Q49" s="64">
        <v>6.41</v>
      </c>
      <c r="R49" s="198"/>
      <c r="S49" s="198"/>
      <c r="T49" s="198"/>
      <c r="U49" s="198"/>
    </row>
    <row r="50" spans="1:21" s="12" customFormat="1" x14ac:dyDescent="0.25">
      <c r="A50" s="213" t="s">
        <v>1344</v>
      </c>
      <c r="B50" s="64">
        <v>9.36</v>
      </c>
      <c r="C50" s="64">
        <v>56.95</v>
      </c>
      <c r="D50" s="64">
        <v>39.58</v>
      </c>
      <c r="E50" s="64">
        <v>0.13</v>
      </c>
      <c r="F50" s="64">
        <v>3.54</v>
      </c>
      <c r="G50" s="64">
        <v>62.7</v>
      </c>
      <c r="H50" s="64">
        <v>29.92</v>
      </c>
      <c r="I50" s="64">
        <v>1.55</v>
      </c>
      <c r="J50" s="64">
        <v>0.06</v>
      </c>
      <c r="K50" s="64">
        <v>341.1</v>
      </c>
      <c r="L50" s="64">
        <v>23.39</v>
      </c>
      <c r="M50" s="64">
        <v>72.8</v>
      </c>
      <c r="N50" s="64">
        <v>610.70000000000005</v>
      </c>
      <c r="O50" s="64">
        <v>0</v>
      </c>
      <c r="P50" s="64">
        <v>0.57999999999999996</v>
      </c>
      <c r="Q50" s="64">
        <v>6.32</v>
      </c>
      <c r="R50" s="198"/>
      <c r="S50" s="198"/>
      <c r="T50" s="198"/>
      <c r="U50" s="198"/>
    </row>
    <row r="51" spans="1:21" s="12" customFormat="1" x14ac:dyDescent="0.25">
      <c r="A51" s="213" t="s">
        <v>1345</v>
      </c>
      <c r="B51" s="64">
        <v>7.78</v>
      </c>
      <c r="C51" s="64">
        <v>60.63</v>
      </c>
      <c r="D51" s="64">
        <v>40.340000000000003</v>
      </c>
      <c r="E51" s="64">
        <v>0.3</v>
      </c>
      <c r="F51" s="64">
        <v>7.37</v>
      </c>
      <c r="G51" s="64">
        <v>55.18</v>
      </c>
      <c r="H51" s="64">
        <v>27.72</v>
      </c>
      <c r="I51" s="64">
        <v>1.47</v>
      </c>
      <c r="J51" s="64">
        <v>0.1</v>
      </c>
      <c r="K51" s="64">
        <v>83.77</v>
      </c>
      <c r="L51" s="64">
        <v>24.82</v>
      </c>
      <c r="M51" s="64">
        <v>64.28</v>
      </c>
      <c r="N51" s="64">
        <v>657.1</v>
      </c>
      <c r="O51" s="64">
        <v>0</v>
      </c>
      <c r="P51" s="64">
        <v>0.65</v>
      </c>
      <c r="Q51" s="64">
        <v>6.34</v>
      </c>
      <c r="R51" s="198"/>
      <c r="S51" s="198"/>
      <c r="T51" s="198"/>
      <c r="U51" s="198"/>
    </row>
    <row r="52" spans="1:21" s="12" customFormat="1" x14ac:dyDescent="0.25">
      <c r="A52" s="213" t="s">
        <v>1346</v>
      </c>
      <c r="B52" s="64">
        <v>164.57</v>
      </c>
      <c r="C52" s="64">
        <v>3.02</v>
      </c>
      <c r="D52" s="64">
        <v>145</v>
      </c>
      <c r="E52" s="64">
        <v>0.22</v>
      </c>
      <c r="F52" s="64">
        <v>8.51</v>
      </c>
      <c r="G52" s="64">
        <v>52.48</v>
      </c>
      <c r="H52" s="64">
        <v>27.72</v>
      </c>
      <c r="I52" s="64">
        <v>1.49</v>
      </c>
      <c r="J52" s="64">
        <v>0.37</v>
      </c>
      <c r="K52" s="64">
        <v>82.42</v>
      </c>
      <c r="L52" s="64">
        <v>24.81</v>
      </c>
      <c r="M52" s="64">
        <v>64.739999999999995</v>
      </c>
      <c r="N52" s="64">
        <v>679.2</v>
      </c>
      <c r="O52" s="64">
        <v>0</v>
      </c>
      <c r="P52" s="64">
        <v>0.67</v>
      </c>
      <c r="Q52" s="64">
        <v>6.43</v>
      </c>
      <c r="R52" s="198"/>
      <c r="S52" s="198"/>
      <c r="T52" s="198"/>
      <c r="U52" s="198"/>
    </row>
    <row r="53" spans="1:21" s="12" customFormat="1" x14ac:dyDescent="0.25">
      <c r="A53" s="213" t="s">
        <v>1347</v>
      </c>
      <c r="B53" s="64">
        <v>2.54</v>
      </c>
      <c r="C53" s="64">
        <v>58.28</v>
      </c>
      <c r="D53" s="64">
        <v>34.840000000000003</v>
      </c>
      <c r="E53" s="64">
        <v>0.27</v>
      </c>
      <c r="F53" s="64">
        <v>6.9</v>
      </c>
      <c r="G53" s="64">
        <v>52.48</v>
      </c>
      <c r="H53" s="64">
        <v>27.72</v>
      </c>
      <c r="I53" s="64">
        <v>1.5</v>
      </c>
      <c r="J53" s="64">
        <v>0.51</v>
      </c>
      <c r="K53" s="64">
        <v>107.1</v>
      </c>
      <c r="L53" s="64">
        <v>24.5</v>
      </c>
      <c r="M53" s="64">
        <v>65.39</v>
      </c>
      <c r="N53" s="64">
        <v>736.8</v>
      </c>
      <c r="O53" s="64">
        <v>0</v>
      </c>
      <c r="P53" s="64">
        <v>0.66</v>
      </c>
      <c r="Q53" s="64">
        <v>6.54</v>
      </c>
      <c r="R53" s="198"/>
      <c r="S53" s="198"/>
      <c r="T53" s="198"/>
      <c r="U53" s="198"/>
    </row>
    <row r="54" spans="1:21" s="12" customFormat="1" x14ac:dyDescent="0.25">
      <c r="A54" s="213" t="s">
        <v>1348</v>
      </c>
      <c r="B54" s="64">
        <v>2.87</v>
      </c>
      <c r="C54" s="64">
        <v>60.1</v>
      </c>
      <c r="D54" s="64">
        <v>36.11</v>
      </c>
      <c r="E54" s="64">
        <v>0.23</v>
      </c>
      <c r="F54" s="64">
        <v>5.05</v>
      </c>
      <c r="G54" s="64">
        <v>52.48</v>
      </c>
      <c r="H54" s="64">
        <v>27.72</v>
      </c>
      <c r="I54" s="64">
        <v>1.55</v>
      </c>
      <c r="J54" s="64">
        <v>0.71</v>
      </c>
      <c r="K54" s="64">
        <v>138.91999999999999</v>
      </c>
      <c r="L54" s="64">
        <v>24.15</v>
      </c>
      <c r="M54" s="64">
        <v>65.260000000000005</v>
      </c>
      <c r="N54" s="64">
        <v>775.3</v>
      </c>
      <c r="O54" s="64">
        <v>0</v>
      </c>
      <c r="P54" s="211" t="s">
        <v>40</v>
      </c>
      <c r="Q54" s="64">
        <v>6.42</v>
      </c>
      <c r="R54" s="198"/>
      <c r="S54" s="198"/>
      <c r="T54" s="198"/>
      <c r="U54" s="198"/>
    </row>
    <row r="55" spans="1:21" s="12" customFormat="1" x14ac:dyDescent="0.25">
      <c r="A55" s="213" t="s">
        <v>1349</v>
      </c>
      <c r="B55" s="64">
        <v>3.18</v>
      </c>
      <c r="C55" s="64">
        <v>56.68</v>
      </c>
      <c r="D55" s="64">
        <v>34.479999999999997</v>
      </c>
      <c r="E55" s="211" t="s">
        <v>40</v>
      </c>
      <c r="F55" s="64">
        <v>4.75</v>
      </c>
      <c r="G55" s="211" t="s">
        <v>40</v>
      </c>
      <c r="H55" s="211" t="s">
        <v>40</v>
      </c>
      <c r="I55" s="64">
        <v>1.5</v>
      </c>
      <c r="J55" s="64">
        <v>0.44</v>
      </c>
      <c r="K55" s="64">
        <v>347.91</v>
      </c>
      <c r="L55" s="64">
        <v>26.05</v>
      </c>
      <c r="M55" s="64">
        <v>61.86</v>
      </c>
      <c r="N55" s="64">
        <v>779.8</v>
      </c>
      <c r="O55" s="64">
        <v>0</v>
      </c>
      <c r="P55" s="211" t="s">
        <v>40</v>
      </c>
      <c r="Q55" s="64">
        <v>6.15</v>
      </c>
      <c r="R55" s="198"/>
      <c r="S55" s="198"/>
      <c r="T55" s="198"/>
      <c r="U55" s="198"/>
    </row>
    <row r="56" spans="1:21" s="12" customFormat="1" x14ac:dyDescent="0.25">
      <c r="A56" s="213" t="s">
        <v>1350</v>
      </c>
      <c r="B56" s="64">
        <v>4.12</v>
      </c>
      <c r="C56" s="64">
        <v>55.57</v>
      </c>
      <c r="D56" s="64">
        <v>34.619999999999997</v>
      </c>
      <c r="E56" s="211" t="s">
        <v>40</v>
      </c>
      <c r="F56" s="64">
        <v>4.34</v>
      </c>
      <c r="G56" s="211" t="s">
        <v>40</v>
      </c>
      <c r="H56" s="211" t="s">
        <v>40</v>
      </c>
      <c r="I56" s="64">
        <v>1.53</v>
      </c>
      <c r="J56" s="64">
        <v>0.86</v>
      </c>
      <c r="K56" s="64">
        <v>345.96</v>
      </c>
      <c r="L56" s="64">
        <v>28.82</v>
      </c>
      <c r="M56" s="64">
        <v>51.68</v>
      </c>
      <c r="N56" s="64">
        <v>743.7</v>
      </c>
      <c r="O56" s="64">
        <v>0</v>
      </c>
      <c r="P56" s="211" t="s">
        <v>40</v>
      </c>
      <c r="Q56" s="64">
        <v>6.08</v>
      </c>
      <c r="R56" s="198"/>
      <c r="S56" s="198"/>
      <c r="T56" s="198"/>
      <c r="U56" s="198"/>
    </row>
    <row r="57" spans="1:21" s="12" customFormat="1" x14ac:dyDescent="0.25">
      <c r="A57" s="213" t="s">
        <v>1351</v>
      </c>
      <c r="B57" s="64">
        <v>4.01</v>
      </c>
      <c r="C57" s="64">
        <v>58.93</v>
      </c>
      <c r="D57" s="64">
        <v>36.380000000000003</v>
      </c>
      <c r="E57" s="64">
        <v>0.25</v>
      </c>
      <c r="F57" s="64">
        <v>5.16</v>
      </c>
      <c r="G57" s="211" t="s">
        <v>40</v>
      </c>
      <c r="H57" s="211" t="s">
        <v>40</v>
      </c>
      <c r="I57" s="64">
        <v>1.47</v>
      </c>
      <c r="J57" s="64">
        <v>0.17</v>
      </c>
      <c r="K57" s="64">
        <v>46.57</v>
      </c>
      <c r="L57" s="64">
        <v>28.01</v>
      </c>
      <c r="M57" s="64">
        <v>52.62</v>
      </c>
      <c r="N57" s="64">
        <v>715.6</v>
      </c>
      <c r="O57" s="64">
        <v>0</v>
      </c>
      <c r="P57" s="211" t="s">
        <v>40</v>
      </c>
      <c r="Q57" s="64">
        <v>6.01</v>
      </c>
      <c r="R57" s="198"/>
      <c r="S57" s="198"/>
      <c r="T57" s="198"/>
      <c r="U57" s="198"/>
    </row>
    <row r="58" spans="1:21" s="12" customFormat="1" x14ac:dyDescent="0.25">
      <c r="A58" s="213" t="s">
        <v>1352</v>
      </c>
      <c r="B58" s="211" t="s">
        <v>40</v>
      </c>
      <c r="C58" s="211" t="s">
        <v>40</v>
      </c>
      <c r="D58" s="211" t="s">
        <v>40</v>
      </c>
      <c r="E58" s="64">
        <v>0.33</v>
      </c>
      <c r="F58" s="64">
        <v>6.91</v>
      </c>
      <c r="G58" s="211" t="s">
        <v>40</v>
      </c>
      <c r="H58" s="211" t="s">
        <v>40</v>
      </c>
      <c r="I58" s="64">
        <v>1.51</v>
      </c>
      <c r="J58" s="64">
        <v>0.57999999999999996</v>
      </c>
      <c r="K58" s="64">
        <v>352.6</v>
      </c>
      <c r="L58" s="64">
        <v>27.21</v>
      </c>
      <c r="M58" s="64">
        <v>56.43</v>
      </c>
      <c r="N58" s="64">
        <v>673.1</v>
      </c>
      <c r="O58" s="64">
        <v>0</v>
      </c>
      <c r="P58" s="64">
        <v>0.71</v>
      </c>
      <c r="Q58" s="64">
        <v>6.16</v>
      </c>
      <c r="R58" s="198"/>
      <c r="S58" s="198"/>
      <c r="T58" s="198"/>
      <c r="U58" s="198"/>
    </row>
    <row r="59" spans="1:21" s="12" customFormat="1" x14ac:dyDescent="0.25">
      <c r="A59" s="213" t="s">
        <v>1353</v>
      </c>
      <c r="B59" s="211" t="s">
        <v>40</v>
      </c>
      <c r="C59" s="211" t="s">
        <v>40</v>
      </c>
      <c r="D59" s="211" t="s">
        <v>40</v>
      </c>
      <c r="E59" s="64">
        <v>0.31</v>
      </c>
      <c r="F59" s="64">
        <v>5.58</v>
      </c>
      <c r="G59" s="64">
        <v>17.149999999999999</v>
      </c>
      <c r="H59" s="64">
        <v>6.08</v>
      </c>
      <c r="I59" s="64">
        <v>1.49</v>
      </c>
      <c r="J59" s="64">
        <v>0.75</v>
      </c>
      <c r="K59" s="64">
        <v>338.3</v>
      </c>
      <c r="L59" s="64">
        <v>29.29</v>
      </c>
      <c r="M59" s="64">
        <v>50.33</v>
      </c>
      <c r="N59" s="64">
        <v>714.6</v>
      </c>
      <c r="O59" s="64">
        <v>0</v>
      </c>
      <c r="P59" s="64">
        <v>0.7</v>
      </c>
      <c r="Q59" s="64">
        <v>6.36</v>
      </c>
      <c r="R59" s="198"/>
      <c r="S59" s="198"/>
      <c r="T59" s="198"/>
      <c r="U59" s="198"/>
    </row>
    <row r="60" spans="1:21" s="12" customFormat="1" x14ac:dyDescent="0.25">
      <c r="A60" s="213" t="s">
        <v>1354</v>
      </c>
      <c r="B60" s="211" t="s">
        <v>40</v>
      </c>
      <c r="C60" s="211" t="s">
        <v>40</v>
      </c>
      <c r="D60" s="211" t="s">
        <v>40</v>
      </c>
      <c r="E60" s="64">
        <v>0.27</v>
      </c>
      <c r="F60" s="64">
        <v>4.63</v>
      </c>
      <c r="G60" s="64">
        <v>73.510000000000005</v>
      </c>
      <c r="H60" s="64">
        <v>20.37</v>
      </c>
      <c r="I60" s="64">
        <v>1.63</v>
      </c>
      <c r="J60" s="64">
        <v>0.68</v>
      </c>
      <c r="K60" s="64">
        <v>342.16</v>
      </c>
      <c r="L60" s="64">
        <v>29.8</v>
      </c>
      <c r="M60" s="64">
        <v>48.69</v>
      </c>
      <c r="N60" s="64">
        <v>710.6</v>
      </c>
      <c r="O60" s="64">
        <v>0</v>
      </c>
      <c r="P60" s="64">
        <v>0.71</v>
      </c>
      <c r="Q60" s="64">
        <v>6.42</v>
      </c>
      <c r="R60" s="198"/>
      <c r="S60" s="198"/>
      <c r="T60" s="198"/>
      <c r="U60" s="198"/>
    </row>
    <row r="61" spans="1:21" s="12" customFormat="1" x14ac:dyDescent="0.25">
      <c r="A61" s="213" t="s">
        <v>1355</v>
      </c>
      <c r="B61" s="64">
        <v>4.08</v>
      </c>
      <c r="C61" s="64">
        <v>61.14</v>
      </c>
      <c r="D61" s="64">
        <v>37.65</v>
      </c>
      <c r="E61" s="64">
        <v>0.32</v>
      </c>
      <c r="F61" s="64">
        <v>4.51</v>
      </c>
      <c r="G61" s="64">
        <v>73.510000000000005</v>
      </c>
      <c r="H61" s="64">
        <v>20.37</v>
      </c>
      <c r="I61" s="64">
        <v>1.5</v>
      </c>
      <c r="J61" s="64">
        <v>0.74</v>
      </c>
      <c r="K61" s="64">
        <v>329</v>
      </c>
      <c r="L61" s="64">
        <v>29.82</v>
      </c>
      <c r="M61" s="64">
        <v>49.14</v>
      </c>
      <c r="N61" s="64">
        <v>674.9</v>
      </c>
      <c r="O61" s="64">
        <v>0</v>
      </c>
      <c r="P61" s="64">
        <v>0.69</v>
      </c>
      <c r="Q61" s="64">
        <v>6.44</v>
      </c>
      <c r="R61" s="198"/>
      <c r="S61" s="198"/>
      <c r="T61" s="198"/>
      <c r="U61" s="198"/>
    </row>
    <row r="62" spans="1:21" s="12" customFormat="1" x14ac:dyDescent="0.25">
      <c r="A62" s="213" t="s">
        <v>1356</v>
      </c>
      <c r="B62" s="64">
        <v>3.93</v>
      </c>
      <c r="C62" s="64">
        <v>60.97</v>
      </c>
      <c r="D62" s="64">
        <v>37.450000000000003</v>
      </c>
      <c r="E62" s="64">
        <v>0.36</v>
      </c>
      <c r="F62" s="64">
        <v>6.26</v>
      </c>
      <c r="G62" s="64">
        <v>73.510000000000005</v>
      </c>
      <c r="H62" s="64">
        <v>20.37</v>
      </c>
      <c r="I62" s="64">
        <v>1.54</v>
      </c>
      <c r="J62" s="64">
        <v>0.62</v>
      </c>
      <c r="K62" s="64">
        <v>332.97</v>
      </c>
      <c r="L62" s="64">
        <v>30.02</v>
      </c>
      <c r="M62" s="64">
        <v>48.99</v>
      </c>
      <c r="N62" s="64">
        <v>658.3</v>
      </c>
      <c r="O62" s="64">
        <v>0</v>
      </c>
      <c r="P62" s="64">
        <v>0.72</v>
      </c>
      <c r="Q62" s="64">
        <v>6.47</v>
      </c>
      <c r="R62" s="198"/>
      <c r="S62" s="198"/>
      <c r="T62" s="198"/>
      <c r="U62" s="198"/>
    </row>
    <row r="63" spans="1:21" s="12" customFormat="1" x14ac:dyDescent="0.25">
      <c r="A63" s="213" t="s">
        <v>1357</v>
      </c>
      <c r="B63" s="64">
        <v>2.84</v>
      </c>
      <c r="C63" s="64">
        <v>62.59</v>
      </c>
      <c r="D63" s="64">
        <v>37.47</v>
      </c>
      <c r="E63" s="64">
        <v>0.61</v>
      </c>
      <c r="F63" s="64">
        <v>8.64</v>
      </c>
      <c r="G63" s="64">
        <v>72.58</v>
      </c>
      <c r="H63" s="64">
        <v>21.15</v>
      </c>
      <c r="I63" s="64">
        <v>1.42</v>
      </c>
      <c r="J63" s="64">
        <v>0.68</v>
      </c>
      <c r="K63" s="64">
        <v>336.12</v>
      </c>
      <c r="L63" s="64">
        <v>30.34</v>
      </c>
      <c r="M63" s="64">
        <v>47.3</v>
      </c>
      <c r="N63" s="64">
        <v>659.6</v>
      </c>
      <c r="O63" s="64">
        <v>0</v>
      </c>
      <c r="P63" s="64">
        <v>0.73</v>
      </c>
      <c r="Q63" s="64">
        <v>6.47</v>
      </c>
      <c r="R63" s="198"/>
      <c r="S63" s="198"/>
      <c r="T63" s="198"/>
      <c r="U63" s="198"/>
    </row>
    <row r="64" spans="1:21" s="12" customFormat="1" x14ac:dyDescent="0.25">
      <c r="A64" s="213" t="s">
        <v>1358</v>
      </c>
      <c r="B64" s="64">
        <v>2.33</v>
      </c>
      <c r="C64" s="64">
        <v>65.08</v>
      </c>
      <c r="D64" s="64">
        <v>38.43</v>
      </c>
      <c r="E64" s="64">
        <v>0.4</v>
      </c>
      <c r="F64" s="64">
        <v>6.25</v>
      </c>
      <c r="G64" s="64">
        <v>69.34</v>
      </c>
      <c r="H64" s="64">
        <v>22.97</v>
      </c>
      <c r="I64" s="64">
        <v>1.55</v>
      </c>
      <c r="J64" s="64">
        <v>0.18</v>
      </c>
      <c r="K64" s="64">
        <v>5.38</v>
      </c>
      <c r="L64" s="64">
        <v>29.21</v>
      </c>
      <c r="M64" s="64">
        <v>48.78</v>
      </c>
      <c r="N64" s="64">
        <v>614.70000000000005</v>
      </c>
      <c r="O64" s="64">
        <v>0</v>
      </c>
      <c r="P64" s="64">
        <v>0.73</v>
      </c>
      <c r="Q64" s="64">
        <v>6.6</v>
      </c>
      <c r="R64" s="198"/>
      <c r="S64" s="198"/>
      <c r="T64" s="198"/>
      <c r="U64" s="198"/>
    </row>
    <row r="65" spans="1:21" s="12" customFormat="1" x14ac:dyDescent="0.25">
      <c r="A65" s="213" t="s">
        <v>1359</v>
      </c>
      <c r="B65" s="64">
        <v>2.81</v>
      </c>
      <c r="C65" s="64">
        <v>65.09</v>
      </c>
      <c r="D65" s="64">
        <v>38.82</v>
      </c>
      <c r="E65" s="64">
        <v>0.37</v>
      </c>
      <c r="F65" s="64">
        <v>5.66</v>
      </c>
      <c r="G65" s="64">
        <v>69.34</v>
      </c>
      <c r="H65" s="64">
        <v>22.97</v>
      </c>
      <c r="I65" s="64">
        <v>1.46</v>
      </c>
      <c r="J65" s="64">
        <v>0.91</v>
      </c>
      <c r="K65" s="64">
        <v>340.26</v>
      </c>
      <c r="L65" s="64">
        <v>28.98</v>
      </c>
      <c r="M65" s="64">
        <v>52.23</v>
      </c>
      <c r="N65" s="64">
        <v>543.9</v>
      </c>
      <c r="O65" s="64">
        <v>0</v>
      </c>
      <c r="P65" s="64">
        <v>0.75</v>
      </c>
      <c r="Q65" s="64">
        <v>6.62</v>
      </c>
      <c r="R65" s="198"/>
      <c r="S65" s="198"/>
      <c r="T65" s="198"/>
      <c r="U65" s="198"/>
    </row>
    <row r="66" spans="1:21" s="12" customFormat="1" x14ac:dyDescent="0.25">
      <c r="A66" s="213" t="s">
        <v>1360</v>
      </c>
      <c r="B66" s="64">
        <v>3.25</v>
      </c>
      <c r="C66" s="64">
        <v>67.489999999999995</v>
      </c>
      <c r="D66" s="64">
        <v>40.5</v>
      </c>
      <c r="E66" s="64">
        <v>0.33</v>
      </c>
      <c r="F66" s="64">
        <v>7.38</v>
      </c>
      <c r="G66" s="64">
        <v>69.34</v>
      </c>
      <c r="H66" s="64">
        <v>22.97</v>
      </c>
      <c r="I66" s="64">
        <v>1.47</v>
      </c>
      <c r="J66" s="64">
        <v>0.4</v>
      </c>
      <c r="K66" s="64">
        <v>319.32</v>
      </c>
      <c r="L66" s="64">
        <v>29.5</v>
      </c>
      <c r="M66" s="64">
        <v>51.63</v>
      </c>
      <c r="N66" s="64">
        <v>465.9</v>
      </c>
      <c r="O66" s="64">
        <v>0</v>
      </c>
      <c r="P66" s="64">
        <v>0.8</v>
      </c>
      <c r="Q66" s="64">
        <v>6.73</v>
      </c>
      <c r="R66" s="198"/>
      <c r="S66" s="198"/>
      <c r="T66" s="198"/>
      <c r="U66" s="198"/>
    </row>
    <row r="67" spans="1:21" s="12" customFormat="1" x14ac:dyDescent="0.25">
      <c r="A67" s="213" t="s">
        <v>1361</v>
      </c>
      <c r="B67" s="64">
        <v>2.9</v>
      </c>
      <c r="C67" s="64">
        <v>69.64</v>
      </c>
      <c r="D67" s="64">
        <v>41.41</v>
      </c>
      <c r="E67" s="64">
        <v>0.38</v>
      </c>
      <c r="F67" s="64">
        <v>4.8499999999999996</v>
      </c>
      <c r="G67" s="64">
        <v>70.58</v>
      </c>
      <c r="H67" s="64">
        <v>24.32</v>
      </c>
      <c r="I67" s="64">
        <v>1.49</v>
      </c>
      <c r="J67" s="64">
        <v>0.47</v>
      </c>
      <c r="K67" s="64">
        <v>342.52</v>
      </c>
      <c r="L67" s="64">
        <v>29</v>
      </c>
      <c r="M67" s="64">
        <v>49.42</v>
      </c>
      <c r="N67" s="64">
        <v>418.6</v>
      </c>
      <c r="O67" s="64">
        <v>0</v>
      </c>
      <c r="P67" s="64">
        <v>0.84</v>
      </c>
      <c r="Q67" s="64">
        <v>6.91</v>
      </c>
      <c r="R67" s="198"/>
      <c r="S67" s="198"/>
      <c r="T67" s="198"/>
      <c r="U67" s="198"/>
    </row>
    <row r="68" spans="1:21" s="12" customFormat="1" x14ac:dyDescent="0.25">
      <c r="A68" s="213" t="s">
        <v>1362</v>
      </c>
      <c r="B68" s="64">
        <v>3.25</v>
      </c>
      <c r="C68" s="64">
        <v>68.45</v>
      </c>
      <c r="D68" s="64">
        <v>41.03</v>
      </c>
      <c r="E68" s="64">
        <v>0.34</v>
      </c>
      <c r="F68" s="64">
        <v>4.28</v>
      </c>
      <c r="G68" s="64">
        <v>74.94</v>
      </c>
      <c r="H68" s="64">
        <v>27.49</v>
      </c>
      <c r="I68" s="64">
        <v>1.46</v>
      </c>
      <c r="J68" s="64">
        <v>0.02</v>
      </c>
      <c r="K68" s="64">
        <v>351.91</v>
      </c>
      <c r="L68" s="64">
        <v>28.19</v>
      </c>
      <c r="M68" s="64">
        <v>48.69</v>
      </c>
      <c r="N68" s="64">
        <v>388.1</v>
      </c>
      <c r="O68" s="64">
        <v>0</v>
      </c>
      <c r="P68" s="64">
        <v>0.82</v>
      </c>
      <c r="Q68" s="64">
        <v>6.99</v>
      </c>
      <c r="R68" s="198"/>
      <c r="S68" s="198"/>
      <c r="T68" s="198"/>
      <c r="U68" s="198"/>
    </row>
    <row r="69" spans="1:21" s="12" customFormat="1" x14ac:dyDescent="0.25">
      <c r="A69" s="213" t="s">
        <v>1363</v>
      </c>
      <c r="B69" s="64">
        <v>3.29</v>
      </c>
      <c r="C69" s="64">
        <v>66.67</v>
      </c>
      <c r="D69" s="64">
        <v>40.08</v>
      </c>
      <c r="E69" s="64">
        <v>0.37</v>
      </c>
      <c r="F69" s="64">
        <v>4.07</v>
      </c>
      <c r="G69" s="64">
        <v>74.94</v>
      </c>
      <c r="H69" s="64">
        <v>27.49</v>
      </c>
      <c r="I69" s="64">
        <v>1.49</v>
      </c>
      <c r="J69" s="64">
        <v>0.56000000000000005</v>
      </c>
      <c r="K69" s="64">
        <v>350.56</v>
      </c>
      <c r="L69" s="64">
        <v>27.28</v>
      </c>
      <c r="M69" s="64">
        <v>55.09</v>
      </c>
      <c r="N69" s="64">
        <v>332.9</v>
      </c>
      <c r="O69" s="64">
        <v>0</v>
      </c>
      <c r="P69" s="64">
        <v>0.81</v>
      </c>
      <c r="Q69" s="64">
        <v>6.88</v>
      </c>
      <c r="R69" s="198"/>
      <c r="S69" s="198"/>
      <c r="T69" s="198"/>
      <c r="U69" s="198"/>
    </row>
    <row r="70" spans="1:21" s="12" customFormat="1" x14ac:dyDescent="0.25">
      <c r="A70" s="213" t="s">
        <v>1364</v>
      </c>
      <c r="B70" s="64">
        <v>3.4</v>
      </c>
      <c r="C70" s="64">
        <v>59.39</v>
      </c>
      <c r="D70" s="64">
        <v>36.15</v>
      </c>
      <c r="E70" s="64">
        <v>0.32</v>
      </c>
      <c r="F70" s="64">
        <v>4.8600000000000003</v>
      </c>
      <c r="G70" s="64">
        <v>74.94</v>
      </c>
      <c r="H70" s="64">
        <v>27.49</v>
      </c>
      <c r="I70" s="64">
        <v>1.43</v>
      </c>
      <c r="J70" s="64">
        <v>0.54</v>
      </c>
      <c r="K70" s="64">
        <v>357.46</v>
      </c>
      <c r="L70" s="64">
        <v>27.12</v>
      </c>
      <c r="M70" s="64">
        <v>56.65</v>
      </c>
      <c r="N70" s="64">
        <v>271.89999999999998</v>
      </c>
      <c r="O70" s="64">
        <v>0</v>
      </c>
      <c r="P70" s="64">
        <v>0.83</v>
      </c>
      <c r="Q70" s="64">
        <v>6.49</v>
      </c>
      <c r="R70" s="198"/>
      <c r="S70" s="198"/>
      <c r="T70" s="198"/>
      <c r="U70" s="198"/>
    </row>
    <row r="71" spans="1:21" s="12" customFormat="1" x14ac:dyDescent="0.25">
      <c r="A71" s="213" t="s">
        <v>1365</v>
      </c>
      <c r="B71" s="64">
        <v>3.47</v>
      </c>
      <c r="C71" s="64">
        <v>52.66</v>
      </c>
      <c r="D71" s="64">
        <v>32.49</v>
      </c>
      <c r="E71" s="64">
        <v>0.27</v>
      </c>
      <c r="F71" s="64">
        <v>4.5599999999999996</v>
      </c>
      <c r="G71" s="64">
        <v>74.2</v>
      </c>
      <c r="H71" s="64">
        <v>27.57</v>
      </c>
      <c r="I71" s="64">
        <v>1.48</v>
      </c>
      <c r="J71" s="64">
        <v>0.43</v>
      </c>
      <c r="K71" s="64">
        <v>345.48</v>
      </c>
      <c r="L71" s="64">
        <v>26.69</v>
      </c>
      <c r="M71" s="64">
        <v>59.22</v>
      </c>
      <c r="N71" s="64">
        <v>256.10000000000002</v>
      </c>
      <c r="O71" s="64">
        <v>0</v>
      </c>
      <c r="P71" s="64">
        <v>0.83</v>
      </c>
      <c r="Q71" s="64">
        <v>6.09</v>
      </c>
      <c r="R71" s="198"/>
      <c r="S71" s="198"/>
      <c r="T71" s="198"/>
      <c r="U71" s="198"/>
    </row>
    <row r="72" spans="1:21" s="12" customFormat="1" x14ac:dyDescent="0.25">
      <c r="A72" s="213" t="s">
        <v>1366</v>
      </c>
      <c r="B72" s="64">
        <v>3.88</v>
      </c>
      <c r="C72" s="64">
        <v>61.79</v>
      </c>
      <c r="D72" s="64">
        <v>37.86</v>
      </c>
      <c r="E72" s="64">
        <v>0.08</v>
      </c>
      <c r="F72" s="64">
        <v>4.42</v>
      </c>
      <c r="G72" s="64">
        <v>71.75</v>
      </c>
      <c r="H72" s="64">
        <v>27.93</v>
      </c>
      <c r="I72" s="64">
        <v>1.49</v>
      </c>
      <c r="J72" s="64">
        <v>0.8</v>
      </c>
      <c r="K72" s="64">
        <v>355.07</v>
      </c>
      <c r="L72" s="64">
        <v>26.07</v>
      </c>
      <c r="M72" s="64">
        <v>63.26</v>
      </c>
      <c r="N72" s="64">
        <v>224</v>
      </c>
      <c r="O72" s="64">
        <v>0</v>
      </c>
      <c r="P72" s="64">
        <v>0.86</v>
      </c>
      <c r="Q72" s="64">
        <v>6.41</v>
      </c>
      <c r="R72" s="198"/>
      <c r="S72" s="198"/>
      <c r="T72" s="198"/>
      <c r="U72" s="198"/>
    </row>
    <row r="73" spans="1:21" s="12" customFormat="1" x14ac:dyDescent="0.25">
      <c r="A73" s="213" t="s">
        <v>1367</v>
      </c>
      <c r="B73" s="64">
        <v>3.95</v>
      </c>
      <c r="C73" s="64">
        <v>63.11</v>
      </c>
      <c r="D73" s="64">
        <v>38.64</v>
      </c>
      <c r="E73" s="64">
        <v>0.26</v>
      </c>
      <c r="F73" s="64">
        <v>4.33</v>
      </c>
      <c r="G73" s="64">
        <v>71.75</v>
      </c>
      <c r="H73" s="64">
        <v>27.93</v>
      </c>
      <c r="I73" s="64">
        <v>1.46</v>
      </c>
      <c r="J73" s="64">
        <v>1.23</v>
      </c>
      <c r="K73" s="64">
        <v>351.91</v>
      </c>
      <c r="L73" s="64">
        <v>25.8</v>
      </c>
      <c r="M73" s="64">
        <v>64.55</v>
      </c>
      <c r="N73" s="64">
        <v>216.5</v>
      </c>
      <c r="O73" s="64">
        <v>0</v>
      </c>
      <c r="P73" s="64">
        <v>0.86</v>
      </c>
      <c r="Q73" s="64">
        <v>6.76</v>
      </c>
      <c r="R73" s="198"/>
      <c r="S73" s="198"/>
      <c r="T73" s="198"/>
      <c r="U73" s="198"/>
    </row>
    <row r="74" spans="1:21" s="12" customFormat="1" x14ac:dyDescent="0.25">
      <c r="A74" s="213" t="s">
        <v>1368</v>
      </c>
      <c r="B74" s="64">
        <v>4.2699999999999996</v>
      </c>
      <c r="C74" s="64">
        <v>67.11</v>
      </c>
      <c r="D74" s="64">
        <v>41.11</v>
      </c>
      <c r="E74" s="64">
        <v>0.3</v>
      </c>
      <c r="F74" s="64">
        <v>4.34</v>
      </c>
      <c r="G74" s="64">
        <v>71.75</v>
      </c>
      <c r="H74" s="64">
        <v>27.93</v>
      </c>
      <c r="I74" s="64">
        <v>1.55</v>
      </c>
      <c r="J74" s="64">
        <v>1.19</v>
      </c>
      <c r="K74" s="64">
        <v>350.23</v>
      </c>
      <c r="L74" s="64">
        <v>25.48</v>
      </c>
      <c r="M74" s="64">
        <v>65.959999999999994</v>
      </c>
      <c r="N74" s="64">
        <v>162.9</v>
      </c>
      <c r="O74" s="64">
        <v>0</v>
      </c>
      <c r="P74" s="64">
        <v>0.88</v>
      </c>
      <c r="Q74" s="64">
        <v>6.96</v>
      </c>
      <c r="R74" s="198"/>
      <c r="S74" s="198"/>
      <c r="T74" s="198"/>
      <c r="U74" s="198"/>
    </row>
    <row r="75" spans="1:21" s="12" customFormat="1" x14ac:dyDescent="0.25">
      <c r="A75" s="213" t="s">
        <v>1369</v>
      </c>
      <c r="B75" s="64">
        <v>4.2</v>
      </c>
      <c r="C75" s="64">
        <v>68.84</v>
      </c>
      <c r="D75" s="64">
        <v>42.01</v>
      </c>
      <c r="E75" s="64">
        <v>0.33</v>
      </c>
      <c r="F75" s="64">
        <v>5.55</v>
      </c>
      <c r="G75" s="64">
        <v>71.42</v>
      </c>
      <c r="H75" s="64">
        <v>27.8</v>
      </c>
      <c r="I75" s="64">
        <v>1.5</v>
      </c>
      <c r="J75" s="64">
        <v>0.97</v>
      </c>
      <c r="K75" s="64">
        <v>351.6</v>
      </c>
      <c r="L75" s="64">
        <v>25.08</v>
      </c>
      <c r="M75" s="64">
        <v>67.7</v>
      </c>
      <c r="N75" s="64">
        <v>162.80000000000001</v>
      </c>
      <c r="O75" s="64">
        <v>0</v>
      </c>
      <c r="P75" s="64">
        <v>0.87</v>
      </c>
      <c r="Q75" s="64">
        <v>7.11</v>
      </c>
      <c r="R75" s="198"/>
      <c r="S75" s="198"/>
      <c r="T75" s="198"/>
      <c r="U75" s="198"/>
    </row>
    <row r="76" spans="1:21" s="12" customFormat="1" x14ac:dyDescent="0.25">
      <c r="A76" s="213" t="s">
        <v>1370</v>
      </c>
      <c r="B76" s="64">
        <v>3.51</v>
      </c>
      <c r="C76" s="64">
        <v>69.39</v>
      </c>
      <c r="D76" s="64">
        <v>41.75</v>
      </c>
      <c r="E76" s="64">
        <v>0.28999999999999998</v>
      </c>
      <c r="F76" s="64">
        <v>4.84</v>
      </c>
      <c r="G76" s="64">
        <v>70.33</v>
      </c>
      <c r="H76" s="64">
        <v>27.49</v>
      </c>
      <c r="I76" s="64">
        <v>1.48</v>
      </c>
      <c r="J76" s="64">
        <v>1.3</v>
      </c>
      <c r="K76" s="64">
        <v>350.81</v>
      </c>
      <c r="L76" s="64">
        <v>24.68</v>
      </c>
      <c r="M76" s="64">
        <v>69.319999999999993</v>
      </c>
      <c r="N76" s="64">
        <v>118.4</v>
      </c>
      <c r="O76" s="64">
        <v>0</v>
      </c>
      <c r="P76" s="64">
        <v>0.86</v>
      </c>
      <c r="Q76" s="64">
        <v>7.17</v>
      </c>
      <c r="R76" s="198"/>
      <c r="S76" s="198"/>
      <c r="T76" s="198"/>
      <c r="U76" s="198"/>
    </row>
    <row r="77" spans="1:21" s="12" customFormat="1" x14ac:dyDescent="0.25">
      <c r="A77" s="213" t="s">
        <v>1371</v>
      </c>
      <c r="B77" s="64">
        <v>4.33</v>
      </c>
      <c r="C77" s="64">
        <v>67.650000000000006</v>
      </c>
      <c r="D77" s="64">
        <v>41.45</v>
      </c>
      <c r="E77" s="64">
        <v>0.28999999999999998</v>
      </c>
      <c r="F77" s="64">
        <v>3.86</v>
      </c>
      <c r="G77" s="64">
        <v>70.33</v>
      </c>
      <c r="H77" s="64">
        <v>27.49</v>
      </c>
      <c r="I77" s="64">
        <v>1.54</v>
      </c>
      <c r="J77" s="64">
        <v>0.5</v>
      </c>
      <c r="K77" s="64">
        <v>32.79</v>
      </c>
      <c r="L77" s="64">
        <v>23.94</v>
      </c>
      <c r="M77" s="64">
        <v>72.650000000000006</v>
      </c>
      <c r="N77" s="64">
        <v>96.2</v>
      </c>
      <c r="O77" s="64">
        <v>0</v>
      </c>
      <c r="P77" s="64">
        <v>0.87</v>
      </c>
      <c r="Q77" s="64">
        <v>7.12</v>
      </c>
      <c r="R77" s="198"/>
      <c r="S77" s="198"/>
      <c r="T77" s="198"/>
      <c r="U77" s="198"/>
    </row>
    <row r="78" spans="1:21" s="12" customFormat="1" x14ac:dyDescent="0.25">
      <c r="A78" s="213" t="s">
        <v>1372</v>
      </c>
      <c r="B78" s="64">
        <v>5.24</v>
      </c>
      <c r="C78" s="64">
        <v>65.2</v>
      </c>
      <c r="D78" s="64">
        <v>40.83</v>
      </c>
      <c r="E78" s="64">
        <v>0.3</v>
      </c>
      <c r="F78" s="64">
        <v>3.48</v>
      </c>
      <c r="G78" s="64">
        <v>70.33</v>
      </c>
      <c r="H78" s="64">
        <v>27.49</v>
      </c>
      <c r="I78" s="64">
        <v>1.52</v>
      </c>
      <c r="J78" s="64">
        <v>0.24</v>
      </c>
      <c r="K78" s="64">
        <v>16.14</v>
      </c>
      <c r="L78" s="64">
        <v>23.32</v>
      </c>
      <c r="M78" s="64">
        <v>75.349999999999994</v>
      </c>
      <c r="N78" s="64">
        <v>79.099999999999994</v>
      </c>
      <c r="O78" s="64">
        <v>0</v>
      </c>
      <c r="P78" s="64">
        <v>0.88</v>
      </c>
      <c r="Q78" s="64">
        <v>7.12</v>
      </c>
      <c r="R78" s="198"/>
      <c r="S78" s="198"/>
      <c r="T78" s="198"/>
      <c r="U78" s="198"/>
    </row>
    <row r="79" spans="1:21" s="12" customFormat="1" x14ac:dyDescent="0.25">
      <c r="A79" s="213" t="s">
        <v>1373</v>
      </c>
      <c r="B79" s="64">
        <v>5.97</v>
      </c>
      <c r="C79" s="64">
        <v>67.08</v>
      </c>
      <c r="D79" s="64">
        <v>42.45</v>
      </c>
      <c r="E79" s="64">
        <v>0.31</v>
      </c>
      <c r="F79" s="64">
        <v>4.01</v>
      </c>
      <c r="G79" s="64">
        <v>69.37</v>
      </c>
      <c r="H79" s="64">
        <v>26.54</v>
      </c>
      <c r="I79" s="64">
        <v>1.51</v>
      </c>
      <c r="J79" s="64">
        <v>0.42</v>
      </c>
      <c r="K79" s="64">
        <v>353.99</v>
      </c>
      <c r="L79" s="64">
        <v>23.06</v>
      </c>
      <c r="M79" s="64">
        <v>75.8</v>
      </c>
      <c r="N79" s="64">
        <v>60.7</v>
      </c>
      <c r="O79" s="64">
        <v>0</v>
      </c>
      <c r="P79" s="64">
        <v>0.92</v>
      </c>
      <c r="Q79" s="64">
        <v>7.12</v>
      </c>
      <c r="R79" s="198"/>
      <c r="S79" s="198"/>
      <c r="T79" s="198"/>
      <c r="U79" s="198"/>
    </row>
    <row r="80" spans="1:21" s="12" customFormat="1" x14ac:dyDescent="0.25">
      <c r="A80" s="213" t="s">
        <v>1374</v>
      </c>
      <c r="B80" s="64">
        <v>6.2</v>
      </c>
      <c r="C80" s="64">
        <v>68</v>
      </c>
      <c r="D80" s="64">
        <v>43.15</v>
      </c>
      <c r="E80" s="64">
        <v>0.32</v>
      </c>
      <c r="F80" s="64">
        <v>3.43</v>
      </c>
      <c r="G80" s="64">
        <v>66.22</v>
      </c>
      <c r="H80" s="64">
        <v>24.32</v>
      </c>
      <c r="I80" s="64">
        <v>1.54</v>
      </c>
      <c r="J80" s="64">
        <v>0.17</v>
      </c>
      <c r="K80" s="64">
        <v>29.9</v>
      </c>
      <c r="L80" s="64">
        <v>22.66</v>
      </c>
      <c r="M80" s="64">
        <v>77.09</v>
      </c>
      <c r="N80" s="64">
        <v>53.6</v>
      </c>
      <c r="O80" s="64">
        <v>0</v>
      </c>
      <c r="P80" s="64">
        <v>0.94</v>
      </c>
      <c r="Q80" s="64">
        <v>7.2</v>
      </c>
      <c r="R80" s="198"/>
      <c r="S80" s="198"/>
      <c r="T80" s="198"/>
      <c r="U80" s="198"/>
    </row>
    <row r="81" spans="1:26" s="12" customFormat="1" x14ac:dyDescent="0.25">
      <c r="A81" s="213" t="s">
        <v>1375</v>
      </c>
      <c r="B81" s="64">
        <v>6.75</v>
      </c>
      <c r="C81" s="64">
        <v>68.17</v>
      </c>
      <c r="D81" s="64">
        <v>43.68</v>
      </c>
      <c r="E81" s="64">
        <v>0.28000000000000003</v>
      </c>
      <c r="F81" s="64">
        <v>3.33</v>
      </c>
      <c r="G81" s="64">
        <v>66.22</v>
      </c>
      <c r="H81" s="64">
        <v>24.32</v>
      </c>
      <c r="I81" s="64">
        <v>1.48</v>
      </c>
      <c r="J81" s="64">
        <v>0.74</v>
      </c>
      <c r="K81" s="64">
        <v>351.28</v>
      </c>
      <c r="L81" s="64">
        <v>22.46</v>
      </c>
      <c r="M81" s="64">
        <v>78.650000000000006</v>
      </c>
      <c r="N81" s="64">
        <v>51.6</v>
      </c>
      <c r="O81" s="64">
        <v>0</v>
      </c>
      <c r="P81" s="64">
        <v>0.95</v>
      </c>
      <c r="Q81" s="64">
        <v>7.18</v>
      </c>
      <c r="R81" s="198"/>
      <c r="S81" s="198"/>
      <c r="T81" s="198"/>
      <c r="U81" s="198"/>
    </row>
    <row r="82" spans="1:26" s="12" customFormat="1" x14ac:dyDescent="0.25">
      <c r="A82" s="213" t="s">
        <v>1376</v>
      </c>
      <c r="B82" s="64">
        <v>8</v>
      </c>
      <c r="C82" s="64">
        <v>69.09</v>
      </c>
      <c r="D82" s="64">
        <v>45.19</v>
      </c>
      <c r="E82" s="64">
        <v>0.34</v>
      </c>
      <c r="F82" s="64">
        <v>3.35</v>
      </c>
      <c r="G82" s="64">
        <v>66.22</v>
      </c>
      <c r="H82" s="64">
        <v>24.32</v>
      </c>
      <c r="I82" s="64">
        <v>1.6</v>
      </c>
      <c r="J82" s="64">
        <v>0.49</v>
      </c>
      <c r="K82" s="64">
        <v>355.93</v>
      </c>
      <c r="L82" s="64">
        <v>22.23</v>
      </c>
      <c r="M82" s="64">
        <v>80.52</v>
      </c>
      <c r="N82" s="64">
        <v>51.5</v>
      </c>
      <c r="O82" s="64">
        <v>0</v>
      </c>
      <c r="P82" s="64">
        <v>0.99</v>
      </c>
      <c r="Q82" s="64">
        <v>7.26</v>
      </c>
      <c r="R82" s="198"/>
      <c r="S82" s="198"/>
      <c r="T82" s="198"/>
      <c r="U82" s="198"/>
    </row>
    <row r="83" spans="1:26" s="12" customFormat="1" x14ac:dyDescent="0.25">
      <c r="A83" s="213" t="s">
        <v>1377</v>
      </c>
      <c r="B83" s="64">
        <v>9.9</v>
      </c>
      <c r="C83" s="64">
        <v>70.12</v>
      </c>
      <c r="D83" s="64">
        <v>47.28</v>
      </c>
      <c r="E83" s="64">
        <v>0.34</v>
      </c>
      <c r="F83" s="64">
        <v>3.38</v>
      </c>
      <c r="G83" s="64">
        <v>66.38</v>
      </c>
      <c r="H83" s="64">
        <v>25.03</v>
      </c>
      <c r="I83" s="64">
        <v>1.46</v>
      </c>
      <c r="J83" s="64">
        <v>0.66</v>
      </c>
      <c r="K83" s="64">
        <v>351.78</v>
      </c>
      <c r="L83" s="64">
        <v>21.99</v>
      </c>
      <c r="M83" s="64">
        <v>82.61</v>
      </c>
      <c r="N83" s="64">
        <v>51.2</v>
      </c>
      <c r="O83" s="64">
        <v>0</v>
      </c>
      <c r="P83" s="64">
        <v>1.03</v>
      </c>
      <c r="Q83" s="64">
        <v>7.32</v>
      </c>
      <c r="R83" s="198"/>
      <c r="S83" s="198"/>
      <c r="T83" s="198"/>
      <c r="U83" s="198"/>
    </row>
    <row r="84" spans="1:26" s="12" customFormat="1" x14ac:dyDescent="0.25">
      <c r="A84" s="213" t="s">
        <v>1378</v>
      </c>
      <c r="B84" s="64">
        <v>11.62</v>
      </c>
      <c r="C84" s="64">
        <v>72.22</v>
      </c>
      <c r="D84" s="64">
        <v>49.82</v>
      </c>
      <c r="E84" s="64">
        <v>0.28999999999999998</v>
      </c>
      <c r="F84" s="64">
        <v>2.93</v>
      </c>
      <c r="G84" s="64">
        <v>66.89</v>
      </c>
      <c r="H84" s="64">
        <v>26.7</v>
      </c>
      <c r="I84" s="64">
        <v>1.58</v>
      </c>
      <c r="J84" s="64">
        <v>0.6</v>
      </c>
      <c r="K84" s="64">
        <v>343.65</v>
      </c>
      <c r="L84" s="64">
        <v>21.75</v>
      </c>
      <c r="M84" s="64">
        <v>84.26</v>
      </c>
      <c r="N84" s="64">
        <v>51.1</v>
      </c>
      <c r="O84" s="64">
        <v>0</v>
      </c>
      <c r="P84" s="64">
        <v>1.07</v>
      </c>
      <c r="Q84" s="64">
        <v>7.49</v>
      </c>
      <c r="R84" s="198"/>
      <c r="S84" s="198"/>
      <c r="T84" s="198"/>
      <c r="U84" s="198"/>
    </row>
    <row r="85" spans="1:26" s="12" customFormat="1" x14ac:dyDescent="0.25">
      <c r="A85" s="213" t="s">
        <v>1379</v>
      </c>
      <c r="B85" s="64">
        <v>13.17</v>
      </c>
      <c r="C85" s="64">
        <v>71.510000000000005</v>
      </c>
      <c r="D85" s="64">
        <v>50.68</v>
      </c>
      <c r="E85" s="64">
        <v>0.37</v>
      </c>
      <c r="F85" s="64">
        <v>3.55</v>
      </c>
      <c r="G85" s="64">
        <v>66.89</v>
      </c>
      <c r="H85" s="64">
        <v>26.7</v>
      </c>
      <c r="I85" s="64">
        <v>1.5</v>
      </c>
      <c r="J85" s="64">
        <v>0.51</v>
      </c>
      <c r="K85" s="64">
        <v>346.69</v>
      </c>
      <c r="L85" s="64">
        <v>21.53</v>
      </c>
      <c r="M85" s="64">
        <v>85.03</v>
      </c>
      <c r="N85" s="64">
        <v>51.2</v>
      </c>
      <c r="O85" s="64">
        <v>0</v>
      </c>
      <c r="P85" s="64">
        <v>0.97</v>
      </c>
      <c r="Q85" s="64">
        <v>7.65</v>
      </c>
      <c r="R85" s="198"/>
      <c r="S85" s="198"/>
      <c r="T85" s="198"/>
      <c r="U85" s="198"/>
    </row>
    <row r="86" spans="1:26" s="12" customFormat="1" x14ac:dyDescent="0.25">
      <c r="A86" s="213" t="s">
        <v>1380</v>
      </c>
      <c r="B86" s="64">
        <v>14.85</v>
      </c>
      <c r="C86" s="64">
        <v>70.89</v>
      </c>
      <c r="D86" s="64">
        <v>51.67</v>
      </c>
      <c r="E86" s="64">
        <v>0.23</v>
      </c>
      <c r="F86" s="64">
        <v>3.35</v>
      </c>
      <c r="G86" s="64">
        <v>66.89</v>
      </c>
      <c r="H86" s="64">
        <v>26.7</v>
      </c>
      <c r="I86" s="64">
        <v>1.48</v>
      </c>
      <c r="J86" s="64">
        <v>0.15</v>
      </c>
      <c r="K86" s="64">
        <v>9.56</v>
      </c>
      <c r="L86" s="64">
        <v>21.27</v>
      </c>
      <c r="M86" s="64">
        <v>85.85</v>
      </c>
      <c r="N86" s="64">
        <v>51.5</v>
      </c>
      <c r="O86" s="64">
        <v>0</v>
      </c>
      <c r="P86" s="64">
        <v>1.07</v>
      </c>
      <c r="Q86" s="64">
        <v>7.85</v>
      </c>
      <c r="R86" s="198"/>
      <c r="S86" s="198"/>
      <c r="T86" s="198"/>
      <c r="U86" s="198"/>
    </row>
    <row r="87" spans="1:26" s="12" customFormat="1" x14ac:dyDescent="0.25">
      <c r="A87" s="213" t="s">
        <v>1381</v>
      </c>
      <c r="B87" s="64">
        <v>16.14</v>
      </c>
      <c r="C87" s="64">
        <v>69.290000000000006</v>
      </c>
      <c r="D87" s="64">
        <v>51.83</v>
      </c>
      <c r="E87" s="64">
        <v>0.34</v>
      </c>
      <c r="F87" s="64">
        <v>3.51</v>
      </c>
      <c r="G87" s="64">
        <v>66.69</v>
      </c>
      <c r="H87" s="64">
        <v>27.36</v>
      </c>
      <c r="I87" s="64">
        <v>1.54</v>
      </c>
      <c r="J87" s="64">
        <v>0.17</v>
      </c>
      <c r="K87" s="64">
        <v>35.130000000000003</v>
      </c>
      <c r="L87" s="64">
        <v>21.07</v>
      </c>
      <c r="M87" s="64">
        <v>85.39</v>
      </c>
      <c r="N87" s="64">
        <v>51.8</v>
      </c>
      <c r="O87" s="64">
        <v>0</v>
      </c>
      <c r="P87" s="64">
        <v>1.06</v>
      </c>
      <c r="Q87" s="64">
        <v>8.0299999999999994</v>
      </c>
      <c r="R87" s="198"/>
      <c r="S87" s="198"/>
      <c r="T87" s="198"/>
      <c r="U87" s="198"/>
    </row>
    <row r="88" spans="1:26" s="12" customFormat="1" x14ac:dyDescent="0.25">
      <c r="A88" s="213" t="s">
        <v>1382</v>
      </c>
      <c r="B88" s="64">
        <v>16.95</v>
      </c>
      <c r="C88" s="64">
        <v>69.42</v>
      </c>
      <c r="D88" s="64">
        <v>52.55</v>
      </c>
      <c r="E88" s="64">
        <v>0.26</v>
      </c>
      <c r="F88" s="64">
        <v>3.83</v>
      </c>
      <c r="G88" s="64">
        <v>66.040000000000006</v>
      </c>
      <c r="H88" s="64">
        <v>30.39</v>
      </c>
      <c r="I88" s="64">
        <v>1.5</v>
      </c>
      <c r="J88" s="64">
        <v>0.2</v>
      </c>
      <c r="K88" s="64">
        <v>55.25</v>
      </c>
      <c r="L88" s="64">
        <v>20.88</v>
      </c>
      <c r="M88" s="64">
        <v>86.68</v>
      </c>
      <c r="N88" s="64">
        <v>52.7</v>
      </c>
      <c r="O88" s="64">
        <v>0</v>
      </c>
      <c r="P88" s="64">
        <v>1.06</v>
      </c>
      <c r="Q88" s="64">
        <v>8.19</v>
      </c>
      <c r="R88" s="198"/>
      <c r="S88" s="198"/>
      <c r="T88" s="198"/>
      <c r="U88" s="198"/>
    </row>
    <row r="89" spans="1:26" s="12" customFormat="1" x14ac:dyDescent="0.25">
      <c r="A89" s="213" t="s">
        <v>1383</v>
      </c>
      <c r="B89" s="64">
        <v>17.87</v>
      </c>
      <c r="C89" s="64">
        <v>68.150000000000006</v>
      </c>
      <c r="D89" s="64">
        <v>52.59</v>
      </c>
      <c r="E89" s="64">
        <v>0.23</v>
      </c>
      <c r="F89" s="64">
        <v>3.3</v>
      </c>
      <c r="G89" s="64">
        <v>66.040000000000006</v>
      </c>
      <c r="H89" s="64">
        <v>30.39</v>
      </c>
      <c r="I89" s="64">
        <v>1.51</v>
      </c>
      <c r="J89" s="64">
        <v>0.31</v>
      </c>
      <c r="K89" s="64">
        <v>70.319999999999993</v>
      </c>
      <c r="L89" s="64">
        <v>20.76</v>
      </c>
      <c r="M89" s="64">
        <v>86.49</v>
      </c>
      <c r="N89" s="64">
        <v>53.3</v>
      </c>
      <c r="O89" s="64">
        <v>0</v>
      </c>
      <c r="P89" s="64">
        <v>1.06</v>
      </c>
      <c r="Q89" s="64">
        <v>8.23</v>
      </c>
      <c r="R89" s="198"/>
      <c r="S89" s="198"/>
      <c r="T89" s="198"/>
      <c r="U89" s="198"/>
    </row>
    <row r="90" spans="1:26" s="12" customFormat="1" x14ac:dyDescent="0.25">
      <c r="A90" s="213" t="s">
        <v>1384</v>
      </c>
      <c r="B90" s="64">
        <v>18.489999999999998</v>
      </c>
      <c r="C90" s="64">
        <v>67.72</v>
      </c>
      <c r="D90" s="64">
        <v>52.85</v>
      </c>
      <c r="E90" s="64">
        <v>0.24</v>
      </c>
      <c r="F90" s="64">
        <v>3.4</v>
      </c>
      <c r="G90" s="64">
        <v>66.040000000000006</v>
      </c>
      <c r="H90" s="64">
        <v>30.39</v>
      </c>
      <c r="I90" s="64">
        <v>1.54</v>
      </c>
      <c r="J90" s="64">
        <v>0.33</v>
      </c>
      <c r="K90" s="64">
        <v>87.83</v>
      </c>
      <c r="L90" s="64">
        <v>20.71</v>
      </c>
      <c r="M90" s="64">
        <v>86.13</v>
      </c>
      <c r="N90" s="64">
        <v>53.3</v>
      </c>
      <c r="O90" s="64">
        <v>0</v>
      </c>
      <c r="P90" s="64">
        <v>1.06</v>
      </c>
      <c r="Q90" s="64">
        <v>8.31</v>
      </c>
      <c r="R90" s="198"/>
      <c r="S90" s="198"/>
      <c r="T90" s="198"/>
      <c r="U90" s="198"/>
    </row>
    <row r="91" spans="1:26" s="12" customFormat="1" x14ac:dyDescent="0.25">
      <c r="A91" s="213" t="s">
        <v>1385</v>
      </c>
      <c r="B91" s="64">
        <v>18.89</v>
      </c>
      <c r="C91" s="64">
        <v>68.540000000000006</v>
      </c>
      <c r="D91" s="64">
        <v>53.61</v>
      </c>
      <c r="E91" s="64">
        <v>0.32</v>
      </c>
      <c r="F91" s="64">
        <v>3.12</v>
      </c>
      <c r="G91" s="64">
        <v>65.3</v>
      </c>
      <c r="H91" s="64">
        <v>29.98</v>
      </c>
      <c r="I91" s="64">
        <v>1.49</v>
      </c>
      <c r="J91" s="64">
        <v>0.24</v>
      </c>
      <c r="K91" s="64">
        <v>69.540000000000006</v>
      </c>
      <c r="L91" s="64">
        <v>20.65</v>
      </c>
      <c r="M91" s="64">
        <v>85.39</v>
      </c>
      <c r="N91" s="64">
        <v>53.5</v>
      </c>
      <c r="O91" s="64">
        <v>0</v>
      </c>
      <c r="P91" s="64">
        <v>1.06</v>
      </c>
      <c r="Q91" s="64">
        <v>8.35</v>
      </c>
      <c r="R91" s="198"/>
      <c r="S91" s="198"/>
      <c r="T91" s="198"/>
      <c r="U91" s="198"/>
    </row>
    <row r="92" spans="1:26" s="12" customFormat="1" x14ac:dyDescent="0.25">
      <c r="A92" s="213" t="s">
        <v>1386</v>
      </c>
      <c r="B92" s="64">
        <v>19.170000000000002</v>
      </c>
      <c r="C92" s="64">
        <v>67.569999999999993</v>
      </c>
      <c r="D92" s="64">
        <v>53.31</v>
      </c>
      <c r="E92" s="64">
        <v>0.23</v>
      </c>
      <c r="F92" s="64">
        <v>3.16</v>
      </c>
      <c r="G92" s="64">
        <v>62.89</v>
      </c>
      <c r="H92" s="64">
        <v>29.04</v>
      </c>
      <c r="I92" s="64">
        <v>1.49</v>
      </c>
      <c r="J92" s="64">
        <v>0.46</v>
      </c>
      <c r="K92" s="64">
        <v>90.4</v>
      </c>
      <c r="L92" s="64">
        <v>20.68</v>
      </c>
      <c r="M92" s="64">
        <v>83.71</v>
      </c>
      <c r="N92" s="64">
        <v>53.9</v>
      </c>
      <c r="O92" s="64">
        <v>0</v>
      </c>
      <c r="P92" s="64">
        <v>1.05</v>
      </c>
      <c r="Q92" s="64">
        <v>8.39</v>
      </c>
      <c r="R92" s="198"/>
      <c r="S92" s="198"/>
      <c r="T92" s="198"/>
      <c r="U92" s="198"/>
    </row>
    <row r="93" spans="1:26" s="12" customFormat="1" x14ac:dyDescent="0.25">
      <c r="A93" s="213" t="s">
        <v>1387</v>
      </c>
      <c r="B93" s="64">
        <v>19</v>
      </c>
      <c r="C93" s="64">
        <v>67.36</v>
      </c>
      <c r="D93" s="64">
        <v>53.06</v>
      </c>
      <c r="E93" s="64">
        <v>0.2</v>
      </c>
      <c r="F93" s="64">
        <v>3.27</v>
      </c>
      <c r="G93" s="64">
        <v>62.89</v>
      </c>
      <c r="H93" s="64">
        <v>29.04</v>
      </c>
      <c r="I93" s="64">
        <v>1.5</v>
      </c>
      <c r="J93" s="64">
        <v>0.7</v>
      </c>
      <c r="K93" s="64">
        <v>101.38</v>
      </c>
      <c r="L93" s="64">
        <v>20.61</v>
      </c>
      <c r="M93" s="64">
        <v>84.19</v>
      </c>
      <c r="N93" s="64">
        <v>55.3</v>
      </c>
      <c r="O93" s="64">
        <v>0</v>
      </c>
      <c r="P93" s="64">
        <v>1.03</v>
      </c>
      <c r="Q93" s="64">
        <v>8.35</v>
      </c>
      <c r="R93" s="198"/>
      <c r="S93" s="198"/>
      <c r="T93" s="198"/>
      <c r="U93" s="198"/>
    </row>
    <row r="94" spans="1:26" s="12" customFormat="1" x14ac:dyDescent="0.25">
      <c r="A94" s="213" t="s">
        <v>1388</v>
      </c>
      <c r="B94" s="64">
        <v>18.57</v>
      </c>
      <c r="C94" s="64">
        <v>66.58</v>
      </c>
      <c r="D94" s="64">
        <v>52.28</v>
      </c>
      <c r="E94" s="64">
        <v>0.28999999999999998</v>
      </c>
      <c r="F94" s="64">
        <v>3.05</v>
      </c>
      <c r="G94" s="64">
        <v>62.89</v>
      </c>
      <c r="H94" s="64">
        <v>29.04</v>
      </c>
      <c r="I94" s="64">
        <v>1.47</v>
      </c>
      <c r="J94" s="64">
        <v>0.69</v>
      </c>
      <c r="K94" s="64">
        <v>99.71</v>
      </c>
      <c r="L94" s="64">
        <v>20.51</v>
      </c>
      <c r="M94" s="64">
        <v>84.65</v>
      </c>
      <c r="N94" s="64">
        <v>54.4</v>
      </c>
      <c r="O94" s="64">
        <v>0</v>
      </c>
      <c r="P94" s="64">
        <v>1.01</v>
      </c>
      <c r="Q94" s="64">
        <v>8.3699999999999992</v>
      </c>
      <c r="R94" s="198"/>
      <c r="S94" s="198"/>
      <c r="T94" s="198"/>
      <c r="U94" s="198"/>
    </row>
    <row r="95" spans="1:26" s="12" customFormat="1" x14ac:dyDescent="0.25">
      <c r="A95" s="213" t="s">
        <v>1389</v>
      </c>
      <c r="B95" s="64">
        <v>18.14</v>
      </c>
      <c r="C95" s="64">
        <v>66.86</v>
      </c>
      <c r="D95" s="64">
        <v>52.09</v>
      </c>
      <c r="E95" s="64">
        <v>0.3</v>
      </c>
      <c r="F95" s="64">
        <v>3.3</v>
      </c>
      <c r="G95" s="64">
        <v>62.35</v>
      </c>
      <c r="H95" s="64">
        <v>28.92</v>
      </c>
      <c r="I95" s="64">
        <v>1.54</v>
      </c>
      <c r="J95" s="64">
        <v>0.85</v>
      </c>
      <c r="K95" s="64">
        <v>104.68</v>
      </c>
      <c r="L95" s="64">
        <v>20.399999999999999</v>
      </c>
      <c r="M95" s="64">
        <v>85.11</v>
      </c>
      <c r="N95" s="64">
        <v>51.8</v>
      </c>
      <c r="O95" s="64">
        <v>0</v>
      </c>
      <c r="P95" s="64">
        <v>0.99</v>
      </c>
      <c r="Q95" s="64">
        <v>8.35</v>
      </c>
      <c r="R95" s="198"/>
      <c r="S95" s="198"/>
      <c r="T95" s="198"/>
      <c r="U95" s="198"/>
    </row>
    <row r="96" spans="1:26" s="12" customFormat="1" x14ac:dyDescent="0.25">
      <c r="A96" s="213" t="s">
        <v>1390</v>
      </c>
      <c r="B96" s="64">
        <v>17.57</v>
      </c>
      <c r="C96" s="64">
        <v>65.89</v>
      </c>
      <c r="D96" s="64">
        <v>51.1</v>
      </c>
      <c r="E96" s="64">
        <v>0.28000000000000003</v>
      </c>
      <c r="F96" s="64">
        <v>3.28</v>
      </c>
      <c r="G96" s="64">
        <v>60.59</v>
      </c>
      <c r="H96" s="64">
        <v>28.62</v>
      </c>
      <c r="I96" s="64">
        <v>1.54</v>
      </c>
      <c r="J96" s="64">
        <v>1.7</v>
      </c>
      <c r="K96" s="64">
        <v>105.56</v>
      </c>
      <c r="L96" s="64">
        <v>20.43</v>
      </c>
      <c r="M96" s="64">
        <v>85.7</v>
      </c>
      <c r="N96" s="64">
        <v>51.1</v>
      </c>
      <c r="O96" s="64">
        <v>0</v>
      </c>
      <c r="P96" s="64">
        <v>0.96</v>
      </c>
      <c r="Q96" s="64">
        <v>8.31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1391</v>
      </c>
      <c r="B97" s="64">
        <v>16.53</v>
      </c>
      <c r="C97" s="64">
        <v>62.81</v>
      </c>
      <c r="D97" s="64">
        <v>48.56</v>
      </c>
      <c r="E97" s="64">
        <v>0.26</v>
      </c>
      <c r="F97" s="64">
        <v>3.2</v>
      </c>
      <c r="G97" s="64">
        <v>60.59</v>
      </c>
      <c r="H97" s="64">
        <v>28.62</v>
      </c>
      <c r="I97" s="64">
        <v>1.54</v>
      </c>
      <c r="J97" s="64">
        <v>1.89</v>
      </c>
      <c r="K97" s="64">
        <v>107.21</v>
      </c>
      <c r="L97" s="64">
        <v>20.399999999999999</v>
      </c>
      <c r="M97" s="64">
        <v>85.5</v>
      </c>
      <c r="N97" s="64">
        <v>50.8</v>
      </c>
      <c r="O97" s="64">
        <v>0</v>
      </c>
      <c r="P97" s="64">
        <v>0.93</v>
      </c>
      <c r="Q97" s="64">
        <v>8.16</v>
      </c>
      <c r="R97" s="198"/>
      <c r="S97" s="198"/>
      <c r="T97" s="198"/>
      <c r="U97" s="198"/>
    </row>
    <row r="98" spans="1:33" s="12" customFormat="1" x14ac:dyDescent="0.25">
      <c r="A98" s="213" t="s">
        <v>1392</v>
      </c>
      <c r="B98" s="64">
        <v>14.62</v>
      </c>
      <c r="C98" s="64">
        <v>55.74</v>
      </c>
      <c r="D98" s="64">
        <v>43.13</v>
      </c>
      <c r="E98" s="64">
        <v>0.21</v>
      </c>
      <c r="F98" s="64">
        <v>3.55</v>
      </c>
      <c r="G98" s="64">
        <v>60.59</v>
      </c>
      <c r="H98" s="64">
        <v>28.62</v>
      </c>
      <c r="I98" s="64">
        <v>1.48</v>
      </c>
      <c r="J98" s="64">
        <v>1.73</v>
      </c>
      <c r="K98" s="64">
        <v>98.58</v>
      </c>
      <c r="L98" s="64">
        <v>20.440000000000001</v>
      </c>
      <c r="M98" s="64">
        <v>84.46</v>
      </c>
      <c r="N98" s="64">
        <v>51</v>
      </c>
      <c r="O98" s="64">
        <v>0</v>
      </c>
      <c r="P98" s="64">
        <v>0.88</v>
      </c>
      <c r="Q98" s="64">
        <v>7.54</v>
      </c>
      <c r="R98" s="198"/>
      <c r="S98" s="198"/>
      <c r="T98" s="198"/>
      <c r="U98" s="198"/>
    </row>
    <row r="99" spans="1:33" s="12" customFormat="1" x14ac:dyDescent="0.25">
      <c r="A99" s="213" t="s">
        <v>1393</v>
      </c>
      <c r="B99" s="64">
        <v>12.52</v>
      </c>
      <c r="C99" s="64">
        <v>56.09</v>
      </c>
      <c r="D99" s="64">
        <v>41.64</v>
      </c>
      <c r="E99" s="64">
        <v>0.22</v>
      </c>
      <c r="F99" s="64">
        <v>3.64</v>
      </c>
      <c r="G99" s="64">
        <v>59.29</v>
      </c>
      <c r="H99" s="64">
        <v>28.35</v>
      </c>
      <c r="I99" s="64">
        <v>1.49</v>
      </c>
      <c r="J99" s="64">
        <v>1.74</v>
      </c>
      <c r="K99" s="64">
        <v>107.51</v>
      </c>
      <c r="L99" s="64">
        <v>20.329999999999998</v>
      </c>
      <c r="M99" s="64">
        <v>85.18</v>
      </c>
      <c r="N99" s="64">
        <v>51.3</v>
      </c>
      <c r="O99" s="64">
        <v>0</v>
      </c>
      <c r="P99" s="64">
        <v>0.82</v>
      </c>
      <c r="Q99" s="64">
        <v>7.36</v>
      </c>
      <c r="R99" s="198"/>
      <c r="S99" s="198"/>
      <c r="T99" s="198"/>
      <c r="U99" s="198"/>
    </row>
    <row r="100" spans="1:33" s="12" customFormat="1" x14ac:dyDescent="0.25">
      <c r="A100" s="213" t="s">
        <v>1394</v>
      </c>
      <c r="B100" s="64">
        <v>10.82</v>
      </c>
      <c r="C100" s="64">
        <v>57.88</v>
      </c>
      <c r="D100" s="64">
        <v>41.26</v>
      </c>
      <c r="E100" s="64">
        <v>0.23</v>
      </c>
      <c r="F100" s="64">
        <v>3.39</v>
      </c>
      <c r="G100" s="64">
        <v>55.02</v>
      </c>
      <c r="H100" s="64">
        <v>27.72</v>
      </c>
      <c r="I100" s="64">
        <v>1.55</v>
      </c>
      <c r="J100" s="64">
        <v>1.41</v>
      </c>
      <c r="K100" s="64">
        <v>109.52</v>
      </c>
      <c r="L100" s="64">
        <v>20.260000000000002</v>
      </c>
      <c r="M100" s="64">
        <v>86.12</v>
      </c>
      <c r="N100" s="64">
        <v>51.8</v>
      </c>
      <c r="O100" s="64">
        <v>0</v>
      </c>
      <c r="P100" s="64">
        <v>0.78</v>
      </c>
      <c r="Q100" s="64">
        <v>7.31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1395</v>
      </c>
      <c r="B101" s="64">
        <v>9.4600000000000009</v>
      </c>
      <c r="C101" s="64">
        <v>56.8</v>
      </c>
      <c r="D101" s="64">
        <v>39.58</v>
      </c>
      <c r="E101" s="64">
        <v>0.23</v>
      </c>
      <c r="F101" s="64">
        <v>3.26</v>
      </c>
      <c r="G101" s="64">
        <v>55.02</v>
      </c>
      <c r="H101" s="64">
        <v>27.72</v>
      </c>
      <c r="I101" s="64">
        <v>1.47</v>
      </c>
      <c r="J101" s="64">
        <v>1.42</v>
      </c>
      <c r="K101" s="64">
        <v>109.48</v>
      </c>
      <c r="L101" s="64">
        <v>20.12</v>
      </c>
      <c r="M101" s="64">
        <v>87.65</v>
      </c>
      <c r="N101" s="64">
        <v>54.2</v>
      </c>
      <c r="O101" s="64">
        <v>0</v>
      </c>
      <c r="P101" s="64">
        <v>0.74</v>
      </c>
      <c r="Q101" s="64">
        <v>7.17</v>
      </c>
      <c r="R101" s="198"/>
      <c r="S101" s="198"/>
      <c r="T101" s="198"/>
      <c r="U101" s="198"/>
    </row>
    <row r="102" spans="1:33" s="12" customFormat="1" x14ac:dyDescent="0.25">
      <c r="A102" s="213" t="s">
        <v>1396</v>
      </c>
      <c r="B102" s="64">
        <v>8.3800000000000008</v>
      </c>
      <c r="C102" s="64">
        <v>55.42</v>
      </c>
      <c r="D102" s="64">
        <v>37.950000000000003</v>
      </c>
      <c r="E102" s="64">
        <v>0.18</v>
      </c>
      <c r="F102" s="64">
        <v>3.21</v>
      </c>
      <c r="G102" s="64">
        <v>55.02</v>
      </c>
      <c r="H102" s="64">
        <v>27.72</v>
      </c>
      <c r="I102" s="64">
        <v>1.49</v>
      </c>
      <c r="J102" s="64">
        <v>2.0299999999999998</v>
      </c>
      <c r="K102" s="64">
        <v>102.83</v>
      </c>
      <c r="L102" s="64">
        <v>20.21</v>
      </c>
      <c r="M102" s="64">
        <v>87.35</v>
      </c>
      <c r="N102" s="64">
        <v>57.5</v>
      </c>
      <c r="O102" s="64">
        <v>0</v>
      </c>
      <c r="P102" s="64">
        <v>0.7</v>
      </c>
      <c r="Q102" s="64">
        <v>7.14</v>
      </c>
      <c r="R102" s="198"/>
      <c r="S102" s="198"/>
      <c r="T102" s="198"/>
      <c r="U102" s="198"/>
    </row>
    <row r="103" spans="1:33" s="12" customFormat="1" x14ac:dyDescent="0.25">
      <c r="A103" s="213" t="s">
        <v>1397</v>
      </c>
      <c r="B103" s="64">
        <v>7.32</v>
      </c>
      <c r="C103" s="64">
        <v>53.49</v>
      </c>
      <c r="D103" s="64">
        <v>36.04</v>
      </c>
      <c r="E103" s="64">
        <v>0.21</v>
      </c>
      <c r="F103" s="64">
        <v>2.9</v>
      </c>
      <c r="G103" s="64">
        <v>52.75</v>
      </c>
      <c r="H103" s="64">
        <v>27.24</v>
      </c>
      <c r="I103" s="64">
        <v>1.54</v>
      </c>
      <c r="J103" s="64">
        <v>1.94</v>
      </c>
      <c r="K103" s="64">
        <v>103.58</v>
      </c>
      <c r="L103" s="64">
        <v>20.22</v>
      </c>
      <c r="M103" s="64">
        <v>88.24</v>
      </c>
      <c r="N103" s="64">
        <v>52.8</v>
      </c>
      <c r="O103" s="64">
        <v>0</v>
      </c>
      <c r="P103" s="64">
        <v>0.65</v>
      </c>
      <c r="Q103" s="64">
        <v>6.85</v>
      </c>
      <c r="R103" s="198"/>
      <c r="S103" s="198"/>
      <c r="T103" s="198"/>
      <c r="U103" s="198"/>
    </row>
    <row r="104" spans="1:33" s="12" customFormat="1" x14ac:dyDescent="0.25">
      <c r="A104" s="213" t="s">
        <v>1398</v>
      </c>
      <c r="B104" s="64">
        <v>6.43</v>
      </c>
      <c r="C104" s="64">
        <v>55.31</v>
      </c>
      <c r="D104" s="64">
        <v>36.33</v>
      </c>
      <c r="E104" s="64">
        <v>0.06</v>
      </c>
      <c r="F104" s="64">
        <v>3.12</v>
      </c>
      <c r="G104" s="64">
        <v>45.27</v>
      </c>
      <c r="H104" s="64">
        <v>25</v>
      </c>
      <c r="I104" s="64">
        <v>1.47</v>
      </c>
      <c r="J104" s="64">
        <v>2.0699999999999998</v>
      </c>
      <c r="K104" s="64">
        <v>107.91</v>
      </c>
      <c r="L104" s="64">
        <v>20.14</v>
      </c>
      <c r="M104" s="64">
        <v>89.37</v>
      </c>
      <c r="N104" s="64">
        <v>52.9</v>
      </c>
      <c r="O104" s="64">
        <v>0</v>
      </c>
      <c r="P104" s="64">
        <v>0.62</v>
      </c>
      <c r="Q104" s="64">
        <v>6.64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2.33</v>
      </c>
      <c r="C106" s="67">
        <f>MIN(C9:C104)</f>
        <v>3.02</v>
      </c>
      <c r="D106" s="67">
        <f t="shared" ref="D106:Q106" si="0">MIN(D9:D104)</f>
        <v>31.57</v>
      </c>
      <c r="E106" s="67">
        <f t="shared" si="0"/>
        <v>0.06</v>
      </c>
      <c r="F106" s="67">
        <f t="shared" si="0"/>
        <v>2.9</v>
      </c>
      <c r="G106" s="67">
        <f t="shared" si="0"/>
        <v>17.149999999999999</v>
      </c>
      <c r="H106" s="67">
        <f t="shared" si="0"/>
        <v>6.08</v>
      </c>
      <c r="I106" s="67">
        <f t="shared" si="0"/>
        <v>1.4</v>
      </c>
      <c r="J106" s="67">
        <f t="shared" si="0"/>
        <v>0.02</v>
      </c>
      <c r="K106" s="67">
        <f t="shared" si="0"/>
        <v>5.38</v>
      </c>
      <c r="L106" s="67">
        <f t="shared" si="0"/>
        <v>14.84</v>
      </c>
      <c r="M106" s="67">
        <f t="shared" si="0"/>
        <v>47.3</v>
      </c>
      <c r="N106" s="67">
        <f t="shared" si="0"/>
        <v>50.8</v>
      </c>
      <c r="O106" s="67">
        <f t="shared" si="0"/>
        <v>0</v>
      </c>
      <c r="P106" s="67">
        <f t="shared" si="0"/>
        <v>0.48</v>
      </c>
      <c r="Q106" s="67">
        <f t="shared" si="0"/>
        <v>6.01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164.57</v>
      </c>
      <c r="C107" s="66">
        <f t="shared" ref="C107:Q107" si="1">MAX(C9:C104)</f>
        <v>72.22</v>
      </c>
      <c r="D107" s="66">
        <f t="shared" si="1"/>
        <v>145</v>
      </c>
      <c r="E107" s="66">
        <f t="shared" si="1"/>
        <v>0.61</v>
      </c>
      <c r="F107" s="66">
        <f t="shared" si="1"/>
        <v>8.64</v>
      </c>
      <c r="G107" s="66">
        <f t="shared" si="1"/>
        <v>74.94</v>
      </c>
      <c r="H107" s="66">
        <f t="shared" si="1"/>
        <v>31.13</v>
      </c>
      <c r="I107" s="66">
        <f t="shared" si="1"/>
        <v>1.63</v>
      </c>
      <c r="J107" s="66">
        <f t="shared" si="1"/>
        <v>2.0699999999999998</v>
      </c>
      <c r="K107" s="66">
        <f t="shared" si="1"/>
        <v>357.46</v>
      </c>
      <c r="L107" s="66">
        <f t="shared" si="1"/>
        <v>30.34</v>
      </c>
      <c r="M107" s="66">
        <f t="shared" si="1"/>
        <v>99.82</v>
      </c>
      <c r="N107" s="66">
        <f t="shared" si="1"/>
        <v>779.8</v>
      </c>
      <c r="O107" s="66">
        <f t="shared" si="1"/>
        <v>4.5999999999999996</v>
      </c>
      <c r="P107" s="66">
        <f t="shared" si="1"/>
        <v>1.07</v>
      </c>
      <c r="Q107" s="66">
        <f t="shared" si="1"/>
        <v>8.39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9.7553763440860219</v>
      </c>
      <c r="C108" s="67">
        <f t="shared" ref="C108:Q108" si="2">AVERAGE(C9:C104)</f>
        <v>59.490537634408604</v>
      </c>
      <c r="D108" s="67">
        <f t="shared" si="2"/>
        <v>41.415698924731188</v>
      </c>
      <c r="E108" s="67">
        <f t="shared" si="2"/>
        <v>0.26255319148936168</v>
      </c>
      <c r="F108" s="67">
        <f t="shared" si="2"/>
        <v>3.9578124999999988</v>
      </c>
      <c r="G108" s="67">
        <f t="shared" si="2"/>
        <v>61.87054347826092</v>
      </c>
      <c r="H108" s="67">
        <f t="shared" si="2"/>
        <v>27.324565217391292</v>
      </c>
      <c r="I108" s="67">
        <f t="shared" si="2"/>
        <v>1.5057291666666661</v>
      </c>
      <c r="J108" s="67">
        <f t="shared" si="2"/>
        <v>0.68500000000000005</v>
      </c>
      <c r="K108" s="67">
        <f t="shared" si="2"/>
        <v>184.45156250000002</v>
      </c>
      <c r="L108" s="67">
        <f t="shared" si="2"/>
        <v>21.012500000000003</v>
      </c>
      <c r="M108" s="67">
        <f t="shared" si="2"/>
        <v>80.824687499999996</v>
      </c>
      <c r="N108" s="67">
        <f t="shared" si="2"/>
        <v>259.42500000000001</v>
      </c>
      <c r="O108" s="67">
        <f t="shared" si="2"/>
        <v>6.0416666666666667E-2</v>
      </c>
      <c r="P108" s="67">
        <f t="shared" si="2"/>
        <v>0.71804347826086989</v>
      </c>
      <c r="Q108" s="67">
        <f t="shared" si="2"/>
        <v>6.909062500000001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17.031803151951511</v>
      </c>
      <c r="C109" s="67">
        <f t="shared" ref="C109:Q109" si="3">STDEV(C9:C104)</f>
        <v>8.4521599201921624</v>
      </c>
      <c r="D109" s="67">
        <f t="shared" si="3"/>
        <v>12.476898949123109</v>
      </c>
      <c r="E109" s="67">
        <f t="shared" si="3"/>
        <v>8.4126583708594077E-2</v>
      </c>
      <c r="F109" s="67">
        <f t="shared" si="3"/>
        <v>1.205078030340998</v>
      </c>
      <c r="G109" s="67">
        <f t="shared" si="3"/>
        <v>8.6047173829150942</v>
      </c>
      <c r="H109" s="67">
        <f t="shared" si="3"/>
        <v>3.2556498357231067</v>
      </c>
      <c r="I109" s="67">
        <f t="shared" si="3"/>
        <v>4.0981248386283281E-2</v>
      </c>
      <c r="J109" s="67">
        <f t="shared" si="3"/>
        <v>0.49165884620601646</v>
      </c>
      <c r="K109" s="67">
        <f t="shared" si="3"/>
        <v>130.94336363745495</v>
      </c>
      <c r="L109" s="67">
        <f t="shared" si="3"/>
        <v>4.5441027138131602</v>
      </c>
      <c r="M109" s="67">
        <f t="shared" si="3"/>
        <v>16.364269353694532</v>
      </c>
      <c r="N109" s="67">
        <f t="shared" si="3"/>
        <v>230.27023666713185</v>
      </c>
      <c r="O109" s="67">
        <f t="shared" si="3"/>
        <v>0.47605377110412234</v>
      </c>
      <c r="P109" s="67">
        <f t="shared" si="3"/>
        <v>0.19066822418861804</v>
      </c>
      <c r="Q109" s="67">
        <f t="shared" si="3"/>
        <v>0.61228489778258577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COUNT(C9:C104)+3</f>
        <v>96</v>
      </c>
      <c r="D110" s="66">
        <f>COUNT(D9:D104)+3</f>
        <v>96</v>
      </c>
      <c r="E110" s="66">
        <f>COUNT(E9:E104)+2</f>
        <v>96</v>
      </c>
      <c r="F110" s="66">
        <f t="shared" ref="F110:O110" si="4">COUNT(F9:F104)</f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COUNT(P9:P104)+4</f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1399</v>
      </c>
      <c r="B9" s="64">
        <v>5.72</v>
      </c>
      <c r="C9" s="64">
        <v>54.25</v>
      </c>
      <c r="D9" s="64">
        <v>35.18</v>
      </c>
      <c r="E9" s="64">
        <v>0.2</v>
      </c>
      <c r="F9" s="64">
        <v>3.69</v>
      </c>
      <c r="G9" s="64">
        <v>45.27</v>
      </c>
      <c r="H9" s="64">
        <v>25</v>
      </c>
      <c r="I9" s="64">
        <v>1.47</v>
      </c>
      <c r="J9" s="64">
        <v>1.32</v>
      </c>
      <c r="K9" s="64">
        <v>103.52</v>
      </c>
      <c r="L9" s="64">
        <v>20.02</v>
      </c>
      <c r="M9" s="64">
        <v>90.27</v>
      </c>
      <c r="N9" s="64">
        <v>53.4</v>
      </c>
      <c r="O9" s="64">
        <v>0</v>
      </c>
      <c r="P9" s="64">
        <v>0.57999999999999996</v>
      </c>
      <c r="Q9" s="64">
        <v>6.29</v>
      </c>
      <c r="R9" s="198"/>
      <c r="S9" s="198"/>
      <c r="T9" s="198"/>
      <c r="U9" s="198"/>
    </row>
    <row r="10" spans="1:21" s="12" customFormat="1" x14ac:dyDescent="0.25">
      <c r="A10" s="213" t="s">
        <v>1400</v>
      </c>
      <c r="B10" s="64">
        <v>5.3</v>
      </c>
      <c r="C10" s="64">
        <v>52.94</v>
      </c>
      <c r="D10" s="64">
        <v>34.11</v>
      </c>
      <c r="E10" s="64">
        <v>0.24</v>
      </c>
      <c r="F10" s="64">
        <v>3.34</v>
      </c>
      <c r="G10" s="64">
        <v>45.27</v>
      </c>
      <c r="H10" s="64">
        <v>25</v>
      </c>
      <c r="I10" s="64">
        <v>1.46</v>
      </c>
      <c r="J10" s="64">
        <v>1.47</v>
      </c>
      <c r="K10" s="64">
        <v>106.53</v>
      </c>
      <c r="L10" s="64">
        <v>19.899999999999999</v>
      </c>
      <c r="M10" s="64">
        <v>91.22</v>
      </c>
      <c r="N10" s="64">
        <v>53.9</v>
      </c>
      <c r="O10" s="64">
        <v>0</v>
      </c>
      <c r="P10" s="64">
        <v>0.56000000000000005</v>
      </c>
      <c r="Q10" s="64">
        <v>6.07</v>
      </c>
      <c r="R10" s="198"/>
      <c r="S10" s="198"/>
      <c r="T10" s="198"/>
      <c r="U10" s="198"/>
    </row>
    <row r="11" spans="1:21" s="12" customFormat="1" x14ac:dyDescent="0.25">
      <c r="A11" s="213" t="s">
        <v>1401</v>
      </c>
      <c r="B11" s="64">
        <v>5.04</v>
      </c>
      <c r="C11" s="64">
        <v>51.04</v>
      </c>
      <c r="D11" s="64">
        <v>32.86</v>
      </c>
      <c r="E11" s="64">
        <v>0.13</v>
      </c>
      <c r="F11" s="64">
        <v>3.11</v>
      </c>
      <c r="G11" s="64">
        <v>44.11</v>
      </c>
      <c r="H11" s="64">
        <v>23.29</v>
      </c>
      <c r="I11" s="64">
        <v>1.47</v>
      </c>
      <c r="J11" s="64">
        <v>0.51</v>
      </c>
      <c r="K11" s="64">
        <v>102.88</v>
      </c>
      <c r="L11" s="64">
        <v>19.739999999999998</v>
      </c>
      <c r="M11" s="64">
        <v>92.63</v>
      </c>
      <c r="N11" s="64">
        <v>55.2</v>
      </c>
      <c r="O11" s="64">
        <v>0</v>
      </c>
      <c r="P11" s="64">
        <v>0.54</v>
      </c>
      <c r="Q11" s="64">
        <v>5.79</v>
      </c>
      <c r="R11" s="198"/>
      <c r="S11" s="198"/>
      <c r="T11" s="198"/>
      <c r="U11" s="198"/>
    </row>
    <row r="12" spans="1:21" s="12" customFormat="1" x14ac:dyDescent="0.25">
      <c r="A12" s="213" t="s">
        <v>1402</v>
      </c>
      <c r="B12" s="64">
        <v>5</v>
      </c>
      <c r="C12" s="64">
        <v>51.91</v>
      </c>
      <c r="D12" s="64">
        <v>33.31</v>
      </c>
      <c r="E12" s="64">
        <v>0.14000000000000001</v>
      </c>
      <c r="F12" s="64">
        <v>3.33</v>
      </c>
      <c r="G12" s="64">
        <v>40.29</v>
      </c>
      <c r="H12" s="64">
        <v>19.28</v>
      </c>
      <c r="I12" s="64">
        <v>1.54</v>
      </c>
      <c r="J12" s="64">
        <v>0.77</v>
      </c>
      <c r="K12" s="64">
        <v>108.24</v>
      </c>
      <c r="L12" s="64">
        <v>19.66</v>
      </c>
      <c r="M12" s="64">
        <v>93.67</v>
      </c>
      <c r="N12" s="64">
        <v>58.1</v>
      </c>
      <c r="O12" s="64">
        <v>0</v>
      </c>
      <c r="P12" s="64">
        <v>0.52</v>
      </c>
      <c r="Q12" s="64">
        <v>5.72</v>
      </c>
      <c r="R12" s="198"/>
      <c r="S12" s="198"/>
      <c r="T12" s="198"/>
      <c r="U12" s="198"/>
    </row>
    <row r="13" spans="1:21" s="12" customFormat="1" x14ac:dyDescent="0.25">
      <c r="A13" s="213" t="s">
        <v>1403</v>
      </c>
      <c r="B13" s="64">
        <v>5.07</v>
      </c>
      <c r="C13" s="64">
        <v>51.02</v>
      </c>
      <c r="D13" s="64">
        <v>32.869999999999997</v>
      </c>
      <c r="E13" s="64">
        <v>0.19</v>
      </c>
      <c r="F13" s="64">
        <v>3.32</v>
      </c>
      <c r="G13" s="64">
        <v>40.29</v>
      </c>
      <c r="H13" s="64">
        <v>19.28</v>
      </c>
      <c r="I13" s="64">
        <v>1.57</v>
      </c>
      <c r="J13" s="64">
        <v>0.26</v>
      </c>
      <c r="K13" s="64">
        <v>93.19</v>
      </c>
      <c r="L13" s="64">
        <v>19.57</v>
      </c>
      <c r="M13" s="64">
        <v>94.46</v>
      </c>
      <c r="N13" s="64">
        <v>61.2</v>
      </c>
      <c r="O13" s="64">
        <v>0</v>
      </c>
      <c r="P13" s="64">
        <v>0.53</v>
      </c>
      <c r="Q13" s="64">
        <v>5.6</v>
      </c>
      <c r="R13" s="198"/>
      <c r="S13" s="198"/>
      <c r="T13" s="198"/>
      <c r="U13" s="198"/>
    </row>
    <row r="14" spans="1:21" s="12" customFormat="1" x14ac:dyDescent="0.25">
      <c r="A14" s="213" t="s">
        <v>1404</v>
      </c>
      <c r="B14" s="64">
        <v>5.15</v>
      </c>
      <c r="C14" s="64">
        <v>50.73</v>
      </c>
      <c r="D14" s="64">
        <v>32.78</v>
      </c>
      <c r="E14" s="64">
        <v>0.14000000000000001</v>
      </c>
      <c r="F14" s="64">
        <v>3.34</v>
      </c>
      <c r="G14" s="64">
        <v>40.29</v>
      </c>
      <c r="H14" s="64">
        <v>19.28</v>
      </c>
      <c r="I14" s="64">
        <v>1.49</v>
      </c>
      <c r="J14" s="64">
        <v>0.1</v>
      </c>
      <c r="K14" s="64">
        <v>2.2000000000000002</v>
      </c>
      <c r="L14" s="64">
        <v>19.3</v>
      </c>
      <c r="M14" s="64">
        <v>96.34</v>
      </c>
      <c r="N14" s="64">
        <v>64.099999999999994</v>
      </c>
      <c r="O14" s="64">
        <v>0</v>
      </c>
      <c r="P14" s="64">
        <v>0.56000000000000005</v>
      </c>
      <c r="Q14" s="64">
        <v>5.44</v>
      </c>
      <c r="R14" s="198"/>
      <c r="S14" s="198"/>
      <c r="T14" s="198"/>
      <c r="U14" s="198"/>
    </row>
    <row r="15" spans="1:21" s="12" customFormat="1" x14ac:dyDescent="0.25">
      <c r="A15" s="213" t="s">
        <v>1405</v>
      </c>
      <c r="B15" s="64">
        <v>5.64</v>
      </c>
      <c r="C15" s="64">
        <v>50.43</v>
      </c>
      <c r="D15" s="64">
        <v>33</v>
      </c>
      <c r="E15" s="64">
        <v>0.18</v>
      </c>
      <c r="F15" s="64">
        <v>3.41</v>
      </c>
      <c r="G15" s="64">
        <v>40.880000000000003</v>
      </c>
      <c r="H15" s="64">
        <v>19.829999999999998</v>
      </c>
      <c r="I15" s="64">
        <v>1.47</v>
      </c>
      <c r="J15" s="64">
        <v>0.06</v>
      </c>
      <c r="K15" s="64">
        <v>58.55</v>
      </c>
      <c r="L15" s="64">
        <v>19.010000000000002</v>
      </c>
      <c r="M15" s="64">
        <v>98.8</v>
      </c>
      <c r="N15" s="64">
        <v>68.5</v>
      </c>
      <c r="O15" s="64">
        <v>0</v>
      </c>
      <c r="P15" s="64">
        <v>0.55000000000000004</v>
      </c>
      <c r="Q15" s="64">
        <v>5.51</v>
      </c>
      <c r="R15" s="198"/>
      <c r="S15" s="198"/>
      <c r="T15" s="198"/>
      <c r="U15" s="198"/>
    </row>
    <row r="16" spans="1:21" s="12" customFormat="1" x14ac:dyDescent="0.25">
      <c r="A16" s="213" t="s">
        <v>1406</v>
      </c>
      <c r="B16" s="64">
        <v>6.22</v>
      </c>
      <c r="C16" s="64">
        <v>48.13</v>
      </c>
      <c r="D16" s="64">
        <v>32.200000000000003</v>
      </c>
      <c r="E16" s="64">
        <v>0.17</v>
      </c>
      <c r="F16" s="64">
        <v>3.41</v>
      </c>
      <c r="G16" s="64">
        <v>42.93</v>
      </c>
      <c r="H16" s="64">
        <v>21.14</v>
      </c>
      <c r="I16" s="64">
        <v>1.48</v>
      </c>
      <c r="J16" s="64">
        <v>0.09</v>
      </c>
      <c r="K16" s="64">
        <v>39.81</v>
      </c>
      <c r="L16" s="64">
        <v>18.91</v>
      </c>
      <c r="M16" s="64">
        <v>98.86</v>
      </c>
      <c r="N16" s="64">
        <v>63.7</v>
      </c>
      <c r="O16" s="64">
        <v>0</v>
      </c>
      <c r="P16" s="64">
        <v>0.54</v>
      </c>
      <c r="Q16" s="64">
        <v>5.53</v>
      </c>
      <c r="R16" s="198"/>
      <c r="S16" s="198"/>
      <c r="T16" s="198"/>
      <c r="U16" s="198"/>
    </row>
    <row r="17" spans="1:21" s="12" customFormat="1" x14ac:dyDescent="0.25">
      <c r="A17" s="213" t="s">
        <v>1407</v>
      </c>
      <c r="B17" s="64">
        <v>6.75</v>
      </c>
      <c r="C17" s="64">
        <v>49.53</v>
      </c>
      <c r="D17" s="64">
        <v>33.39</v>
      </c>
      <c r="E17" s="64">
        <v>0.16</v>
      </c>
      <c r="F17" s="64">
        <v>3.08</v>
      </c>
      <c r="G17" s="64">
        <v>42.93</v>
      </c>
      <c r="H17" s="64">
        <v>21.14</v>
      </c>
      <c r="I17" s="64">
        <v>1.46</v>
      </c>
      <c r="J17" s="64">
        <v>0.08</v>
      </c>
      <c r="K17" s="64">
        <v>29.32</v>
      </c>
      <c r="L17" s="64">
        <v>18.75</v>
      </c>
      <c r="M17" s="64">
        <v>99.8</v>
      </c>
      <c r="N17" s="64">
        <v>57.3</v>
      </c>
      <c r="O17" s="64">
        <v>0</v>
      </c>
      <c r="P17" s="64">
        <v>0.53</v>
      </c>
      <c r="Q17" s="64">
        <v>5.47</v>
      </c>
      <c r="R17" s="198"/>
      <c r="S17" s="198"/>
      <c r="T17" s="198"/>
      <c r="U17" s="198"/>
    </row>
    <row r="18" spans="1:21" s="12" customFormat="1" x14ac:dyDescent="0.25">
      <c r="A18" s="213" t="s">
        <v>1408</v>
      </c>
      <c r="B18" s="64">
        <v>7.37</v>
      </c>
      <c r="C18" s="64">
        <v>51.18</v>
      </c>
      <c r="D18" s="64">
        <v>34.799999999999997</v>
      </c>
      <c r="E18" s="64">
        <v>0.14000000000000001</v>
      </c>
      <c r="F18" s="64">
        <v>3.18</v>
      </c>
      <c r="G18" s="64">
        <v>42.93</v>
      </c>
      <c r="H18" s="64">
        <v>21.14</v>
      </c>
      <c r="I18" s="64">
        <v>1.52</v>
      </c>
      <c r="J18" s="64">
        <v>0.14000000000000001</v>
      </c>
      <c r="K18" s="64">
        <v>312.8</v>
      </c>
      <c r="L18" s="64">
        <v>18.45</v>
      </c>
      <c r="M18" s="64">
        <v>99.98</v>
      </c>
      <c r="N18" s="64">
        <v>57.9</v>
      </c>
      <c r="O18" s="64">
        <v>0</v>
      </c>
      <c r="P18" s="64">
        <v>0.53</v>
      </c>
      <c r="Q18" s="64">
        <v>5.77</v>
      </c>
      <c r="R18" s="198"/>
      <c r="S18" s="198"/>
      <c r="T18" s="198"/>
      <c r="U18" s="198"/>
    </row>
    <row r="19" spans="1:21" s="12" customFormat="1" x14ac:dyDescent="0.25">
      <c r="A19" s="213" t="s">
        <v>1409</v>
      </c>
      <c r="B19" s="64">
        <v>8.23</v>
      </c>
      <c r="C19" s="64">
        <v>51.97</v>
      </c>
      <c r="D19" s="64">
        <v>35.93</v>
      </c>
      <c r="E19" s="64">
        <v>0.13</v>
      </c>
      <c r="F19" s="64">
        <v>3.19</v>
      </c>
      <c r="G19" s="64">
        <v>42.75</v>
      </c>
      <c r="H19" s="64">
        <v>21.33</v>
      </c>
      <c r="I19" s="64">
        <v>1.53</v>
      </c>
      <c r="J19" s="64">
        <v>0.03</v>
      </c>
      <c r="K19" s="64">
        <v>145.91</v>
      </c>
      <c r="L19" s="64">
        <v>18.03</v>
      </c>
      <c r="M19" s="64">
        <v>100</v>
      </c>
      <c r="N19" s="64">
        <v>59.3</v>
      </c>
      <c r="O19" s="64">
        <v>0</v>
      </c>
      <c r="P19" s="64">
        <v>0.53</v>
      </c>
      <c r="Q19" s="64">
        <v>6.21</v>
      </c>
      <c r="R19" s="198"/>
      <c r="S19" s="198"/>
      <c r="T19" s="198"/>
      <c r="U19" s="198"/>
    </row>
    <row r="20" spans="1:21" s="12" customFormat="1" x14ac:dyDescent="0.25">
      <c r="A20" s="213" t="s">
        <v>1410</v>
      </c>
      <c r="B20" s="64">
        <v>9.2100000000000009</v>
      </c>
      <c r="C20" s="64">
        <v>52.89</v>
      </c>
      <c r="D20" s="64">
        <v>37.22</v>
      </c>
      <c r="E20" s="64">
        <v>0.12</v>
      </c>
      <c r="F20" s="64">
        <v>3.27</v>
      </c>
      <c r="G20" s="64">
        <v>42.11</v>
      </c>
      <c r="H20" s="64">
        <v>21.77</v>
      </c>
      <c r="I20" s="64">
        <v>1.44</v>
      </c>
      <c r="J20" s="64">
        <v>0.12</v>
      </c>
      <c r="K20" s="64">
        <v>88</v>
      </c>
      <c r="L20" s="64">
        <v>17.87</v>
      </c>
      <c r="M20" s="64">
        <v>100</v>
      </c>
      <c r="N20" s="64">
        <v>57.9</v>
      </c>
      <c r="O20" s="64">
        <v>0</v>
      </c>
      <c r="P20" s="64">
        <v>0.52</v>
      </c>
      <c r="Q20" s="64">
        <v>6.61</v>
      </c>
      <c r="R20" s="198"/>
      <c r="S20" s="198"/>
      <c r="T20" s="198"/>
      <c r="U20" s="198"/>
    </row>
    <row r="21" spans="1:21" s="12" customFormat="1" x14ac:dyDescent="0.25">
      <c r="A21" s="213" t="s">
        <v>1411</v>
      </c>
      <c r="B21" s="64">
        <v>10.34</v>
      </c>
      <c r="C21" s="64">
        <v>53.98</v>
      </c>
      <c r="D21" s="64">
        <v>38.729999999999997</v>
      </c>
      <c r="E21" s="64">
        <v>0.17</v>
      </c>
      <c r="F21" s="64">
        <v>3.67</v>
      </c>
      <c r="G21" s="64">
        <v>42.11</v>
      </c>
      <c r="H21" s="64">
        <v>21.77</v>
      </c>
      <c r="I21" s="64">
        <v>1.53</v>
      </c>
      <c r="J21" s="64">
        <v>0.13</v>
      </c>
      <c r="K21" s="64">
        <v>349.38</v>
      </c>
      <c r="L21" s="64">
        <v>17.89</v>
      </c>
      <c r="M21" s="64">
        <v>100</v>
      </c>
      <c r="N21" s="64">
        <v>55.5</v>
      </c>
      <c r="O21" s="64">
        <v>0</v>
      </c>
      <c r="P21" s="64">
        <v>0.52</v>
      </c>
      <c r="Q21" s="64">
        <v>7.1</v>
      </c>
      <c r="R21" s="198"/>
      <c r="S21" s="198"/>
      <c r="T21" s="198"/>
      <c r="U21" s="198"/>
    </row>
    <row r="22" spans="1:21" s="12" customFormat="1" x14ac:dyDescent="0.25">
      <c r="A22" s="213" t="s">
        <v>1412</v>
      </c>
      <c r="B22" s="64">
        <v>11.18</v>
      </c>
      <c r="C22" s="64">
        <v>54.34</v>
      </c>
      <c r="D22" s="64">
        <v>39.6</v>
      </c>
      <c r="E22" s="64">
        <v>0.19</v>
      </c>
      <c r="F22" s="64">
        <v>3.15</v>
      </c>
      <c r="G22" s="64">
        <v>42.11</v>
      </c>
      <c r="H22" s="64">
        <v>21.77</v>
      </c>
      <c r="I22" s="64">
        <v>1.46</v>
      </c>
      <c r="J22" s="64">
        <v>0.13</v>
      </c>
      <c r="K22" s="64">
        <v>64.34</v>
      </c>
      <c r="L22" s="64">
        <v>17.760000000000002</v>
      </c>
      <c r="M22" s="64">
        <v>100</v>
      </c>
      <c r="N22" s="64">
        <v>54.4</v>
      </c>
      <c r="O22" s="64">
        <v>0</v>
      </c>
      <c r="P22" s="64">
        <v>0.52</v>
      </c>
      <c r="Q22" s="64">
        <v>7.24</v>
      </c>
      <c r="R22" s="198"/>
      <c r="S22" s="198"/>
      <c r="T22" s="198"/>
      <c r="U22" s="198"/>
    </row>
    <row r="23" spans="1:21" s="12" customFormat="1" x14ac:dyDescent="0.25">
      <c r="A23" s="213" t="s">
        <v>1413</v>
      </c>
      <c r="B23" s="64">
        <v>11.94</v>
      </c>
      <c r="C23" s="64">
        <v>55.66</v>
      </c>
      <c r="D23" s="64">
        <v>40.93</v>
      </c>
      <c r="E23" s="64">
        <v>0.14000000000000001</v>
      </c>
      <c r="F23" s="64">
        <v>3.29</v>
      </c>
      <c r="G23" s="64">
        <v>42.39</v>
      </c>
      <c r="H23" s="64">
        <v>22.09</v>
      </c>
      <c r="I23" s="64">
        <v>1.52</v>
      </c>
      <c r="J23" s="64">
        <v>0.15</v>
      </c>
      <c r="K23" s="64">
        <v>83.01</v>
      </c>
      <c r="L23" s="64">
        <v>17.72</v>
      </c>
      <c r="M23" s="64">
        <v>100</v>
      </c>
      <c r="N23" s="64">
        <v>52.1</v>
      </c>
      <c r="O23" s="64">
        <v>0</v>
      </c>
      <c r="P23" s="64">
        <v>0.52</v>
      </c>
      <c r="Q23" s="64">
        <v>7.33</v>
      </c>
      <c r="R23" s="198"/>
      <c r="S23" s="198"/>
      <c r="T23" s="198"/>
      <c r="U23" s="198"/>
    </row>
    <row r="24" spans="1:21" s="12" customFormat="1" x14ac:dyDescent="0.25">
      <c r="A24" s="213" t="s">
        <v>1414</v>
      </c>
      <c r="B24" s="64">
        <v>12.75</v>
      </c>
      <c r="C24" s="64">
        <v>56.86</v>
      </c>
      <c r="D24" s="64">
        <v>42.25</v>
      </c>
      <c r="E24" s="64">
        <v>0.04</v>
      </c>
      <c r="F24" s="64">
        <v>3.12</v>
      </c>
      <c r="G24" s="64">
        <v>43.38</v>
      </c>
      <c r="H24" s="64">
        <v>23.44</v>
      </c>
      <c r="I24" s="64">
        <v>1.49</v>
      </c>
      <c r="J24" s="64">
        <v>0.15</v>
      </c>
      <c r="K24" s="64">
        <v>77.41</v>
      </c>
      <c r="L24" s="64">
        <v>17.61</v>
      </c>
      <c r="M24" s="64">
        <v>99.99</v>
      </c>
      <c r="N24" s="64">
        <v>54.1</v>
      </c>
      <c r="O24" s="64">
        <v>0</v>
      </c>
      <c r="P24" s="64">
        <v>0.52</v>
      </c>
      <c r="Q24" s="64">
        <v>7.43</v>
      </c>
      <c r="R24" s="198"/>
      <c r="S24" s="198"/>
      <c r="T24" s="198"/>
      <c r="U24" s="198"/>
    </row>
    <row r="25" spans="1:21" s="12" customFormat="1" x14ac:dyDescent="0.25">
      <c r="A25" s="213" t="s">
        <v>1415</v>
      </c>
      <c r="B25" s="64">
        <v>13.62</v>
      </c>
      <c r="C25" s="64">
        <v>56.87</v>
      </c>
      <c r="D25" s="64">
        <v>42.96</v>
      </c>
      <c r="E25" s="64">
        <v>0.09</v>
      </c>
      <c r="F25" s="64">
        <v>3.33</v>
      </c>
      <c r="G25" s="64">
        <v>43.38</v>
      </c>
      <c r="H25" s="64">
        <v>23.44</v>
      </c>
      <c r="I25" s="64">
        <v>1.46</v>
      </c>
      <c r="J25" s="64">
        <v>0.03</v>
      </c>
      <c r="K25" s="64">
        <v>8.2799999999999994</v>
      </c>
      <c r="L25" s="64">
        <v>17.53</v>
      </c>
      <c r="M25" s="64">
        <v>100</v>
      </c>
      <c r="N25" s="64">
        <v>56.6</v>
      </c>
      <c r="O25" s="64">
        <v>0</v>
      </c>
      <c r="P25" s="64">
        <v>0.52</v>
      </c>
      <c r="Q25" s="64">
        <v>7.5</v>
      </c>
      <c r="R25" s="198"/>
      <c r="S25" s="198"/>
      <c r="T25" s="198"/>
      <c r="U25" s="198"/>
    </row>
    <row r="26" spans="1:21" s="12" customFormat="1" x14ac:dyDescent="0.25">
      <c r="A26" s="213" t="s">
        <v>1416</v>
      </c>
      <c r="B26" s="64">
        <v>14.65</v>
      </c>
      <c r="C26" s="64">
        <v>56.97</v>
      </c>
      <c r="D26" s="64">
        <v>43.83</v>
      </c>
      <c r="E26" s="64">
        <v>0.1</v>
      </c>
      <c r="F26" s="64">
        <v>3.18</v>
      </c>
      <c r="G26" s="64">
        <v>43.38</v>
      </c>
      <c r="H26" s="64">
        <v>23.44</v>
      </c>
      <c r="I26" s="64">
        <v>1.56</v>
      </c>
      <c r="J26" s="64">
        <v>0.16</v>
      </c>
      <c r="K26" s="64">
        <v>329.92</v>
      </c>
      <c r="L26" s="64">
        <v>17.399999999999999</v>
      </c>
      <c r="M26" s="64">
        <v>100</v>
      </c>
      <c r="N26" s="64">
        <v>54.7</v>
      </c>
      <c r="O26" s="64">
        <v>0</v>
      </c>
      <c r="P26" s="64">
        <v>0.52</v>
      </c>
      <c r="Q26" s="64">
        <v>7.51</v>
      </c>
      <c r="R26" s="198"/>
      <c r="S26" s="198"/>
      <c r="T26" s="198"/>
      <c r="U26" s="198"/>
    </row>
    <row r="27" spans="1:21" s="12" customFormat="1" x14ac:dyDescent="0.25">
      <c r="A27" s="213" t="s">
        <v>1417</v>
      </c>
      <c r="B27" s="64">
        <v>15.75</v>
      </c>
      <c r="C27" s="64">
        <v>56.72</v>
      </c>
      <c r="D27" s="64">
        <v>44.58</v>
      </c>
      <c r="E27" s="64">
        <v>0.12</v>
      </c>
      <c r="F27" s="64">
        <v>3.19</v>
      </c>
      <c r="G27" s="64">
        <v>44.67</v>
      </c>
      <c r="H27" s="64">
        <v>23.73</v>
      </c>
      <c r="I27" s="64">
        <v>1.47</v>
      </c>
      <c r="J27" s="64">
        <v>0.19</v>
      </c>
      <c r="K27" s="64">
        <v>78.36</v>
      </c>
      <c r="L27" s="64">
        <v>17.43</v>
      </c>
      <c r="M27" s="64">
        <v>100</v>
      </c>
      <c r="N27" s="64">
        <v>54.9</v>
      </c>
      <c r="O27" s="64">
        <v>0</v>
      </c>
      <c r="P27" s="64">
        <v>0.52</v>
      </c>
      <c r="Q27" s="64">
        <v>7.56</v>
      </c>
      <c r="R27" s="198"/>
      <c r="S27" s="198"/>
      <c r="T27" s="198"/>
      <c r="U27" s="198"/>
    </row>
    <row r="28" spans="1:21" s="12" customFormat="1" x14ac:dyDescent="0.25">
      <c r="A28" s="213" t="s">
        <v>1418</v>
      </c>
      <c r="B28" s="64">
        <v>16.64</v>
      </c>
      <c r="C28" s="64">
        <v>56.96</v>
      </c>
      <c r="D28" s="64">
        <v>45.42</v>
      </c>
      <c r="E28" s="64">
        <v>0.08</v>
      </c>
      <c r="F28" s="64">
        <v>3.2</v>
      </c>
      <c r="G28" s="64">
        <v>49.18</v>
      </c>
      <c r="H28" s="64">
        <v>24.41</v>
      </c>
      <c r="I28" s="64">
        <v>1.54</v>
      </c>
      <c r="J28" s="64">
        <v>0.16</v>
      </c>
      <c r="K28" s="64">
        <v>63.14</v>
      </c>
      <c r="L28" s="64">
        <v>17.39</v>
      </c>
      <c r="M28" s="64">
        <v>100</v>
      </c>
      <c r="N28" s="64">
        <v>55.3</v>
      </c>
      <c r="O28" s="64">
        <v>0</v>
      </c>
      <c r="P28" s="64">
        <v>0.53</v>
      </c>
      <c r="Q28" s="64">
        <v>7.66</v>
      </c>
      <c r="R28" s="198"/>
      <c r="S28" s="198"/>
      <c r="T28" s="198"/>
      <c r="U28" s="198"/>
    </row>
    <row r="29" spans="1:21" s="12" customFormat="1" x14ac:dyDescent="0.25">
      <c r="A29" s="213" t="s">
        <v>1419</v>
      </c>
      <c r="B29" s="64">
        <v>17.38</v>
      </c>
      <c r="C29" s="64">
        <v>53.29</v>
      </c>
      <c r="D29" s="64">
        <v>43.99</v>
      </c>
      <c r="E29" s="64">
        <v>0.04</v>
      </c>
      <c r="F29" s="64">
        <v>2.94</v>
      </c>
      <c r="G29" s="64">
        <v>49.18</v>
      </c>
      <c r="H29" s="64">
        <v>24.41</v>
      </c>
      <c r="I29" s="64">
        <v>1.42</v>
      </c>
      <c r="J29" s="64">
        <v>0.13</v>
      </c>
      <c r="K29" s="64">
        <v>47.48</v>
      </c>
      <c r="L29" s="64">
        <v>17.260000000000002</v>
      </c>
      <c r="M29" s="64">
        <v>100</v>
      </c>
      <c r="N29" s="64">
        <v>55.9</v>
      </c>
      <c r="O29" s="64">
        <v>0</v>
      </c>
      <c r="P29" s="64">
        <v>0.53</v>
      </c>
      <c r="Q29" s="64">
        <v>7.57</v>
      </c>
      <c r="R29" s="198"/>
      <c r="S29" s="198"/>
      <c r="T29" s="198"/>
      <c r="U29" s="198"/>
    </row>
    <row r="30" spans="1:21" s="12" customFormat="1" x14ac:dyDescent="0.25">
      <c r="A30" s="213" t="s">
        <v>1420</v>
      </c>
      <c r="B30" s="64">
        <v>18.03</v>
      </c>
      <c r="C30" s="64">
        <v>50.56</v>
      </c>
      <c r="D30" s="64">
        <v>43.01</v>
      </c>
      <c r="E30" s="64">
        <v>0.09</v>
      </c>
      <c r="F30" s="64">
        <v>3.21</v>
      </c>
      <c r="G30" s="64">
        <v>49.18</v>
      </c>
      <c r="H30" s="64">
        <v>24.41</v>
      </c>
      <c r="I30" s="64">
        <v>1.51</v>
      </c>
      <c r="J30" s="64">
        <v>0.32</v>
      </c>
      <c r="K30" s="64">
        <v>356.43</v>
      </c>
      <c r="L30" s="64">
        <v>17.16</v>
      </c>
      <c r="M30" s="64">
        <v>100</v>
      </c>
      <c r="N30" s="64">
        <v>56.5</v>
      </c>
      <c r="O30" s="64">
        <v>0</v>
      </c>
      <c r="P30" s="64">
        <v>0.54</v>
      </c>
      <c r="Q30" s="64">
        <v>7.33</v>
      </c>
      <c r="R30" s="198"/>
      <c r="S30" s="198"/>
      <c r="T30" s="198"/>
      <c r="U30" s="198"/>
    </row>
    <row r="31" spans="1:21" s="12" customFormat="1" x14ac:dyDescent="0.25">
      <c r="A31" s="213" t="s">
        <v>1421</v>
      </c>
      <c r="B31" s="64">
        <v>18.989999999999998</v>
      </c>
      <c r="C31" s="64">
        <v>50.62</v>
      </c>
      <c r="D31" s="64">
        <v>43.81</v>
      </c>
      <c r="E31" s="64">
        <v>0.06</v>
      </c>
      <c r="F31" s="64">
        <v>3.27</v>
      </c>
      <c r="G31" s="64">
        <v>49.06</v>
      </c>
      <c r="H31" s="64">
        <v>24.66</v>
      </c>
      <c r="I31" s="64">
        <v>1.48</v>
      </c>
      <c r="J31" s="64">
        <v>0.17</v>
      </c>
      <c r="K31" s="64">
        <v>9.52</v>
      </c>
      <c r="L31" s="64">
        <v>17.11</v>
      </c>
      <c r="M31" s="64">
        <v>100</v>
      </c>
      <c r="N31" s="64">
        <v>66</v>
      </c>
      <c r="O31" s="64">
        <v>0</v>
      </c>
      <c r="P31" s="64">
        <v>0.55000000000000004</v>
      </c>
      <c r="Q31" s="64">
        <v>7.35</v>
      </c>
      <c r="R31" s="198"/>
      <c r="S31" s="198"/>
      <c r="T31" s="198"/>
      <c r="U31" s="198"/>
    </row>
    <row r="32" spans="1:21" s="12" customFormat="1" x14ac:dyDescent="0.25">
      <c r="A32" s="213" t="s">
        <v>1422</v>
      </c>
      <c r="B32" s="64">
        <v>20.14</v>
      </c>
      <c r="C32" s="64">
        <v>51.75</v>
      </c>
      <c r="D32" s="64">
        <v>45.36</v>
      </c>
      <c r="E32" s="64">
        <v>0.1</v>
      </c>
      <c r="F32" s="64">
        <v>2.84</v>
      </c>
      <c r="G32" s="64">
        <v>48.65</v>
      </c>
      <c r="H32" s="64">
        <v>25.25</v>
      </c>
      <c r="I32" s="64">
        <v>1.49</v>
      </c>
      <c r="J32" s="64">
        <v>0.19</v>
      </c>
      <c r="K32" s="64">
        <v>344.94</v>
      </c>
      <c r="L32" s="64">
        <v>17</v>
      </c>
      <c r="M32" s="64">
        <v>100.01</v>
      </c>
      <c r="N32" s="64">
        <v>67.400000000000006</v>
      </c>
      <c r="O32" s="64">
        <v>0</v>
      </c>
      <c r="P32" s="64">
        <v>0.56000000000000005</v>
      </c>
      <c r="Q32" s="64">
        <v>7.47</v>
      </c>
      <c r="R32" s="198"/>
      <c r="S32" s="198"/>
      <c r="T32" s="198"/>
      <c r="U32" s="198"/>
    </row>
    <row r="33" spans="1:21" s="12" customFormat="1" x14ac:dyDescent="0.25">
      <c r="A33" s="213" t="s">
        <v>1423</v>
      </c>
      <c r="B33" s="64">
        <v>21.35</v>
      </c>
      <c r="C33" s="64">
        <v>51.71</v>
      </c>
      <c r="D33" s="64">
        <v>46.31</v>
      </c>
      <c r="E33" s="64">
        <v>0.08</v>
      </c>
      <c r="F33" s="64">
        <v>3.25</v>
      </c>
      <c r="G33" s="64">
        <v>48.65</v>
      </c>
      <c r="H33" s="64">
        <v>25.25</v>
      </c>
      <c r="I33" s="64">
        <v>1.42</v>
      </c>
      <c r="J33" s="64">
        <v>0.14000000000000001</v>
      </c>
      <c r="K33" s="64">
        <v>343.53</v>
      </c>
      <c r="L33" s="64">
        <v>16.89</v>
      </c>
      <c r="M33" s="64">
        <v>100.02</v>
      </c>
      <c r="N33" s="64">
        <v>60.7</v>
      </c>
      <c r="O33" s="64">
        <v>0</v>
      </c>
      <c r="P33" s="64">
        <v>0.56999999999999995</v>
      </c>
      <c r="Q33" s="64">
        <v>7.58</v>
      </c>
      <c r="R33" s="198"/>
      <c r="S33" s="198"/>
      <c r="T33" s="198"/>
      <c r="U33" s="198"/>
    </row>
    <row r="34" spans="1:21" s="12" customFormat="1" x14ac:dyDescent="0.25">
      <c r="A34" s="213" t="s">
        <v>1424</v>
      </c>
      <c r="B34" s="64">
        <v>22.39</v>
      </c>
      <c r="C34" s="64">
        <v>51.36</v>
      </c>
      <c r="D34" s="64">
        <v>46.95</v>
      </c>
      <c r="E34" s="64">
        <v>0.11</v>
      </c>
      <c r="F34" s="64">
        <v>3.38</v>
      </c>
      <c r="G34" s="64">
        <v>48.65</v>
      </c>
      <c r="H34" s="64">
        <v>25.25</v>
      </c>
      <c r="I34" s="64">
        <v>1.5</v>
      </c>
      <c r="J34" s="64">
        <v>0.38</v>
      </c>
      <c r="K34" s="64">
        <v>350.72</v>
      </c>
      <c r="L34" s="64">
        <v>16.84</v>
      </c>
      <c r="M34" s="64">
        <v>100.03</v>
      </c>
      <c r="N34" s="64">
        <v>51.6</v>
      </c>
      <c r="O34" s="64">
        <v>0</v>
      </c>
      <c r="P34" s="64">
        <v>0.59</v>
      </c>
      <c r="Q34" s="64">
        <v>7.62</v>
      </c>
      <c r="R34" s="198"/>
      <c r="S34" s="198"/>
      <c r="T34" s="198"/>
      <c r="U34" s="198"/>
    </row>
    <row r="35" spans="1:21" s="12" customFormat="1" x14ac:dyDescent="0.25">
      <c r="A35" s="213" t="s">
        <v>1425</v>
      </c>
      <c r="B35" s="64">
        <v>23.63</v>
      </c>
      <c r="C35" s="64">
        <v>51.72</v>
      </c>
      <c r="D35" s="64">
        <v>48.14</v>
      </c>
      <c r="E35" s="64">
        <v>0.1</v>
      </c>
      <c r="F35" s="64">
        <v>2.88</v>
      </c>
      <c r="G35" s="64">
        <v>49</v>
      </c>
      <c r="H35" s="64">
        <v>25.04</v>
      </c>
      <c r="I35" s="64">
        <v>1.51</v>
      </c>
      <c r="J35" s="64">
        <v>0.18</v>
      </c>
      <c r="K35" s="64">
        <v>355.26</v>
      </c>
      <c r="L35" s="64">
        <v>16.79</v>
      </c>
      <c r="M35" s="64">
        <v>100.04</v>
      </c>
      <c r="N35" s="64">
        <v>53</v>
      </c>
      <c r="O35" s="64">
        <v>0</v>
      </c>
      <c r="P35" s="64">
        <v>0.61</v>
      </c>
      <c r="Q35" s="64">
        <v>7.7</v>
      </c>
      <c r="R35" s="198"/>
      <c r="S35" s="198"/>
      <c r="T35" s="198"/>
      <c r="U35" s="198"/>
    </row>
    <row r="36" spans="1:21" s="12" customFormat="1" x14ac:dyDescent="0.25">
      <c r="A36" s="213" t="s">
        <v>1426</v>
      </c>
      <c r="B36" s="64">
        <v>24.56</v>
      </c>
      <c r="C36" s="64">
        <v>52.98</v>
      </c>
      <c r="D36" s="64">
        <v>49.58</v>
      </c>
      <c r="E36" s="64">
        <v>0.11</v>
      </c>
      <c r="F36" s="64">
        <v>3.14</v>
      </c>
      <c r="G36" s="64">
        <v>50.24</v>
      </c>
      <c r="H36" s="64">
        <v>24.56</v>
      </c>
      <c r="I36" s="64">
        <v>1.49</v>
      </c>
      <c r="J36" s="64">
        <v>0.14000000000000001</v>
      </c>
      <c r="K36" s="64">
        <v>4.96</v>
      </c>
      <c r="L36" s="64">
        <v>16.91</v>
      </c>
      <c r="M36" s="64">
        <v>100.07</v>
      </c>
      <c r="N36" s="64">
        <v>68.3</v>
      </c>
      <c r="O36" s="64">
        <v>0</v>
      </c>
      <c r="P36" s="64">
        <v>0.62</v>
      </c>
      <c r="Q36" s="64">
        <v>7.87</v>
      </c>
      <c r="R36" s="198"/>
      <c r="S36" s="198"/>
      <c r="T36" s="198"/>
      <c r="U36" s="198"/>
    </row>
    <row r="37" spans="1:21" s="12" customFormat="1" x14ac:dyDescent="0.25">
      <c r="A37" s="213" t="s">
        <v>1427</v>
      </c>
      <c r="B37" s="64">
        <v>26.35</v>
      </c>
      <c r="C37" s="64">
        <v>52.54</v>
      </c>
      <c r="D37" s="64">
        <v>50.77</v>
      </c>
      <c r="E37" s="64">
        <v>0.12</v>
      </c>
      <c r="F37" s="64">
        <v>3.42</v>
      </c>
      <c r="G37" s="64">
        <v>50.24</v>
      </c>
      <c r="H37" s="64">
        <v>24.56</v>
      </c>
      <c r="I37" s="64">
        <v>1.47</v>
      </c>
      <c r="J37" s="64">
        <v>0.43</v>
      </c>
      <c r="K37" s="64">
        <v>338.24</v>
      </c>
      <c r="L37" s="64">
        <v>17.37</v>
      </c>
      <c r="M37" s="64">
        <v>100.05</v>
      </c>
      <c r="N37" s="64">
        <v>119.5</v>
      </c>
      <c r="O37" s="64">
        <v>0</v>
      </c>
      <c r="P37" s="64">
        <v>0.57999999999999996</v>
      </c>
      <c r="Q37" s="64">
        <v>8.01</v>
      </c>
      <c r="R37" s="198"/>
      <c r="S37" s="198"/>
      <c r="T37" s="198"/>
      <c r="U37" s="198"/>
    </row>
    <row r="38" spans="1:21" s="12" customFormat="1" x14ac:dyDescent="0.25">
      <c r="A38" s="213" t="s">
        <v>1428</v>
      </c>
      <c r="B38" s="64">
        <v>27.75</v>
      </c>
      <c r="C38" s="64">
        <v>52.73</v>
      </c>
      <c r="D38" s="64">
        <v>52</v>
      </c>
      <c r="E38" s="64">
        <v>0.08</v>
      </c>
      <c r="F38" s="64">
        <v>3.32</v>
      </c>
      <c r="G38" s="64">
        <v>50.24</v>
      </c>
      <c r="H38" s="64">
        <v>24.56</v>
      </c>
      <c r="I38" s="64">
        <v>1.59</v>
      </c>
      <c r="J38" s="64">
        <v>0.27</v>
      </c>
      <c r="K38" s="64">
        <v>343.41</v>
      </c>
      <c r="L38" s="64">
        <v>18.25</v>
      </c>
      <c r="M38" s="64">
        <v>100.04</v>
      </c>
      <c r="N38" s="64">
        <v>160.80000000000001</v>
      </c>
      <c r="O38" s="64">
        <v>0</v>
      </c>
      <c r="P38" s="64">
        <v>0.63</v>
      </c>
      <c r="Q38" s="64">
        <v>8.1</v>
      </c>
      <c r="R38" s="198"/>
      <c r="S38" s="198"/>
      <c r="T38" s="198"/>
      <c r="U38" s="198"/>
    </row>
    <row r="39" spans="1:21" s="12" customFormat="1" x14ac:dyDescent="0.25">
      <c r="A39" s="213" t="s">
        <v>1429</v>
      </c>
      <c r="B39" s="64">
        <v>29.51</v>
      </c>
      <c r="C39" s="64">
        <v>52.58</v>
      </c>
      <c r="D39" s="64">
        <v>53.33</v>
      </c>
      <c r="E39" s="64">
        <v>0.14000000000000001</v>
      </c>
      <c r="F39" s="64">
        <v>3.01</v>
      </c>
      <c r="G39" s="64">
        <v>52.66</v>
      </c>
      <c r="H39" s="64">
        <v>25.15</v>
      </c>
      <c r="I39" s="64">
        <v>1.47</v>
      </c>
      <c r="J39" s="64">
        <v>0.32</v>
      </c>
      <c r="K39" s="64">
        <v>345.52</v>
      </c>
      <c r="L39" s="64">
        <v>19</v>
      </c>
      <c r="M39" s="64">
        <v>100</v>
      </c>
      <c r="N39" s="64">
        <v>165.6</v>
      </c>
      <c r="O39" s="64">
        <v>0</v>
      </c>
      <c r="P39" s="64">
        <v>0.67</v>
      </c>
      <c r="Q39" s="64">
        <v>8.2200000000000006</v>
      </c>
      <c r="R39" s="198"/>
      <c r="S39" s="198"/>
      <c r="T39" s="198"/>
      <c r="U39" s="198"/>
    </row>
    <row r="40" spans="1:21" s="12" customFormat="1" x14ac:dyDescent="0.25">
      <c r="A40" s="213" t="s">
        <v>1430</v>
      </c>
      <c r="B40" s="64">
        <v>31.16</v>
      </c>
      <c r="C40" s="64">
        <v>55.08</v>
      </c>
      <c r="D40" s="64">
        <v>56.03</v>
      </c>
      <c r="E40" s="64">
        <v>0.18</v>
      </c>
      <c r="F40" s="64">
        <v>3.02</v>
      </c>
      <c r="G40" s="64">
        <v>61.12</v>
      </c>
      <c r="H40" s="64">
        <v>27.65</v>
      </c>
      <c r="I40" s="64">
        <v>1.53</v>
      </c>
      <c r="J40" s="64">
        <v>0.43</v>
      </c>
      <c r="K40" s="64">
        <v>109.48</v>
      </c>
      <c r="L40" s="64">
        <v>19.23</v>
      </c>
      <c r="M40" s="64">
        <v>98.97</v>
      </c>
      <c r="N40" s="64">
        <v>224.5</v>
      </c>
      <c r="O40" s="64">
        <v>0</v>
      </c>
      <c r="P40" s="64">
        <v>0.7</v>
      </c>
      <c r="Q40" s="64">
        <v>8.39</v>
      </c>
      <c r="R40" s="198"/>
      <c r="S40" s="198"/>
      <c r="T40" s="198"/>
      <c r="U40" s="198"/>
    </row>
    <row r="41" spans="1:21" s="12" customFormat="1" x14ac:dyDescent="0.25">
      <c r="A41" s="213" t="s">
        <v>1431</v>
      </c>
      <c r="B41" s="64">
        <v>31.07</v>
      </c>
      <c r="C41" s="64">
        <v>53</v>
      </c>
      <c r="D41" s="64">
        <v>54.81</v>
      </c>
      <c r="E41" s="64">
        <v>0.25</v>
      </c>
      <c r="F41" s="64">
        <v>2.88</v>
      </c>
      <c r="G41" s="64">
        <v>61.12</v>
      </c>
      <c r="H41" s="64">
        <v>27.65</v>
      </c>
      <c r="I41" s="64">
        <v>1.47</v>
      </c>
      <c r="J41" s="64">
        <v>0.6</v>
      </c>
      <c r="K41" s="64">
        <v>107.72</v>
      </c>
      <c r="L41" s="64">
        <v>18.87</v>
      </c>
      <c r="M41" s="64">
        <v>100</v>
      </c>
      <c r="N41" s="64">
        <v>241.8</v>
      </c>
      <c r="O41" s="64">
        <v>0</v>
      </c>
      <c r="P41" s="64">
        <v>0.71</v>
      </c>
      <c r="Q41" s="64">
        <v>8.4</v>
      </c>
      <c r="R41" s="198"/>
      <c r="S41" s="198"/>
      <c r="T41" s="198"/>
      <c r="U41" s="198"/>
    </row>
    <row r="42" spans="1:21" s="12" customFormat="1" x14ac:dyDescent="0.25">
      <c r="A42" s="213" t="s">
        <v>1432</v>
      </c>
      <c r="B42" s="64">
        <v>29.7</v>
      </c>
      <c r="C42" s="64">
        <v>52.22</v>
      </c>
      <c r="D42" s="64">
        <v>53.28</v>
      </c>
      <c r="E42" s="64">
        <v>0.35</v>
      </c>
      <c r="F42" s="64">
        <v>3.01</v>
      </c>
      <c r="G42" s="64">
        <v>61.12</v>
      </c>
      <c r="H42" s="64">
        <v>27.65</v>
      </c>
      <c r="I42" s="64">
        <v>1.55</v>
      </c>
      <c r="J42" s="64">
        <v>0.52</v>
      </c>
      <c r="K42" s="64">
        <v>94.42</v>
      </c>
      <c r="L42" s="64">
        <v>19.489999999999998</v>
      </c>
      <c r="M42" s="64">
        <v>98.22</v>
      </c>
      <c r="N42" s="64">
        <v>318.7</v>
      </c>
      <c r="O42" s="64">
        <v>0</v>
      </c>
      <c r="P42" s="64">
        <v>0.71</v>
      </c>
      <c r="Q42" s="64">
        <v>8.43</v>
      </c>
      <c r="R42" s="198"/>
      <c r="S42" s="198"/>
      <c r="T42" s="198"/>
      <c r="U42" s="198"/>
    </row>
    <row r="43" spans="1:21" s="12" customFormat="1" x14ac:dyDescent="0.25">
      <c r="A43" s="213" t="s">
        <v>1433</v>
      </c>
      <c r="B43" s="64">
        <v>28.81</v>
      </c>
      <c r="C43" s="64">
        <v>53.94</v>
      </c>
      <c r="D43" s="64">
        <v>53.52</v>
      </c>
      <c r="E43" s="64">
        <v>0.3</v>
      </c>
      <c r="F43" s="64">
        <v>2.93</v>
      </c>
      <c r="G43" s="64">
        <v>61.83</v>
      </c>
      <c r="H43" s="64">
        <v>27.97</v>
      </c>
      <c r="I43" s="64">
        <v>1.4</v>
      </c>
      <c r="J43" s="64">
        <v>0.22</v>
      </c>
      <c r="K43" s="64">
        <v>8.5299999999999994</v>
      </c>
      <c r="L43" s="64">
        <v>21.22</v>
      </c>
      <c r="M43" s="64">
        <v>90.27</v>
      </c>
      <c r="N43" s="64">
        <v>335.9</v>
      </c>
      <c r="O43" s="64">
        <v>0</v>
      </c>
      <c r="P43" s="64">
        <v>0.72</v>
      </c>
      <c r="Q43" s="64">
        <v>8.3800000000000008</v>
      </c>
      <c r="R43" s="198"/>
      <c r="S43" s="198"/>
      <c r="T43" s="198"/>
      <c r="U43" s="198"/>
    </row>
    <row r="44" spans="1:21" s="12" customFormat="1" x14ac:dyDescent="0.25">
      <c r="A44" s="213" t="s">
        <v>1434</v>
      </c>
      <c r="B44" s="64">
        <v>28.83</v>
      </c>
      <c r="C44" s="64">
        <v>57.93</v>
      </c>
      <c r="D44" s="64">
        <v>55.73</v>
      </c>
      <c r="E44" s="64">
        <v>0.28000000000000003</v>
      </c>
      <c r="F44" s="64">
        <v>2.37</v>
      </c>
      <c r="G44" s="64">
        <v>64.3</v>
      </c>
      <c r="H44" s="64">
        <v>28.7</v>
      </c>
      <c r="I44" s="64">
        <v>1.55</v>
      </c>
      <c r="J44" s="64">
        <v>0.48</v>
      </c>
      <c r="K44" s="64">
        <v>350.96</v>
      </c>
      <c r="L44" s="64">
        <v>23.23</v>
      </c>
      <c r="M44" s="64">
        <v>79.62</v>
      </c>
      <c r="N44" s="64">
        <v>353.8</v>
      </c>
      <c r="O44" s="64">
        <v>0</v>
      </c>
      <c r="P44" s="64">
        <v>0.74</v>
      </c>
      <c r="Q44" s="64">
        <v>8.4499999999999993</v>
      </c>
      <c r="R44" s="198"/>
      <c r="S44" s="198"/>
      <c r="T44" s="198"/>
      <c r="U44" s="198"/>
    </row>
    <row r="45" spans="1:21" s="12" customFormat="1" x14ac:dyDescent="0.25">
      <c r="A45" s="213" t="s">
        <v>1435</v>
      </c>
      <c r="B45" s="64">
        <v>29.16</v>
      </c>
      <c r="C45" s="64">
        <v>59.76</v>
      </c>
      <c r="D45" s="64">
        <v>57.01</v>
      </c>
      <c r="E45" s="64">
        <v>0.36</v>
      </c>
      <c r="F45" s="64">
        <v>3.37</v>
      </c>
      <c r="G45" s="64">
        <v>64.3</v>
      </c>
      <c r="H45" s="64">
        <v>28.7</v>
      </c>
      <c r="I45" s="64">
        <v>1.49</v>
      </c>
      <c r="J45" s="64">
        <v>0.43</v>
      </c>
      <c r="K45" s="64">
        <v>342.96</v>
      </c>
      <c r="L45" s="64">
        <v>24.43</v>
      </c>
      <c r="M45" s="64">
        <v>73.650000000000006</v>
      </c>
      <c r="N45" s="64">
        <v>386.4</v>
      </c>
      <c r="O45" s="64">
        <v>0</v>
      </c>
      <c r="P45" s="64">
        <v>0.77</v>
      </c>
      <c r="Q45" s="64">
        <v>8.59</v>
      </c>
      <c r="R45" s="198"/>
      <c r="S45" s="198"/>
      <c r="T45" s="198"/>
      <c r="U45" s="198"/>
    </row>
    <row r="46" spans="1:21" s="12" customFormat="1" x14ac:dyDescent="0.25">
      <c r="A46" s="213" t="s">
        <v>1436</v>
      </c>
      <c r="B46" s="64">
        <v>29.61</v>
      </c>
      <c r="C46" s="64">
        <v>61.22</v>
      </c>
      <c r="D46" s="64">
        <v>58.17</v>
      </c>
      <c r="E46" s="64">
        <v>0.43</v>
      </c>
      <c r="F46" s="64">
        <v>3.1</v>
      </c>
      <c r="G46" s="64">
        <v>64.3</v>
      </c>
      <c r="H46" s="64">
        <v>28.7</v>
      </c>
      <c r="I46" s="64">
        <v>1.51</v>
      </c>
      <c r="J46" s="64">
        <v>0.43</v>
      </c>
      <c r="K46" s="64">
        <v>345.24</v>
      </c>
      <c r="L46" s="64">
        <v>25.26</v>
      </c>
      <c r="M46" s="64">
        <v>70.36</v>
      </c>
      <c r="N46" s="64">
        <v>419.1</v>
      </c>
      <c r="O46" s="64">
        <v>0</v>
      </c>
      <c r="P46" s="64">
        <v>0.79</v>
      </c>
      <c r="Q46" s="64">
        <v>8.67</v>
      </c>
      <c r="R46" s="198"/>
      <c r="S46" s="198"/>
      <c r="T46" s="198"/>
      <c r="U46" s="198"/>
    </row>
    <row r="47" spans="1:21" s="12" customFormat="1" x14ac:dyDescent="0.25">
      <c r="A47" s="213" t="s">
        <v>1437</v>
      </c>
      <c r="B47" s="64">
        <v>29.79</v>
      </c>
      <c r="C47" s="64">
        <v>61.82</v>
      </c>
      <c r="D47" s="64">
        <v>58.65</v>
      </c>
      <c r="E47" s="64">
        <v>0.37</v>
      </c>
      <c r="F47" s="64">
        <v>3.48</v>
      </c>
      <c r="G47" s="64">
        <v>66.28</v>
      </c>
      <c r="H47" s="64">
        <v>29.28</v>
      </c>
      <c r="I47" s="64">
        <v>1.52</v>
      </c>
      <c r="J47" s="64">
        <v>0.11</v>
      </c>
      <c r="K47" s="64">
        <v>66.25</v>
      </c>
      <c r="L47" s="64">
        <v>25.2</v>
      </c>
      <c r="M47" s="64">
        <v>69.209999999999994</v>
      </c>
      <c r="N47" s="64">
        <v>508.5</v>
      </c>
      <c r="O47" s="64">
        <v>0</v>
      </c>
      <c r="P47" s="64">
        <v>0.81</v>
      </c>
      <c r="Q47" s="64">
        <v>8.8000000000000007</v>
      </c>
      <c r="R47" s="198"/>
      <c r="S47" s="198"/>
      <c r="T47" s="198"/>
      <c r="U47" s="198"/>
    </row>
    <row r="48" spans="1:21" s="12" customFormat="1" x14ac:dyDescent="0.25">
      <c r="A48" s="213" t="s">
        <v>1438</v>
      </c>
      <c r="B48" s="64">
        <v>29</v>
      </c>
      <c r="C48" s="64">
        <v>62.62</v>
      </c>
      <c r="D48" s="64">
        <v>58.46</v>
      </c>
      <c r="E48" s="64">
        <v>0.4</v>
      </c>
      <c r="F48" s="64">
        <v>3.2</v>
      </c>
      <c r="G48" s="64">
        <v>72.77</v>
      </c>
      <c r="H48" s="64">
        <v>30.65</v>
      </c>
      <c r="I48" s="64">
        <v>1.5</v>
      </c>
      <c r="J48" s="64">
        <v>0.7</v>
      </c>
      <c r="K48" s="64">
        <v>152.94</v>
      </c>
      <c r="L48" s="64">
        <v>24</v>
      </c>
      <c r="M48" s="64">
        <v>73.53</v>
      </c>
      <c r="N48" s="64">
        <v>557.9</v>
      </c>
      <c r="O48" s="64">
        <v>0</v>
      </c>
      <c r="P48" s="64">
        <v>0.8</v>
      </c>
      <c r="Q48" s="64">
        <v>8.8699999999999992</v>
      </c>
      <c r="R48" s="198"/>
      <c r="S48" s="198"/>
      <c r="T48" s="198"/>
      <c r="U48" s="198"/>
    </row>
    <row r="49" spans="1:21" s="12" customFormat="1" x14ac:dyDescent="0.25">
      <c r="A49" s="213" t="s">
        <v>1439</v>
      </c>
      <c r="B49" s="64">
        <v>27.45</v>
      </c>
      <c r="C49" s="64">
        <v>62.66</v>
      </c>
      <c r="D49" s="64">
        <v>57.24</v>
      </c>
      <c r="E49" s="64">
        <v>0.36</v>
      </c>
      <c r="F49" s="64">
        <v>3.27</v>
      </c>
      <c r="G49" s="64">
        <v>72.77</v>
      </c>
      <c r="H49" s="64">
        <v>30.65</v>
      </c>
      <c r="I49" s="64">
        <v>1.45</v>
      </c>
      <c r="J49" s="64">
        <v>0.22</v>
      </c>
      <c r="K49" s="64">
        <v>174.32</v>
      </c>
      <c r="L49" s="64">
        <v>24.55</v>
      </c>
      <c r="M49" s="64">
        <v>71.510000000000005</v>
      </c>
      <c r="N49" s="64">
        <v>581.5</v>
      </c>
      <c r="O49" s="64">
        <v>0</v>
      </c>
      <c r="P49" s="64">
        <v>0.79</v>
      </c>
      <c r="Q49" s="64">
        <v>8.85</v>
      </c>
      <c r="R49" s="198"/>
      <c r="S49" s="198"/>
      <c r="T49" s="198"/>
      <c r="U49" s="198"/>
    </row>
    <row r="50" spans="1:21" s="12" customFormat="1" x14ac:dyDescent="0.25">
      <c r="A50" s="213" t="s">
        <v>1440</v>
      </c>
      <c r="B50" s="64">
        <v>25.52</v>
      </c>
      <c r="C50" s="64">
        <v>62.62</v>
      </c>
      <c r="D50" s="64">
        <v>55.67</v>
      </c>
      <c r="E50" s="64">
        <v>0.38</v>
      </c>
      <c r="F50" s="64">
        <v>3.11</v>
      </c>
      <c r="G50" s="64">
        <v>72.77</v>
      </c>
      <c r="H50" s="64">
        <v>30.65</v>
      </c>
      <c r="I50" s="64">
        <v>1.57</v>
      </c>
      <c r="J50" s="64">
        <v>0.25</v>
      </c>
      <c r="K50" s="64">
        <v>190.1</v>
      </c>
      <c r="L50" s="64">
        <v>24.19</v>
      </c>
      <c r="M50" s="64">
        <v>70.59</v>
      </c>
      <c r="N50" s="64">
        <v>625.79999999999995</v>
      </c>
      <c r="O50" s="64">
        <v>0</v>
      </c>
      <c r="P50" s="64">
        <v>0.78</v>
      </c>
      <c r="Q50" s="64">
        <v>8.6999999999999993</v>
      </c>
      <c r="R50" s="198"/>
      <c r="S50" s="198"/>
      <c r="T50" s="198"/>
      <c r="U50" s="198"/>
    </row>
    <row r="51" spans="1:21" s="12" customFormat="1" x14ac:dyDescent="0.25">
      <c r="A51" s="213" t="s">
        <v>1441</v>
      </c>
      <c r="B51" s="64">
        <v>22.39</v>
      </c>
      <c r="C51" s="64">
        <v>63.41</v>
      </c>
      <c r="D51" s="64">
        <v>53.59</v>
      </c>
      <c r="E51" s="64">
        <v>0.36</v>
      </c>
      <c r="F51" s="64">
        <v>3.47</v>
      </c>
      <c r="G51" s="64">
        <v>70.790000000000006</v>
      </c>
      <c r="H51" s="64">
        <v>30.43</v>
      </c>
      <c r="I51" s="64">
        <v>1.39</v>
      </c>
      <c r="J51" s="64">
        <v>0.33</v>
      </c>
      <c r="K51" s="64">
        <v>333.94</v>
      </c>
      <c r="L51" s="64">
        <v>26.47</v>
      </c>
      <c r="M51" s="64">
        <v>59.62</v>
      </c>
      <c r="N51" s="64">
        <v>652.20000000000005</v>
      </c>
      <c r="O51" s="64">
        <v>0</v>
      </c>
      <c r="P51" s="64">
        <v>0.74</v>
      </c>
      <c r="Q51" s="64">
        <v>8.7899999999999991</v>
      </c>
      <c r="R51" s="198"/>
      <c r="S51" s="198"/>
      <c r="T51" s="198"/>
      <c r="U51" s="198"/>
    </row>
    <row r="52" spans="1:21" s="12" customFormat="1" x14ac:dyDescent="0.25">
      <c r="A52" s="213" t="s">
        <v>1442</v>
      </c>
      <c r="B52" s="64">
        <v>11.73</v>
      </c>
      <c r="C52" s="64">
        <v>69.209999999999994</v>
      </c>
      <c r="D52" s="64">
        <v>48.25</v>
      </c>
      <c r="E52" s="64">
        <v>0.39</v>
      </c>
      <c r="F52" s="64">
        <v>6.82</v>
      </c>
      <c r="G52" s="64">
        <v>63.86</v>
      </c>
      <c r="H52" s="64">
        <v>29.89</v>
      </c>
      <c r="I52" s="64">
        <v>1.57</v>
      </c>
      <c r="J52" s="64">
        <v>0.18</v>
      </c>
      <c r="K52" s="64">
        <v>327.43</v>
      </c>
      <c r="L52" s="64">
        <v>27.14</v>
      </c>
      <c r="M52" s="64">
        <v>55.79</v>
      </c>
      <c r="N52" s="64">
        <v>690</v>
      </c>
      <c r="O52" s="64">
        <v>0</v>
      </c>
      <c r="P52" s="64">
        <v>0.72</v>
      </c>
      <c r="Q52" s="64">
        <v>8.7100000000000009</v>
      </c>
      <c r="R52" s="198"/>
      <c r="S52" s="198"/>
      <c r="T52" s="198"/>
      <c r="U52" s="198"/>
    </row>
    <row r="53" spans="1:21" s="12" customFormat="1" x14ac:dyDescent="0.25">
      <c r="A53" s="213" t="s">
        <v>1443</v>
      </c>
      <c r="B53" s="64">
        <v>6.25</v>
      </c>
      <c r="C53" s="64">
        <v>76.94</v>
      </c>
      <c r="D53" s="64">
        <v>48.12</v>
      </c>
      <c r="E53" s="64">
        <v>0.37</v>
      </c>
      <c r="F53" s="64">
        <v>6.42</v>
      </c>
      <c r="G53" s="64">
        <v>63.86</v>
      </c>
      <c r="H53" s="64">
        <v>29.89</v>
      </c>
      <c r="I53" s="64">
        <v>1.49</v>
      </c>
      <c r="J53" s="64">
        <v>0.56999999999999995</v>
      </c>
      <c r="K53" s="64">
        <v>326.3</v>
      </c>
      <c r="L53" s="64">
        <v>28.43</v>
      </c>
      <c r="M53" s="64">
        <v>52.67</v>
      </c>
      <c r="N53" s="64">
        <v>711.2</v>
      </c>
      <c r="O53" s="64">
        <v>0</v>
      </c>
      <c r="P53" s="64">
        <v>0.75</v>
      </c>
      <c r="Q53" s="64">
        <v>8.5399999999999991</v>
      </c>
      <c r="R53" s="198"/>
      <c r="S53" s="198"/>
      <c r="T53" s="198"/>
      <c r="U53" s="198"/>
    </row>
    <row r="54" spans="1:21" s="12" customFormat="1" x14ac:dyDescent="0.25">
      <c r="A54" s="213" t="s">
        <v>1444</v>
      </c>
      <c r="B54" s="64">
        <v>5.12</v>
      </c>
      <c r="C54" s="64">
        <v>76.84</v>
      </c>
      <c r="D54" s="64">
        <v>47.16</v>
      </c>
      <c r="E54" s="64">
        <v>0.31</v>
      </c>
      <c r="F54" s="64">
        <v>4.37</v>
      </c>
      <c r="G54" s="64">
        <v>63.86</v>
      </c>
      <c r="H54" s="64">
        <v>29.89</v>
      </c>
      <c r="I54" s="64">
        <v>1.63</v>
      </c>
      <c r="J54" s="64">
        <v>0.3</v>
      </c>
      <c r="K54" s="64">
        <v>318.45999999999998</v>
      </c>
      <c r="L54" s="64">
        <v>29.22</v>
      </c>
      <c r="M54" s="64">
        <v>48.23</v>
      </c>
      <c r="N54" s="64">
        <v>653.4</v>
      </c>
      <c r="O54" s="64">
        <v>0</v>
      </c>
      <c r="P54" s="64">
        <v>0.77</v>
      </c>
      <c r="Q54" s="64">
        <v>8.43</v>
      </c>
      <c r="R54" s="198"/>
      <c r="S54" s="198"/>
      <c r="T54" s="198"/>
      <c r="U54" s="198"/>
    </row>
    <row r="55" spans="1:21" s="12" customFormat="1" x14ac:dyDescent="0.25">
      <c r="A55" s="213" t="s">
        <v>1445</v>
      </c>
      <c r="B55" s="64">
        <v>5.29</v>
      </c>
      <c r="C55" s="64">
        <v>72.87</v>
      </c>
      <c r="D55" s="64">
        <v>45.11</v>
      </c>
      <c r="E55" s="64">
        <v>0.34</v>
      </c>
      <c r="F55" s="64">
        <v>4.0599999999999996</v>
      </c>
      <c r="G55" s="64">
        <v>65.34</v>
      </c>
      <c r="H55" s="64">
        <v>29.98</v>
      </c>
      <c r="I55" s="64">
        <v>1.5</v>
      </c>
      <c r="J55" s="64">
        <v>0.14000000000000001</v>
      </c>
      <c r="K55" s="64">
        <v>358.05</v>
      </c>
      <c r="L55" s="64">
        <v>27.04</v>
      </c>
      <c r="M55" s="64">
        <v>54.96</v>
      </c>
      <c r="N55" s="64">
        <v>619.6</v>
      </c>
      <c r="O55" s="64">
        <v>0</v>
      </c>
      <c r="P55" s="64">
        <v>0.79</v>
      </c>
      <c r="Q55" s="64">
        <v>0</v>
      </c>
      <c r="R55" s="198"/>
      <c r="S55" s="198"/>
      <c r="T55" s="198"/>
      <c r="U55" s="198"/>
    </row>
    <row r="56" spans="1:21" s="12" customFormat="1" x14ac:dyDescent="0.25">
      <c r="A56" s="213" t="s">
        <v>1446</v>
      </c>
      <c r="B56" s="64">
        <v>5.12</v>
      </c>
      <c r="C56" s="64">
        <v>72.75</v>
      </c>
      <c r="D56" s="64">
        <v>44.9</v>
      </c>
      <c r="E56" s="64">
        <v>0.15</v>
      </c>
      <c r="F56" s="64">
        <v>4.9000000000000004</v>
      </c>
      <c r="G56" s="64">
        <v>71.09</v>
      </c>
      <c r="H56" s="64">
        <v>31.52</v>
      </c>
      <c r="I56" s="64">
        <v>1.47</v>
      </c>
      <c r="J56" s="64">
        <v>0.31</v>
      </c>
      <c r="K56" s="64">
        <v>321.05</v>
      </c>
      <c r="L56" s="64">
        <v>28.05</v>
      </c>
      <c r="M56" s="64">
        <v>50.09</v>
      </c>
      <c r="N56" s="64">
        <v>677.7</v>
      </c>
      <c r="O56" s="64">
        <v>0</v>
      </c>
      <c r="P56" s="64">
        <v>0.96</v>
      </c>
      <c r="Q56" s="64">
        <v>8.31</v>
      </c>
      <c r="R56" s="198"/>
      <c r="S56" s="198"/>
      <c r="T56" s="198"/>
      <c r="U56" s="198"/>
    </row>
    <row r="57" spans="1:21" s="12" customFormat="1" x14ac:dyDescent="0.25">
      <c r="A57" s="213" t="s">
        <v>1447</v>
      </c>
      <c r="B57" s="64">
        <v>4.1399999999999997</v>
      </c>
      <c r="C57" s="64">
        <v>68.989999999999995</v>
      </c>
      <c r="D57" s="64">
        <v>42.04</v>
      </c>
      <c r="E57" s="64">
        <v>0.25</v>
      </c>
      <c r="F57" s="64">
        <v>6.59</v>
      </c>
      <c r="G57" s="64">
        <v>71.09</v>
      </c>
      <c r="H57" s="64">
        <v>31.52</v>
      </c>
      <c r="I57" s="64">
        <v>1.59</v>
      </c>
      <c r="J57" s="64">
        <v>0.3</v>
      </c>
      <c r="K57" s="64">
        <v>328.26</v>
      </c>
      <c r="L57" s="64">
        <v>27.26</v>
      </c>
      <c r="M57" s="64">
        <v>52.38</v>
      </c>
      <c r="N57" s="64">
        <v>641.70000000000005</v>
      </c>
      <c r="O57" s="64">
        <v>0</v>
      </c>
      <c r="P57" s="64">
        <v>1.0900000000000001</v>
      </c>
      <c r="Q57" s="64">
        <v>0</v>
      </c>
      <c r="R57" s="198"/>
      <c r="S57" s="198"/>
      <c r="T57" s="198"/>
      <c r="U57" s="198"/>
    </row>
    <row r="58" spans="1:21" s="12" customFormat="1" x14ac:dyDescent="0.25">
      <c r="A58" s="213" t="s">
        <v>1448</v>
      </c>
      <c r="B58" s="64">
        <v>2.81</v>
      </c>
      <c r="C58" s="64">
        <v>58.92</v>
      </c>
      <c r="D58" s="64">
        <v>35.42</v>
      </c>
      <c r="E58" s="64">
        <v>0.28999999999999998</v>
      </c>
      <c r="F58" s="64">
        <v>11.63</v>
      </c>
      <c r="G58" s="64">
        <v>71.09</v>
      </c>
      <c r="H58" s="64">
        <v>31.52</v>
      </c>
      <c r="I58" s="64">
        <v>1.59</v>
      </c>
      <c r="J58" s="64">
        <v>0.21</v>
      </c>
      <c r="K58" s="64">
        <v>15.47</v>
      </c>
      <c r="L58" s="64">
        <v>28.65</v>
      </c>
      <c r="M58" s="64">
        <v>48.16</v>
      </c>
      <c r="N58" s="64">
        <v>662.9</v>
      </c>
      <c r="O58" s="64">
        <v>0</v>
      </c>
      <c r="P58" s="64">
        <v>1.2</v>
      </c>
      <c r="Q58" s="64">
        <v>7.26</v>
      </c>
      <c r="R58" s="198"/>
      <c r="S58" s="198"/>
      <c r="T58" s="198"/>
      <c r="U58" s="198"/>
    </row>
    <row r="59" spans="1:21" s="12" customFormat="1" x14ac:dyDescent="0.25">
      <c r="A59" s="213" t="s">
        <v>1449</v>
      </c>
      <c r="B59" s="64">
        <v>2.71</v>
      </c>
      <c r="C59" s="64">
        <v>62.59</v>
      </c>
      <c r="D59" s="64">
        <v>37.36</v>
      </c>
      <c r="E59" s="64">
        <v>0.26</v>
      </c>
      <c r="F59" s="64">
        <v>7.99</v>
      </c>
      <c r="G59" s="64">
        <v>73.31</v>
      </c>
      <c r="H59" s="64">
        <v>34.19</v>
      </c>
      <c r="I59" s="64">
        <v>1.49</v>
      </c>
      <c r="J59" s="64">
        <v>0.41</v>
      </c>
      <c r="K59" s="64">
        <v>340.51</v>
      </c>
      <c r="L59" s="64">
        <v>29.32</v>
      </c>
      <c r="M59" s="64">
        <v>47.01</v>
      </c>
      <c r="N59" s="64">
        <v>661.5</v>
      </c>
      <c r="O59" s="64">
        <v>0</v>
      </c>
      <c r="P59" s="64">
        <v>1.23</v>
      </c>
      <c r="Q59" s="64">
        <v>7.22</v>
      </c>
      <c r="R59" s="198"/>
      <c r="S59" s="198"/>
      <c r="T59" s="198"/>
      <c r="U59" s="198"/>
    </row>
    <row r="60" spans="1:21" s="12" customFormat="1" x14ac:dyDescent="0.25">
      <c r="A60" s="213" t="s">
        <v>1450</v>
      </c>
      <c r="B60" s="64">
        <v>2.89</v>
      </c>
      <c r="C60" s="64">
        <v>58.42</v>
      </c>
      <c r="D60" s="64">
        <v>35.21</v>
      </c>
      <c r="E60" s="64">
        <v>0.18</v>
      </c>
      <c r="F60" s="64">
        <v>5.81</v>
      </c>
      <c r="G60" s="64">
        <v>81.09</v>
      </c>
      <c r="H60" s="64">
        <v>40.44</v>
      </c>
      <c r="I60" s="64">
        <v>1.42</v>
      </c>
      <c r="J60" s="64">
        <v>0.66</v>
      </c>
      <c r="K60" s="64">
        <v>334.72</v>
      </c>
      <c r="L60" s="64">
        <v>30.13</v>
      </c>
      <c r="M60" s="64">
        <v>44.79</v>
      </c>
      <c r="N60" s="64">
        <v>595.20000000000005</v>
      </c>
      <c r="O60" s="64">
        <v>0</v>
      </c>
      <c r="P60" s="64">
        <v>1.23</v>
      </c>
      <c r="Q60" s="64">
        <v>7.2</v>
      </c>
      <c r="R60" s="198"/>
      <c r="S60" s="198"/>
      <c r="T60" s="198"/>
      <c r="U60" s="198"/>
    </row>
    <row r="61" spans="1:21" s="12" customFormat="1" x14ac:dyDescent="0.25">
      <c r="A61" s="213" t="s">
        <v>1451</v>
      </c>
      <c r="B61" s="64">
        <v>3.37</v>
      </c>
      <c r="C61" s="64">
        <v>62.06</v>
      </c>
      <c r="D61" s="64">
        <v>37.6</v>
      </c>
      <c r="E61" s="64">
        <v>0.23</v>
      </c>
      <c r="F61" s="64">
        <v>5.57</v>
      </c>
      <c r="G61" s="64">
        <v>81.09</v>
      </c>
      <c r="H61" s="64">
        <v>40.44</v>
      </c>
      <c r="I61" s="64">
        <v>1.45</v>
      </c>
      <c r="J61" s="64">
        <v>0.43</v>
      </c>
      <c r="K61" s="64">
        <v>339.38</v>
      </c>
      <c r="L61" s="64">
        <v>30.13</v>
      </c>
      <c r="M61" s="64">
        <v>43.28</v>
      </c>
      <c r="N61" s="64">
        <v>620.20000000000005</v>
      </c>
      <c r="O61" s="64">
        <v>0</v>
      </c>
      <c r="P61" s="64">
        <v>1.17</v>
      </c>
      <c r="Q61" s="64">
        <v>7.35</v>
      </c>
      <c r="R61" s="198"/>
      <c r="S61" s="198"/>
      <c r="T61" s="198"/>
      <c r="U61" s="198"/>
    </row>
    <row r="62" spans="1:21" s="12" customFormat="1" x14ac:dyDescent="0.25">
      <c r="A62" s="213" t="s">
        <v>1452</v>
      </c>
      <c r="B62" s="64">
        <v>2.88</v>
      </c>
      <c r="C62" s="64">
        <v>59.31</v>
      </c>
      <c r="D62" s="64">
        <v>35.69</v>
      </c>
      <c r="E62" s="64">
        <v>0.27</v>
      </c>
      <c r="F62" s="64">
        <v>8.1</v>
      </c>
      <c r="G62" s="64">
        <v>81.09</v>
      </c>
      <c r="H62" s="64">
        <v>40.44</v>
      </c>
      <c r="I62" s="64">
        <v>1.55</v>
      </c>
      <c r="J62" s="64">
        <v>0.41</v>
      </c>
      <c r="K62" s="64">
        <v>354.1</v>
      </c>
      <c r="L62" s="64">
        <v>29.79</v>
      </c>
      <c r="M62" s="64">
        <v>41.38</v>
      </c>
      <c r="N62" s="64">
        <v>661.4</v>
      </c>
      <c r="O62" s="64">
        <v>0</v>
      </c>
      <c r="P62" s="64">
        <v>1.1499999999999999</v>
      </c>
      <c r="Q62" s="64">
        <v>7.2</v>
      </c>
      <c r="R62" s="198"/>
      <c r="S62" s="198"/>
      <c r="T62" s="198"/>
      <c r="U62" s="198"/>
    </row>
    <row r="63" spans="1:21" s="12" customFormat="1" x14ac:dyDescent="0.25">
      <c r="A63" s="213" t="s">
        <v>1453</v>
      </c>
      <c r="B63" s="64">
        <v>2.83</v>
      </c>
      <c r="C63" s="64">
        <v>65.39</v>
      </c>
      <c r="D63" s="64">
        <v>39</v>
      </c>
      <c r="E63" s="64">
        <v>0.46</v>
      </c>
      <c r="F63" s="64">
        <v>5.91</v>
      </c>
      <c r="G63" s="64">
        <v>80.84</v>
      </c>
      <c r="H63" s="64">
        <v>39.229999999999997</v>
      </c>
      <c r="I63" s="64">
        <v>1.44</v>
      </c>
      <c r="J63" s="64">
        <v>0.3</v>
      </c>
      <c r="K63" s="64">
        <v>350.39</v>
      </c>
      <c r="L63" s="64">
        <v>29.69</v>
      </c>
      <c r="M63" s="64">
        <v>38.68</v>
      </c>
      <c r="N63" s="64">
        <v>713.8</v>
      </c>
      <c r="O63" s="64">
        <v>0</v>
      </c>
      <c r="P63" s="64">
        <v>1.1299999999999999</v>
      </c>
      <c r="Q63" s="64">
        <v>7.43</v>
      </c>
      <c r="R63" s="198"/>
      <c r="S63" s="198"/>
      <c r="T63" s="198"/>
      <c r="U63" s="198"/>
    </row>
    <row r="64" spans="1:21" s="12" customFormat="1" x14ac:dyDescent="0.25">
      <c r="A64" s="213" t="s">
        <v>1454</v>
      </c>
      <c r="B64" s="64">
        <v>2.69</v>
      </c>
      <c r="C64" s="64">
        <v>60.31</v>
      </c>
      <c r="D64" s="64">
        <v>36.090000000000003</v>
      </c>
      <c r="E64" s="64">
        <v>0.18</v>
      </c>
      <c r="F64" s="64">
        <v>5.67</v>
      </c>
      <c r="G64" s="64">
        <v>79.95</v>
      </c>
      <c r="H64" s="64">
        <v>36.39</v>
      </c>
      <c r="I64" s="64">
        <v>1.54</v>
      </c>
      <c r="J64" s="64">
        <v>0.24</v>
      </c>
      <c r="K64" s="64">
        <v>193.05</v>
      </c>
      <c r="L64" s="64">
        <v>28.55</v>
      </c>
      <c r="M64" s="64">
        <v>38.51</v>
      </c>
      <c r="N64" s="64">
        <v>649</v>
      </c>
      <c r="O64" s="64">
        <v>0</v>
      </c>
      <c r="P64" s="64">
        <v>1.07</v>
      </c>
      <c r="Q64" s="64">
        <v>7.18</v>
      </c>
      <c r="R64" s="198"/>
      <c r="S64" s="198"/>
      <c r="T64" s="198"/>
      <c r="U64" s="198"/>
    </row>
    <row r="65" spans="1:21" s="12" customFormat="1" x14ac:dyDescent="0.25">
      <c r="A65" s="213" t="s">
        <v>1455</v>
      </c>
      <c r="B65" s="64">
        <v>2.4900000000000002</v>
      </c>
      <c r="C65" s="64">
        <v>56.89</v>
      </c>
      <c r="D65" s="64">
        <v>34.04</v>
      </c>
      <c r="E65" s="64">
        <v>0.25</v>
      </c>
      <c r="F65" s="64">
        <v>6.78</v>
      </c>
      <c r="G65" s="64">
        <v>79.95</v>
      </c>
      <c r="H65" s="64">
        <v>36.39</v>
      </c>
      <c r="I65" s="64">
        <v>1.45</v>
      </c>
      <c r="J65" s="64">
        <v>0.63</v>
      </c>
      <c r="K65" s="64">
        <v>165.68</v>
      </c>
      <c r="L65" s="64">
        <v>27.82</v>
      </c>
      <c r="M65" s="64">
        <v>40.06</v>
      </c>
      <c r="N65" s="64">
        <v>617.79999999999995</v>
      </c>
      <c r="O65" s="64">
        <v>0</v>
      </c>
      <c r="P65" s="64">
        <v>0.98</v>
      </c>
      <c r="Q65" s="64">
        <v>7.13</v>
      </c>
      <c r="R65" s="198"/>
      <c r="S65" s="198"/>
      <c r="T65" s="198"/>
      <c r="U65" s="198"/>
    </row>
    <row r="66" spans="1:21" s="12" customFormat="1" x14ac:dyDescent="0.25">
      <c r="A66" s="213" t="s">
        <v>1456</v>
      </c>
      <c r="B66" s="64">
        <v>2.02</v>
      </c>
      <c r="C66" s="64">
        <v>59.74</v>
      </c>
      <c r="D66" s="64">
        <v>35.24</v>
      </c>
      <c r="E66" s="64">
        <v>0.26</v>
      </c>
      <c r="F66" s="64">
        <v>9.34</v>
      </c>
      <c r="G66" s="64">
        <v>79.95</v>
      </c>
      <c r="H66" s="64">
        <v>36.39</v>
      </c>
      <c r="I66" s="64">
        <v>1.45</v>
      </c>
      <c r="J66" s="64">
        <v>0.15</v>
      </c>
      <c r="K66" s="64">
        <v>306.57</v>
      </c>
      <c r="L66" s="64">
        <v>28.37</v>
      </c>
      <c r="M66" s="64">
        <v>39.85</v>
      </c>
      <c r="N66" s="64">
        <v>584.4</v>
      </c>
      <c r="O66" s="64">
        <v>0</v>
      </c>
      <c r="P66" s="64">
        <v>0.86</v>
      </c>
      <c r="Q66" s="64">
        <v>6.93</v>
      </c>
      <c r="R66" s="198"/>
      <c r="S66" s="198"/>
      <c r="T66" s="198"/>
      <c r="U66" s="198"/>
    </row>
    <row r="67" spans="1:21" s="12" customFormat="1" x14ac:dyDescent="0.25">
      <c r="A67" s="213" t="s">
        <v>1457</v>
      </c>
      <c r="B67" s="64">
        <v>2.08</v>
      </c>
      <c r="C67" s="64">
        <v>59.02</v>
      </c>
      <c r="D67" s="64">
        <v>34.89</v>
      </c>
      <c r="E67" s="64">
        <v>0.19</v>
      </c>
      <c r="F67" s="64">
        <v>6.65</v>
      </c>
      <c r="G67" s="64">
        <v>76.48</v>
      </c>
      <c r="H67" s="64">
        <v>36.44</v>
      </c>
      <c r="I67" s="64">
        <v>1.51</v>
      </c>
      <c r="J67" s="64">
        <v>0.15</v>
      </c>
      <c r="K67" s="64">
        <v>124.29</v>
      </c>
      <c r="L67" s="64">
        <v>28.72</v>
      </c>
      <c r="M67" s="64">
        <v>38.450000000000003</v>
      </c>
      <c r="N67" s="64">
        <v>536.1</v>
      </c>
      <c r="O67" s="64">
        <v>0</v>
      </c>
      <c r="P67" s="64">
        <v>0.82</v>
      </c>
      <c r="Q67" s="64">
        <v>6.76</v>
      </c>
      <c r="R67" s="198"/>
      <c r="S67" s="198"/>
      <c r="T67" s="198"/>
      <c r="U67" s="198"/>
    </row>
    <row r="68" spans="1:21" s="12" customFormat="1" x14ac:dyDescent="0.25">
      <c r="A68" s="213" t="s">
        <v>1458</v>
      </c>
      <c r="B68" s="64">
        <v>2.2599999999999998</v>
      </c>
      <c r="C68" s="64">
        <v>59.86</v>
      </c>
      <c r="D68" s="64">
        <v>35.49</v>
      </c>
      <c r="E68" s="64">
        <v>0.24</v>
      </c>
      <c r="F68" s="64">
        <v>5.67</v>
      </c>
      <c r="G68" s="64">
        <v>64.319999999999993</v>
      </c>
      <c r="H68" s="64">
        <v>36.57</v>
      </c>
      <c r="I68" s="64">
        <v>1.55</v>
      </c>
      <c r="J68" s="64">
        <v>0.04</v>
      </c>
      <c r="K68" s="64">
        <v>143.54</v>
      </c>
      <c r="L68" s="64">
        <v>28.13</v>
      </c>
      <c r="M68" s="64">
        <v>38.54</v>
      </c>
      <c r="N68" s="64">
        <v>481.8</v>
      </c>
      <c r="O68" s="64">
        <v>0</v>
      </c>
      <c r="P68" s="64">
        <v>0.78</v>
      </c>
      <c r="Q68" s="64">
        <v>6.75</v>
      </c>
      <c r="R68" s="198"/>
      <c r="S68" s="198"/>
      <c r="T68" s="198"/>
      <c r="U68" s="198"/>
    </row>
    <row r="69" spans="1:21" s="12" customFormat="1" x14ac:dyDescent="0.25">
      <c r="A69" s="213" t="s">
        <v>1459</v>
      </c>
      <c r="B69" s="64">
        <v>1.98</v>
      </c>
      <c r="C69" s="64">
        <v>59.27</v>
      </c>
      <c r="D69" s="64">
        <v>34.950000000000003</v>
      </c>
      <c r="E69" s="64">
        <v>0.24</v>
      </c>
      <c r="F69" s="64">
        <v>7.37</v>
      </c>
      <c r="G69" s="64">
        <v>64.319999999999993</v>
      </c>
      <c r="H69" s="64">
        <v>36.57</v>
      </c>
      <c r="I69" s="64">
        <v>1.55</v>
      </c>
      <c r="J69" s="64">
        <v>0.12</v>
      </c>
      <c r="K69" s="64">
        <v>185.05</v>
      </c>
      <c r="L69" s="64">
        <v>27.97</v>
      </c>
      <c r="M69" s="64">
        <v>34.9</v>
      </c>
      <c r="N69" s="64">
        <v>416.4</v>
      </c>
      <c r="O69" s="64">
        <v>0</v>
      </c>
      <c r="P69" s="64">
        <v>0.7</v>
      </c>
      <c r="Q69" s="64">
        <v>6.4</v>
      </c>
      <c r="R69" s="198"/>
      <c r="S69" s="198"/>
      <c r="T69" s="198"/>
      <c r="U69" s="198"/>
    </row>
    <row r="70" spans="1:21" s="12" customFormat="1" x14ac:dyDescent="0.25">
      <c r="A70" s="213" t="s">
        <v>1460</v>
      </c>
      <c r="B70" s="64">
        <v>1.82</v>
      </c>
      <c r="C70" s="64">
        <v>58.29</v>
      </c>
      <c r="D70" s="64">
        <v>34.28</v>
      </c>
      <c r="E70" s="64">
        <v>0.21</v>
      </c>
      <c r="F70" s="64">
        <v>6.72</v>
      </c>
      <c r="G70" s="64">
        <v>64.319999999999993</v>
      </c>
      <c r="H70" s="64">
        <v>36.57</v>
      </c>
      <c r="I70" s="64">
        <v>1.52</v>
      </c>
      <c r="J70" s="64">
        <v>0.44</v>
      </c>
      <c r="K70" s="64">
        <v>149.28</v>
      </c>
      <c r="L70" s="64">
        <v>27.66</v>
      </c>
      <c r="M70" s="64">
        <v>34.549999999999997</v>
      </c>
      <c r="N70" s="64">
        <v>311.89999999999998</v>
      </c>
      <c r="O70" s="64">
        <v>0</v>
      </c>
      <c r="P70" s="64">
        <v>0.65</v>
      </c>
      <c r="Q70" s="64">
        <v>5.98</v>
      </c>
      <c r="R70" s="198"/>
      <c r="S70" s="198"/>
      <c r="T70" s="198"/>
      <c r="U70" s="198"/>
    </row>
    <row r="71" spans="1:21" s="12" customFormat="1" x14ac:dyDescent="0.25">
      <c r="A71" s="213" t="s">
        <v>1461</v>
      </c>
      <c r="B71" s="64">
        <v>2.12</v>
      </c>
      <c r="C71" s="64">
        <v>55.8</v>
      </c>
      <c r="D71" s="64">
        <v>33.14</v>
      </c>
      <c r="E71" s="64">
        <v>0.22</v>
      </c>
      <c r="F71" s="64">
        <v>5.71</v>
      </c>
      <c r="G71" s="64">
        <v>64.37</v>
      </c>
      <c r="H71" s="64">
        <v>35.32</v>
      </c>
      <c r="I71" s="64">
        <v>1.48</v>
      </c>
      <c r="J71" s="64">
        <v>0.18</v>
      </c>
      <c r="K71" s="64">
        <v>355.38</v>
      </c>
      <c r="L71" s="64">
        <v>27.95</v>
      </c>
      <c r="M71" s="64">
        <v>34.67</v>
      </c>
      <c r="N71" s="64">
        <v>249.5</v>
      </c>
      <c r="O71" s="64">
        <v>0</v>
      </c>
      <c r="P71" s="64">
        <v>0.62</v>
      </c>
      <c r="Q71" s="64">
        <v>5.64</v>
      </c>
      <c r="R71" s="198"/>
      <c r="S71" s="198"/>
      <c r="T71" s="198"/>
      <c r="U71" s="198"/>
    </row>
    <row r="72" spans="1:21" s="12" customFormat="1" x14ac:dyDescent="0.25">
      <c r="A72" s="213" t="s">
        <v>1462</v>
      </c>
      <c r="B72" s="64">
        <v>3.04</v>
      </c>
      <c r="C72" s="64">
        <v>64.09</v>
      </c>
      <c r="D72" s="64">
        <v>38.450000000000003</v>
      </c>
      <c r="E72" s="64">
        <v>0.22</v>
      </c>
      <c r="F72" s="64">
        <v>5.69</v>
      </c>
      <c r="G72" s="64">
        <v>64.55</v>
      </c>
      <c r="H72" s="64">
        <v>30</v>
      </c>
      <c r="I72" s="64">
        <v>1.44</v>
      </c>
      <c r="J72" s="64">
        <v>0.13</v>
      </c>
      <c r="K72" s="64">
        <v>330.89</v>
      </c>
      <c r="L72" s="64">
        <v>27.64</v>
      </c>
      <c r="M72" s="64">
        <v>34.79</v>
      </c>
      <c r="N72" s="64">
        <v>236.5</v>
      </c>
      <c r="O72" s="64">
        <v>0</v>
      </c>
      <c r="P72" s="64">
        <v>0.59</v>
      </c>
      <c r="Q72" s="64">
        <v>6.32</v>
      </c>
      <c r="R72" s="198"/>
      <c r="S72" s="198"/>
      <c r="T72" s="198"/>
      <c r="U72" s="198"/>
    </row>
    <row r="73" spans="1:21" s="12" customFormat="1" x14ac:dyDescent="0.25">
      <c r="A73" s="213" t="s">
        <v>1463</v>
      </c>
      <c r="B73" s="64">
        <v>3.1</v>
      </c>
      <c r="C73" s="64">
        <v>64.61</v>
      </c>
      <c r="D73" s="64">
        <v>38.79</v>
      </c>
      <c r="E73" s="64">
        <v>0.17</v>
      </c>
      <c r="F73" s="64">
        <v>5.5</v>
      </c>
      <c r="G73" s="64">
        <v>64.55</v>
      </c>
      <c r="H73" s="64">
        <v>30</v>
      </c>
      <c r="I73" s="64">
        <v>1.45</v>
      </c>
      <c r="J73" s="64">
        <v>0.13</v>
      </c>
      <c r="K73" s="64">
        <v>205.14</v>
      </c>
      <c r="L73" s="64">
        <v>27.19</v>
      </c>
      <c r="M73" s="64">
        <v>35.520000000000003</v>
      </c>
      <c r="N73" s="64">
        <v>244.1</v>
      </c>
      <c r="O73" s="64">
        <v>0</v>
      </c>
      <c r="P73" s="64">
        <v>0.56999999999999995</v>
      </c>
      <c r="Q73" s="64">
        <v>6.83</v>
      </c>
      <c r="R73" s="198"/>
      <c r="S73" s="198"/>
      <c r="T73" s="198"/>
      <c r="U73" s="198"/>
    </row>
    <row r="74" spans="1:21" s="12" customFormat="1" x14ac:dyDescent="0.25">
      <c r="A74" s="213" t="s">
        <v>1464</v>
      </c>
      <c r="B74" s="64">
        <v>3.16</v>
      </c>
      <c r="C74" s="64">
        <v>63.56</v>
      </c>
      <c r="D74" s="64">
        <v>38.25</v>
      </c>
      <c r="E74" s="64">
        <v>0.2</v>
      </c>
      <c r="F74" s="64">
        <v>4.4400000000000004</v>
      </c>
      <c r="G74" s="64">
        <v>64.55</v>
      </c>
      <c r="H74" s="64">
        <v>30</v>
      </c>
      <c r="I74" s="64">
        <v>1.46</v>
      </c>
      <c r="J74" s="64">
        <v>0.03</v>
      </c>
      <c r="K74" s="64">
        <v>76.62</v>
      </c>
      <c r="L74" s="64">
        <v>27.05</v>
      </c>
      <c r="M74" s="64">
        <v>33.61</v>
      </c>
      <c r="N74" s="64">
        <v>219.9</v>
      </c>
      <c r="O74" s="64">
        <v>0</v>
      </c>
      <c r="P74" s="64">
        <v>0.56000000000000005</v>
      </c>
      <c r="Q74" s="64">
        <v>6.84</v>
      </c>
      <c r="R74" s="198"/>
      <c r="S74" s="198"/>
      <c r="T74" s="198"/>
      <c r="U74" s="198"/>
    </row>
    <row r="75" spans="1:21" s="12" customFormat="1" x14ac:dyDescent="0.25">
      <c r="A75" s="213" t="s">
        <v>1465</v>
      </c>
      <c r="B75" s="64">
        <v>3.24</v>
      </c>
      <c r="C75" s="64">
        <v>61.86</v>
      </c>
      <c r="D75" s="64">
        <v>37.39</v>
      </c>
      <c r="E75" s="64">
        <v>0.19</v>
      </c>
      <c r="F75" s="64">
        <v>3.97</v>
      </c>
      <c r="G75" s="64">
        <v>62.71</v>
      </c>
      <c r="H75" s="64">
        <v>28.54</v>
      </c>
      <c r="I75" s="64">
        <v>1.5</v>
      </c>
      <c r="J75" s="64">
        <v>0.06</v>
      </c>
      <c r="K75" s="64">
        <v>351.31</v>
      </c>
      <c r="L75" s="64">
        <v>26.61</v>
      </c>
      <c r="M75" s="64">
        <v>37.299999999999997</v>
      </c>
      <c r="N75" s="64">
        <v>199.2</v>
      </c>
      <c r="O75" s="64">
        <v>0</v>
      </c>
      <c r="P75" s="64">
        <v>0.55000000000000004</v>
      </c>
      <c r="Q75" s="64">
        <v>6.64</v>
      </c>
      <c r="R75" s="198"/>
      <c r="S75" s="198"/>
      <c r="T75" s="198"/>
      <c r="U75" s="198"/>
    </row>
    <row r="76" spans="1:21" s="12" customFormat="1" x14ac:dyDescent="0.25">
      <c r="A76" s="213" t="s">
        <v>1466</v>
      </c>
      <c r="B76" s="64">
        <v>3.4</v>
      </c>
      <c r="C76" s="64">
        <v>60.57</v>
      </c>
      <c r="D76" s="64">
        <v>36.799999999999997</v>
      </c>
      <c r="E76" s="64">
        <v>0.17</v>
      </c>
      <c r="F76" s="64">
        <v>3.97</v>
      </c>
      <c r="G76" s="64">
        <v>56.3</v>
      </c>
      <c r="H76" s="64">
        <v>25.1</v>
      </c>
      <c r="I76" s="64">
        <v>1.49</v>
      </c>
      <c r="J76" s="64">
        <v>0.13</v>
      </c>
      <c r="K76" s="64">
        <v>12.23</v>
      </c>
      <c r="L76" s="64">
        <v>25.96</v>
      </c>
      <c r="M76" s="64">
        <v>42.51</v>
      </c>
      <c r="N76" s="64">
        <v>199.3</v>
      </c>
      <c r="O76" s="64">
        <v>0</v>
      </c>
      <c r="P76" s="64">
        <v>0.54</v>
      </c>
      <c r="Q76" s="64">
        <v>6.49</v>
      </c>
      <c r="R76" s="198"/>
      <c r="S76" s="198"/>
      <c r="T76" s="198"/>
      <c r="U76" s="198"/>
    </row>
    <row r="77" spans="1:21" s="12" customFormat="1" x14ac:dyDescent="0.25">
      <c r="A77" s="213" t="s">
        <v>1467</v>
      </c>
      <c r="B77" s="64">
        <v>3.69</v>
      </c>
      <c r="C77" s="64">
        <v>60.45</v>
      </c>
      <c r="D77" s="64">
        <v>36.97</v>
      </c>
      <c r="E77" s="64">
        <v>0.18</v>
      </c>
      <c r="F77" s="64">
        <v>3.76</v>
      </c>
      <c r="G77" s="64">
        <v>56.3</v>
      </c>
      <c r="H77" s="64">
        <v>25.1</v>
      </c>
      <c r="I77" s="64">
        <v>1.39</v>
      </c>
      <c r="J77" s="64">
        <v>0.08</v>
      </c>
      <c r="K77" s="64">
        <v>310</v>
      </c>
      <c r="L77" s="64">
        <v>25.29</v>
      </c>
      <c r="M77" s="64">
        <v>47.55</v>
      </c>
      <c r="N77" s="64">
        <v>190.3</v>
      </c>
      <c r="O77" s="64">
        <v>0</v>
      </c>
      <c r="P77" s="64">
        <v>0.53</v>
      </c>
      <c r="Q77" s="64">
        <v>6.54</v>
      </c>
      <c r="R77" s="198"/>
      <c r="S77" s="198"/>
      <c r="T77" s="198"/>
      <c r="U77" s="198"/>
    </row>
    <row r="78" spans="1:21" s="12" customFormat="1" x14ac:dyDescent="0.25">
      <c r="A78" s="213" t="s">
        <v>1468</v>
      </c>
      <c r="B78" s="64">
        <v>4.04</v>
      </c>
      <c r="C78" s="64">
        <v>61.12</v>
      </c>
      <c r="D78" s="64">
        <v>37.619999999999997</v>
      </c>
      <c r="E78" s="64">
        <v>0.21</v>
      </c>
      <c r="F78" s="64">
        <v>3.73</v>
      </c>
      <c r="G78" s="64">
        <v>56.3</v>
      </c>
      <c r="H78" s="64">
        <v>25.1</v>
      </c>
      <c r="I78" s="64">
        <v>1.48</v>
      </c>
      <c r="J78" s="64">
        <v>0.1</v>
      </c>
      <c r="K78" s="64">
        <v>322.83999999999997</v>
      </c>
      <c r="L78" s="64">
        <v>24.69</v>
      </c>
      <c r="M78" s="64">
        <v>51.59</v>
      </c>
      <c r="N78" s="64">
        <v>145.1</v>
      </c>
      <c r="O78" s="64">
        <v>0</v>
      </c>
      <c r="P78" s="64">
        <v>0.52</v>
      </c>
      <c r="Q78" s="64">
        <v>6.6</v>
      </c>
      <c r="R78" s="198"/>
      <c r="S78" s="198"/>
      <c r="T78" s="198"/>
      <c r="U78" s="198"/>
    </row>
    <row r="79" spans="1:21" s="12" customFormat="1" x14ac:dyDescent="0.25">
      <c r="A79" s="213" t="s">
        <v>1469</v>
      </c>
      <c r="B79" s="64">
        <v>4.67</v>
      </c>
      <c r="C79" s="64">
        <v>61.51</v>
      </c>
      <c r="D79" s="64">
        <v>38.340000000000003</v>
      </c>
      <c r="E79" s="64">
        <v>0.16</v>
      </c>
      <c r="F79" s="64">
        <v>3.45</v>
      </c>
      <c r="G79" s="64">
        <v>55.68</v>
      </c>
      <c r="H79" s="64">
        <v>25.15</v>
      </c>
      <c r="I79" s="64">
        <v>1.51</v>
      </c>
      <c r="J79" s="64">
        <v>7.0000000000000007E-2</v>
      </c>
      <c r="K79" s="64">
        <v>299.04000000000002</v>
      </c>
      <c r="L79" s="64">
        <v>24.17</v>
      </c>
      <c r="M79" s="64">
        <v>55.28</v>
      </c>
      <c r="N79" s="64">
        <v>133.6</v>
      </c>
      <c r="O79" s="64">
        <v>0</v>
      </c>
      <c r="P79" s="64">
        <v>0.57999999999999996</v>
      </c>
      <c r="Q79" s="64">
        <v>6.73</v>
      </c>
      <c r="R79" s="198"/>
      <c r="S79" s="198"/>
      <c r="T79" s="198"/>
      <c r="U79" s="198"/>
    </row>
    <row r="80" spans="1:21" s="12" customFormat="1" x14ac:dyDescent="0.25">
      <c r="A80" s="213" t="s">
        <v>1470</v>
      </c>
      <c r="B80" s="64">
        <v>5.82</v>
      </c>
      <c r="C80" s="64">
        <v>62.09</v>
      </c>
      <c r="D80" s="64">
        <v>39.58</v>
      </c>
      <c r="E80" s="64">
        <v>0.13</v>
      </c>
      <c r="F80" s="64">
        <v>3.35</v>
      </c>
      <c r="G80" s="64">
        <v>53.52</v>
      </c>
      <c r="H80" s="64">
        <v>25.25</v>
      </c>
      <c r="I80" s="64">
        <v>1.52</v>
      </c>
      <c r="J80" s="64">
        <v>0.01</v>
      </c>
      <c r="K80" s="64">
        <v>288.95999999999998</v>
      </c>
      <c r="L80" s="64">
        <v>23.48</v>
      </c>
      <c r="M80" s="64">
        <v>59.46</v>
      </c>
      <c r="N80" s="64">
        <v>133</v>
      </c>
      <c r="O80" s="64">
        <v>0</v>
      </c>
      <c r="P80" s="64">
        <v>0.61</v>
      </c>
      <c r="Q80" s="64">
        <v>7.1</v>
      </c>
      <c r="R80" s="198"/>
      <c r="S80" s="198"/>
      <c r="T80" s="198"/>
      <c r="U80" s="198"/>
    </row>
    <row r="81" spans="1:26" s="12" customFormat="1" x14ac:dyDescent="0.25">
      <c r="A81" s="213" t="s">
        <v>1471</v>
      </c>
      <c r="B81" s="64">
        <v>9.0399999999999991</v>
      </c>
      <c r="C81" s="64">
        <v>63.38</v>
      </c>
      <c r="D81" s="64">
        <v>42.87</v>
      </c>
      <c r="E81" s="64">
        <v>0.17</v>
      </c>
      <c r="F81" s="64">
        <v>3.45</v>
      </c>
      <c r="G81" s="64">
        <v>53.52</v>
      </c>
      <c r="H81" s="64">
        <v>25.25</v>
      </c>
      <c r="I81" s="64">
        <v>1.44</v>
      </c>
      <c r="J81" s="64">
        <v>0.08</v>
      </c>
      <c r="K81" s="64">
        <v>30.36</v>
      </c>
      <c r="L81" s="64">
        <v>22.96</v>
      </c>
      <c r="M81" s="64">
        <v>61.26</v>
      </c>
      <c r="N81" s="64">
        <v>88.2</v>
      </c>
      <c r="O81" s="64">
        <v>0</v>
      </c>
      <c r="P81" s="64">
        <v>0.68</v>
      </c>
      <c r="Q81" s="64">
        <v>7.43</v>
      </c>
      <c r="R81" s="198"/>
      <c r="S81" s="198"/>
      <c r="T81" s="198"/>
      <c r="U81" s="198"/>
    </row>
    <row r="82" spans="1:26" s="12" customFormat="1" x14ac:dyDescent="0.25">
      <c r="A82" s="213" t="s">
        <v>1472</v>
      </c>
      <c r="B82" s="64">
        <v>14.13</v>
      </c>
      <c r="C82" s="64">
        <v>64.760000000000005</v>
      </c>
      <c r="D82" s="64">
        <v>47.71</v>
      </c>
      <c r="E82" s="64">
        <v>0.23</v>
      </c>
      <c r="F82" s="64">
        <v>3.53</v>
      </c>
      <c r="G82" s="64">
        <v>53.52</v>
      </c>
      <c r="H82" s="64">
        <v>25.25</v>
      </c>
      <c r="I82" s="64">
        <v>1.53</v>
      </c>
      <c r="J82" s="64">
        <v>0.14000000000000001</v>
      </c>
      <c r="K82" s="64">
        <v>94.22</v>
      </c>
      <c r="L82" s="64">
        <v>22.58</v>
      </c>
      <c r="M82" s="64">
        <v>56.74</v>
      </c>
      <c r="N82" s="64">
        <v>100.6</v>
      </c>
      <c r="O82" s="64">
        <v>0</v>
      </c>
      <c r="P82" s="64">
        <v>0.71</v>
      </c>
      <c r="Q82" s="64">
        <v>7.72</v>
      </c>
      <c r="R82" s="198"/>
      <c r="S82" s="198"/>
      <c r="T82" s="198"/>
      <c r="U82" s="198"/>
    </row>
    <row r="83" spans="1:26" s="12" customFormat="1" x14ac:dyDescent="0.25">
      <c r="A83" s="213" t="s">
        <v>1473</v>
      </c>
      <c r="B83" s="64">
        <v>18.47</v>
      </c>
      <c r="C83" s="64">
        <v>65.69</v>
      </c>
      <c r="D83" s="64">
        <v>51.71</v>
      </c>
      <c r="E83" s="64">
        <v>0.28999999999999998</v>
      </c>
      <c r="F83" s="64">
        <v>3.38</v>
      </c>
      <c r="G83" s="64">
        <v>58.99</v>
      </c>
      <c r="H83" s="64">
        <v>27.82</v>
      </c>
      <c r="I83" s="64">
        <v>1.45</v>
      </c>
      <c r="J83" s="64">
        <v>0.03</v>
      </c>
      <c r="K83" s="64">
        <v>56.64</v>
      </c>
      <c r="L83" s="64">
        <v>22.26</v>
      </c>
      <c r="M83" s="64">
        <v>58.89</v>
      </c>
      <c r="N83" s="64">
        <v>73.599999999999994</v>
      </c>
      <c r="O83" s="64">
        <v>0</v>
      </c>
      <c r="P83" s="64">
        <v>0.78</v>
      </c>
      <c r="Q83" s="64">
        <v>8.07</v>
      </c>
      <c r="R83" s="198"/>
      <c r="S83" s="198"/>
      <c r="T83" s="198"/>
      <c r="U83" s="198"/>
    </row>
    <row r="84" spans="1:26" s="12" customFormat="1" x14ac:dyDescent="0.25">
      <c r="A84" s="213" t="s">
        <v>1474</v>
      </c>
      <c r="B84" s="64">
        <v>22.29</v>
      </c>
      <c r="C84" s="64">
        <v>66.28</v>
      </c>
      <c r="D84" s="64">
        <v>55.09</v>
      </c>
      <c r="E84" s="64">
        <v>0.25</v>
      </c>
      <c r="F84" s="64">
        <v>3.56</v>
      </c>
      <c r="G84" s="64">
        <v>78.14</v>
      </c>
      <c r="H84" s="64">
        <v>33.85</v>
      </c>
      <c r="I84" s="64">
        <v>1.51</v>
      </c>
      <c r="J84" s="64">
        <v>7.0000000000000007E-2</v>
      </c>
      <c r="K84" s="64">
        <v>109.45</v>
      </c>
      <c r="L84" s="64">
        <v>21.84</v>
      </c>
      <c r="M84" s="64">
        <v>60.18</v>
      </c>
      <c r="N84" s="64">
        <v>73.2</v>
      </c>
      <c r="O84" s="64">
        <v>0</v>
      </c>
      <c r="P84" s="64">
        <v>0.87</v>
      </c>
      <c r="Q84" s="64">
        <v>8.39</v>
      </c>
      <c r="R84" s="198"/>
      <c r="S84" s="198"/>
      <c r="T84" s="198"/>
      <c r="U84" s="198"/>
    </row>
    <row r="85" spans="1:26" s="12" customFormat="1" x14ac:dyDescent="0.25">
      <c r="A85" s="213" t="s">
        <v>1475</v>
      </c>
      <c r="B85" s="64">
        <v>27.79</v>
      </c>
      <c r="C85" s="64">
        <v>63.46</v>
      </c>
      <c r="D85" s="64">
        <v>57.95</v>
      </c>
      <c r="E85" s="64">
        <v>0.26</v>
      </c>
      <c r="F85" s="64">
        <v>3.03</v>
      </c>
      <c r="G85" s="64">
        <v>78.14</v>
      </c>
      <c r="H85" s="64">
        <v>33.85</v>
      </c>
      <c r="I85" s="64">
        <v>1.51</v>
      </c>
      <c r="J85" s="64">
        <v>7.0000000000000007E-2</v>
      </c>
      <c r="K85" s="64">
        <v>23.98</v>
      </c>
      <c r="L85" s="64">
        <v>21.58</v>
      </c>
      <c r="M85" s="64">
        <v>64.319999999999993</v>
      </c>
      <c r="N85" s="64">
        <v>83.7</v>
      </c>
      <c r="O85" s="64">
        <v>0</v>
      </c>
      <c r="P85" s="64">
        <v>0.76</v>
      </c>
      <c r="Q85" s="64">
        <v>8.66</v>
      </c>
      <c r="R85" s="198"/>
      <c r="S85" s="198"/>
      <c r="T85" s="198"/>
      <c r="U85" s="198"/>
    </row>
    <row r="86" spans="1:26" s="12" customFormat="1" x14ac:dyDescent="0.25">
      <c r="A86" s="213" t="s">
        <v>1476</v>
      </c>
      <c r="B86" s="64">
        <v>35.840000000000003</v>
      </c>
      <c r="C86" s="64">
        <v>62.29</v>
      </c>
      <c r="D86" s="64">
        <v>63.76</v>
      </c>
      <c r="E86" s="64">
        <v>0.26</v>
      </c>
      <c r="F86" s="64">
        <v>3.1</v>
      </c>
      <c r="G86" s="64">
        <v>78.14</v>
      </c>
      <c r="H86" s="64">
        <v>33.85</v>
      </c>
      <c r="I86" s="64">
        <v>1.54</v>
      </c>
      <c r="J86" s="64">
        <v>0.08</v>
      </c>
      <c r="K86" s="64">
        <v>16.649999999999999</v>
      </c>
      <c r="L86" s="64">
        <v>21.15</v>
      </c>
      <c r="M86" s="64">
        <v>72.47</v>
      </c>
      <c r="N86" s="64">
        <v>75.5</v>
      </c>
      <c r="O86" s="64">
        <v>0</v>
      </c>
      <c r="P86" s="64">
        <v>0.93</v>
      </c>
      <c r="Q86" s="64">
        <v>8.83</v>
      </c>
      <c r="R86" s="198"/>
      <c r="S86" s="198"/>
      <c r="T86" s="198"/>
      <c r="U86" s="198"/>
    </row>
    <row r="87" spans="1:26" s="12" customFormat="1" x14ac:dyDescent="0.25">
      <c r="A87" s="213" t="s">
        <v>1477</v>
      </c>
      <c r="B87" s="64">
        <v>40.39</v>
      </c>
      <c r="C87" s="64">
        <v>63.99</v>
      </c>
      <c r="D87" s="64">
        <v>68.349999999999994</v>
      </c>
      <c r="E87" s="64">
        <v>0.21</v>
      </c>
      <c r="F87" s="64">
        <v>3.17</v>
      </c>
      <c r="G87" s="64">
        <v>81.239999999999995</v>
      </c>
      <c r="H87" s="64">
        <v>33.869999999999997</v>
      </c>
      <c r="I87" s="64">
        <v>1.49</v>
      </c>
      <c r="J87" s="64">
        <v>0.04</v>
      </c>
      <c r="K87" s="64">
        <v>169.36</v>
      </c>
      <c r="L87" s="64">
        <v>20.89</v>
      </c>
      <c r="M87" s="64">
        <v>71.98</v>
      </c>
      <c r="N87" s="64">
        <v>66.8</v>
      </c>
      <c r="O87" s="64">
        <v>0</v>
      </c>
      <c r="P87" s="64">
        <v>1.05</v>
      </c>
      <c r="Q87" s="64">
        <v>9.33</v>
      </c>
      <c r="R87" s="198"/>
      <c r="S87" s="198"/>
      <c r="T87" s="198"/>
      <c r="U87" s="198"/>
    </row>
    <row r="88" spans="1:26" s="12" customFormat="1" x14ac:dyDescent="0.25">
      <c r="A88" s="213" t="s">
        <v>1478</v>
      </c>
      <c r="B88" s="64">
        <v>48.69</v>
      </c>
      <c r="C88" s="64">
        <v>67.52</v>
      </c>
      <c r="D88" s="64">
        <v>76.95</v>
      </c>
      <c r="E88" s="64">
        <v>0.11</v>
      </c>
      <c r="F88" s="64">
        <v>2.96</v>
      </c>
      <c r="G88" s="64">
        <v>92.1</v>
      </c>
      <c r="H88" s="64">
        <v>33.99</v>
      </c>
      <c r="I88" s="64">
        <v>1.47</v>
      </c>
      <c r="J88" s="64">
        <v>7.0000000000000007E-2</v>
      </c>
      <c r="K88" s="64">
        <v>331.74</v>
      </c>
      <c r="L88" s="64">
        <v>20.63</v>
      </c>
      <c r="M88" s="64">
        <v>75.180000000000007</v>
      </c>
      <c r="N88" s="64">
        <v>69.3</v>
      </c>
      <c r="O88" s="64">
        <v>0</v>
      </c>
      <c r="P88" s="64">
        <v>1.1599999999999999</v>
      </c>
      <c r="Q88" s="64">
        <v>9.91</v>
      </c>
      <c r="R88" s="198"/>
      <c r="S88" s="198"/>
      <c r="T88" s="198"/>
      <c r="U88" s="198"/>
    </row>
    <row r="89" spans="1:26" s="12" customFormat="1" x14ac:dyDescent="0.25">
      <c r="A89" s="213" t="s">
        <v>1479</v>
      </c>
      <c r="B89" s="64">
        <v>61.62</v>
      </c>
      <c r="C89" s="64">
        <v>68.14</v>
      </c>
      <c r="D89" s="64">
        <v>87.67</v>
      </c>
      <c r="E89" s="64">
        <v>0.2</v>
      </c>
      <c r="F89" s="64">
        <v>3.25</v>
      </c>
      <c r="G89" s="64">
        <v>92.1</v>
      </c>
      <c r="H89" s="64">
        <v>33.99</v>
      </c>
      <c r="I89" s="64">
        <v>1.5</v>
      </c>
      <c r="J89" s="64">
        <v>0.04</v>
      </c>
      <c r="K89" s="64">
        <v>276.69</v>
      </c>
      <c r="L89" s="64">
        <v>20.37</v>
      </c>
      <c r="M89" s="64">
        <v>74.37</v>
      </c>
      <c r="N89" s="64">
        <v>71.5</v>
      </c>
      <c r="O89" s="64">
        <v>0</v>
      </c>
      <c r="P89" s="64">
        <v>1.33</v>
      </c>
      <c r="Q89" s="64">
        <v>10.6</v>
      </c>
      <c r="R89" s="198"/>
      <c r="S89" s="198"/>
      <c r="T89" s="198"/>
      <c r="U89" s="198"/>
    </row>
    <row r="90" spans="1:26" s="12" customFormat="1" x14ac:dyDescent="0.25">
      <c r="A90" s="213" t="s">
        <v>1480</v>
      </c>
      <c r="B90" s="64">
        <v>73.31</v>
      </c>
      <c r="C90" s="64">
        <v>69.37</v>
      </c>
      <c r="D90" s="64">
        <v>97.72</v>
      </c>
      <c r="E90" s="64">
        <v>0.2</v>
      </c>
      <c r="F90" s="64">
        <v>3.33</v>
      </c>
      <c r="G90" s="64">
        <v>92.1</v>
      </c>
      <c r="H90" s="64">
        <v>33.99</v>
      </c>
      <c r="I90" s="64">
        <v>1.53</v>
      </c>
      <c r="J90" s="64">
        <v>0.11</v>
      </c>
      <c r="K90" s="64">
        <v>277.95999999999998</v>
      </c>
      <c r="L90" s="64">
        <v>20.190000000000001</v>
      </c>
      <c r="M90" s="64">
        <v>75.87</v>
      </c>
      <c r="N90" s="64">
        <v>67.099999999999994</v>
      </c>
      <c r="O90" s="64">
        <v>0</v>
      </c>
      <c r="P90" s="64">
        <v>1.52</v>
      </c>
      <c r="Q90" s="64">
        <v>11.43</v>
      </c>
      <c r="R90" s="198"/>
      <c r="S90" s="198"/>
      <c r="T90" s="198"/>
      <c r="U90" s="198"/>
    </row>
    <row r="91" spans="1:26" s="12" customFormat="1" x14ac:dyDescent="0.25">
      <c r="A91" s="213" t="s">
        <v>1481</v>
      </c>
      <c r="B91" s="64">
        <v>83.51</v>
      </c>
      <c r="C91" s="64">
        <v>70.040000000000006</v>
      </c>
      <c r="D91" s="64">
        <v>106.27</v>
      </c>
      <c r="E91" s="64">
        <v>0.24</v>
      </c>
      <c r="F91" s="64">
        <v>3.28</v>
      </c>
      <c r="G91" s="64">
        <v>97.09</v>
      </c>
      <c r="H91" s="64">
        <v>36.020000000000003</v>
      </c>
      <c r="I91" s="64">
        <v>1.53</v>
      </c>
      <c r="J91" s="64">
        <v>0.13</v>
      </c>
      <c r="K91" s="64">
        <v>315.08999999999997</v>
      </c>
      <c r="L91" s="64">
        <v>20</v>
      </c>
      <c r="M91" s="64">
        <v>78.459999999999994</v>
      </c>
      <c r="N91" s="64">
        <v>70.900000000000006</v>
      </c>
      <c r="O91" s="64">
        <v>0</v>
      </c>
      <c r="P91" s="64">
        <v>1.67</v>
      </c>
      <c r="Q91" s="64">
        <v>12.28</v>
      </c>
      <c r="R91" s="198"/>
      <c r="S91" s="198"/>
      <c r="T91" s="198"/>
      <c r="U91" s="198"/>
    </row>
    <row r="92" spans="1:26" s="12" customFormat="1" x14ac:dyDescent="0.25">
      <c r="A92" s="213" t="s">
        <v>1482</v>
      </c>
      <c r="B92" s="64">
        <v>91.51</v>
      </c>
      <c r="C92" s="64">
        <v>70.5</v>
      </c>
      <c r="D92" s="64">
        <v>112.94</v>
      </c>
      <c r="E92" s="64">
        <v>0.22</v>
      </c>
      <c r="F92" s="64">
        <v>3.3</v>
      </c>
      <c r="G92" s="64">
        <v>114.56</v>
      </c>
      <c r="H92" s="64">
        <v>40.81</v>
      </c>
      <c r="I92" s="64">
        <v>1.5</v>
      </c>
      <c r="J92" s="64">
        <v>0.18</v>
      </c>
      <c r="K92" s="64">
        <v>355.47</v>
      </c>
      <c r="L92" s="64">
        <v>19.600000000000001</v>
      </c>
      <c r="M92" s="64">
        <v>80.72</v>
      </c>
      <c r="N92" s="64">
        <v>68.8</v>
      </c>
      <c r="O92" s="64">
        <v>0</v>
      </c>
      <c r="P92" s="64">
        <v>1.81</v>
      </c>
      <c r="Q92" s="64">
        <v>12.97</v>
      </c>
      <c r="R92" s="198"/>
      <c r="S92" s="198"/>
      <c r="T92" s="198"/>
      <c r="U92" s="198"/>
    </row>
    <row r="93" spans="1:26" s="12" customFormat="1" x14ac:dyDescent="0.25">
      <c r="A93" s="213" t="s">
        <v>1483</v>
      </c>
      <c r="B93" s="64">
        <v>100.54</v>
      </c>
      <c r="C93" s="64">
        <v>71.95</v>
      </c>
      <c r="D93" s="64">
        <v>120.98</v>
      </c>
      <c r="E93" s="64">
        <v>0.28000000000000003</v>
      </c>
      <c r="F93" s="64">
        <v>2.92</v>
      </c>
      <c r="G93" s="64">
        <v>114.56</v>
      </c>
      <c r="H93" s="64">
        <v>40.81</v>
      </c>
      <c r="I93" s="64">
        <v>1.5</v>
      </c>
      <c r="J93" s="64">
        <v>0.16</v>
      </c>
      <c r="K93" s="64">
        <v>72.89</v>
      </c>
      <c r="L93" s="64">
        <v>19.7</v>
      </c>
      <c r="M93" s="64">
        <v>79.86</v>
      </c>
      <c r="N93" s="64">
        <v>72.2</v>
      </c>
      <c r="O93" s="64">
        <v>0</v>
      </c>
      <c r="P93" s="64">
        <v>2.02</v>
      </c>
      <c r="Q93" s="64">
        <v>13.72</v>
      </c>
      <c r="R93" s="198"/>
      <c r="S93" s="198"/>
      <c r="T93" s="198"/>
      <c r="U93" s="198"/>
    </row>
    <row r="94" spans="1:26" s="12" customFormat="1" x14ac:dyDescent="0.25">
      <c r="A94" s="213" t="s">
        <v>1484</v>
      </c>
      <c r="B94" s="64">
        <v>108.03</v>
      </c>
      <c r="C94" s="64">
        <v>71.540000000000006</v>
      </c>
      <c r="D94" s="64">
        <v>126.76</v>
      </c>
      <c r="E94" s="64">
        <v>0.31</v>
      </c>
      <c r="F94" s="64">
        <v>2.87</v>
      </c>
      <c r="G94" s="64">
        <v>114.56</v>
      </c>
      <c r="H94" s="64">
        <v>40.81</v>
      </c>
      <c r="I94" s="64">
        <v>1.49</v>
      </c>
      <c r="J94" s="64">
        <v>7.0000000000000007E-2</v>
      </c>
      <c r="K94" s="64">
        <v>32.130000000000003</v>
      </c>
      <c r="L94" s="64">
        <v>19.760000000000002</v>
      </c>
      <c r="M94" s="64">
        <v>74.16</v>
      </c>
      <c r="N94" s="64">
        <v>73.8</v>
      </c>
      <c r="O94" s="64">
        <v>0</v>
      </c>
      <c r="P94" s="64">
        <v>2.1800000000000002</v>
      </c>
      <c r="Q94" s="64">
        <v>14.23</v>
      </c>
      <c r="R94" s="198"/>
      <c r="S94" s="198"/>
      <c r="T94" s="198"/>
      <c r="U94" s="198"/>
    </row>
    <row r="95" spans="1:26" s="12" customFormat="1" x14ac:dyDescent="0.25">
      <c r="A95" s="213" t="s">
        <v>1485</v>
      </c>
      <c r="B95" s="64">
        <v>111.67</v>
      </c>
      <c r="C95" s="64">
        <v>71.989999999999995</v>
      </c>
      <c r="D95" s="64">
        <v>129.93</v>
      </c>
      <c r="E95" s="64">
        <v>0.32</v>
      </c>
      <c r="F95" s="64">
        <v>2.77</v>
      </c>
      <c r="G95" s="64">
        <v>117.74</v>
      </c>
      <c r="H95" s="64">
        <v>40.619999999999997</v>
      </c>
      <c r="I95" s="64">
        <v>1.5</v>
      </c>
      <c r="J95" s="64">
        <v>0.14000000000000001</v>
      </c>
      <c r="K95" s="64">
        <v>50.5</v>
      </c>
      <c r="L95" s="64">
        <v>19.84</v>
      </c>
      <c r="M95" s="64">
        <v>71.73</v>
      </c>
      <c r="N95" s="64">
        <v>74</v>
      </c>
      <c r="O95" s="64">
        <v>0</v>
      </c>
      <c r="P95" s="64">
        <v>2.29</v>
      </c>
      <c r="Q95" s="64">
        <v>14.68</v>
      </c>
      <c r="R95" s="198"/>
      <c r="S95" s="198"/>
      <c r="T95" s="198"/>
      <c r="U95" s="198"/>
    </row>
    <row r="96" spans="1:26" s="12" customFormat="1" x14ac:dyDescent="0.25">
      <c r="A96" s="213" t="s">
        <v>1486</v>
      </c>
      <c r="B96" s="64">
        <v>114.5</v>
      </c>
      <c r="C96" s="64">
        <v>73.150000000000006</v>
      </c>
      <c r="D96" s="64">
        <v>132.84</v>
      </c>
      <c r="E96" s="64">
        <v>0.36</v>
      </c>
      <c r="F96" s="64">
        <v>3</v>
      </c>
      <c r="G96" s="64">
        <v>128.87</v>
      </c>
      <c r="H96" s="64">
        <v>40.19</v>
      </c>
      <c r="I96" s="64">
        <v>1.44</v>
      </c>
      <c r="J96" s="64">
        <v>0.14000000000000001</v>
      </c>
      <c r="K96" s="64">
        <v>331.65</v>
      </c>
      <c r="L96" s="64">
        <v>19.75</v>
      </c>
      <c r="M96" s="64">
        <v>79.930000000000007</v>
      </c>
      <c r="N96" s="64">
        <v>87</v>
      </c>
      <c r="O96" s="64">
        <v>0</v>
      </c>
      <c r="P96" s="64">
        <v>2.4</v>
      </c>
      <c r="Q96" s="64">
        <v>14.98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1487</v>
      </c>
      <c r="B97" s="64">
        <v>118.33</v>
      </c>
      <c r="C97" s="64">
        <v>72.040000000000006</v>
      </c>
      <c r="D97" s="64">
        <v>135.29</v>
      </c>
      <c r="E97" s="64">
        <v>0.4</v>
      </c>
      <c r="F97" s="64">
        <v>2.98</v>
      </c>
      <c r="G97" s="64">
        <v>128.87</v>
      </c>
      <c r="H97" s="64">
        <v>40.19</v>
      </c>
      <c r="I97" s="64">
        <v>1.48</v>
      </c>
      <c r="J97" s="64">
        <v>0.13</v>
      </c>
      <c r="K97" s="64">
        <v>306.02</v>
      </c>
      <c r="L97" s="64">
        <v>19.45</v>
      </c>
      <c r="M97" s="64">
        <v>79.650000000000006</v>
      </c>
      <c r="N97" s="64">
        <v>115.5</v>
      </c>
      <c r="O97" s="64">
        <v>0</v>
      </c>
      <c r="P97" s="64">
        <v>2.4900000000000002</v>
      </c>
      <c r="Q97" s="64">
        <v>15.22</v>
      </c>
      <c r="R97" s="198"/>
      <c r="S97" s="198"/>
      <c r="T97" s="198"/>
      <c r="U97" s="198"/>
    </row>
    <row r="98" spans="1:33" s="12" customFormat="1" x14ac:dyDescent="0.25">
      <c r="A98" s="213" t="s">
        <v>1488</v>
      </c>
      <c r="B98" s="64">
        <v>120.56</v>
      </c>
      <c r="C98" s="64">
        <v>72.760000000000005</v>
      </c>
      <c r="D98" s="64">
        <v>137.47999999999999</v>
      </c>
      <c r="E98" s="64">
        <v>0.33</v>
      </c>
      <c r="F98" s="64">
        <v>2.96</v>
      </c>
      <c r="G98" s="64">
        <v>128.87</v>
      </c>
      <c r="H98" s="64">
        <v>40.19</v>
      </c>
      <c r="I98" s="64">
        <v>1.51</v>
      </c>
      <c r="J98" s="64">
        <v>7.0000000000000007E-2</v>
      </c>
      <c r="K98" s="64">
        <v>0.15</v>
      </c>
      <c r="L98" s="64">
        <v>19.23</v>
      </c>
      <c r="M98" s="64">
        <v>85.51</v>
      </c>
      <c r="N98" s="64">
        <v>90.5</v>
      </c>
      <c r="O98" s="64">
        <v>0</v>
      </c>
      <c r="P98" s="64">
        <v>2.54</v>
      </c>
      <c r="Q98" s="64">
        <v>15.47</v>
      </c>
      <c r="R98" s="198"/>
      <c r="S98" s="198"/>
      <c r="T98" s="198"/>
      <c r="U98" s="198"/>
    </row>
    <row r="99" spans="1:33" s="12" customFormat="1" x14ac:dyDescent="0.25">
      <c r="A99" s="213" t="s">
        <v>1489</v>
      </c>
      <c r="B99" s="64">
        <v>122.87</v>
      </c>
      <c r="C99" s="64">
        <v>73.14</v>
      </c>
      <c r="D99" s="64">
        <v>139.54</v>
      </c>
      <c r="E99" s="64">
        <v>0.41</v>
      </c>
      <c r="F99" s="64">
        <v>2.92</v>
      </c>
      <c r="G99" s="64">
        <v>129.49</v>
      </c>
      <c r="H99" s="64">
        <v>41.49</v>
      </c>
      <c r="I99" s="64">
        <v>1.59</v>
      </c>
      <c r="J99" s="64">
        <v>7.0000000000000007E-2</v>
      </c>
      <c r="K99" s="64">
        <v>340.4</v>
      </c>
      <c r="L99" s="64">
        <v>18.920000000000002</v>
      </c>
      <c r="M99" s="64">
        <v>86.47</v>
      </c>
      <c r="N99" s="64">
        <v>78.2</v>
      </c>
      <c r="O99" s="64">
        <v>0</v>
      </c>
      <c r="P99" s="64">
        <v>2.56</v>
      </c>
      <c r="Q99" s="64">
        <v>15.64</v>
      </c>
      <c r="R99" s="198"/>
      <c r="S99" s="198"/>
      <c r="T99" s="198"/>
      <c r="U99" s="198"/>
    </row>
    <row r="100" spans="1:33" s="12" customFormat="1" x14ac:dyDescent="0.25">
      <c r="A100" s="213" t="s">
        <v>1490</v>
      </c>
      <c r="B100" s="64">
        <v>125.88</v>
      </c>
      <c r="C100" s="64">
        <v>76.13</v>
      </c>
      <c r="D100" s="64">
        <v>143.6</v>
      </c>
      <c r="E100" s="64">
        <v>0.37</v>
      </c>
      <c r="F100" s="64">
        <v>3.06</v>
      </c>
      <c r="G100" s="64">
        <v>131.66</v>
      </c>
      <c r="H100" s="64">
        <v>44.56</v>
      </c>
      <c r="I100" s="64">
        <v>1.44</v>
      </c>
      <c r="J100" s="64">
        <v>0.1</v>
      </c>
      <c r="K100" s="64">
        <v>349.23</v>
      </c>
      <c r="L100" s="64">
        <v>18.41</v>
      </c>
      <c r="M100" s="64">
        <v>92.81</v>
      </c>
      <c r="N100" s="64">
        <v>86</v>
      </c>
      <c r="O100" s="64">
        <v>0</v>
      </c>
      <c r="P100" s="64">
        <v>2.64</v>
      </c>
      <c r="Q100" s="64">
        <v>15.93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1491</v>
      </c>
      <c r="B101" s="64">
        <v>129.59</v>
      </c>
      <c r="C101" s="64">
        <v>76.010000000000005</v>
      </c>
      <c r="D101" s="64">
        <v>146.51</v>
      </c>
      <c r="E101" s="64">
        <v>0.41</v>
      </c>
      <c r="F101" s="64">
        <v>3.21</v>
      </c>
      <c r="G101" s="64">
        <v>131.66</v>
      </c>
      <c r="H101" s="64">
        <v>44.56</v>
      </c>
      <c r="I101" s="64">
        <v>1.51</v>
      </c>
      <c r="J101" s="64">
        <v>0.12</v>
      </c>
      <c r="K101" s="64">
        <v>242.22</v>
      </c>
      <c r="L101" s="64">
        <v>18.68</v>
      </c>
      <c r="M101" s="64">
        <v>92.77</v>
      </c>
      <c r="N101" s="64">
        <v>78.599999999999994</v>
      </c>
      <c r="O101" s="64">
        <v>0</v>
      </c>
      <c r="P101" s="64">
        <v>2.58</v>
      </c>
      <c r="Q101" s="64">
        <v>16.22</v>
      </c>
      <c r="R101" s="198"/>
      <c r="S101" s="198"/>
      <c r="T101" s="198"/>
      <c r="U101" s="198"/>
    </row>
    <row r="102" spans="1:33" s="12" customFormat="1" x14ac:dyDescent="0.25">
      <c r="A102" s="213" t="s">
        <v>1492</v>
      </c>
      <c r="B102" s="64">
        <v>129.44999999999999</v>
      </c>
      <c r="C102" s="64">
        <v>75.56</v>
      </c>
      <c r="D102" s="64">
        <v>146.15</v>
      </c>
      <c r="E102" s="64">
        <v>0.36</v>
      </c>
      <c r="F102" s="64">
        <v>3.02</v>
      </c>
      <c r="G102" s="64">
        <v>131.66</v>
      </c>
      <c r="H102" s="64">
        <v>44.56</v>
      </c>
      <c r="I102" s="64">
        <v>1.54</v>
      </c>
      <c r="J102" s="64">
        <v>0.08</v>
      </c>
      <c r="K102" s="64">
        <v>271.14999999999998</v>
      </c>
      <c r="L102" s="64">
        <v>18.57</v>
      </c>
      <c r="M102" s="64">
        <v>93.62</v>
      </c>
      <c r="N102" s="64">
        <v>125.4</v>
      </c>
      <c r="O102" s="64">
        <v>0</v>
      </c>
      <c r="P102" s="64">
        <v>2.4900000000000002</v>
      </c>
      <c r="Q102" s="64">
        <v>16.440000000000001</v>
      </c>
      <c r="R102" s="198"/>
      <c r="S102" s="198"/>
      <c r="T102" s="198"/>
      <c r="U102" s="198"/>
    </row>
    <row r="103" spans="1:33" s="12" customFormat="1" x14ac:dyDescent="0.25">
      <c r="A103" s="213" t="s">
        <v>1493</v>
      </c>
      <c r="B103" s="64">
        <v>126.78</v>
      </c>
      <c r="C103" s="64">
        <v>73.87</v>
      </c>
      <c r="D103" s="64">
        <v>143.08000000000001</v>
      </c>
      <c r="E103" s="64">
        <v>0.41</v>
      </c>
      <c r="F103" s="64">
        <v>2.98</v>
      </c>
      <c r="G103" s="64">
        <v>130.15</v>
      </c>
      <c r="H103" s="64">
        <v>44.68</v>
      </c>
      <c r="I103" s="64">
        <v>1.46</v>
      </c>
      <c r="J103" s="64">
        <v>0.13</v>
      </c>
      <c r="K103" s="64">
        <v>305.75</v>
      </c>
      <c r="L103" s="64">
        <v>18.12</v>
      </c>
      <c r="M103" s="64">
        <v>95.99</v>
      </c>
      <c r="N103" s="64">
        <v>105.6</v>
      </c>
      <c r="O103" s="64">
        <v>0</v>
      </c>
      <c r="P103" s="64">
        <v>2.4500000000000002</v>
      </c>
      <c r="Q103" s="64">
        <v>16.46</v>
      </c>
      <c r="R103" s="198"/>
      <c r="S103" s="198"/>
      <c r="T103" s="198"/>
      <c r="U103" s="198"/>
    </row>
    <row r="104" spans="1:33" s="12" customFormat="1" x14ac:dyDescent="0.25">
      <c r="A104" s="213" t="s">
        <v>1494</v>
      </c>
      <c r="B104" s="64">
        <v>124.68</v>
      </c>
      <c r="C104" s="64">
        <v>73.27</v>
      </c>
      <c r="D104" s="64">
        <v>141.06</v>
      </c>
      <c r="E104" s="64">
        <v>0.36</v>
      </c>
      <c r="F104" s="64">
        <v>3.17</v>
      </c>
      <c r="G104" s="64">
        <v>124.86</v>
      </c>
      <c r="H104" s="64">
        <v>45.2</v>
      </c>
      <c r="I104" s="64">
        <v>1.55</v>
      </c>
      <c r="J104" s="64">
        <v>0.1</v>
      </c>
      <c r="K104" s="64">
        <v>290.06</v>
      </c>
      <c r="L104" s="64">
        <v>17.87</v>
      </c>
      <c r="M104" s="64">
        <v>95.42</v>
      </c>
      <c r="N104" s="64">
        <v>110.1</v>
      </c>
      <c r="O104" s="64">
        <v>0</v>
      </c>
      <c r="P104" s="64">
        <v>2.41</v>
      </c>
      <c r="Q104" s="64">
        <v>16.329999999999998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1.82</v>
      </c>
      <c r="C106" s="67">
        <f>MIN(C9:C104)</f>
        <v>48.13</v>
      </c>
      <c r="D106" s="67">
        <f t="shared" ref="D106:Q106" si="0">MIN(D9:D104)</f>
        <v>32.200000000000003</v>
      </c>
      <c r="E106" s="67">
        <f t="shared" si="0"/>
        <v>0.04</v>
      </c>
      <c r="F106" s="67">
        <f t="shared" si="0"/>
        <v>2.37</v>
      </c>
      <c r="G106" s="67">
        <f t="shared" si="0"/>
        <v>40.29</v>
      </c>
      <c r="H106" s="67">
        <f t="shared" si="0"/>
        <v>19.28</v>
      </c>
      <c r="I106" s="67">
        <f t="shared" si="0"/>
        <v>1.39</v>
      </c>
      <c r="J106" s="67">
        <f t="shared" si="0"/>
        <v>0.01</v>
      </c>
      <c r="K106" s="67">
        <f t="shared" si="0"/>
        <v>0.15</v>
      </c>
      <c r="L106" s="67">
        <f t="shared" si="0"/>
        <v>16.79</v>
      </c>
      <c r="M106" s="67">
        <f t="shared" si="0"/>
        <v>33.61</v>
      </c>
      <c r="N106" s="67">
        <f t="shared" si="0"/>
        <v>51.6</v>
      </c>
      <c r="O106" s="67">
        <f t="shared" si="0"/>
        <v>0</v>
      </c>
      <c r="P106" s="67">
        <f t="shared" si="0"/>
        <v>0.52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129.59</v>
      </c>
      <c r="C107" s="66">
        <f t="shared" ref="C107:Q107" si="1">MAX(C9:C104)</f>
        <v>76.94</v>
      </c>
      <c r="D107" s="66">
        <f t="shared" si="1"/>
        <v>146.51</v>
      </c>
      <c r="E107" s="66">
        <f t="shared" si="1"/>
        <v>0.46</v>
      </c>
      <c r="F107" s="66">
        <f t="shared" si="1"/>
        <v>11.63</v>
      </c>
      <c r="G107" s="66">
        <f t="shared" si="1"/>
        <v>131.66</v>
      </c>
      <c r="H107" s="66">
        <f t="shared" si="1"/>
        <v>45.2</v>
      </c>
      <c r="I107" s="66">
        <f t="shared" si="1"/>
        <v>1.63</v>
      </c>
      <c r="J107" s="66">
        <f t="shared" si="1"/>
        <v>1.47</v>
      </c>
      <c r="K107" s="66">
        <f t="shared" si="1"/>
        <v>358.05</v>
      </c>
      <c r="L107" s="66">
        <f t="shared" si="1"/>
        <v>30.13</v>
      </c>
      <c r="M107" s="66">
        <f t="shared" si="1"/>
        <v>100.07</v>
      </c>
      <c r="N107" s="66">
        <f t="shared" si="1"/>
        <v>713.8</v>
      </c>
      <c r="O107" s="66">
        <f t="shared" si="1"/>
        <v>0</v>
      </c>
      <c r="P107" s="66">
        <f t="shared" si="1"/>
        <v>2.64</v>
      </c>
      <c r="Q107" s="66">
        <f t="shared" si="1"/>
        <v>16.46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29.587187499999999</v>
      </c>
      <c r="C108" s="67">
        <f t="shared" ref="C108:Q108" si="2">AVERAGE(C9:C104)</f>
        <v>60.965208333333344</v>
      </c>
      <c r="D108" s="67">
        <f t="shared" si="2"/>
        <v>58.018124999999998</v>
      </c>
      <c r="E108" s="67">
        <f t="shared" si="2"/>
        <v>0.2270833333333333</v>
      </c>
      <c r="F108" s="67">
        <f t="shared" si="2"/>
        <v>3.9876041666666668</v>
      </c>
      <c r="G108" s="67">
        <f t="shared" si="2"/>
        <v>69.356145833333372</v>
      </c>
      <c r="H108" s="67">
        <f t="shared" si="2"/>
        <v>30.287291666666651</v>
      </c>
      <c r="I108" s="67">
        <f t="shared" si="2"/>
        <v>1.496875</v>
      </c>
      <c r="J108" s="67">
        <f t="shared" si="2"/>
        <v>0.2364583333333333</v>
      </c>
      <c r="K108" s="67">
        <f t="shared" si="2"/>
        <v>203.59802083333338</v>
      </c>
      <c r="L108" s="67">
        <f t="shared" si="2"/>
        <v>22.094895833333336</v>
      </c>
      <c r="M108" s="67">
        <f t="shared" si="2"/>
        <v>74.4244791666667</v>
      </c>
      <c r="N108" s="67">
        <f t="shared" si="2"/>
        <v>236.89687499999994</v>
      </c>
      <c r="O108" s="67">
        <f t="shared" si="2"/>
        <v>0</v>
      </c>
      <c r="P108" s="67">
        <f t="shared" si="2"/>
        <v>0.96052083333333338</v>
      </c>
      <c r="Q108" s="67">
        <f t="shared" si="2"/>
        <v>8.4263541666666697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38.086399470653006</v>
      </c>
      <c r="C109" s="67">
        <f t="shared" ref="C109:Q109" si="3">STDEV(C9:C104)</f>
        <v>7.858954393980552</v>
      </c>
      <c r="D109" s="67">
        <f t="shared" si="3"/>
        <v>33.419191124183982</v>
      </c>
      <c r="E109" s="67">
        <f t="shared" si="3"/>
        <v>0.10279173289169317</v>
      </c>
      <c r="F109" s="67">
        <f t="shared" si="3"/>
        <v>1.6131758443593698</v>
      </c>
      <c r="G109" s="67">
        <f t="shared" si="3"/>
        <v>26.215901216017286</v>
      </c>
      <c r="H109" s="67">
        <f t="shared" si="3"/>
        <v>7.0308736417793352</v>
      </c>
      <c r="I109" s="67">
        <f t="shared" si="3"/>
        <v>4.6866271117095022E-2</v>
      </c>
      <c r="J109" s="67">
        <f t="shared" si="3"/>
        <v>0.23976294945179613</v>
      </c>
      <c r="K109" s="67">
        <f t="shared" si="3"/>
        <v>130.26266186052339</v>
      </c>
      <c r="L109" s="67">
        <f t="shared" si="3"/>
        <v>4.2744260297461807</v>
      </c>
      <c r="M109" s="67">
        <f t="shared" si="3"/>
        <v>23.56158675157916</v>
      </c>
      <c r="N109" s="67">
        <f t="shared" si="3"/>
        <v>229.5812221613061</v>
      </c>
      <c r="O109" s="67">
        <f t="shared" si="3"/>
        <v>0</v>
      </c>
      <c r="P109" s="67">
        <f t="shared" si="3"/>
        <v>0.61495292039167171</v>
      </c>
      <c r="Q109" s="67">
        <f t="shared" si="3"/>
        <v>3.1769827194307099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1495</v>
      </c>
      <c r="B9" s="64">
        <v>122.26</v>
      </c>
      <c r="C9" s="64">
        <v>72.48</v>
      </c>
      <c r="D9" s="64">
        <v>138.69</v>
      </c>
      <c r="E9" s="64">
        <v>0.42</v>
      </c>
      <c r="F9" s="64">
        <v>3.24</v>
      </c>
      <c r="G9" s="64">
        <v>124.86</v>
      </c>
      <c r="H9" s="64">
        <v>45.2</v>
      </c>
      <c r="I9" s="64">
        <v>1.47</v>
      </c>
      <c r="J9" s="64">
        <v>0.04</v>
      </c>
      <c r="K9" s="64">
        <v>337.02</v>
      </c>
      <c r="L9" s="64">
        <v>17.68</v>
      </c>
      <c r="M9" s="64">
        <v>96.3</v>
      </c>
      <c r="N9" s="64">
        <v>78.3</v>
      </c>
      <c r="O9" s="64">
        <v>0</v>
      </c>
      <c r="P9" s="64">
        <v>2.35</v>
      </c>
      <c r="Q9" s="64">
        <v>16.170000000000002</v>
      </c>
      <c r="R9" s="198"/>
      <c r="S9" s="198"/>
      <c r="T9" s="198"/>
      <c r="U9" s="198"/>
    </row>
    <row r="10" spans="1:21" s="12" customFormat="1" x14ac:dyDescent="0.25">
      <c r="A10" s="213" t="s">
        <v>1496</v>
      </c>
      <c r="B10" s="64">
        <v>119.11</v>
      </c>
      <c r="C10" s="64">
        <v>71.94</v>
      </c>
      <c r="D10" s="64">
        <v>135.87</v>
      </c>
      <c r="E10" s="64">
        <v>0.47</v>
      </c>
      <c r="F10" s="64">
        <v>3.46</v>
      </c>
      <c r="G10" s="64">
        <v>124.86</v>
      </c>
      <c r="H10" s="64">
        <v>45.2</v>
      </c>
      <c r="I10" s="64">
        <v>1.54</v>
      </c>
      <c r="J10" s="64">
        <v>0.04</v>
      </c>
      <c r="K10" s="64">
        <v>225.11</v>
      </c>
      <c r="L10" s="64">
        <v>17.52</v>
      </c>
      <c r="M10" s="64">
        <v>94.1</v>
      </c>
      <c r="N10" s="64">
        <v>103.2</v>
      </c>
      <c r="O10" s="64">
        <v>0</v>
      </c>
      <c r="P10" s="64">
        <v>2.2999999999999998</v>
      </c>
      <c r="Q10" s="64">
        <v>15.96</v>
      </c>
      <c r="R10" s="198"/>
      <c r="S10" s="198"/>
      <c r="T10" s="198"/>
      <c r="U10" s="198"/>
    </row>
    <row r="11" spans="1:21" s="12" customFormat="1" x14ac:dyDescent="0.25">
      <c r="A11" s="213" t="s">
        <v>1497</v>
      </c>
      <c r="B11" s="64">
        <v>115.08</v>
      </c>
      <c r="C11" s="64">
        <v>71.42</v>
      </c>
      <c r="D11" s="64">
        <v>132.35</v>
      </c>
      <c r="E11" s="64">
        <v>0.4</v>
      </c>
      <c r="F11" s="64">
        <v>3.58</v>
      </c>
      <c r="G11" s="64">
        <v>120.78</v>
      </c>
      <c r="H11" s="64">
        <v>43.5</v>
      </c>
      <c r="I11" s="64">
        <v>1.54</v>
      </c>
      <c r="J11" s="64">
        <v>0.05</v>
      </c>
      <c r="K11" s="64">
        <v>271.22000000000003</v>
      </c>
      <c r="L11" s="64">
        <v>17.48</v>
      </c>
      <c r="M11" s="64">
        <v>90.42</v>
      </c>
      <c r="N11" s="64">
        <v>107.4</v>
      </c>
      <c r="O11" s="64">
        <v>0</v>
      </c>
      <c r="P11" s="64">
        <v>2.23</v>
      </c>
      <c r="Q11" s="64">
        <v>15.78</v>
      </c>
      <c r="R11" s="198"/>
      <c r="S11" s="198"/>
      <c r="T11" s="198"/>
      <c r="U11" s="198"/>
    </row>
    <row r="12" spans="1:21" s="12" customFormat="1" x14ac:dyDescent="0.25">
      <c r="A12" s="213" t="s">
        <v>1498</v>
      </c>
      <c r="B12" s="64">
        <v>111.27</v>
      </c>
      <c r="C12" s="64">
        <v>70.23</v>
      </c>
      <c r="D12" s="64">
        <v>128.63</v>
      </c>
      <c r="E12" s="64">
        <v>0.42</v>
      </c>
      <c r="F12" s="64">
        <v>3.64</v>
      </c>
      <c r="G12" s="64">
        <v>107.37</v>
      </c>
      <c r="H12" s="64">
        <v>39.5</v>
      </c>
      <c r="I12" s="64">
        <v>1.53</v>
      </c>
      <c r="J12" s="64">
        <v>0.06</v>
      </c>
      <c r="K12" s="64">
        <v>248.69</v>
      </c>
      <c r="L12" s="64">
        <v>17.55</v>
      </c>
      <c r="M12" s="64">
        <v>86.31</v>
      </c>
      <c r="N12" s="64">
        <v>107.1</v>
      </c>
      <c r="O12" s="64">
        <v>0</v>
      </c>
      <c r="P12" s="64">
        <v>2.14</v>
      </c>
      <c r="Q12" s="64">
        <v>15.47</v>
      </c>
      <c r="R12" s="198"/>
      <c r="S12" s="198"/>
      <c r="T12" s="198"/>
      <c r="U12" s="198"/>
    </row>
    <row r="13" spans="1:21" s="12" customFormat="1" x14ac:dyDescent="0.25">
      <c r="A13" s="213" t="s">
        <v>1499</v>
      </c>
      <c r="B13" s="64">
        <v>107.12</v>
      </c>
      <c r="C13" s="64">
        <v>69.55</v>
      </c>
      <c r="D13" s="64">
        <v>124.93</v>
      </c>
      <c r="E13" s="64">
        <v>0.44</v>
      </c>
      <c r="F13" s="64">
        <v>3.47</v>
      </c>
      <c r="G13" s="64">
        <v>107.37</v>
      </c>
      <c r="H13" s="64">
        <v>39.5</v>
      </c>
      <c r="I13" s="64">
        <v>1.48</v>
      </c>
      <c r="J13" s="64">
        <v>7.0000000000000007E-2</v>
      </c>
      <c r="K13" s="64">
        <v>282.43</v>
      </c>
      <c r="L13" s="64">
        <v>17.489999999999998</v>
      </c>
      <c r="M13" s="64">
        <v>85.59</v>
      </c>
      <c r="N13" s="64">
        <v>112.9</v>
      </c>
      <c r="O13" s="64">
        <v>0</v>
      </c>
      <c r="P13" s="64">
        <v>1.83</v>
      </c>
      <c r="Q13" s="64">
        <v>15.17</v>
      </c>
      <c r="R13" s="198"/>
      <c r="S13" s="198"/>
      <c r="T13" s="198"/>
      <c r="U13" s="198"/>
    </row>
    <row r="14" spans="1:21" s="12" customFormat="1" x14ac:dyDescent="0.25">
      <c r="A14" s="213" t="s">
        <v>1500</v>
      </c>
      <c r="B14" s="64">
        <v>102.93</v>
      </c>
      <c r="C14" s="64">
        <v>68.5</v>
      </c>
      <c r="D14" s="64">
        <v>120.99</v>
      </c>
      <c r="E14" s="64">
        <v>0.43</v>
      </c>
      <c r="F14" s="64">
        <v>3.81</v>
      </c>
      <c r="G14" s="64">
        <v>107.37</v>
      </c>
      <c r="H14" s="64">
        <v>39.5</v>
      </c>
      <c r="I14" s="64">
        <v>1.52</v>
      </c>
      <c r="J14" s="64">
        <v>0</v>
      </c>
      <c r="K14" s="64">
        <v>246.12</v>
      </c>
      <c r="L14" s="64">
        <v>17.11</v>
      </c>
      <c r="M14" s="64">
        <v>85.64</v>
      </c>
      <c r="N14" s="64">
        <v>103.8</v>
      </c>
      <c r="O14" s="64">
        <v>0</v>
      </c>
      <c r="P14" s="64">
        <v>1.82</v>
      </c>
      <c r="Q14" s="64">
        <v>14.8</v>
      </c>
      <c r="R14" s="198"/>
      <c r="S14" s="198"/>
      <c r="T14" s="198"/>
      <c r="U14" s="198"/>
    </row>
    <row r="15" spans="1:21" s="12" customFormat="1" x14ac:dyDescent="0.25">
      <c r="A15" s="213" t="s">
        <v>1501</v>
      </c>
      <c r="B15" s="64">
        <v>98.87</v>
      </c>
      <c r="C15" s="64">
        <v>67.760000000000005</v>
      </c>
      <c r="D15" s="64">
        <v>117.33</v>
      </c>
      <c r="E15" s="64">
        <v>0.43</v>
      </c>
      <c r="F15" s="64">
        <v>3.3</v>
      </c>
      <c r="G15" s="64">
        <v>105.24</v>
      </c>
      <c r="H15" s="64">
        <v>39.07</v>
      </c>
      <c r="I15" s="64">
        <v>1.49</v>
      </c>
      <c r="J15" s="64">
        <v>0.06</v>
      </c>
      <c r="K15" s="64">
        <v>194.61</v>
      </c>
      <c r="L15" s="64">
        <v>16.940000000000001</v>
      </c>
      <c r="M15" s="64">
        <v>86.74</v>
      </c>
      <c r="N15" s="64">
        <v>94.5</v>
      </c>
      <c r="O15" s="64">
        <v>0</v>
      </c>
      <c r="P15" s="64">
        <v>1.78</v>
      </c>
      <c r="Q15" s="64">
        <v>14.52</v>
      </c>
      <c r="R15" s="198"/>
      <c r="S15" s="198"/>
      <c r="T15" s="198"/>
      <c r="U15" s="198"/>
    </row>
    <row r="16" spans="1:21" s="12" customFormat="1" x14ac:dyDescent="0.25">
      <c r="A16" s="213" t="s">
        <v>1502</v>
      </c>
      <c r="B16" s="64">
        <v>95.3</v>
      </c>
      <c r="C16" s="64">
        <v>67.489999999999995</v>
      </c>
      <c r="D16" s="64">
        <v>114.32</v>
      </c>
      <c r="E16" s="64">
        <v>0.38</v>
      </c>
      <c r="F16" s="64">
        <v>3.38</v>
      </c>
      <c r="G16" s="64">
        <v>97.77</v>
      </c>
      <c r="H16" s="64">
        <v>38.04</v>
      </c>
      <c r="I16" s="64">
        <v>1.53</v>
      </c>
      <c r="J16" s="64">
        <v>0.18</v>
      </c>
      <c r="K16" s="64">
        <v>307.89999999999998</v>
      </c>
      <c r="L16" s="64">
        <v>17.07</v>
      </c>
      <c r="M16" s="64">
        <v>86.09</v>
      </c>
      <c r="N16" s="64">
        <v>100.7</v>
      </c>
      <c r="O16" s="64">
        <v>0</v>
      </c>
      <c r="P16" s="64">
        <v>1.7</v>
      </c>
      <c r="Q16" s="64">
        <v>14.23</v>
      </c>
      <c r="R16" s="198"/>
      <c r="S16" s="198"/>
      <c r="T16" s="198"/>
      <c r="U16" s="198"/>
    </row>
    <row r="17" spans="1:21" s="12" customFormat="1" x14ac:dyDescent="0.25">
      <c r="A17" s="213" t="s">
        <v>1503</v>
      </c>
      <c r="B17" s="64">
        <v>92.01</v>
      </c>
      <c r="C17" s="64">
        <v>63.75</v>
      </c>
      <c r="D17" s="64">
        <v>109.61</v>
      </c>
      <c r="E17" s="64">
        <v>0.38</v>
      </c>
      <c r="F17" s="64">
        <v>3.54</v>
      </c>
      <c r="G17" s="64">
        <v>97.77</v>
      </c>
      <c r="H17" s="64">
        <v>38.04</v>
      </c>
      <c r="I17" s="64">
        <v>1.47</v>
      </c>
      <c r="J17" s="64">
        <v>0.24</v>
      </c>
      <c r="K17" s="64">
        <v>320.93</v>
      </c>
      <c r="L17" s="64">
        <v>17.54</v>
      </c>
      <c r="M17" s="64">
        <v>83.56</v>
      </c>
      <c r="N17" s="64">
        <v>116.2</v>
      </c>
      <c r="O17" s="64">
        <v>0</v>
      </c>
      <c r="P17" s="64">
        <v>1.64</v>
      </c>
      <c r="Q17" s="64">
        <v>13.8</v>
      </c>
      <c r="R17" s="198"/>
      <c r="S17" s="198"/>
      <c r="T17" s="198"/>
      <c r="U17" s="198"/>
    </row>
    <row r="18" spans="1:21" s="12" customFormat="1" x14ac:dyDescent="0.25">
      <c r="A18" s="213" t="s">
        <v>1504</v>
      </c>
      <c r="B18" s="64">
        <v>87.53</v>
      </c>
      <c r="C18" s="64">
        <v>61.3</v>
      </c>
      <c r="D18" s="64">
        <v>104.67</v>
      </c>
      <c r="E18" s="64">
        <v>0.38</v>
      </c>
      <c r="F18" s="64">
        <v>3.19</v>
      </c>
      <c r="G18" s="64">
        <v>97.77</v>
      </c>
      <c r="H18" s="64">
        <v>38.04</v>
      </c>
      <c r="I18" s="64">
        <v>1.55</v>
      </c>
      <c r="J18" s="64">
        <v>0.17</v>
      </c>
      <c r="K18" s="64">
        <v>289.86</v>
      </c>
      <c r="L18" s="64">
        <v>17.23</v>
      </c>
      <c r="M18" s="64">
        <v>90.17</v>
      </c>
      <c r="N18" s="64">
        <v>117</v>
      </c>
      <c r="O18" s="64">
        <v>0</v>
      </c>
      <c r="P18" s="64">
        <v>1.55</v>
      </c>
      <c r="Q18" s="64">
        <v>13.37</v>
      </c>
      <c r="R18" s="198"/>
      <c r="S18" s="198"/>
      <c r="T18" s="198"/>
      <c r="U18" s="198"/>
    </row>
    <row r="19" spans="1:21" s="12" customFormat="1" x14ac:dyDescent="0.25">
      <c r="A19" s="213" t="s">
        <v>1505</v>
      </c>
      <c r="B19" s="64">
        <v>82.56</v>
      </c>
      <c r="C19" s="64">
        <v>61.51</v>
      </c>
      <c r="D19" s="64">
        <v>100.79</v>
      </c>
      <c r="E19" s="64">
        <v>0.31</v>
      </c>
      <c r="F19" s="64">
        <v>3.03</v>
      </c>
      <c r="G19" s="64">
        <v>93.47</v>
      </c>
      <c r="H19" s="64">
        <v>36.840000000000003</v>
      </c>
      <c r="I19" s="64">
        <v>1.45</v>
      </c>
      <c r="J19" s="64">
        <v>0.05</v>
      </c>
      <c r="K19" s="64">
        <v>261.52</v>
      </c>
      <c r="L19" s="64">
        <v>16.899999999999999</v>
      </c>
      <c r="M19" s="64">
        <v>91.25</v>
      </c>
      <c r="N19" s="64">
        <v>117.7</v>
      </c>
      <c r="O19" s="64">
        <v>0</v>
      </c>
      <c r="P19" s="64">
        <v>1.47</v>
      </c>
      <c r="Q19" s="64">
        <v>12.97</v>
      </c>
      <c r="R19" s="198"/>
      <c r="S19" s="198"/>
      <c r="T19" s="198"/>
      <c r="U19" s="198"/>
    </row>
    <row r="20" spans="1:21" s="12" customFormat="1" x14ac:dyDescent="0.25">
      <c r="A20" s="213" t="s">
        <v>1506</v>
      </c>
      <c r="B20" s="64">
        <v>78.17</v>
      </c>
      <c r="C20" s="64">
        <v>60.7</v>
      </c>
      <c r="D20" s="64">
        <v>96.83</v>
      </c>
      <c r="E20" s="64">
        <v>0.34</v>
      </c>
      <c r="F20" s="64">
        <v>2.96</v>
      </c>
      <c r="G20" s="64">
        <v>78.39</v>
      </c>
      <c r="H20" s="64">
        <v>34.03</v>
      </c>
      <c r="I20" s="64">
        <v>1.46</v>
      </c>
      <c r="J20" s="64">
        <v>0.11</v>
      </c>
      <c r="K20" s="64">
        <v>286.36</v>
      </c>
      <c r="L20" s="64">
        <v>16.91</v>
      </c>
      <c r="M20" s="64">
        <v>92.5</v>
      </c>
      <c r="N20" s="64">
        <v>115.4</v>
      </c>
      <c r="O20" s="64">
        <v>0</v>
      </c>
      <c r="P20" s="64">
        <v>1.39</v>
      </c>
      <c r="Q20" s="64">
        <v>12.6</v>
      </c>
      <c r="R20" s="198"/>
      <c r="S20" s="198"/>
      <c r="T20" s="198"/>
      <c r="U20" s="198"/>
    </row>
    <row r="21" spans="1:21" s="12" customFormat="1" x14ac:dyDescent="0.25">
      <c r="A21" s="213" t="s">
        <v>1507</v>
      </c>
      <c r="B21" s="64">
        <v>74.73</v>
      </c>
      <c r="C21" s="64">
        <v>59.83</v>
      </c>
      <c r="D21" s="64">
        <v>93.59</v>
      </c>
      <c r="E21" s="64">
        <v>0.35</v>
      </c>
      <c r="F21" s="64">
        <v>2.96</v>
      </c>
      <c r="G21" s="64">
        <v>78.39</v>
      </c>
      <c r="H21" s="64">
        <v>34.03</v>
      </c>
      <c r="I21" s="64">
        <v>1.52</v>
      </c>
      <c r="J21" s="64">
        <v>0.12</v>
      </c>
      <c r="K21" s="64">
        <v>295.24</v>
      </c>
      <c r="L21" s="64">
        <v>16.760000000000002</v>
      </c>
      <c r="M21" s="64">
        <v>94.06</v>
      </c>
      <c r="N21" s="64">
        <v>113.7</v>
      </c>
      <c r="O21" s="64">
        <v>0</v>
      </c>
      <c r="P21" s="64">
        <v>1.32</v>
      </c>
      <c r="Q21" s="64">
        <v>12.25</v>
      </c>
      <c r="R21" s="198"/>
      <c r="S21" s="198"/>
      <c r="T21" s="198"/>
      <c r="U21" s="198"/>
    </row>
    <row r="22" spans="1:21" s="12" customFormat="1" x14ac:dyDescent="0.25">
      <c r="A22" s="213" t="s">
        <v>1508</v>
      </c>
      <c r="B22" s="64">
        <v>72.5</v>
      </c>
      <c r="C22" s="64">
        <v>59.25</v>
      </c>
      <c r="D22" s="64">
        <v>91.48</v>
      </c>
      <c r="E22" s="64">
        <v>0.32</v>
      </c>
      <c r="F22" s="64">
        <v>3.14</v>
      </c>
      <c r="G22" s="64">
        <v>78.39</v>
      </c>
      <c r="H22" s="64">
        <v>34.03</v>
      </c>
      <c r="I22" s="64">
        <v>1.49</v>
      </c>
      <c r="J22" s="64">
        <v>0.02</v>
      </c>
      <c r="K22" s="64">
        <v>354.65</v>
      </c>
      <c r="L22" s="64">
        <v>16.57</v>
      </c>
      <c r="M22" s="64">
        <v>95.33</v>
      </c>
      <c r="N22" s="64">
        <v>104</v>
      </c>
      <c r="O22" s="64">
        <v>0</v>
      </c>
      <c r="P22" s="64">
        <v>1.25</v>
      </c>
      <c r="Q22" s="64">
        <v>12.03</v>
      </c>
      <c r="R22" s="198"/>
      <c r="S22" s="198"/>
      <c r="T22" s="198"/>
      <c r="U22" s="198"/>
    </row>
    <row r="23" spans="1:21" s="12" customFormat="1" x14ac:dyDescent="0.25">
      <c r="A23" s="213" t="s">
        <v>1509</v>
      </c>
      <c r="B23" s="64">
        <v>70.14</v>
      </c>
      <c r="C23" s="64">
        <v>58.75</v>
      </c>
      <c r="D23" s="64">
        <v>89.31</v>
      </c>
      <c r="E23" s="64">
        <v>0.32</v>
      </c>
      <c r="F23" s="64">
        <v>3.2</v>
      </c>
      <c r="G23" s="64">
        <v>77.7</v>
      </c>
      <c r="H23" s="64">
        <v>33.26</v>
      </c>
      <c r="I23" s="64">
        <v>1.59</v>
      </c>
      <c r="J23" s="64">
        <v>0.09</v>
      </c>
      <c r="K23" s="64">
        <v>235.17</v>
      </c>
      <c r="L23" s="64">
        <v>16.62</v>
      </c>
      <c r="M23" s="64">
        <v>96.62</v>
      </c>
      <c r="N23" s="64">
        <v>106.4</v>
      </c>
      <c r="O23" s="64">
        <v>0</v>
      </c>
      <c r="P23" s="64">
        <v>1.18</v>
      </c>
      <c r="Q23" s="64">
        <v>11.78</v>
      </c>
      <c r="R23" s="198"/>
      <c r="S23" s="198"/>
      <c r="T23" s="198"/>
      <c r="U23" s="198"/>
    </row>
    <row r="24" spans="1:21" s="12" customFormat="1" x14ac:dyDescent="0.25">
      <c r="A24" s="213" t="s">
        <v>1510</v>
      </c>
      <c r="B24" s="64">
        <v>68.3</v>
      </c>
      <c r="C24" s="64">
        <v>59.18</v>
      </c>
      <c r="D24" s="64">
        <v>88.07</v>
      </c>
      <c r="E24" s="64">
        <v>0.13</v>
      </c>
      <c r="F24" s="64">
        <v>3.13</v>
      </c>
      <c r="G24" s="64">
        <v>75.28</v>
      </c>
      <c r="H24" s="64">
        <v>30.01</v>
      </c>
      <c r="I24" s="64">
        <v>1.46</v>
      </c>
      <c r="J24" s="64">
        <v>0.12</v>
      </c>
      <c r="K24" s="64">
        <v>286.79000000000002</v>
      </c>
      <c r="L24" s="64">
        <v>16.579999999999998</v>
      </c>
      <c r="M24" s="64">
        <v>97.96</v>
      </c>
      <c r="N24" s="64">
        <v>105.6</v>
      </c>
      <c r="O24" s="64">
        <v>0</v>
      </c>
      <c r="P24" s="64">
        <v>1.1499999999999999</v>
      </c>
      <c r="Q24" s="64">
        <v>11.65</v>
      </c>
      <c r="R24" s="198"/>
      <c r="S24" s="198"/>
      <c r="T24" s="198"/>
      <c r="U24" s="198"/>
    </row>
    <row r="25" spans="1:21" s="12" customFormat="1" x14ac:dyDescent="0.25">
      <c r="A25" s="213" t="s">
        <v>1511</v>
      </c>
      <c r="B25" s="64">
        <v>67.010000000000005</v>
      </c>
      <c r="C25" s="64">
        <v>58.05</v>
      </c>
      <c r="D25" s="64">
        <v>86.42</v>
      </c>
      <c r="E25" s="64">
        <v>0.26</v>
      </c>
      <c r="F25" s="64">
        <v>2.71</v>
      </c>
      <c r="G25" s="64">
        <v>75.28</v>
      </c>
      <c r="H25" s="64">
        <v>30.01</v>
      </c>
      <c r="I25" s="64">
        <v>1.42</v>
      </c>
      <c r="J25" s="64">
        <v>7.0000000000000007E-2</v>
      </c>
      <c r="K25" s="64">
        <v>218.18</v>
      </c>
      <c r="L25" s="64">
        <v>16.41</v>
      </c>
      <c r="M25" s="64">
        <v>97.5</v>
      </c>
      <c r="N25" s="64">
        <v>114.9</v>
      </c>
      <c r="O25" s="64">
        <v>0</v>
      </c>
      <c r="P25" s="64">
        <v>1.1000000000000001</v>
      </c>
      <c r="Q25" s="64">
        <v>11.49</v>
      </c>
      <c r="R25" s="198"/>
      <c r="S25" s="198"/>
      <c r="T25" s="198"/>
      <c r="U25" s="198"/>
    </row>
    <row r="26" spans="1:21" s="12" customFormat="1" x14ac:dyDescent="0.25">
      <c r="A26" s="213" t="s">
        <v>1512</v>
      </c>
      <c r="B26" s="64">
        <v>65.19</v>
      </c>
      <c r="C26" s="64">
        <v>57.35</v>
      </c>
      <c r="D26" s="64">
        <v>84.57</v>
      </c>
      <c r="E26" s="64">
        <v>0.32</v>
      </c>
      <c r="F26" s="64">
        <v>3.18</v>
      </c>
      <c r="G26" s="64">
        <v>75.28</v>
      </c>
      <c r="H26" s="64">
        <v>30.01</v>
      </c>
      <c r="I26" s="64">
        <v>1.51</v>
      </c>
      <c r="J26" s="64">
        <v>0.06</v>
      </c>
      <c r="K26" s="64">
        <v>201.49</v>
      </c>
      <c r="L26" s="64">
        <v>16.899999999999999</v>
      </c>
      <c r="M26" s="64">
        <v>90.46</v>
      </c>
      <c r="N26" s="64">
        <v>88.2</v>
      </c>
      <c r="O26" s="64">
        <v>0</v>
      </c>
      <c r="P26" s="64">
        <v>1.05</v>
      </c>
      <c r="Q26" s="64">
        <v>11.35</v>
      </c>
      <c r="R26" s="198"/>
      <c r="S26" s="198"/>
      <c r="T26" s="198"/>
      <c r="U26" s="198"/>
    </row>
    <row r="27" spans="1:21" s="12" customFormat="1" x14ac:dyDescent="0.25">
      <c r="A27" s="213" t="s">
        <v>1513</v>
      </c>
      <c r="B27" s="64">
        <v>62.38</v>
      </c>
      <c r="C27" s="64">
        <v>56.7</v>
      </c>
      <c r="D27" s="64">
        <v>81.96</v>
      </c>
      <c r="E27" s="64">
        <v>0.26</v>
      </c>
      <c r="F27" s="64">
        <v>3.17</v>
      </c>
      <c r="G27" s="64">
        <v>74.55</v>
      </c>
      <c r="H27" s="64">
        <v>28.89</v>
      </c>
      <c r="I27" s="64">
        <v>1.52</v>
      </c>
      <c r="J27" s="64">
        <v>0.04</v>
      </c>
      <c r="K27" s="64">
        <v>214</v>
      </c>
      <c r="L27" s="64">
        <v>16.989999999999998</v>
      </c>
      <c r="M27" s="64">
        <v>88.84</v>
      </c>
      <c r="N27" s="64">
        <v>71.900000000000006</v>
      </c>
      <c r="O27" s="64">
        <v>0</v>
      </c>
      <c r="P27" s="64">
        <v>1.01</v>
      </c>
      <c r="Q27" s="64">
        <v>11.21</v>
      </c>
      <c r="R27" s="198"/>
      <c r="S27" s="198"/>
      <c r="T27" s="198"/>
      <c r="U27" s="198"/>
    </row>
    <row r="28" spans="1:21" s="12" customFormat="1" x14ac:dyDescent="0.25">
      <c r="A28" s="213" t="s">
        <v>1514</v>
      </c>
      <c r="B28" s="64">
        <v>59.84</v>
      </c>
      <c r="C28" s="64">
        <v>55.72</v>
      </c>
      <c r="D28" s="64">
        <v>79.38</v>
      </c>
      <c r="E28" s="64">
        <v>0.26</v>
      </c>
      <c r="F28" s="64">
        <v>2.58</v>
      </c>
      <c r="G28" s="64">
        <v>72.02</v>
      </c>
      <c r="H28" s="64">
        <v>26.25</v>
      </c>
      <c r="I28" s="64">
        <v>1.45</v>
      </c>
      <c r="J28" s="64">
        <v>0.04</v>
      </c>
      <c r="K28" s="64">
        <v>137.22999999999999</v>
      </c>
      <c r="L28" s="64">
        <v>16.82</v>
      </c>
      <c r="M28" s="64">
        <v>91.7</v>
      </c>
      <c r="N28" s="64">
        <v>62.7</v>
      </c>
      <c r="O28" s="64">
        <v>0</v>
      </c>
      <c r="P28" s="64">
        <v>0.97</v>
      </c>
      <c r="Q28" s="64">
        <v>10.98</v>
      </c>
      <c r="R28" s="198"/>
      <c r="S28" s="198"/>
      <c r="T28" s="198"/>
      <c r="U28" s="198"/>
    </row>
    <row r="29" spans="1:21" s="12" customFormat="1" x14ac:dyDescent="0.25">
      <c r="A29" s="213" t="s">
        <v>1515</v>
      </c>
      <c r="B29" s="64">
        <v>57.55</v>
      </c>
      <c r="C29" s="64">
        <v>54.67</v>
      </c>
      <c r="D29" s="64">
        <v>76.97</v>
      </c>
      <c r="E29" s="64">
        <v>0.26</v>
      </c>
      <c r="F29" s="64">
        <v>2.94</v>
      </c>
      <c r="G29" s="64">
        <v>72.02</v>
      </c>
      <c r="H29" s="64">
        <v>26.25</v>
      </c>
      <c r="I29" s="64">
        <v>1.46</v>
      </c>
      <c r="J29" s="64">
        <v>0.08</v>
      </c>
      <c r="K29" s="64">
        <v>240.99</v>
      </c>
      <c r="L29" s="64">
        <v>16.579999999999998</v>
      </c>
      <c r="M29" s="64">
        <v>96.29</v>
      </c>
      <c r="N29" s="64">
        <v>64</v>
      </c>
      <c r="O29" s="64">
        <v>0</v>
      </c>
      <c r="P29" s="64">
        <v>0.94</v>
      </c>
      <c r="Q29" s="64">
        <v>10.8</v>
      </c>
      <c r="R29" s="198"/>
      <c r="S29" s="198"/>
      <c r="T29" s="198"/>
      <c r="U29" s="198"/>
    </row>
    <row r="30" spans="1:21" s="12" customFormat="1" x14ac:dyDescent="0.25">
      <c r="A30" s="213" t="s">
        <v>1516</v>
      </c>
      <c r="B30" s="64">
        <v>55.98</v>
      </c>
      <c r="C30" s="64">
        <v>54.1</v>
      </c>
      <c r="D30" s="64">
        <v>75.400000000000006</v>
      </c>
      <c r="E30" s="64">
        <v>0.23</v>
      </c>
      <c r="F30" s="64">
        <v>3.25</v>
      </c>
      <c r="G30" s="64">
        <v>72.02</v>
      </c>
      <c r="H30" s="64">
        <v>26.25</v>
      </c>
      <c r="I30" s="64">
        <v>1.58</v>
      </c>
      <c r="J30" s="64">
        <v>0.16</v>
      </c>
      <c r="K30" s="64">
        <v>5.68</v>
      </c>
      <c r="L30" s="64">
        <v>16.27</v>
      </c>
      <c r="M30" s="64">
        <v>99.49</v>
      </c>
      <c r="N30" s="64">
        <v>66.5</v>
      </c>
      <c r="O30" s="64">
        <v>0</v>
      </c>
      <c r="P30" s="64">
        <v>0.91</v>
      </c>
      <c r="Q30" s="64">
        <v>10.62</v>
      </c>
      <c r="R30" s="198"/>
      <c r="S30" s="198"/>
      <c r="T30" s="198"/>
      <c r="U30" s="198"/>
    </row>
    <row r="31" spans="1:21" s="12" customFormat="1" x14ac:dyDescent="0.25">
      <c r="A31" s="213" t="s">
        <v>1517</v>
      </c>
      <c r="B31" s="64">
        <v>54.93</v>
      </c>
      <c r="C31" s="64">
        <v>53.55</v>
      </c>
      <c r="D31" s="64">
        <v>74.25</v>
      </c>
      <c r="E31" s="64">
        <v>0.27</v>
      </c>
      <c r="F31" s="64">
        <v>3.22</v>
      </c>
      <c r="G31" s="64">
        <v>70.39</v>
      </c>
      <c r="H31" s="64">
        <v>26.21</v>
      </c>
      <c r="I31" s="64">
        <v>1.61</v>
      </c>
      <c r="J31" s="64">
        <v>0.06</v>
      </c>
      <c r="K31" s="64">
        <v>163.6</v>
      </c>
      <c r="L31" s="64">
        <v>15.99</v>
      </c>
      <c r="M31" s="64">
        <v>100.25</v>
      </c>
      <c r="N31" s="64">
        <v>67.5</v>
      </c>
      <c r="O31" s="64">
        <v>0</v>
      </c>
      <c r="P31" s="64">
        <v>0.89</v>
      </c>
      <c r="Q31" s="64">
        <v>10.47</v>
      </c>
      <c r="R31" s="198"/>
      <c r="S31" s="198"/>
      <c r="T31" s="198"/>
      <c r="U31" s="198"/>
    </row>
    <row r="32" spans="1:21" s="12" customFormat="1" x14ac:dyDescent="0.25">
      <c r="A32" s="213" t="s">
        <v>1518</v>
      </c>
      <c r="B32" s="64">
        <v>54.06</v>
      </c>
      <c r="C32" s="64">
        <v>56.23</v>
      </c>
      <c r="D32" s="64">
        <v>75.040000000000006</v>
      </c>
      <c r="E32" s="64">
        <v>0.23</v>
      </c>
      <c r="F32" s="64">
        <v>3.17</v>
      </c>
      <c r="G32" s="64">
        <v>64.709999999999994</v>
      </c>
      <c r="H32" s="64">
        <v>26.12</v>
      </c>
      <c r="I32" s="64">
        <v>1.56</v>
      </c>
      <c r="J32" s="64">
        <v>0.03</v>
      </c>
      <c r="K32" s="64">
        <v>6.42</v>
      </c>
      <c r="L32" s="64">
        <v>16.12</v>
      </c>
      <c r="M32" s="64">
        <v>100.3</v>
      </c>
      <c r="N32" s="64">
        <v>70.8</v>
      </c>
      <c r="O32" s="64">
        <v>0</v>
      </c>
      <c r="P32" s="64">
        <v>0.87</v>
      </c>
      <c r="Q32" s="64">
        <v>10.47</v>
      </c>
      <c r="R32" s="198"/>
      <c r="S32" s="198"/>
      <c r="T32" s="198"/>
      <c r="U32" s="198"/>
    </row>
    <row r="33" spans="1:21" s="12" customFormat="1" x14ac:dyDescent="0.25">
      <c r="A33" s="213" t="s">
        <v>1519</v>
      </c>
      <c r="B33" s="64">
        <v>56.5</v>
      </c>
      <c r="C33" s="64">
        <v>56.87</v>
      </c>
      <c r="D33" s="64">
        <v>77.34</v>
      </c>
      <c r="E33" s="64">
        <v>0.28000000000000003</v>
      </c>
      <c r="F33" s="64">
        <v>3.16</v>
      </c>
      <c r="G33" s="64">
        <v>64.709999999999994</v>
      </c>
      <c r="H33" s="64">
        <v>26.12</v>
      </c>
      <c r="I33" s="64">
        <v>1.46</v>
      </c>
      <c r="J33" s="64">
        <v>0.02</v>
      </c>
      <c r="K33" s="64">
        <v>195.96</v>
      </c>
      <c r="L33" s="64">
        <v>16.03</v>
      </c>
      <c r="M33" s="64">
        <v>100.33</v>
      </c>
      <c r="N33" s="64">
        <v>71.099999999999994</v>
      </c>
      <c r="O33" s="64">
        <v>0</v>
      </c>
      <c r="P33" s="64">
        <v>0.86</v>
      </c>
      <c r="Q33" s="64">
        <v>10.55</v>
      </c>
      <c r="R33" s="198"/>
      <c r="S33" s="198"/>
      <c r="T33" s="198"/>
      <c r="U33" s="198"/>
    </row>
    <row r="34" spans="1:21" s="12" customFormat="1" x14ac:dyDescent="0.25">
      <c r="A34" s="213" t="s">
        <v>1520</v>
      </c>
      <c r="B34" s="64">
        <v>60.02</v>
      </c>
      <c r="C34" s="64">
        <v>57.59</v>
      </c>
      <c r="D34" s="64">
        <v>80.56</v>
      </c>
      <c r="E34" s="64">
        <v>0.26</v>
      </c>
      <c r="F34" s="64">
        <v>3.56</v>
      </c>
      <c r="G34" s="64">
        <v>64.709999999999994</v>
      </c>
      <c r="H34" s="64">
        <v>26.12</v>
      </c>
      <c r="I34" s="64">
        <v>1.52</v>
      </c>
      <c r="J34" s="64">
        <v>0.03</v>
      </c>
      <c r="K34" s="64">
        <v>223.49</v>
      </c>
      <c r="L34" s="64">
        <v>16.02</v>
      </c>
      <c r="M34" s="64">
        <v>100.3</v>
      </c>
      <c r="N34" s="64">
        <v>73.8</v>
      </c>
      <c r="O34" s="64">
        <v>0</v>
      </c>
      <c r="P34" s="64">
        <v>0.87</v>
      </c>
      <c r="Q34" s="64">
        <v>10.8</v>
      </c>
      <c r="R34" s="198"/>
      <c r="S34" s="198"/>
      <c r="T34" s="198"/>
      <c r="U34" s="198"/>
    </row>
    <row r="35" spans="1:21" s="12" customFormat="1" x14ac:dyDescent="0.25">
      <c r="A35" s="213" t="s">
        <v>1521</v>
      </c>
      <c r="B35" s="64">
        <v>63.83</v>
      </c>
      <c r="C35" s="64">
        <v>58.3</v>
      </c>
      <c r="D35" s="64">
        <v>84.01</v>
      </c>
      <c r="E35" s="64">
        <v>0.35</v>
      </c>
      <c r="F35" s="64">
        <v>3.17</v>
      </c>
      <c r="G35" s="64">
        <v>66.03</v>
      </c>
      <c r="H35" s="64">
        <v>26.6</v>
      </c>
      <c r="I35" s="64">
        <v>1.48</v>
      </c>
      <c r="J35" s="64">
        <v>0.2</v>
      </c>
      <c r="K35" s="64">
        <v>336.09</v>
      </c>
      <c r="L35" s="64">
        <v>16.100000000000001</v>
      </c>
      <c r="M35" s="64">
        <v>100.3</v>
      </c>
      <c r="N35" s="64">
        <v>85.9</v>
      </c>
      <c r="O35" s="64">
        <v>0</v>
      </c>
      <c r="P35" s="64">
        <v>0.88</v>
      </c>
      <c r="Q35" s="64">
        <v>11.1</v>
      </c>
      <c r="R35" s="198"/>
      <c r="S35" s="198"/>
      <c r="T35" s="198"/>
      <c r="U35" s="198"/>
    </row>
    <row r="36" spans="1:21" s="12" customFormat="1" x14ac:dyDescent="0.25">
      <c r="A36" s="213" t="s">
        <v>1522</v>
      </c>
      <c r="B36" s="64">
        <v>66.12</v>
      </c>
      <c r="C36" s="64">
        <v>58.98</v>
      </c>
      <c r="D36" s="64">
        <v>86.22</v>
      </c>
      <c r="E36" s="64">
        <v>0.31</v>
      </c>
      <c r="F36" s="64">
        <v>2.96</v>
      </c>
      <c r="G36" s="64">
        <v>70.64</v>
      </c>
      <c r="H36" s="64">
        <v>27.73</v>
      </c>
      <c r="I36" s="64">
        <v>1.45</v>
      </c>
      <c r="J36" s="64">
        <v>0.37</v>
      </c>
      <c r="K36" s="64">
        <v>328.07</v>
      </c>
      <c r="L36" s="64">
        <v>16.190000000000001</v>
      </c>
      <c r="M36" s="64">
        <v>100.22</v>
      </c>
      <c r="N36" s="64">
        <v>79.599999999999994</v>
      </c>
      <c r="O36" s="64">
        <v>0</v>
      </c>
      <c r="P36" s="64">
        <v>0.87</v>
      </c>
      <c r="Q36" s="64">
        <v>11.37</v>
      </c>
      <c r="R36" s="198"/>
      <c r="S36" s="198"/>
      <c r="T36" s="198"/>
      <c r="U36" s="198"/>
    </row>
    <row r="37" spans="1:21" s="12" customFormat="1" x14ac:dyDescent="0.25">
      <c r="A37" s="213" t="s">
        <v>1523</v>
      </c>
      <c r="B37" s="64">
        <v>66.27</v>
      </c>
      <c r="C37" s="64">
        <v>59.24</v>
      </c>
      <c r="D37" s="64">
        <v>86.48</v>
      </c>
      <c r="E37" s="64">
        <v>0.32</v>
      </c>
      <c r="F37" s="64">
        <v>3.09</v>
      </c>
      <c r="G37" s="64">
        <v>70.64</v>
      </c>
      <c r="H37" s="64">
        <v>27.73</v>
      </c>
      <c r="I37" s="64">
        <v>1.42</v>
      </c>
      <c r="J37" s="64">
        <v>0.26</v>
      </c>
      <c r="K37" s="64">
        <v>344.64</v>
      </c>
      <c r="L37" s="64">
        <v>16.579999999999998</v>
      </c>
      <c r="M37" s="64">
        <v>98.44</v>
      </c>
      <c r="N37" s="64">
        <v>124.4</v>
      </c>
      <c r="O37" s="64">
        <v>0</v>
      </c>
      <c r="P37" s="64">
        <v>0.95</v>
      </c>
      <c r="Q37" s="64">
        <v>11.56</v>
      </c>
      <c r="R37" s="198"/>
      <c r="S37" s="198"/>
      <c r="T37" s="198"/>
      <c r="U37" s="198"/>
    </row>
    <row r="38" spans="1:21" s="12" customFormat="1" x14ac:dyDescent="0.25">
      <c r="A38" s="213" t="s">
        <v>1524</v>
      </c>
      <c r="B38" s="64">
        <v>66.510000000000005</v>
      </c>
      <c r="C38" s="64">
        <v>59.25</v>
      </c>
      <c r="D38" s="64">
        <v>86.68</v>
      </c>
      <c r="E38" s="64">
        <v>0.31</v>
      </c>
      <c r="F38" s="64">
        <v>3.09</v>
      </c>
      <c r="G38" s="64">
        <v>70.64</v>
      </c>
      <c r="H38" s="64">
        <v>27.73</v>
      </c>
      <c r="I38" s="64">
        <v>1.54</v>
      </c>
      <c r="J38" s="64">
        <v>0.22</v>
      </c>
      <c r="K38" s="64">
        <v>354.51</v>
      </c>
      <c r="L38" s="64">
        <v>17.649999999999999</v>
      </c>
      <c r="M38" s="64">
        <v>92.27</v>
      </c>
      <c r="N38" s="64">
        <v>223.8</v>
      </c>
      <c r="O38" s="64">
        <v>0</v>
      </c>
      <c r="P38" s="64">
        <v>1.01</v>
      </c>
      <c r="Q38" s="64">
        <v>11.58</v>
      </c>
      <c r="R38" s="198"/>
      <c r="S38" s="198"/>
      <c r="T38" s="198"/>
      <c r="U38" s="198"/>
    </row>
    <row r="39" spans="1:21" s="12" customFormat="1" x14ac:dyDescent="0.25">
      <c r="A39" s="213" t="s">
        <v>1525</v>
      </c>
      <c r="B39" s="64">
        <v>67.12</v>
      </c>
      <c r="C39" s="64">
        <v>59.94</v>
      </c>
      <c r="D39" s="64">
        <v>87.55</v>
      </c>
      <c r="E39" s="64">
        <v>0.28000000000000003</v>
      </c>
      <c r="F39" s="64">
        <v>3.02</v>
      </c>
      <c r="G39" s="64">
        <v>72.989999999999995</v>
      </c>
      <c r="H39" s="64">
        <v>28.46</v>
      </c>
      <c r="I39" s="64">
        <v>1.54</v>
      </c>
      <c r="J39" s="64">
        <v>0.28000000000000003</v>
      </c>
      <c r="K39" s="64">
        <v>351.28</v>
      </c>
      <c r="L39" s="64">
        <v>19.93</v>
      </c>
      <c r="M39" s="64">
        <v>80.069999999999993</v>
      </c>
      <c r="N39" s="64">
        <v>248.4</v>
      </c>
      <c r="O39" s="64">
        <v>0</v>
      </c>
      <c r="P39" s="64">
        <v>1.02</v>
      </c>
      <c r="Q39" s="64">
        <v>11.64</v>
      </c>
      <c r="R39" s="198"/>
      <c r="S39" s="198"/>
      <c r="T39" s="198"/>
      <c r="U39" s="198"/>
    </row>
    <row r="40" spans="1:21" s="12" customFormat="1" x14ac:dyDescent="0.25">
      <c r="A40" s="213" t="s">
        <v>1526</v>
      </c>
      <c r="B40" s="64">
        <v>67.900000000000006</v>
      </c>
      <c r="C40" s="64">
        <v>60.88</v>
      </c>
      <c r="D40" s="64">
        <v>88.69</v>
      </c>
      <c r="E40" s="64">
        <v>0.19</v>
      </c>
      <c r="F40" s="64">
        <v>3.07</v>
      </c>
      <c r="G40" s="64">
        <v>81.22</v>
      </c>
      <c r="H40" s="64">
        <v>31.55</v>
      </c>
      <c r="I40" s="64">
        <v>1.47</v>
      </c>
      <c r="J40" s="64">
        <v>0.46</v>
      </c>
      <c r="K40" s="64">
        <v>350.08</v>
      </c>
      <c r="L40" s="64">
        <v>22.08</v>
      </c>
      <c r="M40" s="64">
        <v>67.47</v>
      </c>
      <c r="N40" s="64">
        <v>271.2</v>
      </c>
      <c r="O40" s="64">
        <v>0</v>
      </c>
      <c r="P40" s="64">
        <v>1.04</v>
      </c>
      <c r="Q40" s="64">
        <v>11.75</v>
      </c>
      <c r="R40" s="198"/>
      <c r="S40" s="198"/>
      <c r="T40" s="198"/>
      <c r="U40" s="198"/>
    </row>
    <row r="41" spans="1:21" s="12" customFormat="1" x14ac:dyDescent="0.25">
      <c r="A41" s="213" t="s">
        <v>1527</v>
      </c>
      <c r="B41" s="64">
        <v>68.14</v>
      </c>
      <c r="C41" s="64">
        <v>61.67</v>
      </c>
      <c r="D41" s="64">
        <v>89.33</v>
      </c>
      <c r="E41" s="64">
        <v>0.28000000000000003</v>
      </c>
      <c r="F41" s="64">
        <v>3.28</v>
      </c>
      <c r="G41" s="64">
        <v>81.22</v>
      </c>
      <c r="H41" s="64">
        <v>31.55</v>
      </c>
      <c r="I41" s="64">
        <v>1.51</v>
      </c>
      <c r="J41" s="64">
        <v>0.62</v>
      </c>
      <c r="K41" s="64">
        <v>348.67</v>
      </c>
      <c r="L41" s="64">
        <v>24.28</v>
      </c>
      <c r="M41" s="64">
        <v>56.36</v>
      </c>
      <c r="N41" s="64">
        <v>377</v>
      </c>
      <c r="O41" s="64">
        <v>0</v>
      </c>
      <c r="P41" s="64">
        <v>1.07</v>
      </c>
      <c r="Q41" s="64">
        <v>11.84</v>
      </c>
      <c r="R41" s="198"/>
      <c r="S41" s="198"/>
      <c r="T41" s="198"/>
      <c r="U41" s="198"/>
    </row>
    <row r="42" spans="1:21" s="12" customFormat="1" x14ac:dyDescent="0.25">
      <c r="A42" s="213" t="s">
        <v>1528</v>
      </c>
      <c r="B42" s="64">
        <v>67.849999999999994</v>
      </c>
      <c r="C42" s="64">
        <v>62.68</v>
      </c>
      <c r="D42" s="64">
        <v>89.64</v>
      </c>
      <c r="E42" s="64">
        <v>0.3</v>
      </c>
      <c r="F42" s="64">
        <v>3</v>
      </c>
      <c r="G42" s="64">
        <v>81.22</v>
      </c>
      <c r="H42" s="64">
        <v>31.55</v>
      </c>
      <c r="I42" s="64">
        <v>1.44</v>
      </c>
      <c r="J42" s="64">
        <v>0.46</v>
      </c>
      <c r="K42" s="64">
        <v>326.3</v>
      </c>
      <c r="L42" s="64">
        <v>26.24</v>
      </c>
      <c r="M42" s="64">
        <v>49.28</v>
      </c>
      <c r="N42" s="64">
        <v>391</v>
      </c>
      <c r="O42" s="64">
        <v>0</v>
      </c>
      <c r="P42" s="64">
        <v>1.1000000000000001</v>
      </c>
      <c r="Q42" s="64">
        <v>11.9</v>
      </c>
      <c r="R42" s="198"/>
      <c r="S42" s="198"/>
      <c r="T42" s="198"/>
      <c r="U42" s="198"/>
    </row>
    <row r="43" spans="1:21" s="12" customFormat="1" x14ac:dyDescent="0.25">
      <c r="A43" s="213" t="s">
        <v>1529</v>
      </c>
      <c r="B43" s="64">
        <v>67.13</v>
      </c>
      <c r="C43" s="64">
        <v>63.53</v>
      </c>
      <c r="D43" s="64">
        <v>89.54</v>
      </c>
      <c r="E43" s="64">
        <v>0.33</v>
      </c>
      <c r="F43" s="64">
        <v>3</v>
      </c>
      <c r="G43" s="64">
        <v>85.16</v>
      </c>
      <c r="H43" s="64">
        <v>33.17</v>
      </c>
      <c r="I43" s="64">
        <v>1.6</v>
      </c>
      <c r="J43" s="64">
        <v>0.35</v>
      </c>
      <c r="K43" s="64">
        <v>341.93</v>
      </c>
      <c r="L43" s="64">
        <v>26.72</v>
      </c>
      <c r="M43" s="64">
        <v>47.78</v>
      </c>
      <c r="N43" s="64">
        <v>447.1</v>
      </c>
      <c r="O43" s="64">
        <v>0</v>
      </c>
      <c r="P43" s="64">
        <v>1.1000000000000001</v>
      </c>
      <c r="Q43" s="64">
        <v>11.83</v>
      </c>
      <c r="R43" s="198"/>
      <c r="S43" s="198"/>
      <c r="T43" s="198"/>
      <c r="U43" s="198"/>
    </row>
    <row r="44" spans="1:21" s="12" customFormat="1" x14ac:dyDescent="0.25">
      <c r="A44" s="213" t="s">
        <v>1530</v>
      </c>
      <c r="B44" s="64">
        <v>66.5</v>
      </c>
      <c r="C44" s="64">
        <v>63.88</v>
      </c>
      <c r="D44" s="64">
        <v>89.23</v>
      </c>
      <c r="E44" s="64">
        <v>0.28999999999999998</v>
      </c>
      <c r="F44" s="64">
        <v>3.11</v>
      </c>
      <c r="G44" s="64">
        <v>98.96</v>
      </c>
      <c r="H44" s="64">
        <v>36.99</v>
      </c>
      <c r="I44" s="64">
        <v>1.48</v>
      </c>
      <c r="J44" s="64">
        <v>0.26</v>
      </c>
      <c r="K44" s="64">
        <v>348.48</v>
      </c>
      <c r="L44" s="64">
        <v>27.04</v>
      </c>
      <c r="M44" s="64">
        <v>46.91</v>
      </c>
      <c r="N44" s="64">
        <v>524.9</v>
      </c>
      <c r="O44" s="64">
        <v>0</v>
      </c>
      <c r="P44" s="64">
        <v>1.1200000000000001</v>
      </c>
      <c r="Q44" s="64">
        <v>11.83</v>
      </c>
      <c r="R44" s="198"/>
      <c r="S44" s="198"/>
      <c r="T44" s="198"/>
      <c r="U44" s="198"/>
    </row>
    <row r="45" spans="1:21" s="12" customFormat="1" x14ac:dyDescent="0.25">
      <c r="A45" s="213" t="s">
        <v>1531</v>
      </c>
      <c r="B45" s="64">
        <v>65.16</v>
      </c>
      <c r="C45" s="64">
        <v>59.13</v>
      </c>
      <c r="D45" s="64">
        <v>85.53</v>
      </c>
      <c r="E45" s="64">
        <v>0.28000000000000003</v>
      </c>
      <c r="F45" s="64">
        <v>3.33</v>
      </c>
      <c r="G45" s="64">
        <v>98.96</v>
      </c>
      <c r="H45" s="64">
        <v>36.99</v>
      </c>
      <c r="I45" s="64">
        <v>1.46</v>
      </c>
      <c r="J45" s="64">
        <v>0.4</v>
      </c>
      <c r="K45" s="64">
        <v>340.86</v>
      </c>
      <c r="L45" s="64">
        <v>28.19</v>
      </c>
      <c r="M45" s="64">
        <v>42.93</v>
      </c>
      <c r="N45" s="64">
        <v>530.9</v>
      </c>
      <c r="O45" s="64">
        <v>0</v>
      </c>
      <c r="P45" s="64">
        <v>1.1299999999999999</v>
      </c>
      <c r="Q45" s="64">
        <v>11.55</v>
      </c>
      <c r="R45" s="198"/>
      <c r="S45" s="198"/>
      <c r="T45" s="198"/>
      <c r="U45" s="198"/>
    </row>
    <row r="46" spans="1:21" s="12" customFormat="1" x14ac:dyDescent="0.25">
      <c r="A46" s="213" t="s">
        <v>1532</v>
      </c>
      <c r="B46" s="64">
        <v>62.03</v>
      </c>
      <c r="C46" s="64">
        <v>62.17</v>
      </c>
      <c r="D46" s="64">
        <v>84.7</v>
      </c>
      <c r="E46" s="64">
        <v>0.18</v>
      </c>
      <c r="F46" s="64">
        <v>3.45</v>
      </c>
      <c r="G46" s="64">
        <v>98.96</v>
      </c>
      <c r="H46" s="64">
        <v>36.99</v>
      </c>
      <c r="I46" s="64">
        <v>1.46</v>
      </c>
      <c r="J46" s="64">
        <v>0.33</v>
      </c>
      <c r="K46" s="64">
        <v>337.46</v>
      </c>
      <c r="L46" s="64">
        <v>28.41</v>
      </c>
      <c r="M46" s="64">
        <v>41.66</v>
      </c>
      <c r="N46" s="64">
        <v>547.6</v>
      </c>
      <c r="O46" s="64">
        <v>0</v>
      </c>
      <c r="P46" s="64">
        <v>1.1599999999999999</v>
      </c>
      <c r="Q46" s="64">
        <v>11.42</v>
      </c>
      <c r="R46" s="198"/>
      <c r="S46" s="198"/>
      <c r="T46" s="198"/>
      <c r="U46" s="198"/>
    </row>
    <row r="47" spans="1:21" s="12" customFormat="1" x14ac:dyDescent="0.25">
      <c r="A47" s="213" t="s">
        <v>1533</v>
      </c>
      <c r="B47" s="64">
        <v>57.64</v>
      </c>
      <c r="C47" s="64">
        <v>63.67</v>
      </c>
      <c r="D47" s="64">
        <v>82.01</v>
      </c>
      <c r="E47" s="64">
        <v>0.25</v>
      </c>
      <c r="F47" s="64">
        <v>3.53</v>
      </c>
      <c r="G47" s="64">
        <v>102.55</v>
      </c>
      <c r="H47" s="64">
        <v>39.35</v>
      </c>
      <c r="I47" s="64">
        <v>1.51</v>
      </c>
      <c r="J47" s="64">
        <v>0.17</v>
      </c>
      <c r="K47" s="64">
        <v>337.21</v>
      </c>
      <c r="L47" s="64">
        <v>26.21</v>
      </c>
      <c r="M47" s="64">
        <v>47.35</v>
      </c>
      <c r="N47" s="64">
        <v>470.1</v>
      </c>
      <c r="O47" s="64">
        <v>0</v>
      </c>
      <c r="P47" s="64">
        <v>1.1599999999999999</v>
      </c>
      <c r="Q47" s="64">
        <v>11.26</v>
      </c>
      <c r="R47" s="198"/>
      <c r="S47" s="198"/>
      <c r="T47" s="198"/>
      <c r="U47" s="198"/>
    </row>
    <row r="48" spans="1:21" s="12" customFormat="1" x14ac:dyDescent="0.25">
      <c r="A48" s="213" t="s">
        <v>1534</v>
      </c>
      <c r="B48" s="64">
        <v>52.18</v>
      </c>
      <c r="C48" s="64">
        <v>66.540000000000006</v>
      </c>
      <c r="D48" s="64">
        <v>79.209999999999994</v>
      </c>
      <c r="E48" s="64">
        <v>0.23</v>
      </c>
      <c r="F48" s="64">
        <v>3.18</v>
      </c>
      <c r="G48" s="64">
        <v>115.11</v>
      </c>
      <c r="H48" s="64">
        <v>44.89</v>
      </c>
      <c r="I48" s="64">
        <v>1.5</v>
      </c>
      <c r="J48" s="64">
        <v>0.09</v>
      </c>
      <c r="K48" s="64">
        <v>9.39</v>
      </c>
      <c r="L48" s="64">
        <v>24.28</v>
      </c>
      <c r="M48" s="64">
        <v>53.15</v>
      </c>
      <c r="N48" s="64">
        <v>374.1</v>
      </c>
      <c r="O48" s="64">
        <v>0</v>
      </c>
      <c r="P48" s="64">
        <v>1.1499999999999999</v>
      </c>
      <c r="Q48" s="64">
        <v>10.99</v>
      </c>
      <c r="R48" s="198"/>
      <c r="S48" s="198"/>
      <c r="T48" s="198"/>
      <c r="U48" s="198"/>
    </row>
    <row r="49" spans="1:21" s="12" customFormat="1" x14ac:dyDescent="0.25">
      <c r="A49" s="213" t="s">
        <v>1535</v>
      </c>
      <c r="B49" s="64">
        <v>46.71</v>
      </c>
      <c r="C49" s="64">
        <v>67.400000000000006</v>
      </c>
      <c r="D49" s="64">
        <v>75.3</v>
      </c>
      <c r="E49" s="64">
        <v>0.25</v>
      </c>
      <c r="F49" s="64">
        <v>3.05</v>
      </c>
      <c r="G49" s="64">
        <v>115.11</v>
      </c>
      <c r="H49" s="64">
        <v>44.89</v>
      </c>
      <c r="I49" s="64">
        <v>1.49</v>
      </c>
      <c r="J49" s="64">
        <v>0.27</v>
      </c>
      <c r="K49" s="64">
        <v>337.13</v>
      </c>
      <c r="L49" s="64">
        <v>26.19</v>
      </c>
      <c r="M49" s="64">
        <v>50.61</v>
      </c>
      <c r="N49" s="64">
        <v>699.3</v>
      </c>
      <c r="O49" s="64">
        <v>0</v>
      </c>
      <c r="P49" s="64">
        <v>1.1299999999999999</v>
      </c>
      <c r="Q49" s="64">
        <v>10.64</v>
      </c>
      <c r="R49" s="198"/>
      <c r="S49" s="198"/>
      <c r="T49" s="198"/>
      <c r="U49" s="198"/>
    </row>
    <row r="50" spans="1:21" s="12" customFormat="1" x14ac:dyDescent="0.25">
      <c r="A50" s="213" t="s">
        <v>1536</v>
      </c>
      <c r="B50" s="64">
        <v>41.81</v>
      </c>
      <c r="C50" s="64">
        <v>68.680000000000007</v>
      </c>
      <c r="D50" s="64">
        <v>72.08</v>
      </c>
      <c r="E50" s="64">
        <v>0.17</v>
      </c>
      <c r="F50" s="64">
        <v>3.17</v>
      </c>
      <c r="G50" s="64">
        <v>115.11</v>
      </c>
      <c r="H50" s="64">
        <v>44.89</v>
      </c>
      <c r="I50" s="64">
        <v>1.53</v>
      </c>
      <c r="J50" s="64">
        <v>0.54</v>
      </c>
      <c r="K50" s="64">
        <v>322.75</v>
      </c>
      <c r="L50" s="64">
        <v>29.37</v>
      </c>
      <c r="M50" s="64">
        <v>42.48</v>
      </c>
      <c r="N50" s="64">
        <v>719.4</v>
      </c>
      <c r="O50" s="64">
        <v>0</v>
      </c>
      <c r="P50" s="64">
        <v>1.1200000000000001</v>
      </c>
      <c r="Q50" s="64">
        <v>10.3</v>
      </c>
      <c r="R50" s="198"/>
      <c r="S50" s="198"/>
      <c r="T50" s="198"/>
      <c r="U50" s="198"/>
    </row>
    <row r="51" spans="1:21" s="12" customFormat="1" x14ac:dyDescent="0.25">
      <c r="A51" s="213" t="s">
        <v>1537</v>
      </c>
      <c r="B51" s="64">
        <v>37.06</v>
      </c>
      <c r="C51" s="64">
        <v>69.63</v>
      </c>
      <c r="D51" s="64">
        <v>68.790000000000006</v>
      </c>
      <c r="E51" s="64">
        <v>0.24</v>
      </c>
      <c r="F51" s="64">
        <v>3.02</v>
      </c>
      <c r="G51" s="64">
        <v>110.6</v>
      </c>
      <c r="H51" s="64">
        <v>42.1</v>
      </c>
      <c r="I51" s="64">
        <v>1.5</v>
      </c>
      <c r="J51" s="64">
        <v>0.27</v>
      </c>
      <c r="K51" s="64">
        <v>325.60000000000002</v>
      </c>
      <c r="L51" s="64">
        <v>29.08</v>
      </c>
      <c r="M51" s="64">
        <v>41.22</v>
      </c>
      <c r="N51" s="64">
        <v>808.7</v>
      </c>
      <c r="O51" s="64">
        <v>0</v>
      </c>
      <c r="P51" s="64">
        <v>1.1000000000000001</v>
      </c>
      <c r="Q51" s="64">
        <v>9.98</v>
      </c>
      <c r="R51" s="198"/>
      <c r="S51" s="198"/>
      <c r="T51" s="198"/>
      <c r="U51" s="198"/>
    </row>
    <row r="52" spans="1:21" s="12" customFormat="1" x14ac:dyDescent="0.25">
      <c r="A52" s="213" t="s">
        <v>1538</v>
      </c>
      <c r="B52" s="64">
        <v>31.79</v>
      </c>
      <c r="C52" s="64">
        <v>71.28</v>
      </c>
      <c r="D52" s="64">
        <v>65.48</v>
      </c>
      <c r="E52" s="64">
        <v>0.19</v>
      </c>
      <c r="F52" s="64">
        <v>2.91</v>
      </c>
      <c r="G52" s="64">
        <v>94.8</v>
      </c>
      <c r="H52" s="64">
        <v>35.549999999999997</v>
      </c>
      <c r="I52" s="64">
        <v>1.48</v>
      </c>
      <c r="J52" s="64">
        <v>0.35</v>
      </c>
      <c r="K52" s="64">
        <v>319</v>
      </c>
      <c r="L52" s="64">
        <v>29.89</v>
      </c>
      <c r="M52" s="64">
        <v>37.729999999999997</v>
      </c>
      <c r="N52" s="64">
        <v>772.3</v>
      </c>
      <c r="O52" s="64">
        <v>0</v>
      </c>
      <c r="P52" s="64">
        <v>1.07</v>
      </c>
      <c r="Q52" s="64">
        <v>9.67</v>
      </c>
      <c r="R52" s="198"/>
      <c r="S52" s="198"/>
      <c r="T52" s="198"/>
      <c r="U52" s="198"/>
    </row>
    <row r="53" spans="1:21" s="12" customFormat="1" x14ac:dyDescent="0.25">
      <c r="A53" s="213" t="s">
        <v>1539</v>
      </c>
      <c r="B53" s="64">
        <v>26.6</v>
      </c>
      <c r="C53" s="64">
        <v>72.209999999999994</v>
      </c>
      <c r="D53" s="64">
        <v>61.83</v>
      </c>
      <c r="E53" s="64">
        <v>0.19</v>
      </c>
      <c r="F53" s="64">
        <v>3.22</v>
      </c>
      <c r="G53" s="64">
        <v>94.8</v>
      </c>
      <c r="H53" s="64">
        <v>35.549999999999997</v>
      </c>
      <c r="I53" s="64">
        <v>1.49</v>
      </c>
      <c r="J53" s="64">
        <v>0.2</v>
      </c>
      <c r="K53" s="64">
        <v>328.23</v>
      </c>
      <c r="L53" s="64">
        <v>28.37</v>
      </c>
      <c r="M53" s="64">
        <v>37.89</v>
      </c>
      <c r="N53" s="64">
        <v>756.8</v>
      </c>
      <c r="O53" s="64">
        <v>0</v>
      </c>
      <c r="P53" s="64">
        <v>1.03</v>
      </c>
      <c r="Q53" s="64">
        <v>9.34</v>
      </c>
      <c r="R53" s="198"/>
      <c r="S53" s="198"/>
      <c r="T53" s="198"/>
      <c r="U53" s="198"/>
    </row>
    <row r="54" spans="1:21" s="12" customFormat="1" x14ac:dyDescent="0.25">
      <c r="A54" s="213" t="s">
        <v>1540</v>
      </c>
      <c r="B54" s="64">
        <v>20.66</v>
      </c>
      <c r="C54" s="64">
        <v>73.88</v>
      </c>
      <c r="D54" s="64">
        <v>57.99</v>
      </c>
      <c r="E54" s="64">
        <v>0.23</v>
      </c>
      <c r="F54" s="64">
        <v>3.41</v>
      </c>
      <c r="G54" s="64">
        <v>94.8</v>
      </c>
      <c r="H54" s="64">
        <v>35.549999999999997</v>
      </c>
      <c r="I54" s="64">
        <v>1.51</v>
      </c>
      <c r="J54" s="64">
        <v>0.13</v>
      </c>
      <c r="K54" s="64">
        <v>303.29000000000002</v>
      </c>
      <c r="L54" s="64">
        <v>28.29</v>
      </c>
      <c r="M54" s="64">
        <v>31</v>
      </c>
      <c r="N54" s="64">
        <v>739.9</v>
      </c>
      <c r="O54" s="64">
        <v>0</v>
      </c>
      <c r="P54" s="64">
        <v>0.98</v>
      </c>
      <c r="Q54" s="64">
        <v>9</v>
      </c>
      <c r="R54" s="198"/>
      <c r="S54" s="198"/>
      <c r="T54" s="198"/>
      <c r="U54" s="198"/>
    </row>
    <row r="55" spans="1:21" s="12" customFormat="1" x14ac:dyDescent="0.25">
      <c r="A55" s="213" t="s">
        <v>1541</v>
      </c>
      <c r="B55" s="64">
        <v>15.9</v>
      </c>
      <c r="C55" s="64">
        <v>73.02</v>
      </c>
      <c r="D55" s="64">
        <v>53.7</v>
      </c>
      <c r="E55" s="64">
        <v>0.14000000000000001</v>
      </c>
      <c r="F55" s="64">
        <v>3.58</v>
      </c>
      <c r="G55" s="64">
        <v>87.72</v>
      </c>
      <c r="H55" s="64">
        <v>35.07</v>
      </c>
      <c r="I55" s="64">
        <v>1.49</v>
      </c>
      <c r="J55" s="64">
        <v>0.06</v>
      </c>
      <c r="K55" s="64">
        <v>121.87</v>
      </c>
      <c r="L55" s="64">
        <v>28.25</v>
      </c>
      <c r="M55" s="64">
        <v>28.78</v>
      </c>
      <c r="N55" s="64">
        <v>707.1</v>
      </c>
      <c r="O55" s="64">
        <v>0</v>
      </c>
      <c r="P55" s="64">
        <v>0.91</v>
      </c>
      <c r="Q55" s="64">
        <v>8.6</v>
      </c>
      <c r="R55" s="198"/>
      <c r="S55" s="198"/>
      <c r="T55" s="198"/>
      <c r="U55" s="198"/>
    </row>
    <row r="56" spans="1:21" s="12" customFormat="1" x14ac:dyDescent="0.25">
      <c r="A56" s="213" t="s">
        <v>1542</v>
      </c>
      <c r="B56" s="64">
        <v>11.54</v>
      </c>
      <c r="C56" s="64">
        <v>73.52</v>
      </c>
      <c r="D56" s="64">
        <v>50.48</v>
      </c>
      <c r="E56" s="64">
        <v>0.12</v>
      </c>
      <c r="F56" s="64">
        <v>4.01</v>
      </c>
      <c r="G56" s="64">
        <v>62.97</v>
      </c>
      <c r="H56" s="64">
        <v>32.82</v>
      </c>
      <c r="I56" s="64">
        <v>1.56</v>
      </c>
      <c r="J56" s="64">
        <v>0.35</v>
      </c>
      <c r="K56" s="64">
        <v>326.77</v>
      </c>
      <c r="L56" s="64">
        <v>28.91</v>
      </c>
      <c r="M56" s="64">
        <v>29.31</v>
      </c>
      <c r="N56" s="64">
        <v>765.8</v>
      </c>
      <c r="O56" s="64">
        <v>0</v>
      </c>
      <c r="P56" s="64">
        <v>0.83</v>
      </c>
      <c r="Q56" s="64">
        <v>8.14</v>
      </c>
      <c r="R56" s="198"/>
      <c r="S56" s="198"/>
      <c r="T56" s="198"/>
      <c r="U56" s="198"/>
    </row>
    <row r="57" spans="1:21" s="12" customFormat="1" x14ac:dyDescent="0.25">
      <c r="A57" s="213" t="s">
        <v>1543</v>
      </c>
      <c r="B57" s="64">
        <v>8.85</v>
      </c>
      <c r="C57" s="64">
        <v>72.349999999999994</v>
      </c>
      <c r="D57" s="64">
        <v>47.67</v>
      </c>
      <c r="E57" s="64">
        <v>0.1</v>
      </c>
      <c r="F57" s="64">
        <v>3.77</v>
      </c>
      <c r="G57" s="64">
        <v>62.97</v>
      </c>
      <c r="H57" s="64">
        <v>32.82</v>
      </c>
      <c r="I57" s="64">
        <v>1.49</v>
      </c>
      <c r="J57" s="64">
        <v>0.24</v>
      </c>
      <c r="K57" s="64">
        <v>348.7</v>
      </c>
      <c r="L57" s="64">
        <v>28.52</v>
      </c>
      <c r="M57" s="64">
        <v>30.18</v>
      </c>
      <c r="N57" s="64">
        <v>691.8</v>
      </c>
      <c r="O57" s="64">
        <v>0</v>
      </c>
      <c r="P57" s="64">
        <v>0.78</v>
      </c>
      <c r="Q57" s="64">
        <v>7.74</v>
      </c>
      <c r="R57" s="198"/>
      <c r="S57" s="198"/>
      <c r="T57" s="198"/>
      <c r="U57" s="198"/>
    </row>
    <row r="58" spans="1:21" s="12" customFormat="1" x14ac:dyDescent="0.25">
      <c r="A58" s="213" t="s">
        <v>1544</v>
      </c>
      <c r="B58" s="64">
        <v>6.49</v>
      </c>
      <c r="C58" s="64">
        <v>70.66</v>
      </c>
      <c r="D58" s="64">
        <v>44.84</v>
      </c>
      <c r="E58" s="64">
        <v>0.13</v>
      </c>
      <c r="F58" s="64">
        <v>3.96</v>
      </c>
      <c r="G58" s="64">
        <v>62.97</v>
      </c>
      <c r="H58" s="64">
        <v>32.82</v>
      </c>
      <c r="I58" s="64">
        <v>1.5</v>
      </c>
      <c r="J58" s="64">
        <v>0.21</v>
      </c>
      <c r="K58" s="64">
        <v>343.42</v>
      </c>
      <c r="L58" s="64">
        <v>28.35</v>
      </c>
      <c r="M58" s="64">
        <v>30.29</v>
      </c>
      <c r="N58" s="64">
        <v>811.4</v>
      </c>
      <c r="O58" s="64">
        <v>0</v>
      </c>
      <c r="P58" s="64">
        <v>0.72</v>
      </c>
      <c r="Q58" s="64">
        <v>7.43</v>
      </c>
      <c r="R58" s="198"/>
      <c r="S58" s="198"/>
      <c r="T58" s="198"/>
      <c r="U58" s="198"/>
    </row>
    <row r="59" spans="1:21" s="12" customFormat="1" x14ac:dyDescent="0.25">
      <c r="A59" s="213" t="s">
        <v>1545</v>
      </c>
      <c r="B59" s="64">
        <v>4.67</v>
      </c>
      <c r="C59" s="64">
        <v>67.790000000000006</v>
      </c>
      <c r="D59" s="64">
        <v>41.8</v>
      </c>
      <c r="E59" s="64">
        <v>0.14000000000000001</v>
      </c>
      <c r="F59" s="64">
        <v>4.57</v>
      </c>
      <c r="G59" s="64">
        <v>59.05</v>
      </c>
      <c r="H59" s="64">
        <v>30.41</v>
      </c>
      <c r="I59" s="64">
        <v>1.45</v>
      </c>
      <c r="J59" s="64">
        <v>0.03</v>
      </c>
      <c r="K59" s="64">
        <v>174.01</v>
      </c>
      <c r="L59" s="64">
        <v>28.03</v>
      </c>
      <c r="M59" s="64">
        <v>29.25</v>
      </c>
      <c r="N59" s="64">
        <v>610.1</v>
      </c>
      <c r="O59" s="64">
        <v>0</v>
      </c>
      <c r="P59" s="64">
        <v>0.67</v>
      </c>
      <c r="Q59" s="64">
        <v>7.1</v>
      </c>
      <c r="R59" s="198"/>
      <c r="S59" s="198"/>
      <c r="T59" s="198"/>
      <c r="U59" s="198"/>
    </row>
    <row r="60" spans="1:21" s="12" customFormat="1" x14ac:dyDescent="0.25">
      <c r="A60" s="213" t="s">
        <v>1546</v>
      </c>
      <c r="B60" s="64">
        <v>3.41</v>
      </c>
      <c r="C60" s="64">
        <v>65.39</v>
      </c>
      <c r="D60" s="64">
        <v>39.46</v>
      </c>
      <c r="E60" s="64">
        <v>0.12</v>
      </c>
      <c r="F60" s="64">
        <v>4.79</v>
      </c>
      <c r="G60" s="64">
        <v>45.33</v>
      </c>
      <c r="H60" s="64">
        <v>24.76</v>
      </c>
      <c r="I60" s="64">
        <v>1.5</v>
      </c>
      <c r="J60" s="64">
        <v>0.3</v>
      </c>
      <c r="K60" s="64">
        <v>15.29</v>
      </c>
      <c r="L60" s="64">
        <v>27.5</v>
      </c>
      <c r="M60" s="64">
        <v>30.79</v>
      </c>
      <c r="N60" s="64">
        <v>498.4</v>
      </c>
      <c r="O60" s="64">
        <v>0</v>
      </c>
      <c r="P60" s="64">
        <v>0.62</v>
      </c>
      <c r="Q60" s="64">
        <v>6.79</v>
      </c>
      <c r="R60" s="198"/>
      <c r="S60" s="198"/>
      <c r="T60" s="198"/>
      <c r="U60" s="198"/>
    </row>
    <row r="61" spans="1:21" s="12" customFormat="1" x14ac:dyDescent="0.25">
      <c r="A61" s="213" t="s">
        <v>1547</v>
      </c>
      <c r="B61" s="64">
        <v>2.72</v>
      </c>
      <c r="C61" s="64">
        <v>63.53</v>
      </c>
      <c r="D61" s="64">
        <v>37.89</v>
      </c>
      <c r="E61" s="64">
        <v>0.13</v>
      </c>
      <c r="F61" s="64">
        <v>5.34</v>
      </c>
      <c r="G61" s="64">
        <v>45.33</v>
      </c>
      <c r="H61" s="64">
        <v>24.76</v>
      </c>
      <c r="I61" s="64">
        <v>1.52</v>
      </c>
      <c r="J61" s="64">
        <v>0.17</v>
      </c>
      <c r="K61" s="64">
        <v>347.55</v>
      </c>
      <c r="L61" s="64">
        <v>27.92</v>
      </c>
      <c r="M61" s="64">
        <v>31.25</v>
      </c>
      <c r="N61" s="64">
        <v>453.8</v>
      </c>
      <c r="O61" s="64">
        <v>0</v>
      </c>
      <c r="P61" s="64">
        <v>0.6</v>
      </c>
      <c r="Q61" s="64">
        <v>6.64</v>
      </c>
      <c r="R61" s="198"/>
      <c r="S61" s="198"/>
      <c r="T61" s="198"/>
      <c r="U61" s="198"/>
    </row>
    <row r="62" spans="1:21" s="12" customFormat="1" x14ac:dyDescent="0.25">
      <c r="A62" s="213" t="s">
        <v>1548</v>
      </c>
      <c r="B62" s="64">
        <v>2.8</v>
      </c>
      <c r="C62" s="64">
        <v>62.2</v>
      </c>
      <c r="D62" s="64">
        <v>37.21</v>
      </c>
      <c r="E62" s="64">
        <v>0.09</v>
      </c>
      <c r="F62" s="64">
        <v>4.58</v>
      </c>
      <c r="G62" s="64">
        <v>45.33</v>
      </c>
      <c r="H62" s="64">
        <v>24.76</v>
      </c>
      <c r="I62" s="64">
        <v>1.56</v>
      </c>
      <c r="J62" s="64">
        <v>0.48</v>
      </c>
      <c r="K62" s="64">
        <v>319.5</v>
      </c>
      <c r="L62" s="64">
        <v>28.93</v>
      </c>
      <c r="M62" s="64">
        <v>31.8</v>
      </c>
      <c r="N62" s="64">
        <v>484.1</v>
      </c>
      <c r="O62" s="64">
        <v>0</v>
      </c>
      <c r="P62" s="64">
        <v>0.62</v>
      </c>
      <c r="Q62" s="64">
        <v>6.51</v>
      </c>
      <c r="R62" s="198"/>
      <c r="S62" s="198"/>
      <c r="T62" s="198"/>
      <c r="U62" s="198"/>
    </row>
    <row r="63" spans="1:21" s="12" customFormat="1" x14ac:dyDescent="0.25">
      <c r="A63" s="213" t="s">
        <v>1549</v>
      </c>
      <c r="B63" s="64">
        <v>3.18</v>
      </c>
      <c r="C63" s="64">
        <v>61.45</v>
      </c>
      <c r="D63" s="64">
        <v>37.11</v>
      </c>
      <c r="E63" s="64">
        <v>0.16</v>
      </c>
      <c r="F63" s="64">
        <v>4.0599999999999996</v>
      </c>
      <c r="G63" s="64">
        <v>44.2</v>
      </c>
      <c r="H63" s="64">
        <v>22.6</v>
      </c>
      <c r="I63" s="64">
        <v>1.41</v>
      </c>
      <c r="J63" s="64">
        <v>0.34</v>
      </c>
      <c r="K63" s="64">
        <v>330.15</v>
      </c>
      <c r="L63" s="64">
        <v>29.66</v>
      </c>
      <c r="M63" s="64">
        <v>30.89</v>
      </c>
      <c r="N63" s="64">
        <v>455.8</v>
      </c>
      <c r="O63" s="64">
        <v>0</v>
      </c>
      <c r="P63" s="64">
        <v>0.62</v>
      </c>
      <c r="Q63" s="64">
        <v>6.44</v>
      </c>
      <c r="R63" s="198"/>
      <c r="S63" s="198"/>
      <c r="T63" s="198"/>
      <c r="U63" s="198"/>
    </row>
    <row r="64" spans="1:21" s="12" customFormat="1" x14ac:dyDescent="0.25">
      <c r="A64" s="213" t="s">
        <v>1550</v>
      </c>
      <c r="B64" s="64">
        <v>3.53</v>
      </c>
      <c r="C64" s="64">
        <v>60.95</v>
      </c>
      <c r="D64" s="64">
        <v>37.11</v>
      </c>
      <c r="E64" s="64">
        <v>0.15</v>
      </c>
      <c r="F64" s="64">
        <v>3.89</v>
      </c>
      <c r="G64" s="64">
        <v>40.270000000000003</v>
      </c>
      <c r="H64" s="64">
        <v>17.54</v>
      </c>
      <c r="I64" s="64">
        <v>1.47</v>
      </c>
      <c r="J64" s="64">
        <v>0.66</v>
      </c>
      <c r="K64" s="64">
        <v>317.95999999999998</v>
      </c>
      <c r="L64" s="64">
        <v>29.53</v>
      </c>
      <c r="M64" s="64">
        <v>31.44</v>
      </c>
      <c r="N64" s="64">
        <v>473.2</v>
      </c>
      <c r="O64" s="64">
        <v>0</v>
      </c>
      <c r="P64" s="64">
        <v>0.61</v>
      </c>
      <c r="Q64" s="64">
        <v>6.46</v>
      </c>
      <c r="R64" s="198"/>
      <c r="S64" s="198"/>
      <c r="T64" s="198"/>
      <c r="U64" s="198"/>
    </row>
    <row r="65" spans="1:21" s="12" customFormat="1" x14ac:dyDescent="0.25">
      <c r="A65" s="213" t="s">
        <v>1551</v>
      </c>
      <c r="B65" s="64">
        <v>4.01</v>
      </c>
      <c r="C65" s="64">
        <v>60.92</v>
      </c>
      <c r="D65" s="64">
        <v>37.479999999999997</v>
      </c>
      <c r="E65" s="64">
        <v>0.19</v>
      </c>
      <c r="F65" s="64">
        <v>3.75</v>
      </c>
      <c r="G65" s="64">
        <v>40.270000000000003</v>
      </c>
      <c r="H65" s="64">
        <v>17.54</v>
      </c>
      <c r="I65" s="64">
        <v>1.56</v>
      </c>
      <c r="J65" s="64">
        <v>0.5</v>
      </c>
      <c r="K65" s="64">
        <v>318.48</v>
      </c>
      <c r="L65" s="64">
        <v>30.74</v>
      </c>
      <c r="M65" s="64">
        <v>29</v>
      </c>
      <c r="N65" s="64">
        <v>527.1</v>
      </c>
      <c r="O65" s="64">
        <v>0</v>
      </c>
      <c r="P65" s="64">
        <v>0.6</v>
      </c>
      <c r="Q65" s="64">
        <v>6.6</v>
      </c>
      <c r="R65" s="198"/>
      <c r="S65" s="198"/>
      <c r="T65" s="198"/>
      <c r="U65" s="198"/>
    </row>
    <row r="66" spans="1:21" s="12" customFormat="1" x14ac:dyDescent="0.25">
      <c r="A66" s="213" t="s">
        <v>1552</v>
      </c>
      <c r="B66" s="64">
        <v>4.16</v>
      </c>
      <c r="C66" s="64">
        <v>60.97</v>
      </c>
      <c r="D66" s="64">
        <v>37.630000000000003</v>
      </c>
      <c r="E66" s="64">
        <v>0.15</v>
      </c>
      <c r="F66" s="64">
        <v>3.95</v>
      </c>
      <c r="G66" s="64">
        <v>40.270000000000003</v>
      </c>
      <c r="H66" s="64">
        <v>17.54</v>
      </c>
      <c r="I66" s="64">
        <v>1.52</v>
      </c>
      <c r="J66" s="64">
        <v>0.56999999999999995</v>
      </c>
      <c r="K66" s="64">
        <v>315.64</v>
      </c>
      <c r="L66" s="64">
        <v>30.53</v>
      </c>
      <c r="M66" s="64">
        <v>29.13</v>
      </c>
      <c r="N66" s="64">
        <v>370.5</v>
      </c>
      <c r="O66" s="64">
        <v>0</v>
      </c>
      <c r="P66" s="64">
        <v>0.59</v>
      </c>
      <c r="Q66" s="64">
        <v>6.73</v>
      </c>
      <c r="R66" s="198"/>
      <c r="S66" s="198"/>
      <c r="T66" s="198"/>
      <c r="U66" s="198"/>
    </row>
    <row r="67" spans="1:21" s="12" customFormat="1" x14ac:dyDescent="0.25">
      <c r="A67" s="213" t="s">
        <v>1553</v>
      </c>
      <c r="B67" s="64">
        <v>4.3099999999999996</v>
      </c>
      <c r="C67" s="64">
        <v>61.23</v>
      </c>
      <c r="D67" s="64">
        <v>37.89</v>
      </c>
      <c r="E67" s="64">
        <v>0.13</v>
      </c>
      <c r="F67" s="64">
        <v>3.96</v>
      </c>
      <c r="G67" s="64">
        <v>39.57</v>
      </c>
      <c r="H67" s="64">
        <v>18.11</v>
      </c>
      <c r="I67" s="64">
        <v>1.59</v>
      </c>
      <c r="J67" s="64">
        <v>0.26</v>
      </c>
      <c r="K67" s="64">
        <v>338.27</v>
      </c>
      <c r="L67" s="64">
        <v>29.61</v>
      </c>
      <c r="M67" s="64">
        <v>30.4</v>
      </c>
      <c r="N67" s="64">
        <v>362.7</v>
      </c>
      <c r="O67" s="64">
        <v>0</v>
      </c>
      <c r="P67" s="64">
        <v>0.59</v>
      </c>
      <c r="Q67" s="64">
        <v>6.75</v>
      </c>
      <c r="R67" s="198"/>
      <c r="S67" s="198"/>
      <c r="T67" s="198"/>
      <c r="U67" s="198"/>
    </row>
    <row r="68" spans="1:21" s="12" customFormat="1" x14ac:dyDescent="0.25">
      <c r="A68" s="213" t="s">
        <v>1554</v>
      </c>
      <c r="B68" s="64">
        <v>4.3600000000000003</v>
      </c>
      <c r="C68" s="64">
        <v>61.48</v>
      </c>
      <c r="D68" s="64">
        <v>38.07</v>
      </c>
      <c r="E68" s="64">
        <v>0.11</v>
      </c>
      <c r="F68" s="64">
        <v>4.1900000000000004</v>
      </c>
      <c r="G68" s="64">
        <v>37.25</v>
      </c>
      <c r="H68" s="64">
        <v>19.46</v>
      </c>
      <c r="I68" s="64">
        <v>1.52</v>
      </c>
      <c r="J68" s="64">
        <v>0.45</v>
      </c>
      <c r="K68" s="64">
        <v>318.43</v>
      </c>
      <c r="L68" s="64">
        <v>29.4</v>
      </c>
      <c r="M68" s="64">
        <v>30.34</v>
      </c>
      <c r="N68" s="64">
        <v>331.4</v>
      </c>
      <c r="O68" s="64">
        <v>0</v>
      </c>
      <c r="P68" s="64">
        <v>0.6</v>
      </c>
      <c r="Q68" s="64">
        <v>6.81</v>
      </c>
      <c r="R68" s="198"/>
      <c r="S68" s="198"/>
      <c r="T68" s="198"/>
      <c r="U68" s="198"/>
    </row>
    <row r="69" spans="1:21" s="12" customFormat="1" x14ac:dyDescent="0.25">
      <c r="A69" s="213" t="s">
        <v>1555</v>
      </c>
      <c r="B69" s="64">
        <v>4.13</v>
      </c>
      <c r="C69" s="64">
        <v>61.34</v>
      </c>
      <c r="D69" s="64">
        <v>37.81</v>
      </c>
      <c r="E69" s="64">
        <v>0.15</v>
      </c>
      <c r="F69" s="64">
        <v>4.3899999999999997</v>
      </c>
      <c r="G69" s="64">
        <v>37.25</v>
      </c>
      <c r="H69" s="64">
        <v>19.46</v>
      </c>
      <c r="I69" s="64">
        <v>1.53</v>
      </c>
      <c r="J69" s="64">
        <v>0.19</v>
      </c>
      <c r="K69" s="64">
        <v>11.11</v>
      </c>
      <c r="L69" s="64">
        <v>28.22</v>
      </c>
      <c r="M69" s="64">
        <v>31.9</v>
      </c>
      <c r="N69" s="64">
        <v>333.4</v>
      </c>
      <c r="O69" s="64">
        <v>0</v>
      </c>
      <c r="P69" s="64">
        <v>0.59</v>
      </c>
      <c r="Q69" s="64">
        <v>6.78</v>
      </c>
      <c r="R69" s="198"/>
      <c r="S69" s="198"/>
      <c r="T69" s="198"/>
      <c r="U69" s="198"/>
    </row>
    <row r="70" spans="1:21" s="12" customFormat="1" x14ac:dyDescent="0.25">
      <c r="A70" s="213" t="s">
        <v>1556</v>
      </c>
      <c r="B70" s="64">
        <v>3.67</v>
      </c>
      <c r="C70" s="64">
        <v>61.62</v>
      </c>
      <c r="D70" s="64">
        <v>37.6</v>
      </c>
      <c r="E70" s="64">
        <v>0.1</v>
      </c>
      <c r="F70" s="64">
        <v>4.75</v>
      </c>
      <c r="G70" s="64">
        <v>37.25</v>
      </c>
      <c r="H70" s="64">
        <v>19.46</v>
      </c>
      <c r="I70" s="64">
        <v>1.54</v>
      </c>
      <c r="J70" s="64">
        <v>0.26</v>
      </c>
      <c r="K70" s="64">
        <v>19.059999999999999</v>
      </c>
      <c r="L70" s="64">
        <v>27.63</v>
      </c>
      <c r="M70" s="64">
        <v>32.31</v>
      </c>
      <c r="N70" s="64">
        <v>281.5</v>
      </c>
      <c r="O70" s="64">
        <v>0</v>
      </c>
      <c r="P70" s="64">
        <v>0.6</v>
      </c>
      <c r="Q70" s="64">
        <v>6.75</v>
      </c>
      <c r="R70" s="198"/>
      <c r="S70" s="198"/>
      <c r="T70" s="198"/>
      <c r="U70" s="198"/>
    </row>
    <row r="71" spans="1:21" s="12" customFormat="1" x14ac:dyDescent="0.25">
      <c r="A71" s="213" t="s">
        <v>1557</v>
      </c>
      <c r="B71" s="64">
        <v>3.12</v>
      </c>
      <c r="C71" s="64">
        <v>61.99</v>
      </c>
      <c r="D71" s="64">
        <v>37.36</v>
      </c>
      <c r="E71" s="64">
        <v>0.1</v>
      </c>
      <c r="F71" s="64">
        <v>4.9400000000000004</v>
      </c>
      <c r="G71" s="64">
        <v>36.54</v>
      </c>
      <c r="H71" s="64">
        <v>18.3</v>
      </c>
      <c r="I71" s="64">
        <v>1.5</v>
      </c>
      <c r="J71" s="64">
        <v>0.23</v>
      </c>
      <c r="K71" s="64">
        <v>337.71</v>
      </c>
      <c r="L71" s="64">
        <v>27.81</v>
      </c>
      <c r="M71" s="64">
        <v>32.65</v>
      </c>
      <c r="N71" s="64">
        <v>183.5</v>
      </c>
      <c r="O71" s="64">
        <v>0</v>
      </c>
      <c r="P71" s="64">
        <v>0.59</v>
      </c>
      <c r="Q71" s="64">
        <v>6.7</v>
      </c>
      <c r="R71" s="198"/>
      <c r="S71" s="198"/>
      <c r="T71" s="198"/>
      <c r="U71" s="198"/>
    </row>
    <row r="72" spans="1:21" s="12" customFormat="1" x14ac:dyDescent="0.25">
      <c r="A72" s="213" t="s">
        <v>1558</v>
      </c>
      <c r="B72" s="64">
        <v>2.9</v>
      </c>
      <c r="C72" s="64">
        <v>61.36</v>
      </c>
      <c r="D72" s="64">
        <v>36.840000000000003</v>
      </c>
      <c r="E72" s="64">
        <v>0.14000000000000001</v>
      </c>
      <c r="F72" s="64">
        <v>4.9800000000000004</v>
      </c>
      <c r="G72" s="64">
        <v>34.07</v>
      </c>
      <c r="H72" s="64">
        <v>12.86</v>
      </c>
      <c r="I72" s="64">
        <v>1.48</v>
      </c>
      <c r="J72" s="64">
        <v>0.11</v>
      </c>
      <c r="K72" s="64">
        <v>137.58000000000001</v>
      </c>
      <c r="L72" s="64">
        <v>27.39</v>
      </c>
      <c r="M72" s="64">
        <v>32.58</v>
      </c>
      <c r="N72" s="64">
        <v>124.1</v>
      </c>
      <c r="O72" s="64">
        <v>0</v>
      </c>
      <c r="P72" s="64">
        <v>0.57999999999999996</v>
      </c>
      <c r="Q72" s="64">
        <v>6.62</v>
      </c>
      <c r="R72" s="198"/>
      <c r="S72" s="198"/>
      <c r="T72" s="198"/>
      <c r="U72" s="198"/>
    </row>
    <row r="73" spans="1:21" s="12" customFormat="1" x14ac:dyDescent="0.25">
      <c r="A73" s="213" t="s">
        <v>1559</v>
      </c>
      <c r="B73" s="64">
        <v>2.5499999999999998</v>
      </c>
      <c r="C73" s="64">
        <v>59.16</v>
      </c>
      <c r="D73" s="64">
        <v>35.340000000000003</v>
      </c>
      <c r="E73" s="64">
        <v>0.2</v>
      </c>
      <c r="F73" s="64">
        <v>5.08</v>
      </c>
      <c r="G73" s="64">
        <v>34.07</v>
      </c>
      <c r="H73" s="64">
        <v>12.86</v>
      </c>
      <c r="I73" s="64">
        <v>1.51</v>
      </c>
      <c r="J73" s="64">
        <v>0.1</v>
      </c>
      <c r="K73" s="64">
        <v>0.42</v>
      </c>
      <c r="L73" s="64">
        <v>27.22</v>
      </c>
      <c r="M73" s="64">
        <v>33.75</v>
      </c>
      <c r="N73" s="64">
        <v>106.9</v>
      </c>
      <c r="O73" s="64">
        <v>0</v>
      </c>
      <c r="P73" s="64">
        <v>0.55000000000000004</v>
      </c>
      <c r="Q73" s="64">
        <v>6.3</v>
      </c>
      <c r="R73" s="198"/>
      <c r="S73" s="198"/>
      <c r="T73" s="198"/>
      <c r="U73" s="198"/>
    </row>
    <row r="74" spans="1:21" s="12" customFormat="1" x14ac:dyDescent="0.25">
      <c r="A74" s="213" t="s">
        <v>1560</v>
      </c>
      <c r="B74" s="64">
        <v>2.62</v>
      </c>
      <c r="C74" s="64">
        <v>57.88</v>
      </c>
      <c r="D74" s="64">
        <v>34.69</v>
      </c>
      <c r="E74" s="64">
        <v>0.1</v>
      </c>
      <c r="F74" s="64">
        <v>4.71</v>
      </c>
      <c r="G74" s="64">
        <v>34.07</v>
      </c>
      <c r="H74" s="64">
        <v>12.86</v>
      </c>
      <c r="I74" s="64">
        <v>1.53</v>
      </c>
      <c r="J74" s="64">
        <v>0.14000000000000001</v>
      </c>
      <c r="K74" s="64">
        <v>26.36</v>
      </c>
      <c r="L74" s="64">
        <v>27.17</v>
      </c>
      <c r="M74" s="64">
        <v>32.53</v>
      </c>
      <c r="N74" s="64">
        <v>85.3</v>
      </c>
      <c r="O74" s="64">
        <v>0</v>
      </c>
      <c r="P74" s="64">
        <v>0.53</v>
      </c>
      <c r="Q74" s="64">
        <v>6.1</v>
      </c>
      <c r="R74" s="198"/>
      <c r="S74" s="198"/>
      <c r="T74" s="198"/>
      <c r="U74" s="198"/>
    </row>
    <row r="75" spans="1:21" s="12" customFormat="1" x14ac:dyDescent="0.25">
      <c r="A75" s="213" t="s">
        <v>1561</v>
      </c>
      <c r="B75" s="64">
        <v>2.96</v>
      </c>
      <c r="C75" s="64">
        <v>57.8</v>
      </c>
      <c r="D75" s="64">
        <v>34.909999999999997</v>
      </c>
      <c r="E75" s="64">
        <v>0.13</v>
      </c>
      <c r="F75" s="64">
        <v>4.24</v>
      </c>
      <c r="G75" s="64">
        <v>32.29</v>
      </c>
      <c r="H75" s="64">
        <v>11.88</v>
      </c>
      <c r="I75" s="64">
        <v>1.5</v>
      </c>
      <c r="J75" s="64">
        <v>0.13</v>
      </c>
      <c r="K75" s="64">
        <v>25.75</v>
      </c>
      <c r="L75" s="64">
        <v>26.91</v>
      </c>
      <c r="M75" s="64">
        <v>32.409999999999997</v>
      </c>
      <c r="N75" s="64">
        <v>74.8</v>
      </c>
      <c r="O75" s="64">
        <v>0</v>
      </c>
      <c r="P75" s="64">
        <v>0.53</v>
      </c>
      <c r="Q75" s="64">
        <v>6.08</v>
      </c>
      <c r="R75" s="198"/>
      <c r="S75" s="198"/>
      <c r="T75" s="198"/>
      <c r="U75" s="198"/>
    </row>
    <row r="76" spans="1:21" s="12" customFormat="1" x14ac:dyDescent="0.25">
      <c r="A76" s="213" t="s">
        <v>1562</v>
      </c>
      <c r="B76" s="64">
        <v>3.59</v>
      </c>
      <c r="C76" s="64">
        <v>58.49</v>
      </c>
      <c r="D76" s="64">
        <v>35.81</v>
      </c>
      <c r="E76" s="64">
        <v>0.14000000000000001</v>
      </c>
      <c r="F76" s="64">
        <v>3.97</v>
      </c>
      <c r="G76" s="64">
        <v>26.04</v>
      </c>
      <c r="H76" s="64">
        <v>9.57</v>
      </c>
      <c r="I76" s="64">
        <v>1.43</v>
      </c>
      <c r="J76" s="64">
        <v>0.15</v>
      </c>
      <c r="K76" s="64">
        <v>4.25</v>
      </c>
      <c r="L76" s="64">
        <v>26.82</v>
      </c>
      <c r="M76" s="64">
        <v>32.64</v>
      </c>
      <c r="N76" s="64">
        <v>89.5</v>
      </c>
      <c r="O76" s="64">
        <v>0</v>
      </c>
      <c r="P76" s="64">
        <v>0.54</v>
      </c>
      <c r="Q76" s="64">
        <v>6.23</v>
      </c>
      <c r="R76" s="198"/>
      <c r="S76" s="198"/>
      <c r="T76" s="198"/>
      <c r="U76" s="198"/>
    </row>
    <row r="77" spans="1:21" s="12" customFormat="1" x14ac:dyDescent="0.25">
      <c r="A77" s="213" t="s">
        <v>1563</v>
      </c>
      <c r="B77" s="64">
        <v>4.28</v>
      </c>
      <c r="C77" s="64">
        <v>58.89</v>
      </c>
      <c r="D77" s="64">
        <v>36.58</v>
      </c>
      <c r="E77" s="64">
        <v>0.1</v>
      </c>
      <c r="F77" s="64">
        <v>3.76</v>
      </c>
      <c r="G77" s="64">
        <v>26.04</v>
      </c>
      <c r="H77" s="64">
        <v>9.57</v>
      </c>
      <c r="I77" s="64">
        <v>1.53</v>
      </c>
      <c r="J77" s="64">
        <v>0.11</v>
      </c>
      <c r="K77" s="64">
        <v>7.73</v>
      </c>
      <c r="L77" s="64">
        <v>26.56</v>
      </c>
      <c r="M77" s="64">
        <v>32.1</v>
      </c>
      <c r="N77" s="64">
        <v>49.9</v>
      </c>
      <c r="O77" s="64">
        <v>0</v>
      </c>
      <c r="P77" s="64">
        <v>0.54</v>
      </c>
      <c r="Q77" s="64">
        <v>6.46</v>
      </c>
      <c r="R77" s="198"/>
      <c r="S77" s="198"/>
      <c r="T77" s="198"/>
      <c r="U77" s="198"/>
    </row>
    <row r="78" spans="1:21" s="12" customFormat="1" x14ac:dyDescent="0.25">
      <c r="A78" s="213" t="s">
        <v>1564</v>
      </c>
      <c r="B78" s="64">
        <v>4.8499999999999996</v>
      </c>
      <c r="C78" s="64">
        <v>59.65</v>
      </c>
      <c r="D78" s="64">
        <v>37.450000000000003</v>
      </c>
      <c r="E78" s="64">
        <v>0.1</v>
      </c>
      <c r="F78" s="64">
        <v>3.4</v>
      </c>
      <c r="G78" s="64">
        <v>26.04</v>
      </c>
      <c r="H78" s="64">
        <v>9.57</v>
      </c>
      <c r="I78" s="64">
        <v>1.53</v>
      </c>
      <c r="J78" s="64">
        <v>0.15</v>
      </c>
      <c r="K78" s="64">
        <v>359.92</v>
      </c>
      <c r="L78" s="64">
        <v>25.58</v>
      </c>
      <c r="M78" s="64">
        <v>41.23</v>
      </c>
      <c r="N78" s="64">
        <v>40.9</v>
      </c>
      <c r="O78" s="64">
        <v>0</v>
      </c>
      <c r="P78" s="64">
        <v>0.55000000000000004</v>
      </c>
      <c r="Q78" s="64">
        <v>6.54</v>
      </c>
      <c r="R78" s="198"/>
      <c r="S78" s="198"/>
      <c r="T78" s="198"/>
      <c r="U78" s="198"/>
    </row>
    <row r="79" spans="1:21" s="12" customFormat="1" x14ac:dyDescent="0.25">
      <c r="A79" s="213" t="s">
        <v>1565</v>
      </c>
      <c r="B79" s="64">
        <v>6.36</v>
      </c>
      <c r="C79" s="64">
        <v>60.73</v>
      </c>
      <c r="D79" s="64">
        <v>39.270000000000003</v>
      </c>
      <c r="E79" s="64">
        <v>0.12</v>
      </c>
      <c r="F79" s="64">
        <v>2.91</v>
      </c>
      <c r="G79" s="64">
        <v>29.02</v>
      </c>
      <c r="H79" s="64">
        <v>10.46</v>
      </c>
      <c r="I79" s="64">
        <v>1.5</v>
      </c>
      <c r="J79" s="64">
        <v>0.14000000000000001</v>
      </c>
      <c r="K79" s="64">
        <v>305.72000000000003</v>
      </c>
      <c r="L79" s="64">
        <v>24.52</v>
      </c>
      <c r="M79" s="64">
        <v>47.52</v>
      </c>
      <c r="N79" s="64">
        <v>32.5</v>
      </c>
      <c r="O79" s="64">
        <v>0</v>
      </c>
      <c r="P79" s="64">
        <v>0.57999999999999996</v>
      </c>
      <c r="Q79" s="64">
        <v>6.59</v>
      </c>
      <c r="R79" s="198"/>
      <c r="S79" s="198"/>
      <c r="T79" s="198"/>
      <c r="U79" s="198"/>
    </row>
    <row r="80" spans="1:21" s="12" customFormat="1" x14ac:dyDescent="0.25">
      <c r="A80" s="213" t="s">
        <v>1566</v>
      </c>
      <c r="B80" s="64">
        <v>8.2899999999999991</v>
      </c>
      <c r="C80" s="64">
        <v>61.7</v>
      </c>
      <c r="D80" s="64">
        <v>41.35</v>
      </c>
      <c r="E80" s="64">
        <v>0.1</v>
      </c>
      <c r="F80" s="64">
        <v>3.42</v>
      </c>
      <c r="G80" s="64">
        <v>38.81</v>
      </c>
      <c r="H80" s="64">
        <v>12.55</v>
      </c>
      <c r="I80" s="64">
        <v>1.57</v>
      </c>
      <c r="J80" s="64">
        <v>0.08</v>
      </c>
      <c r="K80" s="64">
        <v>314.35000000000002</v>
      </c>
      <c r="L80" s="64">
        <v>23.94</v>
      </c>
      <c r="M80" s="64">
        <v>50.09</v>
      </c>
      <c r="N80" s="64">
        <v>24</v>
      </c>
      <c r="O80" s="64">
        <v>0</v>
      </c>
      <c r="P80" s="64">
        <v>0.6</v>
      </c>
      <c r="Q80" s="64">
        <v>6.78</v>
      </c>
      <c r="R80" s="198"/>
      <c r="S80" s="198"/>
      <c r="T80" s="198"/>
      <c r="U80" s="198"/>
    </row>
    <row r="81" spans="1:26" s="12" customFormat="1" x14ac:dyDescent="0.25">
      <c r="A81" s="213" t="s">
        <v>1567</v>
      </c>
      <c r="B81" s="64">
        <v>11.21</v>
      </c>
      <c r="C81" s="64">
        <v>62.72</v>
      </c>
      <c r="D81" s="64">
        <v>44.25</v>
      </c>
      <c r="E81" s="64">
        <v>0.13</v>
      </c>
      <c r="F81" s="64">
        <v>3.17</v>
      </c>
      <c r="G81" s="64">
        <v>38.81</v>
      </c>
      <c r="H81" s="64">
        <v>12.55</v>
      </c>
      <c r="I81" s="64">
        <v>1.46</v>
      </c>
      <c r="J81" s="64">
        <v>0.09</v>
      </c>
      <c r="K81" s="64">
        <v>56.58</v>
      </c>
      <c r="L81" s="64">
        <v>23.29</v>
      </c>
      <c r="M81" s="64">
        <v>53.53</v>
      </c>
      <c r="N81" s="64">
        <v>22.4</v>
      </c>
      <c r="O81" s="64">
        <v>0</v>
      </c>
      <c r="P81" s="64">
        <v>0.67</v>
      </c>
      <c r="Q81" s="64">
        <v>7.01</v>
      </c>
      <c r="R81" s="198"/>
      <c r="S81" s="198"/>
      <c r="T81" s="198"/>
      <c r="U81" s="198"/>
    </row>
    <row r="82" spans="1:26" s="12" customFormat="1" x14ac:dyDescent="0.25">
      <c r="A82" s="213" t="s">
        <v>1568</v>
      </c>
      <c r="B82" s="64">
        <v>15.87</v>
      </c>
      <c r="C82" s="64">
        <v>63.67</v>
      </c>
      <c r="D82" s="64">
        <v>48.51</v>
      </c>
      <c r="E82" s="64">
        <v>0.13</v>
      </c>
      <c r="F82" s="64">
        <v>3.21</v>
      </c>
      <c r="G82" s="64">
        <v>38.81</v>
      </c>
      <c r="H82" s="64">
        <v>12.55</v>
      </c>
      <c r="I82" s="64">
        <v>1.53</v>
      </c>
      <c r="J82" s="64">
        <v>7.0000000000000007E-2</v>
      </c>
      <c r="K82" s="64">
        <v>348.43</v>
      </c>
      <c r="L82" s="64">
        <v>22.71</v>
      </c>
      <c r="M82" s="64">
        <v>57.22</v>
      </c>
      <c r="N82" s="64">
        <v>22.3</v>
      </c>
      <c r="O82" s="64">
        <v>0</v>
      </c>
      <c r="P82" s="64">
        <v>0.74</v>
      </c>
      <c r="Q82" s="64">
        <v>7.26</v>
      </c>
      <c r="R82" s="198"/>
      <c r="S82" s="198"/>
      <c r="T82" s="198"/>
      <c r="U82" s="198"/>
    </row>
    <row r="83" spans="1:26" s="12" customFormat="1" x14ac:dyDescent="0.25">
      <c r="A83" s="213" t="s">
        <v>1569</v>
      </c>
      <c r="B83" s="64">
        <v>24.22</v>
      </c>
      <c r="C83" s="64">
        <v>64.84</v>
      </c>
      <c r="D83" s="64">
        <v>55.85</v>
      </c>
      <c r="E83" s="64">
        <v>0.14000000000000001</v>
      </c>
      <c r="F83" s="64">
        <v>3.01</v>
      </c>
      <c r="G83" s="64">
        <v>43.31</v>
      </c>
      <c r="H83" s="64">
        <v>14.41</v>
      </c>
      <c r="I83" s="64">
        <v>1.51</v>
      </c>
      <c r="J83" s="64">
        <v>0.08</v>
      </c>
      <c r="K83" s="64">
        <v>341.03</v>
      </c>
      <c r="L83" s="64">
        <v>22.3</v>
      </c>
      <c r="M83" s="64">
        <v>56.46</v>
      </c>
      <c r="N83" s="64">
        <v>22.3</v>
      </c>
      <c r="O83" s="64">
        <v>0</v>
      </c>
      <c r="P83" s="64">
        <v>0.94</v>
      </c>
      <c r="Q83" s="64">
        <v>7.76</v>
      </c>
      <c r="R83" s="198"/>
      <c r="S83" s="198"/>
      <c r="T83" s="198"/>
      <c r="U83" s="198"/>
    </row>
    <row r="84" spans="1:26" s="12" customFormat="1" x14ac:dyDescent="0.25">
      <c r="A84" s="213" t="s">
        <v>1570</v>
      </c>
      <c r="B84" s="64">
        <v>36.200000000000003</v>
      </c>
      <c r="C84" s="64">
        <v>66.25</v>
      </c>
      <c r="D84" s="64">
        <v>66.239999999999995</v>
      </c>
      <c r="E84" s="64">
        <v>0.15</v>
      </c>
      <c r="F84" s="64">
        <v>3.04</v>
      </c>
      <c r="G84" s="64">
        <v>58.09</v>
      </c>
      <c r="H84" s="64">
        <v>18.79</v>
      </c>
      <c r="I84" s="64">
        <v>1.46</v>
      </c>
      <c r="J84" s="64">
        <v>7.0000000000000007E-2</v>
      </c>
      <c r="K84" s="64">
        <v>121.56</v>
      </c>
      <c r="L84" s="64">
        <v>21.86</v>
      </c>
      <c r="M84" s="64">
        <v>56.15</v>
      </c>
      <c r="N84" s="64">
        <v>22.2</v>
      </c>
      <c r="O84" s="64">
        <v>0</v>
      </c>
      <c r="P84" s="64">
        <v>1.01</v>
      </c>
      <c r="Q84" s="64">
        <v>8.51</v>
      </c>
      <c r="R84" s="198"/>
      <c r="S84" s="198"/>
      <c r="T84" s="198"/>
      <c r="U84" s="198"/>
    </row>
    <row r="85" spans="1:26" s="12" customFormat="1" x14ac:dyDescent="0.25">
      <c r="A85" s="213" t="s">
        <v>1571</v>
      </c>
      <c r="B85" s="64">
        <v>45.16</v>
      </c>
      <c r="C85" s="64">
        <v>67.23</v>
      </c>
      <c r="D85" s="64">
        <v>73.97</v>
      </c>
      <c r="E85" s="64">
        <v>0.13</v>
      </c>
      <c r="F85" s="64">
        <v>3.17</v>
      </c>
      <c r="G85" s="64">
        <v>58.09</v>
      </c>
      <c r="H85" s="64">
        <v>18.79</v>
      </c>
      <c r="I85" s="64">
        <v>1.48</v>
      </c>
      <c r="J85" s="64">
        <v>0.06</v>
      </c>
      <c r="K85" s="64">
        <v>134.72999999999999</v>
      </c>
      <c r="L85" s="64">
        <v>21.46</v>
      </c>
      <c r="M85" s="64">
        <v>60.06</v>
      </c>
      <c r="N85" s="64">
        <v>22.2</v>
      </c>
      <c r="O85" s="64">
        <v>0</v>
      </c>
      <c r="P85" s="64">
        <v>0.96</v>
      </c>
      <c r="Q85" s="64">
        <v>9.27</v>
      </c>
      <c r="R85" s="198"/>
      <c r="S85" s="198"/>
      <c r="T85" s="198"/>
      <c r="U85" s="198"/>
    </row>
    <row r="86" spans="1:26" s="12" customFormat="1" x14ac:dyDescent="0.25">
      <c r="A86" s="213" t="s">
        <v>1572</v>
      </c>
      <c r="B86" s="64">
        <v>55.99</v>
      </c>
      <c r="C86" s="64">
        <v>68.540000000000006</v>
      </c>
      <c r="D86" s="64">
        <v>83.37</v>
      </c>
      <c r="E86" s="64">
        <v>0.24</v>
      </c>
      <c r="F86" s="64">
        <v>3.14</v>
      </c>
      <c r="G86" s="64">
        <v>58.09</v>
      </c>
      <c r="H86" s="64">
        <v>18.79</v>
      </c>
      <c r="I86" s="64">
        <v>1.58</v>
      </c>
      <c r="J86" s="64">
        <v>7.0000000000000007E-2</v>
      </c>
      <c r="K86" s="64">
        <v>129.26</v>
      </c>
      <c r="L86" s="64">
        <v>21.23</v>
      </c>
      <c r="M86" s="64">
        <v>62.54</v>
      </c>
      <c r="N86" s="64">
        <v>21.9</v>
      </c>
      <c r="O86" s="64">
        <v>0</v>
      </c>
      <c r="P86" s="64">
        <v>1.1100000000000001</v>
      </c>
      <c r="Q86" s="64">
        <v>10.1</v>
      </c>
      <c r="R86" s="198"/>
      <c r="S86" s="198"/>
      <c r="T86" s="198"/>
      <c r="U86" s="198"/>
    </row>
    <row r="87" spans="1:26" s="12" customFormat="1" x14ac:dyDescent="0.25">
      <c r="A87" s="213" t="s">
        <v>1573</v>
      </c>
      <c r="B87" s="64">
        <v>68.569999999999993</v>
      </c>
      <c r="C87" s="64">
        <v>70.3</v>
      </c>
      <c r="D87" s="64">
        <v>94.43</v>
      </c>
      <c r="E87" s="64">
        <v>0.26</v>
      </c>
      <c r="F87" s="64">
        <v>2.99</v>
      </c>
      <c r="G87" s="64">
        <v>75.010000000000005</v>
      </c>
      <c r="H87" s="64">
        <v>20.28</v>
      </c>
      <c r="I87" s="64">
        <v>1.44</v>
      </c>
      <c r="J87" s="64">
        <v>0.08</v>
      </c>
      <c r="K87" s="64">
        <v>93.32</v>
      </c>
      <c r="L87" s="64">
        <v>20.99</v>
      </c>
      <c r="M87" s="64">
        <v>63.56</v>
      </c>
      <c r="N87" s="64">
        <v>21.9</v>
      </c>
      <c r="O87" s="64">
        <v>0</v>
      </c>
      <c r="P87" s="64">
        <v>1.21</v>
      </c>
      <c r="Q87" s="64">
        <v>10.91</v>
      </c>
      <c r="R87" s="198"/>
      <c r="S87" s="198"/>
      <c r="T87" s="198"/>
      <c r="U87" s="198"/>
    </row>
    <row r="88" spans="1:26" s="12" customFormat="1" x14ac:dyDescent="0.25">
      <c r="A88" s="213" t="s">
        <v>1574</v>
      </c>
      <c r="B88" s="64">
        <v>76.760000000000005</v>
      </c>
      <c r="C88" s="64">
        <v>71.290000000000006</v>
      </c>
      <c r="D88" s="64">
        <v>101.55</v>
      </c>
      <c r="E88" s="64">
        <v>0.28999999999999998</v>
      </c>
      <c r="F88" s="64">
        <v>3.17</v>
      </c>
      <c r="G88" s="64">
        <v>134.22</v>
      </c>
      <c r="H88" s="64">
        <v>27.28</v>
      </c>
      <c r="I88" s="64">
        <v>1.52</v>
      </c>
      <c r="J88" s="64">
        <v>7.0000000000000007E-2</v>
      </c>
      <c r="K88" s="64">
        <v>93.47</v>
      </c>
      <c r="L88" s="64">
        <v>20.71</v>
      </c>
      <c r="M88" s="64">
        <v>65.22</v>
      </c>
      <c r="N88" s="64">
        <v>21.9</v>
      </c>
      <c r="O88" s="64">
        <v>0</v>
      </c>
      <c r="P88" s="64">
        <v>1.3</v>
      </c>
      <c r="Q88" s="64">
        <v>11.78</v>
      </c>
      <c r="R88" s="198"/>
      <c r="S88" s="198"/>
      <c r="T88" s="198"/>
      <c r="U88" s="198"/>
    </row>
    <row r="89" spans="1:26" s="12" customFormat="1" x14ac:dyDescent="0.25">
      <c r="A89" s="213" t="s">
        <v>1575</v>
      </c>
      <c r="B89" s="64">
        <v>82.31</v>
      </c>
      <c r="C89" s="64">
        <v>70.78</v>
      </c>
      <c r="D89" s="64">
        <v>105.71</v>
      </c>
      <c r="E89" s="64">
        <v>0.41</v>
      </c>
      <c r="F89" s="64">
        <v>3.25</v>
      </c>
      <c r="G89" s="64">
        <v>134.22</v>
      </c>
      <c r="H89" s="64">
        <v>27.28</v>
      </c>
      <c r="I89" s="64">
        <v>1.54</v>
      </c>
      <c r="J89" s="64">
        <v>0.04</v>
      </c>
      <c r="K89" s="64">
        <v>7.86</v>
      </c>
      <c r="L89" s="64">
        <v>20.58</v>
      </c>
      <c r="M89" s="64">
        <v>66.41</v>
      </c>
      <c r="N89" s="64">
        <v>21.8</v>
      </c>
      <c r="O89" s="64">
        <v>0</v>
      </c>
      <c r="P89" s="64">
        <v>1.42</v>
      </c>
      <c r="Q89" s="64">
        <v>12.35</v>
      </c>
      <c r="R89" s="198"/>
      <c r="S89" s="198"/>
      <c r="T89" s="198"/>
      <c r="U89" s="198"/>
    </row>
    <row r="90" spans="1:26" s="12" customFormat="1" x14ac:dyDescent="0.25">
      <c r="A90" s="213" t="s">
        <v>1576</v>
      </c>
      <c r="B90" s="64">
        <v>86.37</v>
      </c>
      <c r="C90" s="64">
        <v>69.989999999999995</v>
      </c>
      <c r="D90" s="64">
        <v>108.53</v>
      </c>
      <c r="E90" s="64">
        <v>0.39</v>
      </c>
      <c r="F90" s="64">
        <v>3.28</v>
      </c>
      <c r="G90" s="64">
        <v>134.22</v>
      </c>
      <c r="H90" s="64">
        <v>27.28</v>
      </c>
      <c r="I90" s="64">
        <v>1.45</v>
      </c>
      <c r="J90" s="64">
        <v>0.05</v>
      </c>
      <c r="K90" s="64">
        <v>325.33999999999997</v>
      </c>
      <c r="L90" s="64">
        <v>20.440000000000001</v>
      </c>
      <c r="M90" s="64">
        <v>73.069999999999993</v>
      </c>
      <c r="N90" s="64">
        <v>21.8</v>
      </c>
      <c r="O90" s="64">
        <v>0</v>
      </c>
      <c r="P90" s="64">
        <v>1.64</v>
      </c>
      <c r="Q90" s="64">
        <v>12.7</v>
      </c>
      <c r="R90" s="198"/>
      <c r="S90" s="198"/>
      <c r="T90" s="198"/>
      <c r="U90" s="198"/>
    </row>
    <row r="91" spans="1:26" s="12" customFormat="1" x14ac:dyDescent="0.25">
      <c r="A91" s="213" t="s">
        <v>1577</v>
      </c>
      <c r="B91" s="64">
        <v>91.07</v>
      </c>
      <c r="C91" s="64">
        <v>69.77</v>
      </c>
      <c r="D91" s="64">
        <v>112.18</v>
      </c>
      <c r="E91" s="64">
        <v>0.41</v>
      </c>
      <c r="F91" s="64">
        <v>3.38</v>
      </c>
      <c r="G91" s="64">
        <v>135.9</v>
      </c>
      <c r="H91" s="64">
        <v>29.64</v>
      </c>
      <c r="I91" s="64">
        <v>1.54</v>
      </c>
      <c r="J91" s="64">
        <v>0.06</v>
      </c>
      <c r="K91" s="64">
        <v>145.41999999999999</v>
      </c>
      <c r="L91" s="64">
        <v>20.32</v>
      </c>
      <c r="M91" s="64">
        <v>72.67</v>
      </c>
      <c r="N91" s="64">
        <v>21.8</v>
      </c>
      <c r="O91" s="64">
        <v>0</v>
      </c>
      <c r="P91" s="64">
        <v>1.56</v>
      </c>
      <c r="Q91" s="64">
        <v>13.03</v>
      </c>
      <c r="R91" s="198"/>
      <c r="S91" s="198"/>
      <c r="T91" s="198"/>
      <c r="U91" s="198"/>
    </row>
    <row r="92" spans="1:26" s="12" customFormat="1" x14ac:dyDescent="0.25">
      <c r="A92" s="213" t="s">
        <v>1578</v>
      </c>
      <c r="B92" s="64">
        <v>97.73</v>
      </c>
      <c r="C92" s="64">
        <v>69.510000000000005</v>
      </c>
      <c r="D92" s="64">
        <v>117.38</v>
      </c>
      <c r="E92" s="64">
        <v>0.45</v>
      </c>
      <c r="F92" s="64">
        <v>3.15</v>
      </c>
      <c r="G92" s="64">
        <v>141.76</v>
      </c>
      <c r="H92" s="64">
        <v>35.19</v>
      </c>
      <c r="I92" s="64">
        <v>1.48</v>
      </c>
      <c r="J92" s="64">
        <v>0.08</v>
      </c>
      <c r="K92" s="64">
        <v>286.94</v>
      </c>
      <c r="L92" s="64">
        <v>20.23</v>
      </c>
      <c r="M92" s="64">
        <v>74.510000000000005</v>
      </c>
      <c r="N92" s="64">
        <v>21.9</v>
      </c>
      <c r="O92" s="64">
        <v>0</v>
      </c>
      <c r="P92" s="64">
        <v>1.71</v>
      </c>
      <c r="Q92" s="64">
        <v>13.51</v>
      </c>
      <c r="R92" s="198"/>
      <c r="S92" s="198"/>
      <c r="T92" s="198"/>
      <c r="U92" s="198"/>
    </row>
    <row r="93" spans="1:26" s="12" customFormat="1" x14ac:dyDescent="0.25">
      <c r="A93" s="213" t="s">
        <v>1579</v>
      </c>
      <c r="B93" s="64">
        <v>105.65</v>
      </c>
      <c r="C93" s="64">
        <v>69.78</v>
      </c>
      <c r="D93" s="64">
        <v>123.88</v>
      </c>
      <c r="E93" s="64">
        <v>0.53</v>
      </c>
      <c r="F93" s="64">
        <v>3.25</v>
      </c>
      <c r="G93" s="64">
        <v>141.76</v>
      </c>
      <c r="H93" s="64">
        <v>35.19</v>
      </c>
      <c r="I93" s="64">
        <v>1.47</v>
      </c>
      <c r="J93" s="64">
        <v>0.16</v>
      </c>
      <c r="K93" s="64">
        <v>218.01</v>
      </c>
      <c r="L93" s="64">
        <v>20.58</v>
      </c>
      <c r="M93" s="64">
        <v>72.91</v>
      </c>
      <c r="N93" s="64">
        <v>21.1</v>
      </c>
      <c r="O93" s="64">
        <v>0</v>
      </c>
      <c r="P93" s="64">
        <v>1.81</v>
      </c>
      <c r="Q93" s="64">
        <v>14.05</v>
      </c>
      <c r="R93" s="198"/>
      <c r="S93" s="198"/>
      <c r="T93" s="198"/>
      <c r="U93" s="198"/>
    </row>
    <row r="94" spans="1:26" s="12" customFormat="1" x14ac:dyDescent="0.25">
      <c r="A94" s="213" t="s">
        <v>1580</v>
      </c>
      <c r="B94" s="64">
        <v>112.66</v>
      </c>
      <c r="C94" s="64">
        <v>70.010000000000005</v>
      </c>
      <c r="D94" s="64">
        <v>129.63</v>
      </c>
      <c r="E94" s="64">
        <v>0.51</v>
      </c>
      <c r="F94" s="64">
        <v>3.17</v>
      </c>
      <c r="G94" s="64">
        <v>141.76</v>
      </c>
      <c r="H94" s="64">
        <v>35.19</v>
      </c>
      <c r="I94" s="64">
        <v>1.44</v>
      </c>
      <c r="J94" s="64">
        <v>0.22</v>
      </c>
      <c r="K94" s="64">
        <v>353.26</v>
      </c>
      <c r="L94" s="64">
        <v>20.39</v>
      </c>
      <c r="M94" s="64">
        <v>79.88</v>
      </c>
      <c r="N94" s="64">
        <v>22.1</v>
      </c>
      <c r="O94" s="64">
        <v>0</v>
      </c>
      <c r="P94" s="64">
        <v>2.1</v>
      </c>
      <c r="Q94" s="64">
        <v>14.58</v>
      </c>
      <c r="R94" s="198"/>
      <c r="S94" s="198"/>
      <c r="T94" s="198"/>
      <c r="U94" s="198"/>
    </row>
    <row r="95" spans="1:26" s="12" customFormat="1" x14ac:dyDescent="0.25">
      <c r="A95" s="213" t="s">
        <v>1581</v>
      </c>
      <c r="B95" s="64">
        <v>120.94</v>
      </c>
      <c r="C95" s="64">
        <v>70.489999999999995</v>
      </c>
      <c r="D95" s="64">
        <v>136.53</v>
      </c>
      <c r="E95" s="64">
        <v>0.46</v>
      </c>
      <c r="F95" s="64">
        <v>3.21</v>
      </c>
      <c r="G95" s="64">
        <v>151.13</v>
      </c>
      <c r="H95" s="64">
        <v>39.340000000000003</v>
      </c>
      <c r="I95" s="64">
        <v>1.46</v>
      </c>
      <c r="J95" s="64">
        <v>0.06</v>
      </c>
      <c r="K95" s="64">
        <v>259.62</v>
      </c>
      <c r="L95" s="64">
        <v>19.96</v>
      </c>
      <c r="M95" s="64">
        <v>81.17</v>
      </c>
      <c r="N95" s="64">
        <v>22</v>
      </c>
      <c r="O95" s="64">
        <v>0</v>
      </c>
      <c r="P95" s="64">
        <v>2.12</v>
      </c>
      <c r="Q95" s="64">
        <v>15.18</v>
      </c>
      <c r="R95" s="198"/>
      <c r="S95" s="198"/>
      <c r="T95" s="198"/>
      <c r="U95" s="198"/>
    </row>
    <row r="96" spans="1:26" s="12" customFormat="1" x14ac:dyDescent="0.25">
      <c r="A96" s="213" t="s">
        <v>1582</v>
      </c>
      <c r="B96" s="64">
        <v>128.38999999999999</v>
      </c>
      <c r="C96" s="64">
        <v>70.73</v>
      </c>
      <c r="D96" s="64">
        <v>142.63999999999999</v>
      </c>
      <c r="E96" s="64">
        <v>0.51</v>
      </c>
      <c r="F96" s="64">
        <v>3.19</v>
      </c>
      <c r="G96" s="64">
        <v>181.92</v>
      </c>
      <c r="H96" s="64">
        <v>48.89</v>
      </c>
      <c r="I96" s="64">
        <v>1.51</v>
      </c>
      <c r="J96" s="64">
        <v>0.06</v>
      </c>
      <c r="K96" s="64">
        <v>234.41</v>
      </c>
      <c r="L96" s="64">
        <v>19.850000000000001</v>
      </c>
      <c r="M96" s="64">
        <v>81.37</v>
      </c>
      <c r="N96" s="64">
        <v>22.2</v>
      </c>
      <c r="O96" s="64">
        <v>0</v>
      </c>
      <c r="P96" s="64">
        <v>2.2799999999999998</v>
      </c>
      <c r="Q96" s="64">
        <v>15.78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1583</v>
      </c>
      <c r="B97" s="64">
        <v>135.12</v>
      </c>
      <c r="C97" s="64">
        <v>71.25</v>
      </c>
      <c r="D97" s="64">
        <v>148.32</v>
      </c>
      <c r="E97" s="64">
        <v>0.56999999999999995</v>
      </c>
      <c r="F97" s="64">
        <v>3.31</v>
      </c>
      <c r="G97" s="64">
        <v>181.92</v>
      </c>
      <c r="H97" s="64">
        <v>48.89</v>
      </c>
      <c r="I97" s="64">
        <v>1.55</v>
      </c>
      <c r="J97" s="64">
        <v>0.04</v>
      </c>
      <c r="K97" s="64">
        <v>209.4</v>
      </c>
      <c r="L97" s="64">
        <v>19.52</v>
      </c>
      <c r="M97" s="64">
        <v>84.29</v>
      </c>
      <c r="N97" s="64">
        <v>21.9</v>
      </c>
      <c r="O97" s="64">
        <v>0</v>
      </c>
      <c r="P97" s="64">
        <v>2.35</v>
      </c>
      <c r="Q97" s="64">
        <v>16.350000000000001</v>
      </c>
      <c r="R97" s="198"/>
      <c r="S97" s="198"/>
      <c r="T97" s="198"/>
      <c r="U97" s="198"/>
    </row>
    <row r="98" spans="1:33" s="12" customFormat="1" x14ac:dyDescent="0.25">
      <c r="A98" s="213" t="s">
        <v>1584</v>
      </c>
      <c r="B98" s="64">
        <v>143.91</v>
      </c>
      <c r="C98" s="64">
        <v>70.05</v>
      </c>
      <c r="D98" s="64">
        <v>154.72</v>
      </c>
      <c r="E98" s="64">
        <v>0.63</v>
      </c>
      <c r="F98" s="64">
        <v>3.31</v>
      </c>
      <c r="G98" s="64">
        <v>181.92</v>
      </c>
      <c r="H98" s="64">
        <v>48.89</v>
      </c>
      <c r="I98" s="64">
        <v>1.5</v>
      </c>
      <c r="J98" s="64">
        <v>0.13</v>
      </c>
      <c r="K98" s="64">
        <v>346.61</v>
      </c>
      <c r="L98" s="64">
        <v>19.260000000000002</v>
      </c>
      <c r="M98" s="64">
        <v>88.1</v>
      </c>
      <c r="N98" s="64">
        <v>22</v>
      </c>
      <c r="O98" s="64">
        <v>0</v>
      </c>
      <c r="P98" s="64">
        <v>2.46</v>
      </c>
      <c r="Q98" s="64">
        <v>16.899999999999999</v>
      </c>
      <c r="R98" s="198"/>
      <c r="S98" s="198"/>
      <c r="T98" s="198"/>
      <c r="U98" s="198"/>
    </row>
    <row r="99" spans="1:33" s="12" customFormat="1" x14ac:dyDescent="0.25">
      <c r="A99" s="213" t="s">
        <v>1585</v>
      </c>
      <c r="B99" s="64">
        <v>155.72</v>
      </c>
      <c r="C99" s="64">
        <v>69.64</v>
      </c>
      <c r="D99" s="64">
        <v>163.95</v>
      </c>
      <c r="E99" s="64">
        <v>0.69</v>
      </c>
      <c r="F99" s="64">
        <v>3.25</v>
      </c>
      <c r="G99" s="64">
        <v>185.9</v>
      </c>
      <c r="H99" s="64">
        <v>52.16</v>
      </c>
      <c r="I99" s="64">
        <v>1.56</v>
      </c>
      <c r="J99" s="64">
        <v>0.06</v>
      </c>
      <c r="K99" s="64">
        <v>245.81</v>
      </c>
      <c r="L99" s="64">
        <v>19.2</v>
      </c>
      <c r="M99" s="64">
        <v>85.52</v>
      </c>
      <c r="N99" s="64">
        <v>22</v>
      </c>
      <c r="O99" s="64">
        <v>0</v>
      </c>
      <c r="P99" s="64">
        <v>2.56</v>
      </c>
      <c r="Q99" s="64">
        <v>17.559999999999999</v>
      </c>
      <c r="R99" s="198"/>
      <c r="S99" s="198"/>
      <c r="T99" s="198"/>
      <c r="U99" s="198"/>
    </row>
    <row r="100" spans="1:33" s="12" customFormat="1" x14ac:dyDescent="0.25">
      <c r="A100" s="213" t="s">
        <v>1586</v>
      </c>
      <c r="B100" s="64">
        <v>164.44</v>
      </c>
      <c r="C100" s="64">
        <v>70.67</v>
      </c>
      <c r="D100" s="64">
        <v>171.51</v>
      </c>
      <c r="E100" s="64">
        <v>0.66</v>
      </c>
      <c r="F100" s="64">
        <v>3.11</v>
      </c>
      <c r="G100" s="64">
        <v>198.97</v>
      </c>
      <c r="H100" s="64">
        <v>59.87</v>
      </c>
      <c r="I100" s="64">
        <v>1.48</v>
      </c>
      <c r="J100" s="64">
        <v>0.1</v>
      </c>
      <c r="K100" s="64">
        <v>276.08</v>
      </c>
      <c r="L100" s="64">
        <v>19.09</v>
      </c>
      <c r="M100" s="64">
        <v>86.38</v>
      </c>
      <c r="N100" s="64">
        <v>21.9</v>
      </c>
      <c r="O100" s="64">
        <v>0</v>
      </c>
      <c r="P100" s="64">
        <v>2.5099999999999998</v>
      </c>
      <c r="Q100" s="64">
        <v>18.399999999999999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1587</v>
      </c>
      <c r="B101" s="64">
        <v>168.23</v>
      </c>
      <c r="C101" s="64">
        <v>71.489999999999995</v>
      </c>
      <c r="D101" s="64">
        <v>175.01</v>
      </c>
      <c r="E101" s="64">
        <v>0.76</v>
      </c>
      <c r="F101" s="64">
        <v>2.97</v>
      </c>
      <c r="G101" s="64">
        <v>198.97</v>
      </c>
      <c r="H101" s="64">
        <v>59.87</v>
      </c>
      <c r="I101" s="64">
        <v>1.55</v>
      </c>
      <c r="J101" s="64">
        <v>0.06</v>
      </c>
      <c r="K101" s="64">
        <v>301.36</v>
      </c>
      <c r="L101" s="64">
        <v>19.010000000000002</v>
      </c>
      <c r="M101" s="64">
        <v>87.29</v>
      </c>
      <c r="N101" s="64">
        <v>21.8</v>
      </c>
      <c r="O101" s="64">
        <v>0</v>
      </c>
      <c r="P101" s="64">
        <v>2.5099999999999998</v>
      </c>
      <c r="Q101" s="64">
        <v>19.03</v>
      </c>
      <c r="R101" s="198"/>
      <c r="S101" s="198"/>
      <c r="T101" s="198"/>
      <c r="U101" s="198"/>
    </row>
    <row r="102" spans="1:33" s="12" customFormat="1" x14ac:dyDescent="0.25">
      <c r="A102" s="213" t="s">
        <v>1588</v>
      </c>
      <c r="B102" s="64">
        <v>169.82</v>
      </c>
      <c r="C102" s="64">
        <v>71.91</v>
      </c>
      <c r="D102" s="64">
        <v>176.51</v>
      </c>
      <c r="E102" s="64">
        <v>0.76</v>
      </c>
      <c r="F102" s="64">
        <v>3.28</v>
      </c>
      <c r="G102" s="64">
        <v>198.97</v>
      </c>
      <c r="H102" s="64">
        <v>59.87</v>
      </c>
      <c r="I102" s="64">
        <v>1.5</v>
      </c>
      <c r="J102" s="64">
        <v>0.14000000000000001</v>
      </c>
      <c r="K102" s="64">
        <v>303.87</v>
      </c>
      <c r="L102" s="64">
        <v>18.89</v>
      </c>
      <c r="M102" s="64">
        <v>87.77</v>
      </c>
      <c r="N102" s="64">
        <v>22</v>
      </c>
      <c r="O102" s="64">
        <v>0</v>
      </c>
      <c r="P102" s="64">
        <v>2.56</v>
      </c>
      <c r="Q102" s="64">
        <v>19.32</v>
      </c>
      <c r="R102" s="198"/>
      <c r="S102" s="198"/>
      <c r="T102" s="198"/>
      <c r="U102" s="198"/>
    </row>
    <row r="103" spans="1:33" s="12" customFormat="1" x14ac:dyDescent="0.25">
      <c r="A103" s="213" t="s">
        <v>1589</v>
      </c>
      <c r="B103" s="64">
        <v>172.34</v>
      </c>
      <c r="C103" s="64">
        <v>72.98</v>
      </c>
      <c r="D103" s="64">
        <v>179.12</v>
      </c>
      <c r="E103" s="64">
        <v>0.84</v>
      </c>
      <c r="F103" s="64">
        <v>2.89</v>
      </c>
      <c r="G103" s="64">
        <v>187.07</v>
      </c>
      <c r="H103" s="64">
        <v>58.77</v>
      </c>
      <c r="I103" s="64">
        <v>1.42</v>
      </c>
      <c r="J103" s="64">
        <v>0.1</v>
      </c>
      <c r="K103" s="64">
        <v>309.58999999999997</v>
      </c>
      <c r="L103" s="64">
        <v>18.649999999999999</v>
      </c>
      <c r="M103" s="64">
        <v>81.819999999999993</v>
      </c>
      <c r="N103" s="64">
        <v>22.1</v>
      </c>
      <c r="O103" s="64">
        <v>0</v>
      </c>
      <c r="P103" s="64">
        <v>2.61</v>
      </c>
      <c r="Q103" s="64">
        <v>19.38</v>
      </c>
      <c r="R103" s="198"/>
      <c r="S103" s="198"/>
      <c r="T103" s="198"/>
      <c r="U103" s="198"/>
    </row>
    <row r="104" spans="1:33" s="12" customFormat="1" x14ac:dyDescent="0.25">
      <c r="A104" s="213" t="s">
        <v>1590</v>
      </c>
      <c r="B104" s="64">
        <v>172.14</v>
      </c>
      <c r="C104" s="64">
        <v>73.540000000000006</v>
      </c>
      <c r="D104" s="64">
        <v>179.27</v>
      </c>
      <c r="E104" s="64">
        <v>0.24</v>
      </c>
      <c r="F104" s="64">
        <v>2.99</v>
      </c>
      <c r="G104" s="64">
        <v>147.97</v>
      </c>
      <c r="H104" s="64">
        <v>53.6</v>
      </c>
      <c r="I104" s="64">
        <v>1.37</v>
      </c>
      <c r="J104" s="64">
        <v>0.04</v>
      </c>
      <c r="K104" s="64">
        <v>251.27</v>
      </c>
      <c r="L104" s="64">
        <v>18.71</v>
      </c>
      <c r="M104" s="64">
        <v>81.93</v>
      </c>
      <c r="N104" s="64">
        <v>21.8</v>
      </c>
      <c r="O104" s="64">
        <v>0</v>
      </c>
      <c r="P104" s="64">
        <v>2.58</v>
      </c>
      <c r="Q104" s="64">
        <v>19.440000000000001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2.5499999999999998</v>
      </c>
      <c r="C106" s="67">
        <f>MIN(C9:C104)</f>
        <v>53.55</v>
      </c>
      <c r="D106" s="67">
        <f t="shared" ref="D106:Q106" si="0">MIN(D9:D104)</f>
        <v>34.69</v>
      </c>
      <c r="E106" s="67">
        <f t="shared" si="0"/>
        <v>0.09</v>
      </c>
      <c r="F106" s="67">
        <f t="shared" si="0"/>
        <v>2.58</v>
      </c>
      <c r="G106" s="67">
        <f t="shared" si="0"/>
        <v>26.04</v>
      </c>
      <c r="H106" s="67">
        <f t="shared" si="0"/>
        <v>9.57</v>
      </c>
      <c r="I106" s="67">
        <f t="shared" si="0"/>
        <v>1.37</v>
      </c>
      <c r="J106" s="67">
        <f t="shared" si="0"/>
        <v>0</v>
      </c>
      <c r="K106" s="67">
        <f t="shared" si="0"/>
        <v>0.42</v>
      </c>
      <c r="L106" s="67">
        <f t="shared" si="0"/>
        <v>15.99</v>
      </c>
      <c r="M106" s="67">
        <f t="shared" si="0"/>
        <v>28.78</v>
      </c>
      <c r="N106" s="67">
        <f t="shared" si="0"/>
        <v>21.1</v>
      </c>
      <c r="O106" s="67">
        <f t="shared" si="0"/>
        <v>0</v>
      </c>
      <c r="P106" s="67">
        <f t="shared" si="0"/>
        <v>0.53</v>
      </c>
      <c r="Q106" s="67">
        <f t="shared" si="0"/>
        <v>6.08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172.34</v>
      </c>
      <c r="C107" s="66">
        <f t="shared" ref="C107:Q107" si="1">MAX(C9:C104)</f>
        <v>73.88</v>
      </c>
      <c r="D107" s="66">
        <f t="shared" si="1"/>
        <v>179.27</v>
      </c>
      <c r="E107" s="66">
        <f t="shared" si="1"/>
        <v>0.84</v>
      </c>
      <c r="F107" s="66">
        <f t="shared" si="1"/>
        <v>5.34</v>
      </c>
      <c r="G107" s="66">
        <f t="shared" si="1"/>
        <v>198.97</v>
      </c>
      <c r="H107" s="66">
        <f t="shared" si="1"/>
        <v>59.87</v>
      </c>
      <c r="I107" s="66">
        <f t="shared" si="1"/>
        <v>1.61</v>
      </c>
      <c r="J107" s="66">
        <f t="shared" si="1"/>
        <v>0.66</v>
      </c>
      <c r="K107" s="66">
        <f t="shared" si="1"/>
        <v>359.92</v>
      </c>
      <c r="L107" s="66">
        <f t="shared" si="1"/>
        <v>30.74</v>
      </c>
      <c r="M107" s="66">
        <f t="shared" si="1"/>
        <v>100.33</v>
      </c>
      <c r="N107" s="66">
        <f t="shared" si="1"/>
        <v>811.4</v>
      </c>
      <c r="O107" s="66">
        <f t="shared" si="1"/>
        <v>0</v>
      </c>
      <c r="P107" s="66">
        <f t="shared" si="1"/>
        <v>2.61</v>
      </c>
      <c r="Q107" s="66">
        <f t="shared" si="1"/>
        <v>19.440000000000001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60.108541666666646</v>
      </c>
      <c r="C108" s="67">
        <f t="shared" ref="C108:Q108" si="2">AVERAGE(C9:C104)</f>
        <v>64.488645833333322</v>
      </c>
      <c r="D108" s="67">
        <f t="shared" si="2"/>
        <v>84.438020833333368</v>
      </c>
      <c r="E108" s="67">
        <f t="shared" si="2"/>
        <v>0.2848958333333334</v>
      </c>
      <c r="F108" s="67">
        <f t="shared" si="2"/>
        <v>3.4569791666666663</v>
      </c>
      <c r="G108" s="67">
        <f t="shared" si="2"/>
        <v>86.997604166666704</v>
      </c>
      <c r="H108" s="67">
        <f t="shared" si="2"/>
        <v>30.766666666666669</v>
      </c>
      <c r="I108" s="67">
        <f t="shared" si="2"/>
        <v>1.501354166666667</v>
      </c>
      <c r="J108" s="67">
        <f t="shared" si="2"/>
        <v>0.17333333333333337</v>
      </c>
      <c r="K108" s="67">
        <f t="shared" si="2"/>
        <v>242.92562499999997</v>
      </c>
      <c r="L108" s="67">
        <f t="shared" si="2"/>
        <v>22.333854166666669</v>
      </c>
      <c r="M108" s="67">
        <f t="shared" si="2"/>
        <v>64.558437500000025</v>
      </c>
      <c r="N108" s="67">
        <f t="shared" si="2"/>
        <v>220.25520833333337</v>
      </c>
      <c r="O108" s="67">
        <f t="shared" si="2"/>
        <v>0</v>
      </c>
      <c r="P108" s="67">
        <f t="shared" si="2"/>
        <v>1.2147916666666663</v>
      </c>
      <c r="Q108" s="67">
        <f t="shared" si="2"/>
        <v>11.027812500000001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47.300370844861305</v>
      </c>
      <c r="C109" s="67">
        <f t="shared" ref="C109:Q109" si="3">STDEV(C9:C104)</f>
        <v>5.5802470459916247</v>
      </c>
      <c r="D109" s="67">
        <f t="shared" si="3"/>
        <v>39.360942158701022</v>
      </c>
      <c r="E109" s="67">
        <f t="shared" si="3"/>
        <v>0.16515380258647352</v>
      </c>
      <c r="F109" s="67">
        <f t="shared" si="3"/>
        <v>0.56999745113311828</v>
      </c>
      <c r="G109" s="67">
        <f t="shared" si="3"/>
        <v>44.80589918267431</v>
      </c>
      <c r="H109" s="67">
        <f t="shared" si="3"/>
        <v>12.173138735209816</v>
      </c>
      <c r="I109" s="67">
        <f t="shared" si="3"/>
        <v>4.5736540537636657E-2</v>
      </c>
      <c r="J109" s="67">
        <f t="shared" si="3"/>
        <v>0.14953729805226476</v>
      </c>
      <c r="K109" s="67">
        <f t="shared" si="3"/>
        <v>113.37327707795491</v>
      </c>
      <c r="L109" s="67">
        <f t="shared" si="3"/>
        <v>4.9412409201677345</v>
      </c>
      <c r="M109" s="67">
        <f t="shared" si="3"/>
        <v>26.021667260315482</v>
      </c>
      <c r="N109" s="67">
        <f t="shared" si="3"/>
        <v>241.72375876511398</v>
      </c>
      <c r="O109" s="67">
        <f t="shared" si="3"/>
        <v>0</v>
      </c>
      <c r="P109" s="67">
        <f t="shared" si="3"/>
        <v>0.60592161933036393</v>
      </c>
      <c r="Q109" s="67">
        <f t="shared" si="3"/>
        <v>3.5872015784555078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11" sqref="E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1591</v>
      </c>
      <c r="B9" s="64">
        <v>168.32</v>
      </c>
      <c r="C9" s="64">
        <v>73.97</v>
      </c>
      <c r="D9" s="64">
        <v>176.45</v>
      </c>
      <c r="E9" s="64">
        <v>0.35</v>
      </c>
      <c r="F9" s="64">
        <v>3.33</v>
      </c>
      <c r="G9" s="64">
        <v>147.97</v>
      </c>
      <c r="H9" s="64">
        <v>53.6</v>
      </c>
      <c r="I9" s="64">
        <v>1.54</v>
      </c>
      <c r="J9" s="64">
        <v>0.05</v>
      </c>
      <c r="K9" s="64">
        <v>309.17</v>
      </c>
      <c r="L9" s="64">
        <v>18.62</v>
      </c>
      <c r="M9" s="64">
        <v>86.68</v>
      </c>
      <c r="N9" s="64">
        <v>22</v>
      </c>
      <c r="O9" s="64">
        <v>0</v>
      </c>
      <c r="P9" s="64">
        <v>2.52</v>
      </c>
      <c r="Q9" s="64">
        <v>19.239999999999998</v>
      </c>
      <c r="R9" s="198"/>
      <c r="S9" s="198"/>
      <c r="T9" s="198"/>
      <c r="U9" s="198"/>
    </row>
    <row r="10" spans="1:21" s="12" customFormat="1" x14ac:dyDescent="0.25">
      <c r="A10" s="213" t="s">
        <v>1592</v>
      </c>
      <c r="B10" s="64">
        <v>163.22999999999999</v>
      </c>
      <c r="C10" s="64">
        <v>74.42</v>
      </c>
      <c r="D10" s="64">
        <v>172.61</v>
      </c>
      <c r="E10" s="64">
        <v>0.41</v>
      </c>
      <c r="F10" s="64">
        <v>3.52</v>
      </c>
      <c r="G10" s="64">
        <v>147.97</v>
      </c>
      <c r="H10" s="64">
        <v>53.6</v>
      </c>
      <c r="I10" s="64">
        <v>1.53</v>
      </c>
      <c r="J10" s="64">
        <v>0.25</v>
      </c>
      <c r="K10" s="64">
        <v>177.45</v>
      </c>
      <c r="L10" s="64">
        <v>19.03</v>
      </c>
      <c r="M10" s="64">
        <v>81.66</v>
      </c>
      <c r="N10" s="64">
        <v>21.2</v>
      </c>
      <c r="O10" s="64">
        <v>0</v>
      </c>
      <c r="P10" s="64">
        <v>2.44</v>
      </c>
      <c r="Q10" s="64">
        <v>18.920000000000002</v>
      </c>
      <c r="R10" s="198"/>
      <c r="S10" s="198"/>
      <c r="T10" s="198"/>
      <c r="U10" s="198"/>
    </row>
    <row r="11" spans="1:21" s="12" customFormat="1" x14ac:dyDescent="0.25">
      <c r="A11" s="213" t="s">
        <v>1593</v>
      </c>
      <c r="B11" s="64">
        <v>156.19999999999999</v>
      </c>
      <c r="C11" s="64">
        <v>74.23</v>
      </c>
      <c r="D11" s="64">
        <v>166.87</v>
      </c>
      <c r="E11" s="64">
        <v>0.47</v>
      </c>
      <c r="F11" s="64">
        <v>3.41</v>
      </c>
      <c r="G11" s="64">
        <v>128.44999999999999</v>
      </c>
      <c r="H11" s="64">
        <v>48.54</v>
      </c>
      <c r="I11" s="64">
        <v>1.55</v>
      </c>
      <c r="J11" s="64">
        <v>0.1</v>
      </c>
      <c r="K11" s="64">
        <v>203.06</v>
      </c>
      <c r="L11" s="64">
        <v>19.190000000000001</v>
      </c>
      <c r="M11" s="64">
        <v>76.19</v>
      </c>
      <c r="N11" s="64">
        <v>21.9</v>
      </c>
      <c r="O11" s="64">
        <v>0</v>
      </c>
      <c r="P11" s="64">
        <v>2.34</v>
      </c>
      <c r="Q11" s="64">
        <v>18.39</v>
      </c>
      <c r="R11" s="198"/>
      <c r="S11" s="198"/>
      <c r="T11" s="198"/>
      <c r="U11" s="198"/>
    </row>
    <row r="12" spans="1:21" s="12" customFormat="1" x14ac:dyDescent="0.25">
      <c r="A12" s="213" t="s">
        <v>1594</v>
      </c>
      <c r="B12" s="64">
        <v>148.99</v>
      </c>
      <c r="C12" s="64">
        <v>74.81</v>
      </c>
      <c r="D12" s="64">
        <v>161.41</v>
      </c>
      <c r="E12" s="64">
        <v>0.56000000000000005</v>
      </c>
      <c r="F12" s="64">
        <v>3.36</v>
      </c>
      <c r="G12" s="64">
        <v>64.31</v>
      </c>
      <c r="H12" s="64">
        <v>36.909999999999997</v>
      </c>
      <c r="I12" s="64">
        <v>1.55</v>
      </c>
      <c r="J12" s="64">
        <v>0.09</v>
      </c>
      <c r="K12" s="64">
        <v>155.65</v>
      </c>
      <c r="L12" s="64">
        <v>19.3</v>
      </c>
      <c r="M12" s="64">
        <v>70.47</v>
      </c>
      <c r="N12" s="64">
        <v>22</v>
      </c>
      <c r="O12" s="64">
        <v>0</v>
      </c>
      <c r="P12" s="64">
        <v>2.2400000000000002</v>
      </c>
      <c r="Q12" s="64">
        <v>17.829999999999998</v>
      </c>
      <c r="R12" s="198"/>
      <c r="S12" s="198"/>
      <c r="T12" s="198"/>
      <c r="U12" s="198"/>
    </row>
    <row r="13" spans="1:21" s="12" customFormat="1" x14ac:dyDescent="0.25">
      <c r="A13" s="213" t="s">
        <v>1595</v>
      </c>
      <c r="B13" s="64">
        <v>141.63</v>
      </c>
      <c r="C13" s="64">
        <v>75.62</v>
      </c>
      <c r="D13" s="64">
        <v>155.96</v>
      </c>
      <c r="E13" s="64">
        <v>0.49</v>
      </c>
      <c r="F13" s="64">
        <v>3.5</v>
      </c>
      <c r="G13" s="64">
        <v>64.31</v>
      </c>
      <c r="H13" s="64">
        <v>36.909999999999997</v>
      </c>
      <c r="I13" s="64">
        <v>1.61</v>
      </c>
      <c r="J13" s="64">
        <v>7.0000000000000007E-2</v>
      </c>
      <c r="K13" s="64">
        <v>359.79</v>
      </c>
      <c r="L13" s="64">
        <v>19</v>
      </c>
      <c r="M13" s="64">
        <v>70.81</v>
      </c>
      <c r="N13" s="64">
        <v>22.3</v>
      </c>
      <c r="O13" s="64">
        <v>0</v>
      </c>
      <c r="P13" s="64">
        <v>1.83</v>
      </c>
      <c r="Q13" s="64">
        <v>17.34</v>
      </c>
      <c r="R13" s="198"/>
      <c r="S13" s="198"/>
      <c r="T13" s="198"/>
      <c r="U13" s="198"/>
    </row>
    <row r="14" spans="1:21" s="12" customFormat="1" x14ac:dyDescent="0.25">
      <c r="A14" s="213" t="s">
        <v>1596</v>
      </c>
      <c r="B14" s="64">
        <v>134.61000000000001</v>
      </c>
      <c r="C14" s="64">
        <v>76.489999999999995</v>
      </c>
      <c r="D14" s="64">
        <v>150.81</v>
      </c>
      <c r="E14" s="64">
        <v>0.55000000000000004</v>
      </c>
      <c r="F14" s="64">
        <v>3.26</v>
      </c>
      <c r="G14" s="64">
        <v>64.31</v>
      </c>
      <c r="H14" s="64">
        <v>36.909999999999997</v>
      </c>
      <c r="I14" s="64">
        <v>1.63</v>
      </c>
      <c r="J14" s="64">
        <v>0.06</v>
      </c>
      <c r="K14" s="64">
        <v>282.57</v>
      </c>
      <c r="L14" s="64">
        <v>18.649999999999999</v>
      </c>
      <c r="M14" s="64">
        <v>74.459999999999994</v>
      </c>
      <c r="N14" s="64">
        <v>22.4</v>
      </c>
      <c r="O14" s="64">
        <v>0</v>
      </c>
      <c r="P14" s="64">
        <v>1.82</v>
      </c>
      <c r="Q14" s="64">
        <v>16.84</v>
      </c>
      <c r="R14" s="198"/>
      <c r="S14" s="198"/>
      <c r="T14" s="198"/>
      <c r="U14" s="198"/>
    </row>
    <row r="15" spans="1:21" s="12" customFormat="1" x14ac:dyDescent="0.25">
      <c r="A15" s="213" t="s">
        <v>1597</v>
      </c>
      <c r="B15" s="64">
        <v>128.15</v>
      </c>
      <c r="C15" s="64">
        <v>77.44</v>
      </c>
      <c r="D15" s="64">
        <v>146.15</v>
      </c>
      <c r="E15" s="64">
        <v>0.51</v>
      </c>
      <c r="F15" s="64">
        <v>3.06</v>
      </c>
      <c r="G15" s="64">
        <v>60.87</v>
      </c>
      <c r="H15" s="64">
        <v>33.74</v>
      </c>
      <c r="I15" s="64">
        <v>1.5</v>
      </c>
      <c r="J15" s="64">
        <v>0.17</v>
      </c>
      <c r="K15" s="64">
        <v>325.94</v>
      </c>
      <c r="L15" s="64">
        <v>18.43</v>
      </c>
      <c r="M15" s="64">
        <v>80.260000000000005</v>
      </c>
      <c r="N15" s="64">
        <v>22.3</v>
      </c>
      <c r="O15" s="64">
        <v>0</v>
      </c>
      <c r="P15" s="64">
        <v>1.73</v>
      </c>
      <c r="Q15" s="64">
        <v>16.27</v>
      </c>
      <c r="R15" s="198"/>
      <c r="S15" s="198"/>
      <c r="T15" s="198"/>
      <c r="U15" s="198"/>
    </row>
    <row r="16" spans="1:21" s="12" customFormat="1" x14ac:dyDescent="0.25">
      <c r="A16" s="213" t="s">
        <v>1598</v>
      </c>
      <c r="B16" s="64">
        <v>122.53</v>
      </c>
      <c r="C16" s="64">
        <v>78.47</v>
      </c>
      <c r="D16" s="64">
        <v>142.21</v>
      </c>
      <c r="E16" s="64">
        <v>0.51</v>
      </c>
      <c r="F16" s="64">
        <v>3.19</v>
      </c>
      <c r="G16" s="64">
        <v>48.81</v>
      </c>
      <c r="H16" s="64">
        <v>26.28</v>
      </c>
      <c r="I16" s="64">
        <v>1.52</v>
      </c>
      <c r="J16" s="64">
        <v>0.14000000000000001</v>
      </c>
      <c r="K16" s="64">
        <v>335.43</v>
      </c>
      <c r="L16" s="64">
        <v>18.07</v>
      </c>
      <c r="M16" s="64">
        <v>80.72</v>
      </c>
      <c r="N16" s="64">
        <v>22.3</v>
      </c>
      <c r="O16" s="64">
        <v>0</v>
      </c>
      <c r="P16" s="64">
        <v>1.65</v>
      </c>
      <c r="Q16" s="64">
        <v>15.92</v>
      </c>
      <c r="R16" s="198"/>
      <c r="S16" s="198"/>
      <c r="T16" s="198"/>
      <c r="U16" s="198"/>
    </row>
    <row r="17" spans="1:21" s="12" customFormat="1" x14ac:dyDescent="0.25">
      <c r="A17" s="213" t="s">
        <v>1599</v>
      </c>
      <c r="B17" s="64">
        <v>117.56</v>
      </c>
      <c r="C17" s="64">
        <v>79.3</v>
      </c>
      <c r="D17" s="64">
        <v>138.68</v>
      </c>
      <c r="E17" s="64">
        <v>0.51</v>
      </c>
      <c r="F17" s="64">
        <v>3.35</v>
      </c>
      <c r="G17" s="64">
        <v>48.81</v>
      </c>
      <c r="H17" s="64">
        <v>26.28</v>
      </c>
      <c r="I17" s="64">
        <v>1.51</v>
      </c>
      <c r="J17" s="64">
        <v>0.1</v>
      </c>
      <c r="K17" s="64">
        <v>155.72</v>
      </c>
      <c r="L17" s="64">
        <v>18.12</v>
      </c>
      <c r="M17" s="64">
        <v>78.349999999999994</v>
      </c>
      <c r="N17" s="64">
        <v>22</v>
      </c>
      <c r="O17" s="64">
        <v>0</v>
      </c>
      <c r="P17" s="64">
        <v>1.56</v>
      </c>
      <c r="Q17" s="64">
        <v>15.51</v>
      </c>
      <c r="R17" s="198"/>
      <c r="S17" s="198"/>
      <c r="T17" s="198"/>
      <c r="U17" s="198"/>
    </row>
    <row r="18" spans="1:21" s="12" customFormat="1" x14ac:dyDescent="0.25">
      <c r="A18" s="213" t="s">
        <v>1600</v>
      </c>
      <c r="B18" s="64">
        <v>112.66</v>
      </c>
      <c r="C18" s="64">
        <v>80.400000000000006</v>
      </c>
      <c r="D18" s="64">
        <v>135.36000000000001</v>
      </c>
      <c r="E18" s="64">
        <v>0.56999999999999995</v>
      </c>
      <c r="F18" s="64">
        <v>3.74</v>
      </c>
      <c r="G18" s="64">
        <v>48.81</v>
      </c>
      <c r="H18" s="64">
        <v>26.28</v>
      </c>
      <c r="I18" s="64">
        <v>1.5</v>
      </c>
      <c r="J18" s="64">
        <v>0.03</v>
      </c>
      <c r="K18" s="64">
        <v>263.31</v>
      </c>
      <c r="L18" s="64">
        <v>18.27</v>
      </c>
      <c r="M18" s="64">
        <v>82.25</v>
      </c>
      <c r="N18" s="64">
        <v>22.3</v>
      </c>
      <c r="O18" s="64">
        <v>0</v>
      </c>
      <c r="P18" s="64">
        <v>1.49</v>
      </c>
      <c r="Q18" s="64">
        <v>15.04</v>
      </c>
      <c r="R18" s="198"/>
      <c r="S18" s="198"/>
      <c r="T18" s="198"/>
      <c r="U18" s="198"/>
    </row>
    <row r="19" spans="1:21" s="12" customFormat="1" x14ac:dyDescent="0.25">
      <c r="A19" s="213" t="s">
        <v>1601</v>
      </c>
      <c r="B19" s="64">
        <v>108.43</v>
      </c>
      <c r="C19" s="64">
        <v>80.17</v>
      </c>
      <c r="D19" s="64">
        <v>131.84</v>
      </c>
      <c r="E19" s="64">
        <v>0.6</v>
      </c>
      <c r="F19" s="64">
        <v>3.19</v>
      </c>
      <c r="G19" s="64">
        <v>50.58</v>
      </c>
      <c r="H19" s="64">
        <v>25.12</v>
      </c>
      <c r="I19" s="64">
        <v>1.48</v>
      </c>
      <c r="J19" s="64">
        <v>0.09</v>
      </c>
      <c r="K19" s="64">
        <v>227.81</v>
      </c>
      <c r="L19" s="64">
        <v>18.03</v>
      </c>
      <c r="M19" s="64">
        <v>81.72</v>
      </c>
      <c r="N19" s="64">
        <v>22.3</v>
      </c>
      <c r="O19" s="64">
        <v>0</v>
      </c>
      <c r="P19" s="64">
        <v>1.41</v>
      </c>
      <c r="Q19" s="64">
        <v>14.8</v>
      </c>
      <c r="R19" s="198"/>
      <c r="S19" s="198"/>
      <c r="T19" s="198"/>
      <c r="U19" s="198"/>
    </row>
    <row r="20" spans="1:21" s="12" customFormat="1" x14ac:dyDescent="0.25">
      <c r="A20" s="213" t="s">
        <v>1602</v>
      </c>
      <c r="B20" s="64">
        <v>105.36</v>
      </c>
      <c r="C20" s="64">
        <v>59.27</v>
      </c>
      <c r="D20" s="64">
        <v>117.85</v>
      </c>
      <c r="E20" s="64">
        <v>0.37</v>
      </c>
      <c r="F20" s="64">
        <v>3.61</v>
      </c>
      <c r="G20" s="64">
        <v>56.75</v>
      </c>
      <c r="H20" s="64">
        <v>22.4</v>
      </c>
      <c r="I20" s="64">
        <v>1.56</v>
      </c>
      <c r="J20" s="64">
        <v>0.08</v>
      </c>
      <c r="K20" s="64">
        <v>257.41000000000003</v>
      </c>
      <c r="L20" s="64">
        <v>17.97</v>
      </c>
      <c r="M20" s="64">
        <v>81.41</v>
      </c>
      <c r="N20" s="64">
        <v>22.3</v>
      </c>
      <c r="O20" s="64">
        <v>0</v>
      </c>
      <c r="P20" s="64">
        <v>1.34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3" t="s">
        <v>1603</v>
      </c>
      <c r="B21" s="64">
        <v>101.77</v>
      </c>
      <c r="C21" s="64">
        <v>60.98</v>
      </c>
      <c r="D21" s="64">
        <v>115.91</v>
      </c>
      <c r="E21" s="64">
        <v>0.21</v>
      </c>
      <c r="F21" s="64">
        <v>3.08</v>
      </c>
      <c r="G21" s="64">
        <v>56.75</v>
      </c>
      <c r="H21" s="64">
        <v>22.4</v>
      </c>
      <c r="I21" s="64">
        <v>1.52</v>
      </c>
      <c r="J21" s="64">
        <v>0.09</v>
      </c>
      <c r="K21" s="64">
        <v>293.2</v>
      </c>
      <c r="L21" s="64">
        <v>17.739999999999998</v>
      </c>
      <c r="M21" s="64">
        <v>85.62</v>
      </c>
      <c r="N21" s="64">
        <v>22.3</v>
      </c>
      <c r="O21" s="64">
        <v>0</v>
      </c>
      <c r="P21" s="64">
        <v>1.3</v>
      </c>
      <c r="Q21" s="64">
        <v>0</v>
      </c>
      <c r="R21" s="198"/>
      <c r="S21" s="198"/>
      <c r="T21" s="198"/>
      <c r="U21" s="198"/>
    </row>
    <row r="22" spans="1:21" s="12" customFormat="1" x14ac:dyDescent="0.25">
      <c r="A22" s="213" t="s">
        <v>1604</v>
      </c>
      <c r="B22" s="64">
        <v>99.2</v>
      </c>
      <c r="C22" s="64">
        <v>73.56</v>
      </c>
      <c r="D22" s="64">
        <v>120.8</v>
      </c>
      <c r="E22" s="64">
        <v>0.13</v>
      </c>
      <c r="F22" s="64">
        <v>2.88</v>
      </c>
      <c r="G22" s="64">
        <v>56.75</v>
      </c>
      <c r="H22" s="64">
        <v>22.4</v>
      </c>
      <c r="I22" s="64">
        <v>1.52</v>
      </c>
      <c r="J22" s="64">
        <v>0.09</v>
      </c>
      <c r="K22" s="64">
        <v>253.89</v>
      </c>
      <c r="L22" s="64">
        <v>17.62</v>
      </c>
      <c r="M22" s="64">
        <v>85.65</v>
      </c>
      <c r="N22" s="64">
        <v>22.1</v>
      </c>
      <c r="O22" s="64">
        <v>0</v>
      </c>
      <c r="P22" s="64">
        <v>1.24</v>
      </c>
      <c r="Q22" s="64">
        <v>2.02</v>
      </c>
      <c r="R22" s="198"/>
      <c r="S22" s="198"/>
      <c r="T22" s="198"/>
      <c r="U22" s="198"/>
    </row>
    <row r="23" spans="1:21" s="12" customFormat="1" x14ac:dyDescent="0.25">
      <c r="A23" s="213" t="s">
        <v>1605</v>
      </c>
      <c r="B23" s="64">
        <v>97.29</v>
      </c>
      <c r="C23" s="64">
        <v>74.709999999999994</v>
      </c>
      <c r="D23" s="64">
        <v>119.89</v>
      </c>
      <c r="E23" s="64">
        <v>0.05</v>
      </c>
      <c r="F23" s="64">
        <v>2.81</v>
      </c>
      <c r="G23" s="64">
        <v>58.73</v>
      </c>
      <c r="H23" s="64">
        <v>22.99</v>
      </c>
      <c r="I23" s="64">
        <v>1.5</v>
      </c>
      <c r="J23" s="64">
        <v>0.12</v>
      </c>
      <c r="K23" s="64">
        <v>244.91</v>
      </c>
      <c r="L23" s="64">
        <v>17.78</v>
      </c>
      <c r="M23" s="64">
        <v>84.36</v>
      </c>
      <c r="N23" s="64">
        <v>22</v>
      </c>
      <c r="O23" s="64">
        <v>0</v>
      </c>
      <c r="P23" s="64">
        <v>1.18</v>
      </c>
      <c r="Q23" s="64">
        <v>6.41</v>
      </c>
      <c r="R23" s="198"/>
      <c r="S23" s="198"/>
      <c r="T23" s="198"/>
      <c r="U23" s="198"/>
    </row>
    <row r="24" spans="1:21" s="12" customFormat="1" x14ac:dyDescent="0.25">
      <c r="A24" s="213" t="s">
        <v>1606</v>
      </c>
      <c r="B24" s="64">
        <v>95.98</v>
      </c>
      <c r="C24" s="64">
        <v>73.400000000000006</v>
      </c>
      <c r="D24" s="64">
        <v>118.12</v>
      </c>
      <c r="E24" s="64">
        <v>0.2</v>
      </c>
      <c r="F24" s="64">
        <v>2.73</v>
      </c>
      <c r="G24" s="64">
        <v>65.680000000000007</v>
      </c>
      <c r="H24" s="64">
        <v>25.55</v>
      </c>
      <c r="I24" s="64">
        <v>1.56</v>
      </c>
      <c r="J24" s="64">
        <v>0.15</v>
      </c>
      <c r="K24" s="64">
        <v>321.56</v>
      </c>
      <c r="L24" s="64">
        <v>17.62</v>
      </c>
      <c r="M24" s="64">
        <v>87.42</v>
      </c>
      <c r="N24" s="64">
        <v>22.2</v>
      </c>
      <c r="O24" s="64">
        <v>0</v>
      </c>
      <c r="P24" s="64">
        <v>1.1399999999999999</v>
      </c>
      <c r="Q24" s="64">
        <v>8.34</v>
      </c>
      <c r="R24" s="198"/>
      <c r="S24" s="198"/>
      <c r="T24" s="198"/>
      <c r="U24" s="198"/>
    </row>
    <row r="25" spans="1:21" s="12" customFormat="1" x14ac:dyDescent="0.25">
      <c r="A25" s="213" t="s">
        <v>1607</v>
      </c>
      <c r="B25" s="64">
        <v>95.59</v>
      </c>
      <c r="C25" s="64">
        <v>71.41</v>
      </c>
      <c r="D25" s="64">
        <v>116.71</v>
      </c>
      <c r="E25" s="64">
        <v>0.39</v>
      </c>
      <c r="F25" s="64">
        <v>3.12</v>
      </c>
      <c r="G25" s="64">
        <v>65.680000000000007</v>
      </c>
      <c r="H25" s="64">
        <v>25.55</v>
      </c>
      <c r="I25" s="64">
        <v>1.47</v>
      </c>
      <c r="J25" s="64">
        <v>0.12</v>
      </c>
      <c r="K25" s="64">
        <v>242.52</v>
      </c>
      <c r="L25" s="64">
        <v>17.46</v>
      </c>
      <c r="M25" s="64">
        <v>87.39</v>
      </c>
      <c r="N25" s="64">
        <v>22.1</v>
      </c>
      <c r="O25" s="64">
        <v>0</v>
      </c>
      <c r="P25" s="64">
        <v>1.1000000000000001</v>
      </c>
      <c r="Q25" s="64">
        <v>9.75</v>
      </c>
      <c r="R25" s="198"/>
      <c r="S25" s="198"/>
      <c r="T25" s="198"/>
      <c r="U25" s="198"/>
    </row>
    <row r="26" spans="1:21" s="12" customFormat="1" x14ac:dyDescent="0.25">
      <c r="A26" s="213" t="s">
        <v>1608</v>
      </c>
      <c r="B26" s="64">
        <v>94.31</v>
      </c>
      <c r="C26" s="64">
        <v>69.63</v>
      </c>
      <c r="D26" s="64">
        <v>114.7</v>
      </c>
      <c r="E26" s="64">
        <v>0.46</v>
      </c>
      <c r="F26" s="64">
        <v>3.38</v>
      </c>
      <c r="G26" s="64">
        <v>65.680000000000007</v>
      </c>
      <c r="H26" s="64">
        <v>25.55</v>
      </c>
      <c r="I26" s="64">
        <v>1.45</v>
      </c>
      <c r="J26" s="64">
        <v>0.04</v>
      </c>
      <c r="K26" s="64">
        <v>231</v>
      </c>
      <c r="L26" s="64">
        <v>17.29</v>
      </c>
      <c r="M26" s="64">
        <v>89.32</v>
      </c>
      <c r="N26" s="64">
        <v>22.3</v>
      </c>
      <c r="O26" s="64">
        <v>0</v>
      </c>
      <c r="P26" s="64">
        <v>1.06</v>
      </c>
      <c r="Q26" s="64">
        <v>11.14</v>
      </c>
      <c r="R26" s="198"/>
      <c r="S26" s="198"/>
      <c r="T26" s="198"/>
      <c r="U26" s="198"/>
    </row>
    <row r="27" spans="1:21" s="12" customFormat="1" x14ac:dyDescent="0.25">
      <c r="A27" s="213" t="s">
        <v>1609</v>
      </c>
      <c r="B27" s="64">
        <v>93.8</v>
      </c>
      <c r="C27" s="64">
        <v>68.55</v>
      </c>
      <c r="D27" s="64">
        <v>113.7</v>
      </c>
      <c r="E27" s="64">
        <v>0.46</v>
      </c>
      <c r="F27" s="64">
        <v>3.04</v>
      </c>
      <c r="G27" s="64">
        <v>70.2</v>
      </c>
      <c r="H27" s="64">
        <v>24.76</v>
      </c>
      <c r="I27" s="64">
        <v>1.53</v>
      </c>
      <c r="J27" s="64">
        <v>7.0000000000000007E-2</v>
      </c>
      <c r="K27" s="64">
        <v>286.33</v>
      </c>
      <c r="L27" s="64">
        <v>17.350000000000001</v>
      </c>
      <c r="M27" s="64">
        <v>89.87</v>
      </c>
      <c r="N27" s="64">
        <v>22.1</v>
      </c>
      <c r="O27" s="64">
        <v>0</v>
      </c>
      <c r="P27" s="64">
        <v>1.02</v>
      </c>
      <c r="Q27" s="64">
        <v>12.14</v>
      </c>
      <c r="R27" s="198"/>
      <c r="S27" s="198"/>
      <c r="T27" s="198"/>
      <c r="U27" s="198"/>
    </row>
    <row r="28" spans="1:21" s="12" customFormat="1" x14ac:dyDescent="0.25">
      <c r="A28" s="213" t="s">
        <v>1610</v>
      </c>
      <c r="B28" s="64">
        <v>93.4</v>
      </c>
      <c r="C28" s="64">
        <v>67.33</v>
      </c>
      <c r="D28" s="64">
        <v>112.71</v>
      </c>
      <c r="E28" s="64">
        <v>0.45</v>
      </c>
      <c r="F28" s="64">
        <v>3.18</v>
      </c>
      <c r="G28" s="64">
        <v>86</v>
      </c>
      <c r="H28" s="64">
        <v>22.91</v>
      </c>
      <c r="I28" s="64">
        <v>1.52</v>
      </c>
      <c r="J28" s="64">
        <v>0.28000000000000003</v>
      </c>
      <c r="K28" s="64">
        <v>342.22</v>
      </c>
      <c r="L28" s="64">
        <v>17.350000000000001</v>
      </c>
      <c r="M28" s="64">
        <v>91.11</v>
      </c>
      <c r="N28" s="64">
        <v>21.9</v>
      </c>
      <c r="O28" s="64">
        <v>0</v>
      </c>
      <c r="P28" s="64">
        <v>0.99</v>
      </c>
      <c r="Q28" s="64">
        <v>12.88</v>
      </c>
      <c r="R28" s="198"/>
      <c r="S28" s="198"/>
      <c r="T28" s="198"/>
      <c r="U28" s="198"/>
    </row>
    <row r="29" spans="1:21" s="12" customFormat="1" x14ac:dyDescent="0.25">
      <c r="A29" s="213" t="s">
        <v>1611</v>
      </c>
      <c r="B29" s="64">
        <v>91.6</v>
      </c>
      <c r="C29" s="64">
        <v>66.34</v>
      </c>
      <c r="D29" s="64">
        <v>110.72</v>
      </c>
      <c r="E29" s="64">
        <v>0.42</v>
      </c>
      <c r="F29" s="64">
        <v>3.26</v>
      </c>
      <c r="G29" s="64">
        <v>86</v>
      </c>
      <c r="H29" s="64">
        <v>22.91</v>
      </c>
      <c r="I29" s="64">
        <v>1.52</v>
      </c>
      <c r="J29" s="64">
        <v>0.33</v>
      </c>
      <c r="K29" s="64">
        <v>339.62</v>
      </c>
      <c r="L29" s="64">
        <v>17.47</v>
      </c>
      <c r="M29" s="64">
        <v>90.66</v>
      </c>
      <c r="N29" s="64">
        <v>21.8</v>
      </c>
      <c r="O29" s="64">
        <v>0</v>
      </c>
      <c r="P29" s="64">
        <v>0.96</v>
      </c>
      <c r="Q29" s="64">
        <v>13.37</v>
      </c>
      <c r="R29" s="198"/>
      <c r="S29" s="198"/>
      <c r="T29" s="198"/>
      <c r="U29" s="198"/>
    </row>
    <row r="30" spans="1:21" s="12" customFormat="1" x14ac:dyDescent="0.25">
      <c r="A30" s="213" t="s">
        <v>1612</v>
      </c>
      <c r="B30" s="64">
        <v>89</v>
      </c>
      <c r="C30" s="64">
        <v>65.849999999999994</v>
      </c>
      <c r="D30" s="64">
        <v>108.36</v>
      </c>
      <c r="E30" s="64">
        <v>0.42</v>
      </c>
      <c r="F30" s="64">
        <v>3.32</v>
      </c>
      <c r="G30" s="64">
        <v>86</v>
      </c>
      <c r="H30" s="64">
        <v>22.91</v>
      </c>
      <c r="I30" s="64">
        <v>1.46</v>
      </c>
      <c r="J30" s="64">
        <v>0.28000000000000003</v>
      </c>
      <c r="K30" s="64">
        <v>354</v>
      </c>
      <c r="L30" s="64">
        <v>17.600000000000001</v>
      </c>
      <c r="M30" s="64">
        <v>91.71</v>
      </c>
      <c r="N30" s="64">
        <v>22</v>
      </c>
      <c r="O30" s="64">
        <v>0</v>
      </c>
      <c r="P30" s="64">
        <v>0.93</v>
      </c>
      <c r="Q30" s="64">
        <v>13.7</v>
      </c>
      <c r="R30" s="198"/>
      <c r="S30" s="198"/>
      <c r="T30" s="198"/>
      <c r="U30" s="198"/>
    </row>
    <row r="31" spans="1:21" s="12" customFormat="1" x14ac:dyDescent="0.25">
      <c r="A31" s="213" t="s">
        <v>1613</v>
      </c>
      <c r="B31" s="64">
        <v>86.64</v>
      </c>
      <c r="C31" s="64">
        <v>64.959999999999994</v>
      </c>
      <c r="D31" s="64">
        <v>105.98</v>
      </c>
      <c r="E31" s="64">
        <v>0.45</v>
      </c>
      <c r="F31" s="64">
        <v>3.27</v>
      </c>
      <c r="G31" s="64">
        <v>86.61</v>
      </c>
      <c r="H31" s="64">
        <v>24.4</v>
      </c>
      <c r="I31" s="64">
        <v>1.41</v>
      </c>
      <c r="J31" s="64">
        <v>0.25</v>
      </c>
      <c r="K31" s="64">
        <v>348.23</v>
      </c>
      <c r="L31" s="64">
        <v>17.87</v>
      </c>
      <c r="M31" s="64">
        <v>93.09</v>
      </c>
      <c r="N31" s="64">
        <v>22.1</v>
      </c>
      <c r="O31" s="64">
        <v>0</v>
      </c>
      <c r="P31" s="64">
        <v>0.91</v>
      </c>
      <c r="Q31" s="64">
        <v>13.88</v>
      </c>
      <c r="R31" s="198"/>
      <c r="S31" s="198"/>
      <c r="T31" s="198"/>
      <c r="U31" s="198"/>
    </row>
    <row r="32" spans="1:21" s="12" customFormat="1" x14ac:dyDescent="0.25">
      <c r="A32" s="213" t="s">
        <v>1614</v>
      </c>
      <c r="B32" s="64">
        <v>84.9</v>
      </c>
      <c r="C32" s="64">
        <v>63.68</v>
      </c>
      <c r="D32" s="64">
        <v>103.88</v>
      </c>
      <c r="E32" s="64">
        <v>0.43</v>
      </c>
      <c r="F32" s="64">
        <v>3.16</v>
      </c>
      <c r="G32" s="64">
        <v>88.74</v>
      </c>
      <c r="H32" s="64">
        <v>27.89</v>
      </c>
      <c r="I32" s="64">
        <v>1.48</v>
      </c>
      <c r="J32" s="64">
        <v>0.45</v>
      </c>
      <c r="K32" s="64">
        <v>354.92</v>
      </c>
      <c r="L32" s="64">
        <v>18.2</v>
      </c>
      <c r="M32" s="64">
        <v>92.26</v>
      </c>
      <c r="N32" s="64">
        <v>21.8</v>
      </c>
      <c r="O32" s="64">
        <v>0</v>
      </c>
      <c r="P32" s="64">
        <v>0.92</v>
      </c>
      <c r="Q32" s="64">
        <v>13.91</v>
      </c>
      <c r="R32" s="198"/>
      <c r="S32" s="198"/>
      <c r="T32" s="198"/>
      <c r="U32" s="198"/>
    </row>
    <row r="33" spans="1:21" s="12" customFormat="1" x14ac:dyDescent="0.25">
      <c r="A33" s="213" t="s">
        <v>1615</v>
      </c>
      <c r="B33" s="64">
        <v>82.8</v>
      </c>
      <c r="C33" s="64">
        <v>64.23</v>
      </c>
      <c r="D33" s="64">
        <v>102.49</v>
      </c>
      <c r="E33" s="64">
        <v>0.44</v>
      </c>
      <c r="F33" s="64">
        <v>3.51</v>
      </c>
      <c r="G33" s="64">
        <v>88.74</v>
      </c>
      <c r="H33" s="64">
        <v>27.89</v>
      </c>
      <c r="I33" s="64">
        <v>1.5</v>
      </c>
      <c r="J33" s="64">
        <v>0.54</v>
      </c>
      <c r="K33" s="64">
        <v>353.33</v>
      </c>
      <c r="L33" s="64">
        <v>18.25</v>
      </c>
      <c r="M33" s="64">
        <v>92.44</v>
      </c>
      <c r="N33" s="64">
        <v>22.3</v>
      </c>
      <c r="O33" s="64">
        <v>0</v>
      </c>
      <c r="P33" s="64">
        <v>0.92</v>
      </c>
      <c r="Q33" s="64">
        <v>13.91</v>
      </c>
      <c r="R33" s="198"/>
      <c r="S33" s="198"/>
      <c r="T33" s="198"/>
      <c r="U33" s="198"/>
    </row>
    <row r="34" spans="1:21" s="12" customFormat="1" x14ac:dyDescent="0.25">
      <c r="A34" s="213" t="s">
        <v>1616</v>
      </c>
      <c r="B34" s="64">
        <v>80.260000000000005</v>
      </c>
      <c r="C34" s="64">
        <v>66.56</v>
      </c>
      <c r="D34" s="64">
        <v>101.74</v>
      </c>
      <c r="E34" s="64">
        <v>0.49</v>
      </c>
      <c r="F34" s="64">
        <v>3.27</v>
      </c>
      <c r="G34" s="64">
        <v>88.74</v>
      </c>
      <c r="H34" s="64">
        <v>27.89</v>
      </c>
      <c r="I34" s="64">
        <v>1.54</v>
      </c>
      <c r="J34" s="64">
        <v>0.38</v>
      </c>
      <c r="K34" s="64">
        <v>338.8</v>
      </c>
      <c r="L34" s="64">
        <v>18.16</v>
      </c>
      <c r="M34" s="64">
        <v>93.45</v>
      </c>
      <c r="N34" s="64">
        <v>24</v>
      </c>
      <c r="O34" s="64">
        <v>0</v>
      </c>
      <c r="P34" s="64">
        <v>0.93</v>
      </c>
      <c r="Q34" s="64">
        <v>13.88</v>
      </c>
      <c r="R34" s="198"/>
      <c r="S34" s="198"/>
      <c r="T34" s="198"/>
      <c r="U34" s="198"/>
    </row>
    <row r="35" spans="1:21" s="12" customFormat="1" x14ac:dyDescent="0.25">
      <c r="A35" s="213" t="s">
        <v>1617</v>
      </c>
      <c r="B35" s="64">
        <v>78.06</v>
      </c>
      <c r="C35" s="64">
        <v>68.19</v>
      </c>
      <c r="D35" s="64">
        <v>100.88</v>
      </c>
      <c r="E35" s="64">
        <v>0.5</v>
      </c>
      <c r="F35" s="64">
        <v>3.42</v>
      </c>
      <c r="G35" s="64">
        <v>95.39</v>
      </c>
      <c r="H35" s="64">
        <v>30.71</v>
      </c>
      <c r="I35" s="64">
        <v>1.52</v>
      </c>
      <c r="J35" s="64">
        <v>0.05</v>
      </c>
      <c r="K35" s="64">
        <v>22.69</v>
      </c>
      <c r="L35" s="64">
        <v>18.059999999999999</v>
      </c>
      <c r="M35" s="64">
        <v>93.76</v>
      </c>
      <c r="N35" s="64">
        <v>31.6</v>
      </c>
      <c r="O35" s="64">
        <v>0</v>
      </c>
      <c r="P35" s="64">
        <v>0.92</v>
      </c>
      <c r="Q35" s="64">
        <v>13.75</v>
      </c>
      <c r="R35" s="198"/>
      <c r="S35" s="198"/>
      <c r="T35" s="198"/>
      <c r="U35" s="198"/>
    </row>
    <row r="36" spans="1:21" s="12" customFormat="1" x14ac:dyDescent="0.25">
      <c r="A36" s="213" t="s">
        <v>1618</v>
      </c>
      <c r="B36" s="64">
        <v>76.5</v>
      </c>
      <c r="C36" s="64">
        <v>69.47</v>
      </c>
      <c r="D36" s="64">
        <v>100.33</v>
      </c>
      <c r="E36" s="64">
        <v>0.52</v>
      </c>
      <c r="F36" s="64">
        <v>3.13</v>
      </c>
      <c r="G36" s="64">
        <v>118.69</v>
      </c>
      <c r="H36" s="64">
        <v>37.33</v>
      </c>
      <c r="I36" s="64">
        <v>1.6</v>
      </c>
      <c r="J36" s="64">
        <v>0.12</v>
      </c>
      <c r="K36" s="64">
        <v>310.18</v>
      </c>
      <c r="L36" s="64">
        <v>18.059999999999999</v>
      </c>
      <c r="M36" s="64">
        <v>93.79</v>
      </c>
      <c r="N36" s="64">
        <v>49.7</v>
      </c>
      <c r="O36" s="64">
        <v>0</v>
      </c>
      <c r="P36" s="64">
        <v>0.9</v>
      </c>
      <c r="Q36" s="64">
        <v>13.6</v>
      </c>
      <c r="R36" s="198"/>
      <c r="S36" s="198"/>
      <c r="T36" s="198"/>
      <c r="U36" s="198"/>
    </row>
    <row r="37" spans="1:21" s="12" customFormat="1" x14ac:dyDescent="0.25">
      <c r="A37" s="213" t="s">
        <v>1619</v>
      </c>
      <c r="B37" s="64">
        <v>75.22</v>
      </c>
      <c r="C37" s="64">
        <v>70.48</v>
      </c>
      <c r="D37" s="64">
        <v>99.86</v>
      </c>
      <c r="E37" s="64">
        <v>0.56000000000000005</v>
      </c>
      <c r="F37" s="64">
        <v>3.22</v>
      </c>
      <c r="G37" s="64">
        <v>118.69</v>
      </c>
      <c r="H37" s="64">
        <v>37.33</v>
      </c>
      <c r="I37" s="64">
        <v>1.43</v>
      </c>
      <c r="J37" s="64">
        <v>0.38</v>
      </c>
      <c r="K37" s="64">
        <v>107.73</v>
      </c>
      <c r="L37" s="64">
        <v>18.38</v>
      </c>
      <c r="M37" s="64">
        <v>89.5</v>
      </c>
      <c r="N37" s="64">
        <v>77.7</v>
      </c>
      <c r="O37" s="64">
        <v>0</v>
      </c>
      <c r="P37" s="64">
        <v>1.01</v>
      </c>
      <c r="Q37" s="64">
        <v>13.45</v>
      </c>
      <c r="R37" s="198"/>
      <c r="S37" s="198"/>
      <c r="T37" s="198"/>
      <c r="U37" s="198"/>
    </row>
    <row r="38" spans="1:21" s="12" customFormat="1" x14ac:dyDescent="0.25">
      <c r="A38" s="213" t="s">
        <v>1620</v>
      </c>
      <c r="B38" s="64">
        <v>73.19</v>
      </c>
      <c r="C38" s="64">
        <v>71.3</v>
      </c>
      <c r="D38" s="64">
        <v>98.69</v>
      </c>
      <c r="E38" s="64">
        <v>0.55000000000000004</v>
      </c>
      <c r="F38" s="64">
        <v>3.14</v>
      </c>
      <c r="G38" s="64">
        <v>118.69</v>
      </c>
      <c r="H38" s="64">
        <v>37.33</v>
      </c>
      <c r="I38" s="64">
        <v>1.51</v>
      </c>
      <c r="J38" s="64">
        <v>0.35</v>
      </c>
      <c r="K38" s="64">
        <v>93.17</v>
      </c>
      <c r="L38" s="64">
        <v>18.79</v>
      </c>
      <c r="M38" s="64">
        <v>84.51</v>
      </c>
      <c r="N38" s="64">
        <v>105.4</v>
      </c>
      <c r="O38" s="64">
        <v>0</v>
      </c>
      <c r="P38" s="64">
        <v>1.04</v>
      </c>
      <c r="Q38" s="64">
        <v>13.26</v>
      </c>
      <c r="R38" s="198"/>
      <c r="S38" s="198"/>
      <c r="T38" s="198"/>
      <c r="U38" s="198"/>
    </row>
    <row r="39" spans="1:21" s="12" customFormat="1" x14ac:dyDescent="0.25">
      <c r="A39" s="213" t="s">
        <v>1621</v>
      </c>
      <c r="B39" s="64">
        <v>70.66</v>
      </c>
      <c r="C39" s="64">
        <v>72.16</v>
      </c>
      <c r="D39" s="64">
        <v>97.13</v>
      </c>
      <c r="E39" s="64">
        <v>0.66</v>
      </c>
      <c r="F39" s="64">
        <v>3.22</v>
      </c>
      <c r="G39" s="64">
        <v>113.37</v>
      </c>
      <c r="H39" s="64">
        <v>36.380000000000003</v>
      </c>
      <c r="I39" s="64">
        <v>1.51</v>
      </c>
      <c r="J39" s="64">
        <v>0.42</v>
      </c>
      <c r="K39" s="64">
        <v>86.53</v>
      </c>
      <c r="L39" s="64">
        <v>19.29</v>
      </c>
      <c r="M39" s="64">
        <v>82.42</v>
      </c>
      <c r="N39" s="64">
        <v>132.69999999999999</v>
      </c>
      <c r="O39" s="64">
        <v>0</v>
      </c>
      <c r="P39" s="64">
        <v>1.01</v>
      </c>
      <c r="Q39" s="64">
        <v>13.04</v>
      </c>
      <c r="R39" s="198"/>
      <c r="S39" s="198"/>
      <c r="T39" s="198"/>
      <c r="U39" s="198"/>
    </row>
    <row r="40" spans="1:21" s="12" customFormat="1" x14ac:dyDescent="0.25">
      <c r="A40" s="213" t="s">
        <v>1622</v>
      </c>
      <c r="B40" s="64">
        <v>69.59</v>
      </c>
      <c r="C40" s="64">
        <v>73.53</v>
      </c>
      <c r="D40" s="64">
        <v>97.03</v>
      </c>
      <c r="E40" s="64">
        <v>0.16</v>
      </c>
      <c r="F40" s="64">
        <v>3.2</v>
      </c>
      <c r="G40" s="64">
        <v>94.76</v>
      </c>
      <c r="H40" s="64">
        <v>32.32</v>
      </c>
      <c r="I40" s="64">
        <v>1.55</v>
      </c>
      <c r="J40" s="64">
        <v>0.28999999999999998</v>
      </c>
      <c r="K40" s="64">
        <v>349.52</v>
      </c>
      <c r="L40" s="64">
        <v>19.850000000000001</v>
      </c>
      <c r="M40" s="64">
        <v>79.45</v>
      </c>
      <c r="N40" s="64">
        <v>153.30000000000001</v>
      </c>
      <c r="O40" s="64">
        <v>0</v>
      </c>
      <c r="P40" s="64">
        <v>1</v>
      </c>
      <c r="Q40" s="64">
        <v>12.81</v>
      </c>
      <c r="R40" s="198"/>
      <c r="S40" s="198"/>
      <c r="T40" s="198"/>
      <c r="U40" s="198"/>
    </row>
    <row r="41" spans="1:21" s="12" customFormat="1" x14ac:dyDescent="0.25">
      <c r="A41" s="213" t="s">
        <v>1623</v>
      </c>
      <c r="B41" s="64">
        <v>68.900000000000006</v>
      </c>
      <c r="C41" s="64">
        <v>75.67</v>
      </c>
      <c r="D41" s="64">
        <v>97.66</v>
      </c>
      <c r="E41" s="64">
        <v>0.3</v>
      </c>
      <c r="F41" s="64">
        <v>3.25</v>
      </c>
      <c r="G41" s="64">
        <v>94.76</v>
      </c>
      <c r="H41" s="64">
        <v>32.32</v>
      </c>
      <c r="I41" s="64">
        <v>1.5</v>
      </c>
      <c r="J41" s="64">
        <v>0.28000000000000003</v>
      </c>
      <c r="K41" s="64">
        <v>56.38</v>
      </c>
      <c r="L41" s="64">
        <v>20.69</v>
      </c>
      <c r="M41" s="64">
        <v>75.819999999999993</v>
      </c>
      <c r="N41" s="64">
        <v>212.8</v>
      </c>
      <c r="O41" s="64">
        <v>0</v>
      </c>
      <c r="P41" s="64">
        <v>0.98</v>
      </c>
      <c r="Q41" s="64">
        <v>12.7</v>
      </c>
      <c r="R41" s="198"/>
      <c r="S41" s="198"/>
      <c r="T41" s="198"/>
      <c r="U41" s="198"/>
    </row>
    <row r="42" spans="1:21" s="12" customFormat="1" x14ac:dyDescent="0.25">
      <c r="A42" s="213" t="s">
        <v>1624</v>
      </c>
      <c r="B42" s="64">
        <v>67.33</v>
      </c>
      <c r="C42" s="64">
        <v>77.290000000000006</v>
      </c>
      <c r="D42" s="64">
        <v>97.29</v>
      </c>
      <c r="E42" s="64">
        <v>0.51</v>
      </c>
      <c r="F42" s="64">
        <v>3.3</v>
      </c>
      <c r="G42" s="64">
        <v>94.76</v>
      </c>
      <c r="H42" s="64">
        <v>32.32</v>
      </c>
      <c r="I42" s="64">
        <v>1.47</v>
      </c>
      <c r="J42" s="64">
        <v>1.08</v>
      </c>
      <c r="K42" s="64">
        <v>100.17</v>
      </c>
      <c r="L42" s="64">
        <v>20.62</v>
      </c>
      <c r="M42" s="64">
        <v>76.959999999999994</v>
      </c>
      <c r="N42" s="64">
        <v>304.5</v>
      </c>
      <c r="O42" s="64">
        <v>0</v>
      </c>
      <c r="P42" s="64">
        <v>0.97</v>
      </c>
      <c r="Q42" s="64">
        <v>12.72</v>
      </c>
      <c r="R42" s="198"/>
      <c r="S42" s="198"/>
      <c r="T42" s="198"/>
      <c r="U42" s="198"/>
    </row>
    <row r="43" spans="1:21" s="12" customFormat="1" x14ac:dyDescent="0.25">
      <c r="A43" s="213" t="s">
        <v>1625</v>
      </c>
      <c r="B43" s="64">
        <v>64.66</v>
      </c>
      <c r="C43" s="64">
        <v>78</v>
      </c>
      <c r="D43" s="64">
        <v>95.55</v>
      </c>
      <c r="E43" s="64">
        <v>0.5</v>
      </c>
      <c r="F43" s="64">
        <v>3.36</v>
      </c>
      <c r="G43" s="64">
        <v>88.87</v>
      </c>
      <c r="H43" s="64">
        <v>30.52</v>
      </c>
      <c r="I43" s="64">
        <v>1.45</v>
      </c>
      <c r="J43" s="64">
        <v>0.76</v>
      </c>
      <c r="K43" s="64">
        <v>88.51</v>
      </c>
      <c r="L43" s="64">
        <v>21.06</v>
      </c>
      <c r="M43" s="64">
        <v>73.81</v>
      </c>
      <c r="N43" s="64">
        <v>329.4</v>
      </c>
      <c r="O43" s="64">
        <v>0</v>
      </c>
      <c r="P43" s="64">
        <v>0.94</v>
      </c>
      <c r="Q43" s="64">
        <v>12.51</v>
      </c>
      <c r="R43" s="198"/>
      <c r="S43" s="198"/>
      <c r="T43" s="198"/>
      <c r="U43" s="198"/>
    </row>
    <row r="44" spans="1:21" s="12" customFormat="1" x14ac:dyDescent="0.25">
      <c r="A44" s="213" t="s">
        <v>1626</v>
      </c>
      <c r="B44" s="64">
        <v>62.13</v>
      </c>
      <c r="C44" s="64">
        <v>79.430000000000007</v>
      </c>
      <c r="D44" s="64">
        <v>94.3</v>
      </c>
      <c r="E44" s="64">
        <v>0.49</v>
      </c>
      <c r="F44" s="64">
        <v>3.39</v>
      </c>
      <c r="G44" s="64">
        <v>68.23</v>
      </c>
      <c r="H44" s="64">
        <v>26.31</v>
      </c>
      <c r="I44" s="64">
        <v>1.46</v>
      </c>
      <c r="J44" s="64">
        <v>0.99</v>
      </c>
      <c r="K44" s="64">
        <v>103.71</v>
      </c>
      <c r="L44" s="64">
        <v>21.86</v>
      </c>
      <c r="M44" s="64">
        <v>70.64</v>
      </c>
      <c r="N44" s="64">
        <v>412.8</v>
      </c>
      <c r="O44" s="64">
        <v>0</v>
      </c>
      <c r="P44" s="64">
        <v>0.91</v>
      </c>
      <c r="Q44" s="64">
        <v>12.29</v>
      </c>
      <c r="R44" s="198"/>
      <c r="S44" s="198"/>
      <c r="T44" s="198"/>
      <c r="U44" s="198"/>
    </row>
    <row r="45" spans="1:21" s="12" customFormat="1" x14ac:dyDescent="0.25">
      <c r="A45" s="213" t="s">
        <v>1627</v>
      </c>
      <c r="B45" s="64">
        <v>59.65</v>
      </c>
      <c r="C45" s="64">
        <v>80.739999999999995</v>
      </c>
      <c r="D45" s="64">
        <v>93.04</v>
      </c>
      <c r="E45" s="64">
        <v>0.55000000000000004</v>
      </c>
      <c r="F45" s="64">
        <v>3.44</v>
      </c>
      <c r="G45" s="64">
        <v>68.23</v>
      </c>
      <c r="H45" s="64">
        <v>26.31</v>
      </c>
      <c r="I45" s="64">
        <v>1.49</v>
      </c>
      <c r="J45" s="64">
        <v>1.03</v>
      </c>
      <c r="K45" s="64">
        <v>100.07</v>
      </c>
      <c r="L45" s="64">
        <v>22.17</v>
      </c>
      <c r="M45" s="64">
        <v>69.56</v>
      </c>
      <c r="N45" s="64">
        <v>452.4</v>
      </c>
      <c r="O45" s="64">
        <v>0</v>
      </c>
      <c r="P45" s="64">
        <v>0.89</v>
      </c>
      <c r="Q45" s="64">
        <v>12.09</v>
      </c>
      <c r="R45" s="198"/>
      <c r="S45" s="198"/>
      <c r="T45" s="198"/>
      <c r="U45" s="198"/>
    </row>
    <row r="46" spans="1:21" s="12" customFormat="1" x14ac:dyDescent="0.25">
      <c r="A46" s="213" t="s">
        <v>1628</v>
      </c>
      <c r="B46" s="64">
        <v>57.04</v>
      </c>
      <c r="C46" s="64">
        <v>82.22</v>
      </c>
      <c r="D46" s="64">
        <v>91.76</v>
      </c>
      <c r="E46" s="64">
        <v>0.59</v>
      </c>
      <c r="F46" s="64">
        <v>3.15</v>
      </c>
      <c r="G46" s="64">
        <v>68.23</v>
      </c>
      <c r="H46" s="64">
        <v>26.31</v>
      </c>
      <c r="I46" s="64">
        <v>1.55</v>
      </c>
      <c r="J46" s="64">
        <v>0.46</v>
      </c>
      <c r="K46" s="64">
        <v>34.479999999999997</v>
      </c>
      <c r="L46" s="64">
        <v>24.19</v>
      </c>
      <c r="M46" s="64">
        <v>60.92</v>
      </c>
      <c r="N46" s="64">
        <v>512.9</v>
      </c>
      <c r="O46" s="64">
        <v>0</v>
      </c>
      <c r="P46" s="64">
        <v>0.87</v>
      </c>
      <c r="Q46" s="64">
        <v>11.57</v>
      </c>
      <c r="R46" s="198"/>
      <c r="S46" s="198"/>
      <c r="T46" s="198"/>
      <c r="U46" s="198"/>
    </row>
    <row r="47" spans="1:21" s="12" customFormat="1" x14ac:dyDescent="0.25">
      <c r="A47" s="213" t="s">
        <v>1629</v>
      </c>
      <c r="B47" s="64">
        <v>55.21</v>
      </c>
      <c r="C47" s="64">
        <v>82.46</v>
      </c>
      <c r="D47" s="64">
        <v>90.43</v>
      </c>
      <c r="E47" s="64">
        <v>0.6</v>
      </c>
      <c r="F47" s="64">
        <v>3.72</v>
      </c>
      <c r="G47" s="64">
        <v>67.73</v>
      </c>
      <c r="H47" s="64">
        <v>26.57</v>
      </c>
      <c r="I47" s="64">
        <v>1.52</v>
      </c>
      <c r="J47" s="64">
        <v>0.43</v>
      </c>
      <c r="K47" s="64">
        <v>13.57</v>
      </c>
      <c r="L47" s="64">
        <v>25.67</v>
      </c>
      <c r="M47" s="64">
        <v>56.81</v>
      </c>
      <c r="N47" s="64">
        <v>571.79999999999995</v>
      </c>
      <c r="O47" s="64">
        <v>0</v>
      </c>
      <c r="P47" s="64">
        <v>0.86</v>
      </c>
      <c r="Q47" s="64">
        <v>11.09</v>
      </c>
      <c r="R47" s="198"/>
      <c r="S47" s="198"/>
      <c r="T47" s="198"/>
      <c r="U47" s="198"/>
    </row>
    <row r="48" spans="1:21" s="12" customFormat="1" x14ac:dyDescent="0.25">
      <c r="A48" s="213" t="s">
        <v>1630</v>
      </c>
      <c r="B48" s="64">
        <v>54.07</v>
      </c>
      <c r="C48" s="64">
        <v>63.21</v>
      </c>
      <c r="D48" s="64">
        <v>78.89</v>
      </c>
      <c r="E48" s="64">
        <v>0.4</v>
      </c>
      <c r="F48" s="64">
        <v>3.85</v>
      </c>
      <c r="G48" s="64">
        <v>65.98</v>
      </c>
      <c r="H48" s="64">
        <v>27.19</v>
      </c>
      <c r="I48" s="64">
        <v>1.54</v>
      </c>
      <c r="J48" s="64">
        <v>0.83</v>
      </c>
      <c r="K48" s="64">
        <v>353.73</v>
      </c>
      <c r="L48" s="64">
        <v>27.24</v>
      </c>
      <c r="M48" s="64">
        <v>50.44</v>
      </c>
      <c r="N48" s="64">
        <v>602.5</v>
      </c>
      <c r="O48" s="64">
        <v>0</v>
      </c>
      <c r="P48" s="64">
        <v>0.83</v>
      </c>
      <c r="Q48" s="64">
        <v>6.03</v>
      </c>
      <c r="R48" s="198"/>
      <c r="S48" s="198"/>
      <c r="T48" s="198"/>
      <c r="U48" s="198"/>
    </row>
    <row r="49" spans="1:21" s="12" customFormat="1" x14ac:dyDescent="0.25">
      <c r="A49" s="213" t="s">
        <v>1631</v>
      </c>
      <c r="B49" s="64">
        <v>52.32</v>
      </c>
      <c r="C49" s="64">
        <v>57.13</v>
      </c>
      <c r="D49" s="64">
        <v>74.13</v>
      </c>
      <c r="E49" s="64">
        <v>0.16</v>
      </c>
      <c r="F49" s="64">
        <v>2.37</v>
      </c>
      <c r="G49" s="64">
        <v>65.98</v>
      </c>
      <c r="H49" s="64">
        <v>27.19</v>
      </c>
      <c r="I49" s="64">
        <v>1.54</v>
      </c>
      <c r="J49" s="64">
        <v>0.81</v>
      </c>
      <c r="K49" s="64">
        <v>350.34</v>
      </c>
      <c r="L49" s="64">
        <v>28.23</v>
      </c>
      <c r="M49" s="64">
        <v>48.75</v>
      </c>
      <c r="N49" s="64">
        <v>639</v>
      </c>
      <c r="O49" s="64">
        <v>0</v>
      </c>
      <c r="P49" s="64">
        <v>0.82</v>
      </c>
      <c r="Q49" s="64">
        <v>0.63</v>
      </c>
      <c r="R49" s="198"/>
      <c r="S49" s="198"/>
      <c r="T49" s="198"/>
      <c r="U49" s="198"/>
    </row>
    <row r="50" spans="1:21" s="12" customFormat="1" x14ac:dyDescent="0.25">
      <c r="A50" s="213" t="s">
        <v>1632</v>
      </c>
      <c r="B50" s="64">
        <v>50.08</v>
      </c>
      <c r="C50" s="64">
        <v>85.63</v>
      </c>
      <c r="D50" s="64">
        <v>88.06</v>
      </c>
      <c r="E50" s="64">
        <v>7.0000000000000007E-2</v>
      </c>
      <c r="F50" s="64">
        <v>2.76</v>
      </c>
      <c r="G50" s="64">
        <v>65.98</v>
      </c>
      <c r="H50" s="64">
        <v>27.19</v>
      </c>
      <c r="I50" s="64">
        <v>1.51</v>
      </c>
      <c r="J50" s="64">
        <v>1.3</v>
      </c>
      <c r="K50" s="64">
        <v>340.01</v>
      </c>
      <c r="L50" s="64">
        <v>30.03</v>
      </c>
      <c r="M50" s="64">
        <v>44.22</v>
      </c>
      <c r="N50" s="64">
        <v>666</v>
      </c>
      <c r="O50" s="64">
        <v>0</v>
      </c>
      <c r="P50" s="64">
        <v>0.81</v>
      </c>
      <c r="Q50" s="64">
        <v>6.83</v>
      </c>
      <c r="R50" s="198"/>
      <c r="S50" s="198"/>
      <c r="T50" s="198"/>
      <c r="U50" s="198"/>
    </row>
    <row r="51" spans="1:21" s="12" customFormat="1" x14ac:dyDescent="0.25">
      <c r="A51" s="213" t="s">
        <v>1633</v>
      </c>
      <c r="B51" s="64">
        <v>48.58</v>
      </c>
      <c r="C51" s="64">
        <v>85.35</v>
      </c>
      <c r="D51" s="64">
        <v>86.7</v>
      </c>
      <c r="E51" s="64">
        <v>7.0000000000000007E-2</v>
      </c>
      <c r="F51" s="64">
        <v>2.84</v>
      </c>
      <c r="G51" s="64">
        <v>66.91</v>
      </c>
      <c r="H51" s="64">
        <v>27.64</v>
      </c>
      <c r="I51" s="64">
        <v>1.44</v>
      </c>
      <c r="J51" s="64">
        <v>0.57999999999999996</v>
      </c>
      <c r="K51" s="64">
        <v>346.69</v>
      </c>
      <c r="L51" s="64">
        <v>30.9</v>
      </c>
      <c r="M51" s="64">
        <v>41.65</v>
      </c>
      <c r="N51" s="64">
        <v>725.1</v>
      </c>
      <c r="O51" s="64">
        <v>0</v>
      </c>
      <c r="P51" s="64">
        <v>0.8</v>
      </c>
      <c r="Q51" s="64">
        <v>10.039999999999999</v>
      </c>
      <c r="R51" s="198"/>
      <c r="S51" s="198"/>
      <c r="T51" s="198"/>
      <c r="U51" s="198"/>
    </row>
    <row r="52" spans="1:21" s="12" customFormat="1" x14ac:dyDescent="0.25">
      <c r="A52" s="213" t="s">
        <v>1634</v>
      </c>
      <c r="B52" s="64">
        <v>47.06</v>
      </c>
      <c r="C52" s="64">
        <v>83.31</v>
      </c>
      <c r="D52" s="64">
        <v>84.36</v>
      </c>
      <c r="E52" s="64">
        <v>0.09</v>
      </c>
      <c r="F52" s="64">
        <v>3.16</v>
      </c>
      <c r="G52" s="64">
        <v>70.180000000000007</v>
      </c>
      <c r="H52" s="64">
        <v>28.7</v>
      </c>
      <c r="I52" s="64">
        <v>1.5</v>
      </c>
      <c r="J52" s="64">
        <v>0.28999999999999998</v>
      </c>
      <c r="K52" s="64">
        <v>77.319999999999993</v>
      </c>
      <c r="L52" s="64">
        <v>28.49</v>
      </c>
      <c r="M52" s="64">
        <v>48.22</v>
      </c>
      <c r="N52" s="64">
        <v>745</v>
      </c>
      <c r="O52" s="64">
        <v>0</v>
      </c>
      <c r="P52" s="64">
        <v>0.8</v>
      </c>
      <c r="Q52" s="64">
        <v>10.33</v>
      </c>
      <c r="R52" s="198"/>
      <c r="S52" s="198"/>
      <c r="T52" s="198"/>
      <c r="U52" s="198"/>
    </row>
    <row r="53" spans="1:21" s="12" customFormat="1" x14ac:dyDescent="0.25">
      <c r="A53" s="213" t="s">
        <v>1635</v>
      </c>
      <c r="B53" s="64">
        <v>45.09</v>
      </c>
      <c r="C53" s="64">
        <v>81.17</v>
      </c>
      <c r="D53" s="64">
        <v>81.599999999999994</v>
      </c>
      <c r="E53" s="64">
        <v>0.06</v>
      </c>
      <c r="F53" s="64">
        <v>3.29</v>
      </c>
      <c r="G53" s="64">
        <v>70.180000000000007</v>
      </c>
      <c r="H53" s="64">
        <v>28.7</v>
      </c>
      <c r="I53" s="64">
        <v>1.46</v>
      </c>
      <c r="J53" s="64">
        <v>0.4</v>
      </c>
      <c r="K53" s="64">
        <v>344.96</v>
      </c>
      <c r="L53" s="64">
        <v>29.14</v>
      </c>
      <c r="M53" s="64">
        <v>46.13</v>
      </c>
      <c r="N53" s="64">
        <v>759.6</v>
      </c>
      <c r="O53" s="64">
        <v>0</v>
      </c>
      <c r="P53" s="64">
        <v>0.79</v>
      </c>
      <c r="Q53" s="64">
        <v>10.83</v>
      </c>
      <c r="R53" s="198"/>
      <c r="S53" s="198"/>
      <c r="T53" s="198"/>
      <c r="U53" s="198"/>
    </row>
    <row r="54" spans="1:21" s="12" customFormat="1" x14ac:dyDescent="0.25">
      <c r="A54" s="213" t="s">
        <v>1636</v>
      </c>
      <c r="B54" s="64">
        <v>43.35</v>
      </c>
      <c r="C54" s="64">
        <v>79.55</v>
      </c>
      <c r="D54" s="64">
        <v>79.31</v>
      </c>
      <c r="E54" s="64">
        <v>0.03</v>
      </c>
      <c r="F54" s="64">
        <v>3.08</v>
      </c>
      <c r="G54" s="64">
        <v>70.180000000000007</v>
      </c>
      <c r="H54" s="64">
        <v>28.7</v>
      </c>
      <c r="I54" s="64">
        <v>1.53</v>
      </c>
      <c r="J54" s="64">
        <v>0.42</v>
      </c>
      <c r="K54" s="64">
        <v>334.56</v>
      </c>
      <c r="L54" s="64">
        <v>31.09</v>
      </c>
      <c r="M54" s="64">
        <v>41.58</v>
      </c>
      <c r="N54" s="64">
        <v>799.4</v>
      </c>
      <c r="O54" s="64">
        <v>0</v>
      </c>
      <c r="P54" s="64">
        <v>0.78</v>
      </c>
      <c r="Q54" s="64">
        <v>11.38</v>
      </c>
      <c r="R54" s="198"/>
      <c r="S54" s="198"/>
      <c r="T54" s="198"/>
      <c r="U54" s="198"/>
    </row>
    <row r="55" spans="1:21" s="12" customFormat="1" x14ac:dyDescent="0.25">
      <c r="A55" s="213" t="s">
        <v>1637</v>
      </c>
      <c r="B55" s="64">
        <v>41.53</v>
      </c>
      <c r="C55" s="64">
        <v>78.58</v>
      </c>
      <c r="D55" s="64">
        <v>77.319999999999993</v>
      </c>
      <c r="E55" s="64">
        <v>7.0000000000000007E-2</v>
      </c>
      <c r="F55" s="64">
        <v>3.07</v>
      </c>
      <c r="G55" s="64">
        <v>70.23</v>
      </c>
      <c r="H55" s="64">
        <v>28.11</v>
      </c>
      <c r="I55" s="64">
        <v>1.45</v>
      </c>
      <c r="J55" s="64">
        <v>0.06</v>
      </c>
      <c r="K55" s="64">
        <v>301.13</v>
      </c>
      <c r="L55" s="64">
        <v>30.5</v>
      </c>
      <c r="M55" s="64">
        <v>42.3</v>
      </c>
      <c r="N55" s="64">
        <v>776.5</v>
      </c>
      <c r="O55" s="64">
        <v>0</v>
      </c>
      <c r="P55" s="64">
        <v>0.78</v>
      </c>
      <c r="Q55" s="64">
        <v>11.76</v>
      </c>
      <c r="R55" s="198"/>
      <c r="S55" s="198"/>
      <c r="T55" s="198"/>
      <c r="U55" s="198"/>
    </row>
    <row r="56" spans="1:21" s="12" customFormat="1" x14ac:dyDescent="0.25">
      <c r="A56" s="213" t="s">
        <v>1638</v>
      </c>
      <c r="B56" s="64">
        <v>39.43</v>
      </c>
      <c r="C56" s="64">
        <v>77.91</v>
      </c>
      <c r="D56" s="64">
        <v>75.260000000000005</v>
      </c>
      <c r="E56" s="64">
        <v>0.19</v>
      </c>
      <c r="F56" s="64">
        <v>3.47</v>
      </c>
      <c r="G56" s="64">
        <v>70.41</v>
      </c>
      <c r="H56" s="64">
        <v>25.61</v>
      </c>
      <c r="I56" s="64">
        <v>1.47</v>
      </c>
      <c r="J56" s="64">
        <v>0.34</v>
      </c>
      <c r="K56" s="64">
        <v>335.36</v>
      </c>
      <c r="L56" s="64">
        <v>30.11</v>
      </c>
      <c r="M56" s="64">
        <v>43.09</v>
      </c>
      <c r="N56" s="64">
        <v>800.8</v>
      </c>
      <c r="O56" s="64">
        <v>0</v>
      </c>
      <c r="P56" s="64">
        <v>0.77</v>
      </c>
      <c r="Q56" s="64">
        <v>11.92</v>
      </c>
      <c r="R56" s="198"/>
      <c r="S56" s="198"/>
      <c r="T56" s="198"/>
      <c r="U56" s="198"/>
    </row>
    <row r="57" spans="1:21" s="12" customFormat="1" x14ac:dyDescent="0.25">
      <c r="A57" s="213" t="s">
        <v>1639</v>
      </c>
      <c r="B57" s="64">
        <v>37.18</v>
      </c>
      <c r="C57" s="64">
        <v>76.72</v>
      </c>
      <c r="D57" s="64">
        <v>72.8</v>
      </c>
      <c r="E57" s="64">
        <v>0.34</v>
      </c>
      <c r="F57" s="64">
        <v>3.48</v>
      </c>
      <c r="G57" s="64">
        <v>70.41</v>
      </c>
      <c r="H57" s="64">
        <v>25.61</v>
      </c>
      <c r="I57" s="64">
        <v>1.46</v>
      </c>
      <c r="J57" s="64">
        <v>0.34</v>
      </c>
      <c r="K57" s="64">
        <v>135.15</v>
      </c>
      <c r="L57" s="64">
        <v>28.4</v>
      </c>
      <c r="M57" s="64">
        <v>46.79</v>
      </c>
      <c r="N57" s="64">
        <v>814.2</v>
      </c>
      <c r="O57" s="64">
        <v>0</v>
      </c>
      <c r="P57" s="64">
        <v>0.75</v>
      </c>
      <c r="Q57" s="64">
        <v>11.88</v>
      </c>
      <c r="R57" s="198"/>
      <c r="S57" s="198"/>
      <c r="T57" s="198"/>
      <c r="U57" s="198"/>
    </row>
    <row r="58" spans="1:21" s="12" customFormat="1" x14ac:dyDescent="0.25">
      <c r="A58" s="213" t="s">
        <v>1640</v>
      </c>
      <c r="B58" s="64">
        <v>34.25</v>
      </c>
      <c r="C58" s="64">
        <v>76.16</v>
      </c>
      <c r="D58" s="64">
        <v>70.14</v>
      </c>
      <c r="E58" s="64">
        <v>0.41</v>
      </c>
      <c r="F58" s="64">
        <v>3.57</v>
      </c>
      <c r="G58" s="64">
        <v>70.41</v>
      </c>
      <c r="H58" s="64">
        <v>25.61</v>
      </c>
      <c r="I58" s="64">
        <v>1.46</v>
      </c>
      <c r="J58" s="64">
        <v>0.31</v>
      </c>
      <c r="K58" s="64">
        <v>44.36</v>
      </c>
      <c r="L58" s="64">
        <v>29.58</v>
      </c>
      <c r="M58" s="64">
        <v>43.66</v>
      </c>
      <c r="N58" s="64">
        <v>707.8</v>
      </c>
      <c r="O58" s="64">
        <v>0</v>
      </c>
      <c r="P58" s="64">
        <v>0.74</v>
      </c>
      <c r="Q58" s="64">
        <v>11.69</v>
      </c>
      <c r="R58" s="198"/>
      <c r="S58" s="198"/>
      <c r="T58" s="198"/>
      <c r="U58" s="198"/>
    </row>
    <row r="59" spans="1:21" s="12" customFormat="1" x14ac:dyDescent="0.25">
      <c r="A59" s="213" t="s">
        <v>1641</v>
      </c>
      <c r="B59" s="64">
        <v>31.85</v>
      </c>
      <c r="C59" s="64">
        <v>75.790000000000006</v>
      </c>
      <c r="D59" s="64">
        <v>68.010000000000005</v>
      </c>
      <c r="E59" s="64">
        <v>0.42</v>
      </c>
      <c r="F59" s="64">
        <v>3.44</v>
      </c>
      <c r="G59" s="64">
        <v>69.27</v>
      </c>
      <c r="H59" s="64">
        <v>25</v>
      </c>
      <c r="I59" s="64">
        <v>1.57</v>
      </c>
      <c r="J59" s="64">
        <v>0.19</v>
      </c>
      <c r="K59" s="64">
        <v>49.54</v>
      </c>
      <c r="L59" s="64">
        <v>29.6</v>
      </c>
      <c r="M59" s="64">
        <v>44.02</v>
      </c>
      <c r="N59" s="64">
        <v>631.9</v>
      </c>
      <c r="O59" s="64">
        <v>0</v>
      </c>
      <c r="P59" s="64">
        <v>0.73</v>
      </c>
      <c r="Q59" s="64">
        <v>11.48</v>
      </c>
      <c r="R59" s="198"/>
      <c r="S59" s="198"/>
      <c r="T59" s="198"/>
      <c r="U59" s="198"/>
    </row>
    <row r="60" spans="1:21" s="12" customFormat="1" x14ac:dyDescent="0.25">
      <c r="A60" s="213" t="s">
        <v>1642</v>
      </c>
      <c r="B60" s="64">
        <v>29.9</v>
      </c>
      <c r="C60" s="64">
        <v>74.27</v>
      </c>
      <c r="D60" s="64">
        <v>65.61</v>
      </c>
      <c r="E60" s="64">
        <v>0.43</v>
      </c>
      <c r="F60" s="64">
        <v>3.21</v>
      </c>
      <c r="G60" s="64">
        <v>65.25</v>
      </c>
      <c r="H60" s="64">
        <v>23.57</v>
      </c>
      <c r="I60" s="64">
        <v>1.5</v>
      </c>
      <c r="J60" s="64">
        <v>0.23</v>
      </c>
      <c r="K60" s="64">
        <v>114.84</v>
      </c>
      <c r="L60" s="64">
        <v>28.78</v>
      </c>
      <c r="M60" s="64">
        <v>44.3</v>
      </c>
      <c r="N60" s="64">
        <v>714.4</v>
      </c>
      <c r="O60" s="64">
        <v>0</v>
      </c>
      <c r="P60" s="64">
        <v>0.73</v>
      </c>
      <c r="Q60" s="64">
        <v>11.3</v>
      </c>
      <c r="R60" s="198"/>
      <c r="S60" s="198"/>
      <c r="T60" s="198"/>
      <c r="U60" s="198"/>
    </row>
    <row r="61" spans="1:21" s="12" customFormat="1" x14ac:dyDescent="0.25">
      <c r="A61" s="213" t="s">
        <v>1643</v>
      </c>
      <c r="B61" s="64">
        <v>26.71</v>
      </c>
      <c r="C61" s="64">
        <v>75.930000000000007</v>
      </c>
      <c r="D61" s="64">
        <v>63.97</v>
      </c>
      <c r="E61" s="64">
        <v>0.42</v>
      </c>
      <c r="F61" s="64">
        <v>3.53</v>
      </c>
      <c r="G61" s="64">
        <v>65.25</v>
      </c>
      <c r="H61" s="64">
        <v>23.57</v>
      </c>
      <c r="I61" s="64">
        <v>1.45</v>
      </c>
      <c r="J61" s="64">
        <v>0.63</v>
      </c>
      <c r="K61" s="64">
        <v>112.27</v>
      </c>
      <c r="L61" s="64">
        <v>28.15</v>
      </c>
      <c r="M61" s="64">
        <v>45.94</v>
      </c>
      <c r="N61" s="64">
        <v>759.2</v>
      </c>
      <c r="O61" s="64">
        <v>0</v>
      </c>
      <c r="P61" s="64">
        <v>0.74</v>
      </c>
      <c r="Q61" s="64">
        <v>11.02</v>
      </c>
      <c r="R61" s="198"/>
      <c r="S61" s="198"/>
      <c r="T61" s="198"/>
      <c r="U61" s="198"/>
    </row>
    <row r="62" spans="1:21" s="12" customFormat="1" x14ac:dyDescent="0.25">
      <c r="A62" s="213" t="s">
        <v>1644</v>
      </c>
      <c r="B62" s="64">
        <v>22.41</v>
      </c>
      <c r="C62" s="64">
        <v>79.69</v>
      </c>
      <c r="D62" s="64">
        <v>62.6</v>
      </c>
      <c r="E62" s="64">
        <v>0.41</v>
      </c>
      <c r="F62" s="64">
        <v>3.35</v>
      </c>
      <c r="G62" s="64">
        <v>65.25</v>
      </c>
      <c r="H62" s="64">
        <v>23.57</v>
      </c>
      <c r="I62" s="64">
        <v>1.57</v>
      </c>
      <c r="J62" s="64">
        <v>7.0000000000000007E-2</v>
      </c>
      <c r="K62" s="64">
        <v>100.18</v>
      </c>
      <c r="L62" s="64">
        <v>28.59</v>
      </c>
      <c r="M62" s="64">
        <v>43.31</v>
      </c>
      <c r="N62" s="64">
        <v>664.4</v>
      </c>
      <c r="O62" s="64">
        <v>0</v>
      </c>
      <c r="P62" s="64">
        <v>0.77</v>
      </c>
      <c r="Q62" s="64">
        <v>10.76</v>
      </c>
      <c r="R62" s="198"/>
      <c r="S62" s="198"/>
      <c r="T62" s="198"/>
      <c r="U62" s="198"/>
    </row>
    <row r="63" spans="1:21" s="12" customFormat="1" x14ac:dyDescent="0.25">
      <c r="A63" s="213" t="s">
        <v>1645</v>
      </c>
      <c r="B63" s="64">
        <v>18.600000000000001</v>
      </c>
      <c r="C63" s="64">
        <v>84.37</v>
      </c>
      <c r="D63" s="64">
        <v>62.13</v>
      </c>
      <c r="E63" s="64">
        <v>0.6</v>
      </c>
      <c r="F63" s="64">
        <v>3.29</v>
      </c>
      <c r="G63" s="64">
        <v>62.28</v>
      </c>
      <c r="H63" s="64">
        <v>23.66</v>
      </c>
      <c r="I63" s="64">
        <v>1.47</v>
      </c>
      <c r="J63" s="64">
        <v>0.39</v>
      </c>
      <c r="K63" s="64">
        <v>324.56</v>
      </c>
      <c r="L63" s="64">
        <v>31.04</v>
      </c>
      <c r="M63" s="64">
        <v>38.22</v>
      </c>
      <c r="N63" s="64">
        <v>666.6</v>
      </c>
      <c r="O63" s="64">
        <v>0</v>
      </c>
      <c r="P63" s="64">
        <v>0.77</v>
      </c>
      <c r="Q63" s="64">
        <v>10.53</v>
      </c>
      <c r="R63" s="198"/>
      <c r="S63" s="198"/>
      <c r="T63" s="198"/>
      <c r="U63" s="198"/>
    </row>
    <row r="64" spans="1:21" s="12" customFormat="1" x14ac:dyDescent="0.25">
      <c r="A64" s="213" t="s">
        <v>1646</v>
      </c>
      <c r="B64" s="64">
        <v>15.41</v>
      </c>
      <c r="C64" s="64">
        <v>87.97</v>
      </c>
      <c r="D64" s="64">
        <v>61.55</v>
      </c>
      <c r="E64" s="64">
        <v>0.69</v>
      </c>
      <c r="F64" s="64">
        <v>3.34</v>
      </c>
      <c r="G64" s="64">
        <v>51.87</v>
      </c>
      <c r="H64" s="64">
        <v>23.89</v>
      </c>
      <c r="I64" s="64">
        <v>1.46</v>
      </c>
      <c r="J64" s="64">
        <v>0.41</v>
      </c>
      <c r="K64" s="64">
        <v>318.45999999999998</v>
      </c>
      <c r="L64" s="64">
        <v>31.93</v>
      </c>
      <c r="M64" s="64">
        <v>36.409999999999997</v>
      </c>
      <c r="N64" s="64">
        <v>633.9</v>
      </c>
      <c r="O64" s="64">
        <v>0</v>
      </c>
      <c r="P64" s="64">
        <v>0.77</v>
      </c>
      <c r="Q64" s="64">
        <v>10.29</v>
      </c>
      <c r="R64" s="198"/>
      <c r="S64" s="198"/>
      <c r="T64" s="198"/>
      <c r="U64" s="198"/>
    </row>
    <row r="65" spans="1:21" s="12" customFormat="1" x14ac:dyDescent="0.25">
      <c r="A65" s="213" t="s">
        <v>1647</v>
      </c>
      <c r="B65" s="64">
        <v>12.97</v>
      </c>
      <c r="C65" s="64">
        <v>91.08</v>
      </c>
      <c r="D65" s="64">
        <v>61.32</v>
      </c>
      <c r="E65" s="64">
        <v>0.72</v>
      </c>
      <c r="F65" s="64">
        <v>3.21</v>
      </c>
      <c r="G65" s="64">
        <v>51.87</v>
      </c>
      <c r="H65" s="64">
        <v>23.89</v>
      </c>
      <c r="I65" s="64">
        <v>1.49</v>
      </c>
      <c r="J65" s="64">
        <v>0.43</v>
      </c>
      <c r="K65" s="64">
        <v>345.36</v>
      </c>
      <c r="L65" s="64">
        <v>32.270000000000003</v>
      </c>
      <c r="M65" s="64">
        <v>36.06</v>
      </c>
      <c r="N65" s="64">
        <v>555.5</v>
      </c>
      <c r="O65" s="64">
        <v>0</v>
      </c>
      <c r="P65" s="64">
        <v>0.78</v>
      </c>
      <c r="Q65" s="64">
        <v>10.029999999999999</v>
      </c>
      <c r="R65" s="198"/>
      <c r="S65" s="198"/>
      <c r="T65" s="198"/>
      <c r="U65" s="198"/>
    </row>
    <row r="66" spans="1:21" s="12" customFormat="1" x14ac:dyDescent="0.25">
      <c r="A66" s="213" t="s">
        <v>1648</v>
      </c>
      <c r="B66" s="64">
        <v>11.52</v>
      </c>
      <c r="C66" s="64">
        <v>93.51</v>
      </c>
      <c r="D66" s="64">
        <v>61.49</v>
      </c>
      <c r="E66" s="64">
        <v>0.71</v>
      </c>
      <c r="F66" s="64">
        <v>3.46</v>
      </c>
      <c r="G66" s="64">
        <v>51.87</v>
      </c>
      <c r="H66" s="64">
        <v>23.89</v>
      </c>
      <c r="I66" s="64">
        <v>1.47</v>
      </c>
      <c r="J66" s="64">
        <v>0.24</v>
      </c>
      <c r="K66" s="64">
        <v>61.28</v>
      </c>
      <c r="L66" s="64">
        <v>29.84</v>
      </c>
      <c r="M66" s="64">
        <v>40.21</v>
      </c>
      <c r="N66" s="64">
        <v>478</v>
      </c>
      <c r="O66" s="64">
        <v>0</v>
      </c>
      <c r="P66" s="64">
        <v>0.77</v>
      </c>
      <c r="Q66" s="64">
        <v>9.76</v>
      </c>
      <c r="R66" s="198"/>
      <c r="S66" s="198"/>
      <c r="T66" s="198"/>
      <c r="U66" s="198"/>
    </row>
    <row r="67" spans="1:21" s="12" customFormat="1" x14ac:dyDescent="0.25">
      <c r="A67" s="213" t="s">
        <v>1649</v>
      </c>
      <c r="B67" s="64">
        <v>9.92</v>
      </c>
      <c r="C67" s="64">
        <v>94.7</v>
      </c>
      <c r="D67" s="64">
        <v>60.86</v>
      </c>
      <c r="E67" s="64">
        <v>0.73</v>
      </c>
      <c r="F67" s="64">
        <v>3.33</v>
      </c>
      <c r="G67" s="64">
        <v>54.24</v>
      </c>
      <c r="H67" s="64">
        <v>24.49</v>
      </c>
      <c r="I67" s="64">
        <v>1.53</v>
      </c>
      <c r="J67" s="64">
        <v>0.87</v>
      </c>
      <c r="K67" s="64">
        <v>346.55</v>
      </c>
      <c r="L67" s="64">
        <v>29.83</v>
      </c>
      <c r="M67" s="64">
        <v>41.03</v>
      </c>
      <c r="N67" s="64">
        <v>422.7</v>
      </c>
      <c r="O67" s="64">
        <v>0</v>
      </c>
      <c r="P67" s="64">
        <v>0.76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13" t="s">
        <v>1650</v>
      </c>
      <c r="B68" s="64">
        <v>9.07</v>
      </c>
      <c r="C68" s="64">
        <v>96.67</v>
      </c>
      <c r="D68" s="64">
        <v>61.26</v>
      </c>
      <c r="E68" s="64">
        <v>0.82</v>
      </c>
      <c r="F68" s="64">
        <v>3.71</v>
      </c>
      <c r="G68" s="64">
        <v>62.55</v>
      </c>
      <c r="H68" s="64">
        <v>25.89</v>
      </c>
      <c r="I68" s="64">
        <v>1.48</v>
      </c>
      <c r="J68" s="64">
        <v>0.8</v>
      </c>
      <c r="K68" s="64">
        <v>336.24</v>
      </c>
      <c r="L68" s="64">
        <v>30.42</v>
      </c>
      <c r="M68" s="64">
        <v>39.340000000000003</v>
      </c>
      <c r="N68" s="64">
        <v>323.2</v>
      </c>
      <c r="O68" s="64">
        <v>0</v>
      </c>
      <c r="P68" s="64">
        <v>0.77</v>
      </c>
      <c r="Q68" s="64">
        <v>9.34</v>
      </c>
      <c r="R68" s="198"/>
      <c r="S68" s="198"/>
      <c r="T68" s="198"/>
      <c r="U68" s="198"/>
    </row>
    <row r="69" spans="1:21" s="12" customFormat="1" x14ac:dyDescent="0.25">
      <c r="A69" s="213" t="s">
        <v>1651</v>
      </c>
      <c r="B69" s="64">
        <v>8.49</v>
      </c>
      <c r="C69" s="64">
        <v>99.08</v>
      </c>
      <c r="D69" s="64">
        <v>62.14</v>
      </c>
      <c r="E69" s="64">
        <v>0.97</v>
      </c>
      <c r="F69" s="64">
        <v>4</v>
      </c>
      <c r="G69" s="64">
        <v>62.55</v>
      </c>
      <c r="H69" s="64">
        <v>25.89</v>
      </c>
      <c r="I69" s="64">
        <v>1.5</v>
      </c>
      <c r="J69" s="64">
        <v>0.53</v>
      </c>
      <c r="K69" s="64">
        <v>351.72</v>
      </c>
      <c r="L69" s="64">
        <v>29.77</v>
      </c>
      <c r="M69" s="64">
        <v>40.79</v>
      </c>
      <c r="N69" s="64">
        <v>281.8</v>
      </c>
      <c r="O69" s="64">
        <v>0</v>
      </c>
      <c r="P69" s="64">
        <v>0.77</v>
      </c>
      <c r="Q69" s="64">
        <v>9.16</v>
      </c>
      <c r="R69" s="198"/>
      <c r="S69" s="198"/>
      <c r="T69" s="198"/>
      <c r="U69" s="198"/>
    </row>
    <row r="70" spans="1:21" s="12" customFormat="1" x14ac:dyDescent="0.25">
      <c r="A70" s="213" t="s">
        <v>1652</v>
      </c>
      <c r="B70" s="64">
        <v>8.2200000000000006</v>
      </c>
      <c r="C70" s="64">
        <v>101.04</v>
      </c>
      <c r="D70" s="64">
        <v>63</v>
      </c>
      <c r="E70" s="64">
        <v>0.95</v>
      </c>
      <c r="F70" s="64">
        <v>4.1399999999999997</v>
      </c>
      <c r="G70" s="64">
        <v>62.55</v>
      </c>
      <c r="H70" s="64">
        <v>25.89</v>
      </c>
      <c r="I70" s="64">
        <v>1.51</v>
      </c>
      <c r="J70" s="64">
        <v>0.55000000000000004</v>
      </c>
      <c r="K70" s="64">
        <v>359.44</v>
      </c>
      <c r="L70" s="64">
        <v>28.53</v>
      </c>
      <c r="M70" s="64">
        <v>42.49</v>
      </c>
      <c r="N70" s="64">
        <v>274.3</v>
      </c>
      <c r="O70" s="64">
        <v>0</v>
      </c>
      <c r="P70" s="64">
        <v>0.78</v>
      </c>
      <c r="Q70" s="64">
        <v>8.9499999999999993</v>
      </c>
      <c r="R70" s="198"/>
      <c r="S70" s="198"/>
      <c r="T70" s="198"/>
      <c r="U70" s="198"/>
    </row>
    <row r="71" spans="1:21" s="12" customFormat="1" x14ac:dyDescent="0.25">
      <c r="A71" s="213" t="s">
        <v>1653</v>
      </c>
      <c r="B71" s="64">
        <v>8.23</v>
      </c>
      <c r="C71" s="64">
        <v>103.02</v>
      </c>
      <c r="D71" s="64">
        <v>64.099999999999994</v>
      </c>
      <c r="E71" s="64">
        <v>0.89</v>
      </c>
      <c r="F71" s="64">
        <v>4.0599999999999996</v>
      </c>
      <c r="G71" s="64">
        <v>65.77</v>
      </c>
      <c r="H71" s="64">
        <v>26.14</v>
      </c>
      <c r="I71" s="64">
        <v>1.54</v>
      </c>
      <c r="J71" s="64">
        <v>0.89</v>
      </c>
      <c r="K71" s="64">
        <v>344.46</v>
      </c>
      <c r="L71" s="64">
        <v>28.87</v>
      </c>
      <c r="M71" s="64">
        <v>42.14</v>
      </c>
      <c r="N71" s="64">
        <v>227.5</v>
      </c>
      <c r="O71" s="64">
        <v>0</v>
      </c>
      <c r="P71" s="64">
        <v>0.78</v>
      </c>
      <c r="Q71" s="64">
        <v>8.34</v>
      </c>
      <c r="R71" s="198"/>
      <c r="S71" s="198"/>
      <c r="T71" s="198"/>
      <c r="U71" s="198"/>
    </row>
    <row r="72" spans="1:21" s="12" customFormat="1" x14ac:dyDescent="0.25">
      <c r="A72" s="213" t="s">
        <v>1654</v>
      </c>
      <c r="B72" s="64">
        <v>8.3699999999999992</v>
      </c>
      <c r="C72" s="64">
        <v>104.45</v>
      </c>
      <c r="D72" s="64">
        <v>65</v>
      </c>
      <c r="E72" s="64">
        <v>0.27</v>
      </c>
      <c r="F72" s="64">
        <v>3.76</v>
      </c>
      <c r="G72" s="64">
        <v>77.06</v>
      </c>
      <c r="H72" s="64">
        <v>27.21</v>
      </c>
      <c r="I72" s="64">
        <v>1.54</v>
      </c>
      <c r="J72" s="64">
        <v>0.61</v>
      </c>
      <c r="K72" s="64">
        <v>335.47</v>
      </c>
      <c r="L72" s="64">
        <v>28.93</v>
      </c>
      <c r="M72" s="64">
        <v>42.05</v>
      </c>
      <c r="N72" s="64">
        <v>208</v>
      </c>
      <c r="O72" s="64">
        <v>0</v>
      </c>
      <c r="P72" s="64">
        <v>0.79</v>
      </c>
      <c r="Q72" s="64">
        <v>7.78</v>
      </c>
      <c r="R72" s="198"/>
      <c r="S72" s="198"/>
      <c r="T72" s="198"/>
      <c r="U72" s="198"/>
    </row>
    <row r="73" spans="1:21" s="12" customFormat="1" x14ac:dyDescent="0.25">
      <c r="A73" s="213" t="s">
        <v>1655</v>
      </c>
      <c r="B73" s="64">
        <v>8.59</v>
      </c>
      <c r="C73" s="64">
        <v>107.67</v>
      </c>
      <c r="D73" s="64">
        <v>66.95</v>
      </c>
      <c r="E73" s="64">
        <v>0.34</v>
      </c>
      <c r="F73" s="64">
        <v>4.03</v>
      </c>
      <c r="G73" s="64">
        <v>77.06</v>
      </c>
      <c r="H73" s="64">
        <v>27.21</v>
      </c>
      <c r="I73" s="64">
        <v>1.49</v>
      </c>
      <c r="J73" s="64">
        <v>0.86</v>
      </c>
      <c r="K73" s="64">
        <v>346.2</v>
      </c>
      <c r="L73" s="64">
        <v>28.55</v>
      </c>
      <c r="M73" s="64">
        <v>43.54</v>
      </c>
      <c r="N73" s="64">
        <v>189.7</v>
      </c>
      <c r="O73" s="64">
        <v>0</v>
      </c>
      <c r="P73" s="64">
        <v>0.81</v>
      </c>
      <c r="Q73" s="64">
        <v>7.96</v>
      </c>
      <c r="R73" s="198"/>
      <c r="S73" s="198"/>
      <c r="T73" s="198"/>
      <c r="U73" s="198"/>
    </row>
    <row r="74" spans="1:21" s="12" customFormat="1" x14ac:dyDescent="0.25">
      <c r="A74" s="213" t="s">
        <v>1656</v>
      </c>
      <c r="B74" s="64">
        <v>8.9</v>
      </c>
      <c r="C74" s="64">
        <v>110.24</v>
      </c>
      <c r="D74" s="64">
        <v>68.62</v>
      </c>
      <c r="E74" s="64">
        <v>0.31</v>
      </c>
      <c r="F74" s="64">
        <v>3.65</v>
      </c>
      <c r="G74" s="64">
        <v>77.06</v>
      </c>
      <c r="H74" s="64">
        <v>27.21</v>
      </c>
      <c r="I74" s="64">
        <v>1.57</v>
      </c>
      <c r="J74" s="64">
        <v>0.75</v>
      </c>
      <c r="K74" s="64">
        <v>344.58</v>
      </c>
      <c r="L74" s="64">
        <v>28.11</v>
      </c>
      <c r="M74" s="64">
        <v>43.41</v>
      </c>
      <c r="N74" s="64">
        <v>177.6</v>
      </c>
      <c r="O74" s="64">
        <v>0</v>
      </c>
      <c r="P74" s="64">
        <v>0.81</v>
      </c>
      <c r="Q74" s="64">
        <v>10.47</v>
      </c>
      <c r="R74" s="198"/>
      <c r="S74" s="198"/>
      <c r="T74" s="198"/>
      <c r="U74" s="198"/>
    </row>
    <row r="75" spans="1:21" s="12" customFormat="1" x14ac:dyDescent="0.25">
      <c r="A75" s="213" t="s">
        <v>1657</v>
      </c>
      <c r="B75" s="64">
        <v>8.85</v>
      </c>
      <c r="C75" s="64">
        <v>91.86</v>
      </c>
      <c r="D75" s="64">
        <v>58.44</v>
      </c>
      <c r="E75" s="64">
        <v>0.28999999999999998</v>
      </c>
      <c r="F75" s="64">
        <v>3.96</v>
      </c>
      <c r="G75" s="64">
        <v>77.099999999999994</v>
      </c>
      <c r="H75" s="64">
        <v>26.62</v>
      </c>
      <c r="I75" s="64">
        <v>1.45</v>
      </c>
      <c r="J75" s="64">
        <v>0.6</v>
      </c>
      <c r="K75" s="64">
        <v>338.04</v>
      </c>
      <c r="L75" s="64">
        <v>27.65</v>
      </c>
      <c r="M75" s="64">
        <v>45.7</v>
      </c>
      <c r="N75" s="64">
        <v>162.1</v>
      </c>
      <c r="O75" s="64">
        <v>0</v>
      </c>
      <c r="P75" s="64">
        <v>0.81</v>
      </c>
      <c r="Q75" s="64">
        <v>21.85</v>
      </c>
      <c r="R75" s="198"/>
      <c r="S75" s="198"/>
      <c r="T75" s="198"/>
      <c r="U75" s="198"/>
    </row>
    <row r="76" spans="1:21" s="12" customFormat="1" x14ac:dyDescent="0.25">
      <c r="A76" s="213" t="s">
        <v>1658</v>
      </c>
      <c r="B76" s="64">
        <v>8.6999999999999993</v>
      </c>
      <c r="C76" s="64">
        <v>78</v>
      </c>
      <c r="D76" s="64">
        <v>50.67</v>
      </c>
      <c r="E76" s="64">
        <v>0.02</v>
      </c>
      <c r="F76" s="64">
        <v>3.88</v>
      </c>
      <c r="G76" s="64">
        <v>77.25</v>
      </c>
      <c r="H76" s="64">
        <v>25.25</v>
      </c>
      <c r="I76" s="64">
        <v>1.51</v>
      </c>
      <c r="J76" s="64">
        <v>0.66</v>
      </c>
      <c r="K76" s="64">
        <v>348.67</v>
      </c>
      <c r="L76" s="64">
        <v>27.31</v>
      </c>
      <c r="M76" s="64">
        <v>46.32</v>
      </c>
      <c r="N76" s="64">
        <v>153.69999999999999</v>
      </c>
      <c r="O76" s="64">
        <v>0</v>
      </c>
      <c r="P76" s="64">
        <v>0.81</v>
      </c>
      <c r="Q76" s="64">
        <v>52.02</v>
      </c>
      <c r="R76" s="198"/>
      <c r="S76" s="198"/>
      <c r="T76" s="198"/>
      <c r="U76" s="198"/>
    </row>
    <row r="77" spans="1:21" s="12" customFormat="1" x14ac:dyDescent="0.25">
      <c r="A77" s="213" t="s">
        <v>1659</v>
      </c>
      <c r="B77" s="64">
        <v>10.65</v>
      </c>
      <c r="C77" s="64">
        <v>73.930000000000007</v>
      </c>
      <c r="D77" s="64">
        <v>49.98</v>
      </c>
      <c r="E77" s="214" t="s">
        <v>42</v>
      </c>
      <c r="F77" s="64">
        <v>2.2999999999999998</v>
      </c>
      <c r="G77" s="64">
        <v>77.25</v>
      </c>
      <c r="H77" s="64">
        <v>25.25</v>
      </c>
      <c r="I77" s="64">
        <v>1.49</v>
      </c>
      <c r="J77" s="64">
        <v>0.65</v>
      </c>
      <c r="K77" s="64">
        <v>346.04</v>
      </c>
      <c r="L77" s="64">
        <v>26.74</v>
      </c>
      <c r="M77" s="64">
        <v>50.86</v>
      </c>
      <c r="N77" s="64">
        <v>141.19999999999999</v>
      </c>
      <c r="O77" s="64">
        <v>0</v>
      </c>
      <c r="P77" s="64">
        <v>0.83</v>
      </c>
      <c r="Q77" s="64">
        <v>30.69</v>
      </c>
      <c r="R77" s="198"/>
      <c r="S77" s="198"/>
      <c r="T77" s="198"/>
      <c r="U77" s="198"/>
    </row>
    <row r="78" spans="1:21" s="12" customFormat="1" x14ac:dyDescent="0.25">
      <c r="A78" s="213" t="s">
        <v>1660</v>
      </c>
      <c r="B78" s="64">
        <v>12.02</v>
      </c>
      <c r="C78" s="64">
        <v>87.38</v>
      </c>
      <c r="D78" s="64">
        <v>58.5</v>
      </c>
      <c r="E78" s="214" t="s">
        <v>42</v>
      </c>
      <c r="F78" s="64">
        <v>2.62</v>
      </c>
      <c r="G78" s="64">
        <v>77.25</v>
      </c>
      <c r="H78" s="64">
        <v>25.25</v>
      </c>
      <c r="I78" s="64">
        <v>1.48</v>
      </c>
      <c r="J78" s="64">
        <v>0.73</v>
      </c>
      <c r="K78" s="64">
        <v>345.86</v>
      </c>
      <c r="L78" s="64">
        <v>25.62</v>
      </c>
      <c r="M78" s="64">
        <v>60.62</v>
      </c>
      <c r="N78" s="64">
        <v>147.1</v>
      </c>
      <c r="O78" s="64">
        <v>0</v>
      </c>
      <c r="P78" s="64">
        <v>0.84</v>
      </c>
      <c r="Q78" s="64">
        <v>23.51</v>
      </c>
      <c r="R78" s="198"/>
      <c r="S78" s="198"/>
      <c r="T78" s="198"/>
      <c r="U78" s="198"/>
    </row>
    <row r="79" spans="1:21" s="12" customFormat="1" x14ac:dyDescent="0.25">
      <c r="A79" s="213" t="s">
        <v>1661</v>
      </c>
      <c r="B79" s="64">
        <v>13.01</v>
      </c>
      <c r="C79" s="64">
        <v>92.33</v>
      </c>
      <c r="D79" s="64">
        <v>62.04</v>
      </c>
      <c r="E79" s="214" t="s">
        <v>42</v>
      </c>
      <c r="F79" s="64">
        <v>2.76</v>
      </c>
      <c r="G79" s="64">
        <v>76.84</v>
      </c>
      <c r="H79" s="64">
        <v>26.51</v>
      </c>
      <c r="I79" s="64">
        <v>1.53</v>
      </c>
      <c r="J79" s="64">
        <v>0.49</v>
      </c>
      <c r="K79" s="64">
        <v>343.24</v>
      </c>
      <c r="L79" s="64">
        <v>25.09</v>
      </c>
      <c r="M79" s="64">
        <v>62.05</v>
      </c>
      <c r="N79" s="64">
        <v>159.4</v>
      </c>
      <c r="O79" s="64">
        <v>0</v>
      </c>
      <c r="P79" s="64">
        <v>0.88</v>
      </c>
      <c r="Q79" s="64">
        <v>16.52</v>
      </c>
      <c r="R79" s="198"/>
      <c r="S79" s="198"/>
      <c r="T79" s="198"/>
      <c r="U79" s="198"/>
    </row>
    <row r="80" spans="1:21" s="12" customFormat="1" x14ac:dyDescent="0.25">
      <c r="A80" s="213" t="s">
        <v>1662</v>
      </c>
      <c r="B80" s="64">
        <v>14.03</v>
      </c>
      <c r="C80" s="64">
        <v>101.25</v>
      </c>
      <c r="D80" s="64">
        <v>67.77</v>
      </c>
      <c r="E80" s="214" t="s">
        <v>42</v>
      </c>
      <c r="F80" s="64">
        <v>2.91</v>
      </c>
      <c r="G80" s="64">
        <v>75.41</v>
      </c>
      <c r="H80" s="64">
        <v>29.46</v>
      </c>
      <c r="I80" s="64">
        <v>1.5</v>
      </c>
      <c r="J80" s="64">
        <v>0.31</v>
      </c>
      <c r="K80" s="64">
        <v>352.55</v>
      </c>
      <c r="L80" s="64">
        <v>24.66</v>
      </c>
      <c r="M80" s="64">
        <v>56.99</v>
      </c>
      <c r="N80" s="64">
        <v>91</v>
      </c>
      <c r="O80" s="64">
        <v>0</v>
      </c>
      <c r="P80" s="64">
        <v>0.94</v>
      </c>
      <c r="Q80" s="64">
        <v>13.58</v>
      </c>
      <c r="R80" s="198"/>
      <c r="S80" s="198"/>
      <c r="T80" s="198"/>
      <c r="U80" s="198"/>
    </row>
    <row r="81" spans="1:26" s="12" customFormat="1" x14ac:dyDescent="0.25">
      <c r="A81" s="213" t="s">
        <v>1663</v>
      </c>
      <c r="B81" s="64">
        <v>15.36</v>
      </c>
      <c r="C81" s="64">
        <v>98.08</v>
      </c>
      <c r="D81" s="64">
        <v>67.09</v>
      </c>
      <c r="E81" s="214" t="s">
        <v>42</v>
      </c>
      <c r="F81" s="64">
        <v>3.4</v>
      </c>
      <c r="G81" s="64">
        <v>75.41</v>
      </c>
      <c r="H81" s="64">
        <v>29.46</v>
      </c>
      <c r="I81" s="64">
        <v>1.45</v>
      </c>
      <c r="J81" s="64">
        <v>0.47</v>
      </c>
      <c r="K81" s="64">
        <v>353.22</v>
      </c>
      <c r="L81" s="64">
        <v>24.65</v>
      </c>
      <c r="M81" s="64">
        <v>56.89</v>
      </c>
      <c r="N81" s="64">
        <v>83.8</v>
      </c>
      <c r="O81" s="64">
        <v>0</v>
      </c>
      <c r="P81" s="64">
        <v>1.03</v>
      </c>
      <c r="Q81" s="64">
        <v>10.28</v>
      </c>
      <c r="R81" s="198"/>
      <c r="S81" s="198"/>
      <c r="T81" s="198"/>
      <c r="U81" s="198"/>
    </row>
    <row r="82" spans="1:26" s="12" customFormat="1" x14ac:dyDescent="0.25">
      <c r="A82" s="213" t="s">
        <v>1664</v>
      </c>
      <c r="B82" s="64">
        <v>21.45</v>
      </c>
      <c r="C82" s="64">
        <v>111.83</v>
      </c>
      <c r="D82" s="64">
        <v>79.56</v>
      </c>
      <c r="E82" s="64">
        <v>0.32</v>
      </c>
      <c r="F82" s="64">
        <v>4.78</v>
      </c>
      <c r="G82" s="64">
        <v>75.41</v>
      </c>
      <c r="H82" s="64">
        <v>29.46</v>
      </c>
      <c r="I82" s="64">
        <v>1.52</v>
      </c>
      <c r="J82" s="64">
        <v>0.3</v>
      </c>
      <c r="K82" s="64">
        <v>344.3</v>
      </c>
      <c r="L82" s="64">
        <v>24.21</v>
      </c>
      <c r="M82" s="64">
        <v>59.33</v>
      </c>
      <c r="N82" s="64">
        <v>93.5</v>
      </c>
      <c r="O82" s="64">
        <v>0</v>
      </c>
      <c r="P82" s="64">
        <v>1.69</v>
      </c>
      <c r="Q82" s="64">
        <v>10.28</v>
      </c>
      <c r="R82" s="198"/>
      <c r="S82" s="198"/>
      <c r="T82" s="198"/>
      <c r="U82" s="198"/>
    </row>
    <row r="83" spans="1:26" s="12" customFormat="1" x14ac:dyDescent="0.25">
      <c r="A83" s="213" t="s">
        <v>1665</v>
      </c>
      <c r="B83" s="64">
        <v>17.77</v>
      </c>
      <c r="C83" s="64">
        <v>132.47</v>
      </c>
      <c r="D83" s="64">
        <v>88.01</v>
      </c>
      <c r="E83" s="64">
        <v>0.01</v>
      </c>
      <c r="F83" s="64">
        <v>3.79</v>
      </c>
      <c r="G83" s="64">
        <v>75</v>
      </c>
      <c r="H83" s="64">
        <v>29.11</v>
      </c>
      <c r="I83" s="64">
        <v>1.5</v>
      </c>
      <c r="J83" s="64">
        <v>0.51</v>
      </c>
      <c r="K83" s="64">
        <v>354.94</v>
      </c>
      <c r="L83" s="64">
        <v>23.85</v>
      </c>
      <c r="M83" s="64">
        <v>61.32</v>
      </c>
      <c r="N83" s="64">
        <v>88.6</v>
      </c>
      <c r="O83" s="64">
        <v>0</v>
      </c>
      <c r="P83" s="64">
        <v>1.76</v>
      </c>
      <c r="Q83" s="64">
        <v>7.83</v>
      </c>
      <c r="R83" s="198"/>
      <c r="S83" s="198"/>
      <c r="T83" s="198"/>
      <c r="U83" s="198"/>
    </row>
    <row r="84" spans="1:26" s="12" customFormat="1" x14ac:dyDescent="0.25">
      <c r="A84" s="213" t="s">
        <v>1666</v>
      </c>
      <c r="B84" s="64">
        <v>18.16</v>
      </c>
      <c r="C84" s="64">
        <v>128.97</v>
      </c>
      <c r="D84" s="64">
        <v>86.38</v>
      </c>
      <c r="E84" s="214" t="s">
        <v>42</v>
      </c>
      <c r="F84" s="64">
        <v>3.17</v>
      </c>
      <c r="G84" s="64">
        <v>73.66</v>
      </c>
      <c r="H84" s="64">
        <v>28.28</v>
      </c>
      <c r="I84" s="64">
        <v>1.53</v>
      </c>
      <c r="J84" s="64">
        <v>0.38</v>
      </c>
      <c r="K84" s="64">
        <v>351.7</v>
      </c>
      <c r="L84" s="64">
        <v>23.87</v>
      </c>
      <c r="M84" s="64">
        <v>62.62</v>
      </c>
      <c r="N84" s="64">
        <v>102.3</v>
      </c>
      <c r="O84" s="64">
        <v>0</v>
      </c>
      <c r="P84" s="64">
        <v>1.78</v>
      </c>
      <c r="Q84" s="64">
        <v>8.9600000000000009</v>
      </c>
      <c r="R84" s="198"/>
      <c r="S84" s="198"/>
      <c r="T84" s="198"/>
      <c r="U84" s="198"/>
    </row>
    <row r="85" spans="1:26" s="12" customFormat="1" x14ac:dyDescent="0.25">
      <c r="A85" s="213" t="s">
        <v>1667</v>
      </c>
      <c r="B85" s="64">
        <v>19.98</v>
      </c>
      <c r="C85" s="64">
        <v>118.19</v>
      </c>
      <c r="D85" s="64">
        <v>81.89</v>
      </c>
      <c r="E85" s="214" t="s">
        <v>42</v>
      </c>
      <c r="F85" s="64">
        <v>3.25</v>
      </c>
      <c r="G85" s="64">
        <v>73.66</v>
      </c>
      <c r="H85" s="64">
        <v>28.28</v>
      </c>
      <c r="I85" s="64">
        <v>1.5</v>
      </c>
      <c r="J85" s="64">
        <v>0.12</v>
      </c>
      <c r="K85" s="64">
        <v>80.12</v>
      </c>
      <c r="L85" s="64">
        <v>23.71</v>
      </c>
      <c r="M85" s="64">
        <v>62.62</v>
      </c>
      <c r="N85" s="64">
        <v>98.6</v>
      </c>
      <c r="O85" s="64">
        <v>0</v>
      </c>
      <c r="P85" s="64">
        <v>1.63</v>
      </c>
      <c r="Q85" s="64">
        <v>8.6300000000000008</v>
      </c>
      <c r="R85" s="198"/>
      <c r="S85" s="198"/>
      <c r="T85" s="198"/>
      <c r="U85" s="198"/>
    </row>
    <row r="86" spans="1:26" s="12" customFormat="1" x14ac:dyDescent="0.25">
      <c r="A86" s="213" t="s">
        <v>1668</v>
      </c>
      <c r="B86" s="64">
        <v>21.2</v>
      </c>
      <c r="C86" s="64">
        <v>109.75</v>
      </c>
      <c r="D86" s="64">
        <v>78.209999999999994</v>
      </c>
      <c r="E86" s="214" t="s">
        <v>42</v>
      </c>
      <c r="F86" s="64">
        <v>3.41</v>
      </c>
      <c r="G86" s="64">
        <v>73.66</v>
      </c>
      <c r="H86" s="64">
        <v>28.28</v>
      </c>
      <c r="I86" s="64">
        <v>1.43</v>
      </c>
      <c r="J86" s="64">
        <v>0.27</v>
      </c>
      <c r="K86" s="64">
        <v>83.74</v>
      </c>
      <c r="L86" s="64">
        <v>23.54</v>
      </c>
      <c r="M86" s="64">
        <v>64.47</v>
      </c>
      <c r="N86" s="64">
        <v>75.7</v>
      </c>
      <c r="O86" s="64">
        <v>0</v>
      </c>
      <c r="P86" s="64">
        <v>1.65</v>
      </c>
      <c r="Q86" s="64">
        <v>8.27</v>
      </c>
      <c r="R86" s="198"/>
      <c r="S86" s="198"/>
      <c r="T86" s="198"/>
      <c r="U86" s="198"/>
    </row>
    <row r="87" spans="1:26" s="12" customFormat="1" x14ac:dyDescent="0.25">
      <c r="A87" s="213" t="s">
        <v>1669</v>
      </c>
      <c r="B87" s="64">
        <v>21.88</v>
      </c>
      <c r="C87" s="64">
        <v>101.98</v>
      </c>
      <c r="D87" s="64">
        <v>74.47</v>
      </c>
      <c r="E87" s="214" t="s">
        <v>42</v>
      </c>
      <c r="F87" s="64">
        <v>3.43</v>
      </c>
      <c r="G87" s="64">
        <v>82.2</v>
      </c>
      <c r="H87" s="64">
        <v>29.43</v>
      </c>
      <c r="I87" s="64">
        <v>1.53</v>
      </c>
      <c r="J87" s="64">
        <v>0.22</v>
      </c>
      <c r="K87" s="64">
        <v>74.56</v>
      </c>
      <c r="L87" s="64">
        <v>23.35</v>
      </c>
      <c r="M87" s="64">
        <v>64.12</v>
      </c>
      <c r="N87" s="64">
        <v>118.4</v>
      </c>
      <c r="O87" s="64">
        <v>0</v>
      </c>
      <c r="P87" s="64">
        <v>1.61</v>
      </c>
      <c r="Q87" s="64">
        <v>7.98</v>
      </c>
      <c r="R87" s="198"/>
      <c r="S87" s="198"/>
      <c r="T87" s="198"/>
      <c r="U87" s="198"/>
    </row>
    <row r="88" spans="1:26" s="12" customFormat="1" x14ac:dyDescent="0.25">
      <c r="A88" s="213" t="s">
        <v>1670</v>
      </c>
      <c r="B88" s="64">
        <v>22.72</v>
      </c>
      <c r="C88" s="64">
        <v>98.41</v>
      </c>
      <c r="D88" s="64">
        <v>73.17</v>
      </c>
      <c r="E88" s="64">
        <v>0.15</v>
      </c>
      <c r="F88" s="64">
        <v>3.38</v>
      </c>
      <c r="G88" s="64">
        <v>110.26</v>
      </c>
      <c r="H88" s="64">
        <v>34.799999999999997</v>
      </c>
      <c r="I88" s="64">
        <v>1.44</v>
      </c>
      <c r="J88" s="64">
        <v>0.1</v>
      </c>
      <c r="K88" s="64">
        <v>61.14</v>
      </c>
      <c r="L88" s="64">
        <v>23.18</v>
      </c>
      <c r="M88" s="64">
        <v>64.52</v>
      </c>
      <c r="N88" s="64">
        <v>47.5</v>
      </c>
      <c r="O88" s="64">
        <v>0</v>
      </c>
      <c r="P88" s="64">
        <v>1.67</v>
      </c>
      <c r="Q88" s="64">
        <v>7.87</v>
      </c>
      <c r="R88" s="198"/>
      <c r="S88" s="198"/>
      <c r="T88" s="198"/>
      <c r="U88" s="198"/>
    </row>
    <row r="89" spans="1:26" s="12" customFormat="1" x14ac:dyDescent="0.25">
      <c r="A89" s="213" t="s">
        <v>1671</v>
      </c>
      <c r="B89" s="64">
        <v>24.57</v>
      </c>
      <c r="C89" s="64">
        <v>97.93</v>
      </c>
      <c r="D89" s="64">
        <v>74.39</v>
      </c>
      <c r="E89" s="64">
        <v>0.37</v>
      </c>
      <c r="F89" s="64">
        <v>3.47</v>
      </c>
      <c r="G89" s="64">
        <v>110.26</v>
      </c>
      <c r="H89" s="64">
        <v>34.799999999999997</v>
      </c>
      <c r="I89" s="64">
        <v>1.51</v>
      </c>
      <c r="J89" s="64">
        <v>7.0000000000000007E-2</v>
      </c>
      <c r="K89" s="64">
        <v>78.11</v>
      </c>
      <c r="L89" s="64">
        <v>22.9</v>
      </c>
      <c r="M89" s="64">
        <v>66.63</v>
      </c>
      <c r="N89" s="64">
        <v>56.9</v>
      </c>
      <c r="O89" s="64">
        <v>0</v>
      </c>
      <c r="P89" s="64">
        <v>1.74</v>
      </c>
      <c r="Q89" s="64">
        <v>7.9</v>
      </c>
      <c r="R89" s="198"/>
      <c r="S89" s="198"/>
      <c r="T89" s="198"/>
      <c r="U89" s="198"/>
    </row>
    <row r="90" spans="1:26" s="12" customFormat="1" x14ac:dyDescent="0.25">
      <c r="A90" s="213" t="s">
        <v>1672</v>
      </c>
      <c r="B90" s="64">
        <v>24.98</v>
      </c>
      <c r="C90" s="64">
        <v>97.46</v>
      </c>
      <c r="D90" s="64">
        <v>74.459999999999994</v>
      </c>
      <c r="E90" s="64">
        <v>0.43</v>
      </c>
      <c r="F90" s="64">
        <v>3.6</v>
      </c>
      <c r="G90" s="64">
        <v>110.26</v>
      </c>
      <c r="H90" s="64">
        <v>34.799999999999997</v>
      </c>
      <c r="I90" s="64">
        <v>1.53</v>
      </c>
      <c r="J90" s="64">
        <v>0.16</v>
      </c>
      <c r="K90" s="64">
        <v>76.84</v>
      </c>
      <c r="L90" s="64">
        <v>22.61</v>
      </c>
      <c r="M90" s="64">
        <v>67.31</v>
      </c>
      <c r="N90" s="64">
        <v>66</v>
      </c>
      <c r="O90" s="64">
        <v>0</v>
      </c>
      <c r="P90" s="64">
        <v>1.77</v>
      </c>
      <c r="Q90" s="64">
        <v>7.78</v>
      </c>
      <c r="R90" s="198"/>
      <c r="S90" s="198"/>
      <c r="T90" s="198"/>
      <c r="U90" s="198"/>
    </row>
    <row r="91" spans="1:26" s="12" customFormat="1" x14ac:dyDescent="0.25">
      <c r="A91" s="213" t="s">
        <v>1673</v>
      </c>
      <c r="B91" s="64">
        <v>24.47</v>
      </c>
      <c r="C91" s="64">
        <v>96.62</v>
      </c>
      <c r="D91" s="64">
        <v>73.59</v>
      </c>
      <c r="E91" s="64">
        <v>0.5</v>
      </c>
      <c r="F91" s="64">
        <v>3.37</v>
      </c>
      <c r="G91" s="64">
        <v>110.47</v>
      </c>
      <c r="H91" s="64">
        <v>35.119999999999997</v>
      </c>
      <c r="I91" s="64">
        <v>1.54</v>
      </c>
      <c r="J91" s="64">
        <v>0.2</v>
      </c>
      <c r="K91" s="64">
        <v>75.739999999999995</v>
      </c>
      <c r="L91" s="64">
        <v>22.61</v>
      </c>
      <c r="M91" s="64">
        <v>67.53</v>
      </c>
      <c r="N91" s="64">
        <v>71.400000000000006</v>
      </c>
      <c r="O91" s="64">
        <v>0</v>
      </c>
      <c r="P91" s="64">
        <v>1.77</v>
      </c>
      <c r="Q91" s="64">
        <v>7.6</v>
      </c>
      <c r="R91" s="198"/>
      <c r="S91" s="198"/>
      <c r="T91" s="198"/>
      <c r="U91" s="198"/>
    </row>
    <row r="92" spans="1:26" s="12" customFormat="1" x14ac:dyDescent="0.25">
      <c r="A92" s="213" t="s">
        <v>1674</v>
      </c>
      <c r="B92" s="64">
        <v>24.32</v>
      </c>
      <c r="C92" s="64">
        <v>95.41</v>
      </c>
      <c r="D92" s="64">
        <v>72.81</v>
      </c>
      <c r="E92" s="64">
        <v>0.53</v>
      </c>
      <c r="F92" s="64">
        <v>3.24</v>
      </c>
      <c r="G92" s="64">
        <v>111.18</v>
      </c>
      <c r="H92" s="64">
        <v>35.86</v>
      </c>
      <c r="I92" s="64">
        <v>1.52</v>
      </c>
      <c r="J92" s="64">
        <v>0.23</v>
      </c>
      <c r="K92" s="64">
        <v>89.94</v>
      </c>
      <c r="L92" s="64">
        <v>22.51</v>
      </c>
      <c r="M92" s="64">
        <v>67.569999999999993</v>
      </c>
      <c r="N92" s="64">
        <v>72.400000000000006</v>
      </c>
      <c r="O92" s="64">
        <v>0</v>
      </c>
      <c r="P92" s="64">
        <v>1.75</v>
      </c>
      <c r="Q92" s="64">
        <v>7.39</v>
      </c>
      <c r="R92" s="198"/>
      <c r="S92" s="198"/>
      <c r="T92" s="198"/>
      <c r="U92" s="198"/>
    </row>
    <row r="93" spans="1:26" s="12" customFormat="1" x14ac:dyDescent="0.25">
      <c r="A93" s="213" t="s">
        <v>1675</v>
      </c>
      <c r="B93" s="64">
        <v>23.63</v>
      </c>
      <c r="C93" s="64">
        <v>94.7</v>
      </c>
      <c r="D93" s="64">
        <v>71.86</v>
      </c>
      <c r="E93" s="64">
        <v>0.55000000000000004</v>
      </c>
      <c r="F93" s="64">
        <v>3.15</v>
      </c>
      <c r="G93" s="64">
        <v>111.18</v>
      </c>
      <c r="H93" s="64">
        <v>35.86</v>
      </c>
      <c r="I93" s="64">
        <v>1.47</v>
      </c>
      <c r="J93" s="64">
        <v>0.24</v>
      </c>
      <c r="K93" s="64">
        <v>78.180000000000007</v>
      </c>
      <c r="L93" s="64">
        <v>22.43</v>
      </c>
      <c r="M93" s="64">
        <v>68.11</v>
      </c>
      <c r="N93" s="64">
        <v>81.900000000000006</v>
      </c>
      <c r="O93" s="64">
        <v>0</v>
      </c>
      <c r="P93" s="64">
        <v>1.74</v>
      </c>
      <c r="Q93" s="64">
        <v>6.94</v>
      </c>
      <c r="R93" s="198"/>
      <c r="S93" s="198"/>
      <c r="T93" s="198"/>
      <c r="U93" s="198"/>
    </row>
    <row r="94" spans="1:26" s="12" customFormat="1" x14ac:dyDescent="0.25">
      <c r="A94" s="213" t="s">
        <v>1676</v>
      </c>
      <c r="B94" s="64">
        <v>23.26</v>
      </c>
      <c r="C94" s="64">
        <v>94.29</v>
      </c>
      <c r="D94" s="64">
        <v>71.33</v>
      </c>
      <c r="E94" s="64">
        <v>0.61</v>
      </c>
      <c r="F94" s="64">
        <v>3.17</v>
      </c>
      <c r="G94" s="64">
        <v>111.18</v>
      </c>
      <c r="H94" s="64">
        <v>35.86</v>
      </c>
      <c r="I94" s="64">
        <v>1.49</v>
      </c>
      <c r="J94" s="64">
        <v>0.14000000000000001</v>
      </c>
      <c r="K94" s="64">
        <v>61.6</v>
      </c>
      <c r="L94" s="64">
        <v>22.1</v>
      </c>
      <c r="M94" s="64">
        <v>70.150000000000006</v>
      </c>
      <c r="N94" s="64">
        <v>90</v>
      </c>
      <c r="O94" s="64">
        <v>0</v>
      </c>
      <c r="P94" s="64">
        <v>1.71</v>
      </c>
      <c r="Q94" s="64">
        <v>6.36</v>
      </c>
      <c r="R94" s="198"/>
      <c r="S94" s="198"/>
      <c r="T94" s="198"/>
      <c r="U94" s="198"/>
    </row>
    <row r="95" spans="1:26" s="12" customFormat="1" x14ac:dyDescent="0.25">
      <c r="A95" s="213" t="s">
        <v>1677</v>
      </c>
      <c r="B95" s="64">
        <v>23.75</v>
      </c>
      <c r="C95" s="64">
        <v>94.37</v>
      </c>
      <c r="D95" s="64">
        <v>71.77</v>
      </c>
      <c r="E95" s="64">
        <v>0.61</v>
      </c>
      <c r="F95" s="64">
        <v>3.07</v>
      </c>
      <c r="G95" s="64">
        <v>107.42</v>
      </c>
      <c r="H95" s="64">
        <v>35.9</v>
      </c>
      <c r="I95" s="64">
        <v>1.48</v>
      </c>
      <c r="J95" s="64">
        <v>0.12</v>
      </c>
      <c r="K95" s="64">
        <v>46.49</v>
      </c>
      <c r="L95" s="64">
        <v>21.84</v>
      </c>
      <c r="M95" s="64">
        <v>72.150000000000006</v>
      </c>
      <c r="N95" s="64">
        <v>82.9</v>
      </c>
      <c r="O95" s="64">
        <v>0</v>
      </c>
      <c r="P95" s="64">
        <v>1.7</v>
      </c>
      <c r="Q95" s="64">
        <v>6.15</v>
      </c>
      <c r="R95" s="198"/>
      <c r="S95" s="198"/>
      <c r="T95" s="198"/>
      <c r="U95" s="198"/>
    </row>
    <row r="96" spans="1:26" s="12" customFormat="1" x14ac:dyDescent="0.25">
      <c r="A96" s="213" t="s">
        <v>1678</v>
      </c>
      <c r="B96" s="64">
        <v>26.37</v>
      </c>
      <c r="C96" s="64">
        <v>94.82</v>
      </c>
      <c r="D96" s="64">
        <v>74.13</v>
      </c>
      <c r="E96" s="64">
        <v>0.73</v>
      </c>
      <c r="F96" s="64">
        <v>3.09</v>
      </c>
      <c r="G96" s="64">
        <v>94.25</v>
      </c>
      <c r="H96" s="64">
        <v>36.020000000000003</v>
      </c>
      <c r="I96" s="64">
        <v>1.47</v>
      </c>
      <c r="J96" s="64">
        <v>0.08</v>
      </c>
      <c r="K96" s="64">
        <v>12.96</v>
      </c>
      <c r="L96" s="64">
        <v>21.67</v>
      </c>
      <c r="M96" s="64">
        <v>72.86</v>
      </c>
      <c r="N96" s="64">
        <v>74.400000000000006</v>
      </c>
      <c r="O96" s="64">
        <v>0</v>
      </c>
      <c r="P96" s="64">
        <v>1.71</v>
      </c>
      <c r="Q96" s="64">
        <v>6.27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1679</v>
      </c>
      <c r="B97" s="64">
        <v>30.87</v>
      </c>
      <c r="C97" s="64">
        <v>96</v>
      </c>
      <c r="D97" s="64">
        <v>78.38</v>
      </c>
      <c r="E97" s="64">
        <v>0.73</v>
      </c>
      <c r="F97" s="64">
        <v>3.47</v>
      </c>
      <c r="G97" s="64">
        <v>94.25</v>
      </c>
      <c r="H97" s="64">
        <v>36.020000000000003</v>
      </c>
      <c r="I97" s="64">
        <v>1.41</v>
      </c>
      <c r="J97" s="64">
        <v>0.14000000000000001</v>
      </c>
      <c r="K97" s="64">
        <v>10.9</v>
      </c>
      <c r="L97" s="64">
        <v>21.44</v>
      </c>
      <c r="M97" s="64">
        <v>74.400000000000006</v>
      </c>
      <c r="N97" s="64">
        <v>74.8</v>
      </c>
      <c r="O97" s="64">
        <v>0</v>
      </c>
      <c r="P97" s="64">
        <v>1.75</v>
      </c>
      <c r="Q97" s="64">
        <v>7.02</v>
      </c>
      <c r="R97" s="198"/>
      <c r="S97" s="198"/>
      <c r="T97" s="198"/>
      <c r="U97" s="198"/>
    </row>
    <row r="98" spans="1:33" s="12" customFormat="1" x14ac:dyDescent="0.25">
      <c r="A98" s="213" t="s">
        <v>1680</v>
      </c>
      <c r="B98" s="64">
        <v>34.369999999999997</v>
      </c>
      <c r="C98" s="64">
        <v>97.18</v>
      </c>
      <c r="D98" s="64">
        <v>81.84</v>
      </c>
      <c r="E98" s="64">
        <v>0.81</v>
      </c>
      <c r="F98" s="64">
        <v>3.17</v>
      </c>
      <c r="G98" s="64">
        <v>94.25</v>
      </c>
      <c r="H98" s="64">
        <v>36.020000000000003</v>
      </c>
      <c r="I98" s="64">
        <v>1.51</v>
      </c>
      <c r="J98" s="64">
        <v>0.13</v>
      </c>
      <c r="K98" s="64">
        <v>26.94</v>
      </c>
      <c r="L98" s="64">
        <v>21.34</v>
      </c>
      <c r="M98" s="64">
        <v>74.459999999999994</v>
      </c>
      <c r="N98" s="64">
        <v>77.5</v>
      </c>
      <c r="O98" s="64">
        <v>0</v>
      </c>
      <c r="P98" s="64">
        <v>1.76</v>
      </c>
      <c r="Q98" s="64">
        <v>7.28</v>
      </c>
      <c r="R98" s="198"/>
      <c r="S98" s="198"/>
      <c r="T98" s="198"/>
      <c r="U98" s="198"/>
    </row>
    <row r="99" spans="1:33" s="12" customFormat="1" x14ac:dyDescent="0.25">
      <c r="A99" s="213" t="s">
        <v>1681</v>
      </c>
      <c r="B99" s="64">
        <v>36.21</v>
      </c>
      <c r="C99" s="64">
        <v>98.36</v>
      </c>
      <c r="D99" s="64">
        <v>83.97</v>
      </c>
      <c r="E99" s="64">
        <v>0.83</v>
      </c>
      <c r="F99" s="64">
        <v>2.87</v>
      </c>
      <c r="G99" s="64">
        <v>95.24</v>
      </c>
      <c r="H99" s="64">
        <v>36.53</v>
      </c>
      <c r="I99" s="64">
        <v>1.38</v>
      </c>
      <c r="J99" s="64">
        <v>0.06</v>
      </c>
      <c r="K99" s="64">
        <v>2.23</v>
      </c>
      <c r="L99" s="64">
        <v>21.4</v>
      </c>
      <c r="M99" s="64">
        <v>73.08</v>
      </c>
      <c r="N99" s="64">
        <v>82.7</v>
      </c>
      <c r="O99" s="64">
        <v>0</v>
      </c>
      <c r="P99" s="64">
        <v>1.75</v>
      </c>
      <c r="Q99" s="64">
        <v>7.58</v>
      </c>
      <c r="R99" s="198"/>
      <c r="S99" s="198"/>
      <c r="T99" s="198"/>
      <c r="U99" s="198"/>
    </row>
    <row r="100" spans="1:33" s="12" customFormat="1" x14ac:dyDescent="0.25">
      <c r="A100" s="213" t="s">
        <v>1682</v>
      </c>
      <c r="B100" s="64">
        <v>36.979999999999997</v>
      </c>
      <c r="C100" s="64">
        <v>99.42</v>
      </c>
      <c r="D100" s="64">
        <v>85.17</v>
      </c>
      <c r="E100" s="64">
        <v>0.85</v>
      </c>
      <c r="F100" s="64">
        <v>3.08</v>
      </c>
      <c r="G100" s="64">
        <v>98.7</v>
      </c>
      <c r="H100" s="64">
        <v>37.75</v>
      </c>
      <c r="I100" s="64">
        <v>1.47</v>
      </c>
      <c r="J100" s="64">
        <v>0.24</v>
      </c>
      <c r="K100" s="64">
        <v>335.75</v>
      </c>
      <c r="L100" s="64">
        <v>21.46</v>
      </c>
      <c r="M100" s="64">
        <v>72.38</v>
      </c>
      <c r="N100" s="64">
        <v>73.7</v>
      </c>
      <c r="O100" s="64">
        <v>0</v>
      </c>
      <c r="P100" s="64">
        <v>1.72</v>
      </c>
      <c r="Q100" s="64">
        <v>7.56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1683</v>
      </c>
      <c r="B101" s="64">
        <v>37.19</v>
      </c>
      <c r="C101" s="64">
        <v>100.42</v>
      </c>
      <c r="D101" s="64">
        <v>85.89</v>
      </c>
      <c r="E101" s="64">
        <v>0.91</v>
      </c>
      <c r="F101" s="64">
        <v>3.07</v>
      </c>
      <c r="G101" s="64">
        <v>98.7</v>
      </c>
      <c r="H101" s="64">
        <v>37.75</v>
      </c>
      <c r="I101" s="64">
        <v>1.5</v>
      </c>
      <c r="J101" s="64">
        <v>0.26</v>
      </c>
      <c r="K101" s="64">
        <v>344.41</v>
      </c>
      <c r="L101" s="64">
        <v>21.3</v>
      </c>
      <c r="M101" s="64">
        <v>73.14</v>
      </c>
      <c r="N101" s="64">
        <v>78.3</v>
      </c>
      <c r="O101" s="64">
        <v>0</v>
      </c>
      <c r="P101" s="64">
        <v>1.68</v>
      </c>
      <c r="Q101" s="64">
        <v>7.54</v>
      </c>
      <c r="R101" s="198"/>
      <c r="S101" s="198"/>
      <c r="T101" s="198"/>
      <c r="U101" s="198"/>
    </row>
    <row r="102" spans="1:33" s="12" customFormat="1" x14ac:dyDescent="0.25">
      <c r="A102" s="213" t="s">
        <v>1684</v>
      </c>
      <c r="B102" s="64">
        <v>36.18</v>
      </c>
      <c r="C102" s="64">
        <v>101.4</v>
      </c>
      <c r="D102" s="64">
        <v>85.62</v>
      </c>
      <c r="E102" s="64">
        <v>0.84</v>
      </c>
      <c r="F102" s="64">
        <v>3.21</v>
      </c>
      <c r="G102" s="64">
        <v>98.7</v>
      </c>
      <c r="H102" s="64">
        <v>37.75</v>
      </c>
      <c r="I102" s="64">
        <v>1.53</v>
      </c>
      <c r="J102" s="64">
        <v>0.73</v>
      </c>
      <c r="K102" s="64">
        <v>352.35</v>
      </c>
      <c r="L102" s="64">
        <v>21.38</v>
      </c>
      <c r="M102" s="64">
        <v>72.13</v>
      </c>
      <c r="N102" s="64">
        <v>93.8</v>
      </c>
      <c r="O102" s="64">
        <v>0</v>
      </c>
      <c r="P102" s="64">
        <v>1.62</v>
      </c>
      <c r="Q102" s="64">
        <v>7.22</v>
      </c>
      <c r="R102" s="198"/>
      <c r="S102" s="198"/>
      <c r="T102" s="198"/>
      <c r="U102" s="198"/>
    </row>
    <row r="103" spans="1:33" s="12" customFormat="1" x14ac:dyDescent="0.25">
      <c r="A103" s="213" t="s">
        <v>1685</v>
      </c>
      <c r="B103" s="64">
        <v>32.479999999999997</v>
      </c>
      <c r="C103" s="64">
        <v>87.3</v>
      </c>
      <c r="D103" s="64">
        <v>74.87</v>
      </c>
      <c r="E103" s="64">
        <v>0.93</v>
      </c>
      <c r="F103" s="64">
        <v>3</v>
      </c>
      <c r="G103" s="64">
        <v>95.53</v>
      </c>
      <c r="H103" s="64">
        <v>37.4</v>
      </c>
      <c r="I103" s="64">
        <v>1.48</v>
      </c>
      <c r="J103" s="64">
        <v>0.97</v>
      </c>
      <c r="K103" s="64">
        <v>353.07</v>
      </c>
      <c r="L103" s="64">
        <v>21.59</v>
      </c>
      <c r="M103" s="64">
        <v>71.23</v>
      </c>
      <c r="N103" s="64">
        <v>89.5</v>
      </c>
      <c r="O103" s="64">
        <v>0</v>
      </c>
      <c r="P103" s="64">
        <v>1.53</v>
      </c>
      <c r="Q103" s="64">
        <v>6.23</v>
      </c>
      <c r="R103" s="198"/>
      <c r="S103" s="198"/>
      <c r="T103" s="198"/>
      <c r="U103" s="198"/>
    </row>
    <row r="104" spans="1:33" s="12" customFormat="1" x14ac:dyDescent="0.25">
      <c r="A104" s="213" t="s">
        <v>1686</v>
      </c>
      <c r="B104" s="64">
        <v>23.98</v>
      </c>
      <c r="C104" s="64">
        <v>53.04</v>
      </c>
      <c r="D104" s="64">
        <v>49.14</v>
      </c>
      <c r="E104" s="64">
        <v>0.23</v>
      </c>
      <c r="F104" s="64">
        <v>3.49</v>
      </c>
      <c r="G104" s="64">
        <v>84.44</v>
      </c>
      <c r="H104" s="64">
        <v>35.72</v>
      </c>
      <c r="I104" s="64">
        <v>1.44</v>
      </c>
      <c r="J104" s="64">
        <v>0.33</v>
      </c>
      <c r="K104" s="64">
        <v>3.17</v>
      </c>
      <c r="L104" s="64">
        <v>21.35</v>
      </c>
      <c r="M104" s="64">
        <v>73.209999999999994</v>
      </c>
      <c r="N104" s="64">
        <v>120</v>
      </c>
      <c r="O104" s="64">
        <v>0</v>
      </c>
      <c r="P104" s="64">
        <v>1.45</v>
      </c>
      <c r="Q104" s="64">
        <v>0.52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8.2200000000000006</v>
      </c>
      <c r="C106" s="67">
        <f>MIN(C9:C104)</f>
        <v>53.04</v>
      </c>
      <c r="D106" s="67">
        <f t="shared" ref="D106:Q106" si="0">MIN(D9:D104)</f>
        <v>49.14</v>
      </c>
      <c r="E106" s="67">
        <f t="shared" si="0"/>
        <v>0.01</v>
      </c>
      <c r="F106" s="67">
        <f t="shared" si="0"/>
        <v>2.2999999999999998</v>
      </c>
      <c r="G106" s="67">
        <f t="shared" si="0"/>
        <v>48.81</v>
      </c>
      <c r="H106" s="67">
        <f t="shared" si="0"/>
        <v>22.4</v>
      </c>
      <c r="I106" s="67">
        <f t="shared" si="0"/>
        <v>1.38</v>
      </c>
      <c r="J106" s="67">
        <f t="shared" si="0"/>
        <v>0.03</v>
      </c>
      <c r="K106" s="67">
        <f t="shared" si="0"/>
        <v>2.23</v>
      </c>
      <c r="L106" s="67">
        <f t="shared" si="0"/>
        <v>17.29</v>
      </c>
      <c r="M106" s="67">
        <f t="shared" si="0"/>
        <v>36.06</v>
      </c>
      <c r="N106" s="67">
        <f t="shared" si="0"/>
        <v>21.2</v>
      </c>
      <c r="O106" s="67">
        <f t="shared" si="0"/>
        <v>0</v>
      </c>
      <c r="P106" s="67">
        <f t="shared" si="0"/>
        <v>0.73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168.32</v>
      </c>
      <c r="C107" s="66">
        <f t="shared" ref="C107:Q107" si="1">MAX(C9:C104)</f>
        <v>132.47</v>
      </c>
      <c r="D107" s="66">
        <f t="shared" si="1"/>
        <v>176.45</v>
      </c>
      <c r="E107" s="66">
        <f t="shared" si="1"/>
        <v>0.97</v>
      </c>
      <c r="F107" s="66">
        <f t="shared" si="1"/>
        <v>4.78</v>
      </c>
      <c r="G107" s="66">
        <f t="shared" si="1"/>
        <v>147.97</v>
      </c>
      <c r="H107" s="66">
        <f t="shared" si="1"/>
        <v>53.6</v>
      </c>
      <c r="I107" s="66">
        <f t="shared" si="1"/>
        <v>1.63</v>
      </c>
      <c r="J107" s="66">
        <f t="shared" si="1"/>
        <v>1.3</v>
      </c>
      <c r="K107" s="66">
        <f t="shared" si="1"/>
        <v>359.79</v>
      </c>
      <c r="L107" s="66">
        <f t="shared" si="1"/>
        <v>32.270000000000003</v>
      </c>
      <c r="M107" s="66">
        <f t="shared" si="1"/>
        <v>93.79</v>
      </c>
      <c r="N107" s="66">
        <f t="shared" si="1"/>
        <v>814.2</v>
      </c>
      <c r="O107" s="66">
        <f t="shared" si="1"/>
        <v>0</v>
      </c>
      <c r="P107" s="66">
        <f t="shared" si="1"/>
        <v>2.52</v>
      </c>
      <c r="Q107" s="66">
        <f t="shared" si="1"/>
        <v>52.02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54.102499999999985</v>
      </c>
      <c r="C108" s="67">
        <f t="shared" ref="C108:Q108" si="2">AVERAGE(C9:C104)</f>
        <v>84.209062499999973</v>
      </c>
      <c r="D108" s="67">
        <f t="shared" si="2"/>
        <v>90.504583333333372</v>
      </c>
      <c r="E108" s="67">
        <f t="shared" si="2"/>
        <v>0.46218390804597692</v>
      </c>
      <c r="F108" s="67">
        <f t="shared" si="2"/>
        <v>3.3175000000000008</v>
      </c>
      <c r="G108" s="67">
        <f t="shared" si="2"/>
        <v>80.18354166666667</v>
      </c>
      <c r="H108" s="67">
        <f t="shared" si="2"/>
        <v>29.796354166666685</v>
      </c>
      <c r="I108" s="67">
        <f t="shared" si="2"/>
        <v>1.5011458333333325</v>
      </c>
      <c r="J108" s="67">
        <f t="shared" si="2"/>
        <v>0.36562499999999992</v>
      </c>
      <c r="K108" s="67">
        <f t="shared" si="2"/>
        <v>226.10531249999994</v>
      </c>
      <c r="L108" s="67">
        <f t="shared" si="2"/>
        <v>23.264687499999997</v>
      </c>
      <c r="M108" s="67">
        <f t="shared" si="2"/>
        <v>65.855624999999975</v>
      </c>
      <c r="N108" s="67">
        <f t="shared" si="2"/>
        <v>229.34375000000003</v>
      </c>
      <c r="O108" s="67">
        <f t="shared" si="2"/>
        <v>0</v>
      </c>
      <c r="P108" s="67">
        <f t="shared" si="2"/>
        <v>1.2015624999999999</v>
      </c>
      <c r="Q108" s="67">
        <f t="shared" si="2"/>
        <v>11.475104166666666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41.456787927469215</v>
      </c>
      <c r="C109" s="67">
        <f t="shared" ref="C109:Q109" si="3">STDEV(C9:C104)</f>
        <v>15.42134952645544</v>
      </c>
      <c r="D109" s="67">
        <f t="shared" si="3"/>
        <v>28.87647441363643</v>
      </c>
      <c r="E109" s="67">
        <f t="shared" si="3"/>
        <v>0.23637979534007275</v>
      </c>
      <c r="F109" s="67">
        <f t="shared" si="3"/>
        <v>0.36289189342803652</v>
      </c>
      <c r="G109" s="67">
        <f t="shared" si="3"/>
        <v>21.327300121732559</v>
      </c>
      <c r="H109" s="67">
        <f t="shared" si="3"/>
        <v>6.2601875068254085</v>
      </c>
      <c r="I109" s="67">
        <f t="shared" si="3"/>
        <v>4.3573767861111563E-2</v>
      </c>
      <c r="J109" s="67">
        <f t="shared" si="3"/>
        <v>0.28502192898091205</v>
      </c>
      <c r="K109" s="67">
        <f t="shared" si="3"/>
        <v>129.24345999500434</v>
      </c>
      <c r="L109" s="67">
        <f t="shared" si="3"/>
        <v>4.6461823498041923</v>
      </c>
      <c r="M109" s="67">
        <f t="shared" si="3"/>
        <v>17.744628590528258</v>
      </c>
      <c r="N109" s="67">
        <f t="shared" si="3"/>
        <v>258.84116642105147</v>
      </c>
      <c r="O109" s="67">
        <f t="shared" si="3"/>
        <v>0</v>
      </c>
      <c r="P109" s="67">
        <f t="shared" si="3"/>
        <v>0.4587060247100137</v>
      </c>
      <c r="Q109" s="67">
        <f t="shared" si="3"/>
        <v>6.226028216885636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COUNT(E9:E104)+9</f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1687</v>
      </c>
      <c r="B9" s="64">
        <v>31.47</v>
      </c>
      <c r="C9" s="64">
        <v>65.58</v>
      </c>
      <c r="D9" s="64">
        <v>62.07</v>
      </c>
      <c r="E9" s="64">
        <v>0.18</v>
      </c>
      <c r="F9" s="64">
        <v>3.01</v>
      </c>
      <c r="G9" s="64">
        <v>84.44</v>
      </c>
      <c r="H9" s="64">
        <v>35.72</v>
      </c>
      <c r="I9" s="64">
        <v>1.49</v>
      </c>
      <c r="J9" s="64">
        <v>0.25</v>
      </c>
      <c r="K9" s="64">
        <v>9.82</v>
      </c>
      <c r="L9" s="64">
        <v>20.94</v>
      </c>
      <c r="M9" s="64">
        <v>76.03</v>
      </c>
      <c r="N9" s="64">
        <v>99.1</v>
      </c>
      <c r="O9" s="64">
        <v>0</v>
      </c>
      <c r="P9" s="64">
        <v>1.4</v>
      </c>
      <c r="Q9" s="64">
        <v>1.94</v>
      </c>
      <c r="R9" s="198"/>
      <c r="S9" s="198"/>
      <c r="T9" s="198"/>
      <c r="U9" s="198"/>
    </row>
    <row r="10" spans="1:21" s="12" customFormat="1" x14ac:dyDescent="0.25">
      <c r="A10" s="213" t="s">
        <v>1688</v>
      </c>
      <c r="B10" s="64">
        <v>30.94</v>
      </c>
      <c r="C10" s="64">
        <v>86.92</v>
      </c>
      <c r="D10" s="64">
        <v>73.430000000000007</v>
      </c>
      <c r="E10" s="64">
        <v>0.1</v>
      </c>
      <c r="F10" s="64">
        <v>2.76</v>
      </c>
      <c r="G10" s="64">
        <v>84.44</v>
      </c>
      <c r="H10" s="64">
        <v>35.72</v>
      </c>
      <c r="I10" s="64">
        <v>1.49</v>
      </c>
      <c r="J10" s="64">
        <v>0.2</v>
      </c>
      <c r="K10" s="64">
        <v>14.65</v>
      </c>
      <c r="L10" s="64">
        <v>20.58</v>
      </c>
      <c r="M10" s="64">
        <v>78.55</v>
      </c>
      <c r="N10" s="64">
        <v>68.8</v>
      </c>
      <c r="O10" s="64">
        <v>0</v>
      </c>
      <c r="P10" s="64">
        <v>1.34</v>
      </c>
      <c r="Q10" s="64">
        <v>4.76</v>
      </c>
      <c r="R10" s="198"/>
      <c r="S10" s="198"/>
      <c r="T10" s="198"/>
      <c r="U10" s="198"/>
    </row>
    <row r="11" spans="1:21" s="12" customFormat="1" x14ac:dyDescent="0.25">
      <c r="A11" s="213" t="s">
        <v>1689</v>
      </c>
      <c r="B11" s="64">
        <v>30.35</v>
      </c>
      <c r="C11" s="64">
        <v>86.31</v>
      </c>
      <c r="D11" s="64">
        <v>72.62</v>
      </c>
      <c r="E11" s="64">
        <v>0.15</v>
      </c>
      <c r="F11" s="64">
        <v>2.71</v>
      </c>
      <c r="G11" s="64">
        <v>81.790000000000006</v>
      </c>
      <c r="H11" s="64">
        <v>35.299999999999997</v>
      </c>
      <c r="I11" s="64">
        <v>1.6</v>
      </c>
      <c r="J11" s="64">
        <v>0.2</v>
      </c>
      <c r="K11" s="64">
        <v>25.27</v>
      </c>
      <c r="L11" s="64">
        <v>20.41</v>
      </c>
      <c r="M11" s="64">
        <v>78.86</v>
      </c>
      <c r="N11" s="64">
        <v>82.5</v>
      </c>
      <c r="O11" s="64">
        <v>0</v>
      </c>
      <c r="P11" s="64">
        <v>1.29</v>
      </c>
      <c r="Q11" s="64">
        <v>5.0999999999999996</v>
      </c>
      <c r="R11" s="198"/>
      <c r="S11" s="198"/>
      <c r="T11" s="198"/>
      <c r="U11" s="198"/>
    </row>
    <row r="12" spans="1:21" s="12" customFormat="1" x14ac:dyDescent="0.25">
      <c r="A12" s="213" t="s">
        <v>1690</v>
      </c>
      <c r="B12" s="64">
        <v>29.81</v>
      </c>
      <c r="C12" s="64">
        <v>84.85</v>
      </c>
      <c r="D12" s="64">
        <v>71.38</v>
      </c>
      <c r="E12" s="64">
        <v>7.0000000000000007E-2</v>
      </c>
      <c r="F12" s="64">
        <v>3.06</v>
      </c>
      <c r="G12" s="64">
        <v>73.06</v>
      </c>
      <c r="H12" s="64">
        <v>34.299999999999997</v>
      </c>
      <c r="I12" s="64">
        <v>1.52</v>
      </c>
      <c r="J12" s="64">
        <v>0.19</v>
      </c>
      <c r="K12" s="64">
        <v>12.57</v>
      </c>
      <c r="L12" s="64">
        <v>20.37</v>
      </c>
      <c r="M12" s="64">
        <v>78.930000000000007</v>
      </c>
      <c r="N12" s="64">
        <v>96</v>
      </c>
      <c r="O12" s="64">
        <v>0</v>
      </c>
      <c r="P12" s="64">
        <v>1.23</v>
      </c>
      <c r="Q12" s="64">
        <v>6.21</v>
      </c>
      <c r="R12" s="198"/>
      <c r="S12" s="198"/>
      <c r="T12" s="198"/>
      <c r="U12" s="198"/>
    </row>
    <row r="13" spans="1:21" s="12" customFormat="1" x14ac:dyDescent="0.25">
      <c r="A13" s="213" t="s">
        <v>1691</v>
      </c>
      <c r="B13" s="64">
        <v>29.34</v>
      </c>
      <c r="C13" s="64">
        <v>81.58</v>
      </c>
      <c r="D13" s="64">
        <v>69.19</v>
      </c>
      <c r="E13" s="64">
        <v>0.2</v>
      </c>
      <c r="F13" s="64">
        <v>3.31</v>
      </c>
      <c r="G13" s="64">
        <v>73.06</v>
      </c>
      <c r="H13" s="64">
        <v>34.299999999999997</v>
      </c>
      <c r="I13" s="64">
        <v>1.49</v>
      </c>
      <c r="J13" s="64">
        <v>0.39</v>
      </c>
      <c r="K13" s="64">
        <v>343.12</v>
      </c>
      <c r="L13" s="64">
        <v>20.190000000000001</v>
      </c>
      <c r="M13" s="64">
        <v>80.75</v>
      </c>
      <c r="N13" s="64">
        <v>89.8</v>
      </c>
      <c r="O13" s="64">
        <v>0</v>
      </c>
      <c r="P13" s="64">
        <v>1.1299999999999999</v>
      </c>
      <c r="Q13" s="64">
        <v>6.38</v>
      </c>
      <c r="R13" s="198"/>
      <c r="S13" s="198"/>
      <c r="T13" s="198"/>
      <c r="U13" s="198"/>
    </row>
    <row r="14" spans="1:21" s="12" customFormat="1" x14ac:dyDescent="0.25">
      <c r="A14" s="213" t="s">
        <v>1692</v>
      </c>
      <c r="B14" s="64">
        <v>28.67</v>
      </c>
      <c r="C14" s="64">
        <v>78.84</v>
      </c>
      <c r="D14" s="64">
        <v>67.150000000000006</v>
      </c>
      <c r="E14" s="64">
        <v>0.15</v>
      </c>
      <c r="F14" s="64">
        <v>3.43</v>
      </c>
      <c r="G14" s="64">
        <v>73.06</v>
      </c>
      <c r="H14" s="64">
        <v>34.299999999999997</v>
      </c>
      <c r="I14" s="64">
        <v>1.58</v>
      </c>
      <c r="J14" s="64">
        <v>0.61</v>
      </c>
      <c r="K14" s="64">
        <v>349.91</v>
      </c>
      <c r="L14" s="64">
        <v>20.04</v>
      </c>
      <c r="M14" s="64">
        <v>81.55</v>
      </c>
      <c r="N14" s="64">
        <v>61.6</v>
      </c>
      <c r="O14" s="64">
        <v>0</v>
      </c>
      <c r="P14" s="64">
        <v>1.1299999999999999</v>
      </c>
      <c r="Q14" s="64">
        <v>7.71</v>
      </c>
      <c r="R14" s="198"/>
      <c r="S14" s="198"/>
      <c r="T14" s="198"/>
      <c r="U14" s="198"/>
    </row>
    <row r="15" spans="1:21" s="12" customFormat="1" x14ac:dyDescent="0.25">
      <c r="A15" s="213" t="s">
        <v>1693</v>
      </c>
      <c r="B15" s="64">
        <v>27.84</v>
      </c>
      <c r="C15" s="64">
        <v>75.78</v>
      </c>
      <c r="D15" s="64">
        <v>64.790000000000006</v>
      </c>
      <c r="E15" s="64">
        <v>0.15</v>
      </c>
      <c r="F15" s="64">
        <v>3.16</v>
      </c>
      <c r="G15" s="64">
        <v>72.25</v>
      </c>
      <c r="H15" s="64">
        <v>33.47</v>
      </c>
      <c r="I15" s="64">
        <v>1.53</v>
      </c>
      <c r="J15" s="64">
        <v>0.53</v>
      </c>
      <c r="K15" s="64">
        <v>349.43</v>
      </c>
      <c r="L15" s="64">
        <v>19.79</v>
      </c>
      <c r="M15" s="64">
        <v>82.65</v>
      </c>
      <c r="N15" s="64">
        <v>66.3</v>
      </c>
      <c r="O15" s="64">
        <v>0</v>
      </c>
      <c r="P15" s="64">
        <v>1.08</v>
      </c>
      <c r="Q15" s="64">
        <v>6.72</v>
      </c>
      <c r="R15" s="198"/>
      <c r="S15" s="198"/>
      <c r="T15" s="198"/>
      <c r="U15" s="198"/>
    </row>
    <row r="16" spans="1:21" s="12" customFormat="1" x14ac:dyDescent="0.25">
      <c r="A16" s="213" t="s">
        <v>1694</v>
      </c>
      <c r="B16" s="64">
        <v>26.95</v>
      </c>
      <c r="C16" s="64">
        <v>73.790000000000006</v>
      </c>
      <c r="D16" s="64">
        <v>62.98</v>
      </c>
      <c r="E16" s="64">
        <v>0.11</v>
      </c>
      <c r="F16" s="64">
        <v>3.38</v>
      </c>
      <c r="G16" s="64">
        <v>69.39</v>
      </c>
      <c r="H16" s="64">
        <v>31.49</v>
      </c>
      <c r="I16" s="64">
        <v>1.53</v>
      </c>
      <c r="J16" s="64">
        <v>0.41</v>
      </c>
      <c r="K16" s="64">
        <v>357.31</v>
      </c>
      <c r="L16" s="64">
        <v>19.73</v>
      </c>
      <c r="M16" s="64">
        <v>82.04</v>
      </c>
      <c r="N16" s="64">
        <v>83.7</v>
      </c>
      <c r="O16" s="64">
        <v>0</v>
      </c>
      <c r="P16" s="64">
        <v>1.04</v>
      </c>
      <c r="Q16" s="64">
        <v>6.58</v>
      </c>
      <c r="R16" s="198"/>
      <c r="S16" s="198"/>
      <c r="T16" s="198"/>
      <c r="U16" s="198"/>
    </row>
    <row r="17" spans="1:21" s="12" customFormat="1" x14ac:dyDescent="0.25">
      <c r="A17" s="213" t="s">
        <v>1695</v>
      </c>
      <c r="B17" s="64">
        <v>25.95</v>
      </c>
      <c r="C17" s="64">
        <v>71.75</v>
      </c>
      <c r="D17" s="64">
        <v>61.05</v>
      </c>
      <c r="E17" s="64">
        <v>0.14000000000000001</v>
      </c>
      <c r="F17" s="64">
        <v>3.3</v>
      </c>
      <c r="G17" s="64">
        <v>69.39</v>
      </c>
      <c r="H17" s="64">
        <v>31.49</v>
      </c>
      <c r="I17" s="64">
        <v>1.46</v>
      </c>
      <c r="J17" s="64">
        <v>0.24</v>
      </c>
      <c r="K17" s="64">
        <v>35.89</v>
      </c>
      <c r="L17" s="64">
        <v>19.579999999999998</v>
      </c>
      <c r="M17" s="64">
        <v>81.78</v>
      </c>
      <c r="N17" s="64">
        <v>92.9</v>
      </c>
      <c r="O17" s="64">
        <v>0</v>
      </c>
      <c r="P17" s="64">
        <v>1</v>
      </c>
      <c r="Q17" s="64">
        <v>6.27</v>
      </c>
      <c r="R17" s="198"/>
      <c r="S17" s="198"/>
      <c r="T17" s="198"/>
      <c r="U17" s="198"/>
    </row>
    <row r="18" spans="1:21" s="12" customFormat="1" x14ac:dyDescent="0.25">
      <c r="A18" s="213" t="s">
        <v>1696</v>
      </c>
      <c r="B18" s="64">
        <v>25.14</v>
      </c>
      <c r="C18" s="64">
        <v>70.02</v>
      </c>
      <c r="D18" s="64">
        <v>59.45</v>
      </c>
      <c r="E18" s="64">
        <v>0.12</v>
      </c>
      <c r="F18" s="64">
        <v>3.35</v>
      </c>
      <c r="G18" s="64">
        <v>69.39</v>
      </c>
      <c r="H18" s="64">
        <v>31.49</v>
      </c>
      <c r="I18" s="64">
        <v>1.46</v>
      </c>
      <c r="J18" s="64">
        <v>0.31</v>
      </c>
      <c r="K18" s="64">
        <v>5.97</v>
      </c>
      <c r="L18" s="64">
        <v>19.55</v>
      </c>
      <c r="M18" s="64">
        <v>81.040000000000006</v>
      </c>
      <c r="N18" s="64">
        <v>69.7</v>
      </c>
      <c r="O18" s="64">
        <v>0</v>
      </c>
      <c r="P18" s="64">
        <v>0.96</v>
      </c>
      <c r="Q18" s="64">
        <v>5.54</v>
      </c>
      <c r="R18" s="198"/>
      <c r="S18" s="198"/>
      <c r="T18" s="198"/>
      <c r="U18" s="198"/>
    </row>
    <row r="19" spans="1:21" s="12" customFormat="1" x14ac:dyDescent="0.25">
      <c r="A19" s="213" t="s">
        <v>1697</v>
      </c>
      <c r="B19" s="64">
        <v>24.22</v>
      </c>
      <c r="C19" s="64">
        <v>68.73</v>
      </c>
      <c r="D19" s="64">
        <v>58</v>
      </c>
      <c r="E19" s="64">
        <v>7.0000000000000007E-2</v>
      </c>
      <c r="F19" s="64">
        <v>3.2</v>
      </c>
      <c r="G19" s="64">
        <v>67.09</v>
      </c>
      <c r="H19" s="64">
        <v>30.63</v>
      </c>
      <c r="I19" s="64">
        <v>1.45</v>
      </c>
      <c r="J19" s="64">
        <v>0.49</v>
      </c>
      <c r="K19" s="64">
        <v>348.58</v>
      </c>
      <c r="L19" s="64">
        <v>19.57</v>
      </c>
      <c r="M19" s="64">
        <v>80.900000000000006</v>
      </c>
      <c r="N19" s="64">
        <v>88.3</v>
      </c>
      <c r="O19" s="64">
        <v>0</v>
      </c>
      <c r="P19" s="64">
        <v>0.91</v>
      </c>
      <c r="Q19" s="64">
        <v>5.94</v>
      </c>
      <c r="R19" s="198"/>
      <c r="S19" s="198"/>
      <c r="T19" s="198"/>
      <c r="U19" s="198"/>
    </row>
    <row r="20" spans="1:21" s="12" customFormat="1" x14ac:dyDescent="0.25">
      <c r="A20" s="213" t="s">
        <v>1698</v>
      </c>
      <c r="B20" s="64">
        <v>23.44</v>
      </c>
      <c r="C20" s="64">
        <v>68.37</v>
      </c>
      <c r="D20" s="64">
        <v>57.18</v>
      </c>
      <c r="E20" s="64">
        <v>7.0000000000000007E-2</v>
      </c>
      <c r="F20" s="64">
        <v>3.44</v>
      </c>
      <c r="G20" s="64">
        <v>59.04</v>
      </c>
      <c r="H20" s="64">
        <v>28.61</v>
      </c>
      <c r="I20" s="64">
        <v>1.45</v>
      </c>
      <c r="J20" s="64">
        <v>0.91</v>
      </c>
      <c r="K20" s="64">
        <v>349.21</v>
      </c>
      <c r="L20" s="64">
        <v>19.54</v>
      </c>
      <c r="M20" s="64">
        <v>79.83</v>
      </c>
      <c r="N20" s="64">
        <v>69.5</v>
      </c>
      <c r="O20" s="64">
        <v>0</v>
      </c>
      <c r="P20" s="64">
        <v>0.88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3" t="s">
        <v>1699</v>
      </c>
      <c r="B21" s="64">
        <v>21.94</v>
      </c>
      <c r="C21" s="64">
        <v>69.88</v>
      </c>
      <c r="D21" s="64">
        <v>56.81</v>
      </c>
      <c r="E21" s="64">
        <v>0.1</v>
      </c>
      <c r="F21" s="64">
        <v>3.78</v>
      </c>
      <c r="G21" s="64">
        <v>59.04</v>
      </c>
      <c r="H21" s="64">
        <v>28.61</v>
      </c>
      <c r="I21" s="64">
        <v>1.5</v>
      </c>
      <c r="J21" s="64">
        <v>0.87</v>
      </c>
      <c r="K21" s="64">
        <v>352.35</v>
      </c>
      <c r="L21" s="64">
        <v>19.48</v>
      </c>
      <c r="M21" s="64">
        <v>79.41</v>
      </c>
      <c r="N21" s="64">
        <v>75.5</v>
      </c>
      <c r="O21" s="64">
        <v>0</v>
      </c>
      <c r="P21" s="64">
        <v>0.84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3" t="s">
        <v>1700</v>
      </c>
      <c r="B22" s="64">
        <v>20.440000000000001</v>
      </c>
      <c r="C22" s="64">
        <v>71.12</v>
      </c>
      <c r="D22" s="64">
        <v>56.29</v>
      </c>
      <c r="E22" s="64">
        <v>0.13</v>
      </c>
      <c r="F22" s="64">
        <v>3.71</v>
      </c>
      <c r="G22" s="64">
        <v>59.04</v>
      </c>
      <c r="H22" s="64">
        <v>28.61</v>
      </c>
      <c r="I22" s="64">
        <v>1.4</v>
      </c>
      <c r="J22" s="64">
        <v>0.31</v>
      </c>
      <c r="K22" s="64">
        <v>0.23</v>
      </c>
      <c r="L22" s="64">
        <v>19.3</v>
      </c>
      <c r="M22" s="64">
        <v>80.03</v>
      </c>
      <c r="N22" s="64">
        <v>106.9</v>
      </c>
      <c r="O22" s="64">
        <v>0</v>
      </c>
      <c r="P22" s="64">
        <v>0.8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3" t="s">
        <v>1701</v>
      </c>
      <c r="B23" s="64">
        <v>19.48</v>
      </c>
      <c r="C23" s="64">
        <v>72.05</v>
      </c>
      <c r="D23" s="64">
        <v>56.03</v>
      </c>
      <c r="E23" s="64">
        <v>0.24</v>
      </c>
      <c r="F23" s="64">
        <v>3.24</v>
      </c>
      <c r="G23" s="64">
        <v>57.44</v>
      </c>
      <c r="H23" s="64">
        <v>28.3</v>
      </c>
      <c r="I23" s="64">
        <v>1.59</v>
      </c>
      <c r="J23" s="64">
        <v>0.28000000000000003</v>
      </c>
      <c r="K23" s="64">
        <v>42.19</v>
      </c>
      <c r="L23" s="64">
        <v>19.11</v>
      </c>
      <c r="M23" s="64">
        <v>81.239999999999995</v>
      </c>
      <c r="N23" s="64">
        <v>137.4</v>
      </c>
      <c r="O23" s="64">
        <v>0</v>
      </c>
      <c r="P23" s="64">
        <v>0.77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3" t="s">
        <v>1702</v>
      </c>
      <c r="B24" s="64">
        <v>19.04</v>
      </c>
      <c r="C24" s="64">
        <v>72.709999999999994</v>
      </c>
      <c r="D24" s="64">
        <v>56.04</v>
      </c>
      <c r="E24" s="64">
        <v>0.06</v>
      </c>
      <c r="F24" s="64">
        <v>3.23</v>
      </c>
      <c r="G24" s="64">
        <v>51.85</v>
      </c>
      <c r="H24" s="64">
        <v>26.98</v>
      </c>
      <c r="I24" s="64">
        <v>1.46</v>
      </c>
      <c r="J24" s="64">
        <v>0.27</v>
      </c>
      <c r="K24" s="64">
        <v>356.25</v>
      </c>
      <c r="L24" s="64">
        <v>19.07</v>
      </c>
      <c r="M24" s="64">
        <v>82.02</v>
      </c>
      <c r="N24" s="64">
        <v>132.69999999999999</v>
      </c>
      <c r="O24" s="64">
        <v>0</v>
      </c>
      <c r="P24" s="64">
        <v>0.74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3" t="s">
        <v>1703</v>
      </c>
      <c r="B25" s="64">
        <v>18.850000000000001</v>
      </c>
      <c r="C25" s="64">
        <v>73.08</v>
      </c>
      <c r="D25" s="64">
        <v>56.1</v>
      </c>
      <c r="E25" s="64">
        <v>0.26</v>
      </c>
      <c r="F25" s="64">
        <v>3.05</v>
      </c>
      <c r="G25" s="64">
        <v>51.85</v>
      </c>
      <c r="H25" s="64">
        <v>26.98</v>
      </c>
      <c r="I25" s="64">
        <v>1.54</v>
      </c>
      <c r="J25" s="64">
        <v>0.57999999999999996</v>
      </c>
      <c r="K25" s="64">
        <v>95.64</v>
      </c>
      <c r="L25" s="64">
        <v>19.010000000000002</v>
      </c>
      <c r="M25" s="64">
        <v>82.43</v>
      </c>
      <c r="N25" s="64">
        <v>129</v>
      </c>
      <c r="O25" s="64">
        <v>0</v>
      </c>
      <c r="P25" s="64">
        <v>0.72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3" t="s">
        <v>1704</v>
      </c>
      <c r="B26" s="64">
        <v>18.84</v>
      </c>
      <c r="C26" s="64">
        <v>73.28</v>
      </c>
      <c r="D26" s="64">
        <v>56.19</v>
      </c>
      <c r="E26" s="64">
        <v>0.35</v>
      </c>
      <c r="F26" s="64">
        <v>3.07</v>
      </c>
      <c r="G26" s="64">
        <v>51.85</v>
      </c>
      <c r="H26" s="64">
        <v>26.98</v>
      </c>
      <c r="I26" s="64">
        <v>1.52</v>
      </c>
      <c r="J26" s="64">
        <v>1.28</v>
      </c>
      <c r="K26" s="64">
        <v>109.16</v>
      </c>
      <c r="L26" s="64">
        <v>19.100000000000001</v>
      </c>
      <c r="M26" s="64">
        <v>81.87</v>
      </c>
      <c r="N26" s="64">
        <v>81.2</v>
      </c>
      <c r="O26" s="64">
        <v>0</v>
      </c>
      <c r="P26" s="64">
        <v>0.69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3" t="s">
        <v>1705</v>
      </c>
      <c r="B27" s="64">
        <v>19</v>
      </c>
      <c r="C27" s="64">
        <v>73.78</v>
      </c>
      <c r="D27" s="64">
        <v>56.6</v>
      </c>
      <c r="E27" s="64">
        <v>0.38</v>
      </c>
      <c r="F27" s="64">
        <v>3.17</v>
      </c>
      <c r="G27" s="64">
        <v>52.13</v>
      </c>
      <c r="H27" s="64">
        <v>25.94</v>
      </c>
      <c r="I27" s="64">
        <v>1.56</v>
      </c>
      <c r="J27" s="64">
        <v>0.61</v>
      </c>
      <c r="K27" s="64">
        <v>101.81</v>
      </c>
      <c r="L27" s="64">
        <v>18.899999999999999</v>
      </c>
      <c r="M27" s="64">
        <v>84.07</v>
      </c>
      <c r="N27" s="64">
        <v>113.3</v>
      </c>
      <c r="O27" s="64">
        <v>0</v>
      </c>
      <c r="P27" s="64">
        <v>0.67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3" t="s">
        <v>1706</v>
      </c>
      <c r="B28" s="64">
        <v>19.43</v>
      </c>
      <c r="C28" s="64">
        <v>74.38</v>
      </c>
      <c r="D28" s="64">
        <v>57.28</v>
      </c>
      <c r="E28" s="64">
        <v>0.4</v>
      </c>
      <c r="F28" s="64">
        <v>3.27</v>
      </c>
      <c r="G28" s="64">
        <v>53.1</v>
      </c>
      <c r="H28" s="64">
        <v>23.53</v>
      </c>
      <c r="I28" s="64">
        <v>1.47</v>
      </c>
      <c r="J28" s="64">
        <v>0.48</v>
      </c>
      <c r="K28" s="64">
        <v>93.33</v>
      </c>
      <c r="L28" s="64">
        <v>18.649999999999999</v>
      </c>
      <c r="M28" s="64">
        <v>86.15</v>
      </c>
      <c r="N28" s="64">
        <v>127.2</v>
      </c>
      <c r="O28" s="64">
        <v>0</v>
      </c>
      <c r="P28" s="64">
        <v>0.64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3" t="s">
        <v>1707</v>
      </c>
      <c r="B29" s="64">
        <v>19.809999999999999</v>
      </c>
      <c r="C29" s="64">
        <v>75.150000000000006</v>
      </c>
      <c r="D29" s="64">
        <v>58</v>
      </c>
      <c r="E29" s="64">
        <v>0.43</v>
      </c>
      <c r="F29" s="64">
        <v>3.14</v>
      </c>
      <c r="G29" s="64">
        <v>53.1</v>
      </c>
      <c r="H29" s="64">
        <v>23.53</v>
      </c>
      <c r="I29" s="64">
        <v>1.53</v>
      </c>
      <c r="J29" s="64">
        <v>0.49</v>
      </c>
      <c r="K29" s="64">
        <v>91.28</v>
      </c>
      <c r="L29" s="64">
        <v>18.5</v>
      </c>
      <c r="M29" s="64">
        <v>86.25</v>
      </c>
      <c r="N29" s="64">
        <v>100.3</v>
      </c>
      <c r="O29" s="64">
        <v>0</v>
      </c>
      <c r="P29" s="64">
        <v>0.62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3" t="s">
        <v>1708</v>
      </c>
      <c r="B30" s="64">
        <v>20.3</v>
      </c>
      <c r="C30" s="64">
        <v>76.19</v>
      </c>
      <c r="D30" s="64">
        <v>58.97</v>
      </c>
      <c r="E30" s="64">
        <v>0.43</v>
      </c>
      <c r="F30" s="64">
        <v>3.34</v>
      </c>
      <c r="G30" s="64">
        <v>53.1</v>
      </c>
      <c r="H30" s="64">
        <v>23.53</v>
      </c>
      <c r="I30" s="64">
        <v>1.48</v>
      </c>
      <c r="J30" s="64">
        <v>0.35</v>
      </c>
      <c r="K30" s="64">
        <v>353.31</v>
      </c>
      <c r="L30" s="64">
        <v>18.510000000000002</v>
      </c>
      <c r="M30" s="64">
        <v>85.5</v>
      </c>
      <c r="N30" s="64">
        <v>186.3</v>
      </c>
      <c r="O30" s="64">
        <v>0</v>
      </c>
      <c r="P30" s="64">
        <v>0.6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3" t="s">
        <v>1709</v>
      </c>
      <c r="B31" s="64">
        <v>20.85</v>
      </c>
      <c r="C31" s="64">
        <v>77.569999999999993</v>
      </c>
      <c r="D31" s="64">
        <v>60.18</v>
      </c>
      <c r="E31" s="64">
        <v>0.57999999999999996</v>
      </c>
      <c r="F31" s="64">
        <v>3.13</v>
      </c>
      <c r="G31" s="64">
        <v>53.83</v>
      </c>
      <c r="H31" s="64">
        <v>23.95</v>
      </c>
      <c r="I31" s="64">
        <v>1.46</v>
      </c>
      <c r="J31" s="64">
        <v>0.47</v>
      </c>
      <c r="K31" s="64">
        <v>351.7</v>
      </c>
      <c r="L31" s="64">
        <v>18.52</v>
      </c>
      <c r="M31" s="64">
        <v>86.18</v>
      </c>
      <c r="N31" s="64">
        <v>221.8</v>
      </c>
      <c r="O31" s="64">
        <v>0</v>
      </c>
      <c r="P31" s="64">
        <v>0.59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3" t="s">
        <v>1710</v>
      </c>
      <c r="B32" s="64">
        <v>21.71</v>
      </c>
      <c r="C32" s="64">
        <v>78.73</v>
      </c>
      <c r="D32" s="64">
        <v>61.51</v>
      </c>
      <c r="E32" s="64">
        <v>0.51</v>
      </c>
      <c r="F32" s="64">
        <v>3.11</v>
      </c>
      <c r="G32" s="64">
        <v>56.38</v>
      </c>
      <c r="H32" s="64">
        <v>24.94</v>
      </c>
      <c r="I32" s="64">
        <v>1.48</v>
      </c>
      <c r="J32" s="64">
        <v>0.68</v>
      </c>
      <c r="K32" s="64">
        <v>349.84</v>
      </c>
      <c r="L32" s="64">
        <v>18.600000000000001</v>
      </c>
      <c r="M32" s="64">
        <v>85.35</v>
      </c>
      <c r="N32" s="64">
        <v>161.19999999999999</v>
      </c>
      <c r="O32" s="64">
        <v>0</v>
      </c>
      <c r="P32" s="64">
        <v>0.56999999999999995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3" t="s">
        <v>1711</v>
      </c>
      <c r="B33" s="64">
        <v>22.63</v>
      </c>
      <c r="C33" s="64">
        <v>80.13</v>
      </c>
      <c r="D33" s="64">
        <v>63.01</v>
      </c>
      <c r="E33" s="64">
        <v>0.51</v>
      </c>
      <c r="F33" s="64">
        <v>3.24</v>
      </c>
      <c r="G33" s="64">
        <v>56.38</v>
      </c>
      <c r="H33" s="64">
        <v>24.94</v>
      </c>
      <c r="I33" s="64">
        <v>1.4</v>
      </c>
      <c r="J33" s="64">
        <v>0.77</v>
      </c>
      <c r="K33" s="64">
        <v>349.54</v>
      </c>
      <c r="L33" s="64">
        <v>18.649999999999999</v>
      </c>
      <c r="M33" s="64">
        <v>85.58</v>
      </c>
      <c r="N33" s="64">
        <v>114.9</v>
      </c>
      <c r="O33" s="64">
        <v>0</v>
      </c>
      <c r="P33" s="64">
        <v>0.56000000000000005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3" t="s">
        <v>1712</v>
      </c>
      <c r="B34" s="64">
        <v>23.42</v>
      </c>
      <c r="C34" s="64">
        <v>81.53</v>
      </c>
      <c r="D34" s="64">
        <v>64.42</v>
      </c>
      <c r="E34" s="64">
        <v>0.59</v>
      </c>
      <c r="F34" s="64">
        <v>3.54</v>
      </c>
      <c r="G34" s="64">
        <v>56.38</v>
      </c>
      <c r="H34" s="64">
        <v>24.94</v>
      </c>
      <c r="I34" s="64">
        <v>1.51</v>
      </c>
      <c r="J34" s="64">
        <v>0.47</v>
      </c>
      <c r="K34" s="64">
        <v>82.21</v>
      </c>
      <c r="L34" s="64">
        <v>18.579999999999998</v>
      </c>
      <c r="M34" s="64">
        <v>85.56</v>
      </c>
      <c r="N34" s="64">
        <v>69.2</v>
      </c>
      <c r="O34" s="64">
        <v>0</v>
      </c>
      <c r="P34" s="64">
        <v>0.56000000000000005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3" t="s">
        <v>1713</v>
      </c>
      <c r="B35" s="64">
        <v>23.22</v>
      </c>
      <c r="C35" s="64">
        <v>65.400000000000006</v>
      </c>
      <c r="D35" s="64">
        <v>55.36</v>
      </c>
      <c r="E35" s="64">
        <v>0.5</v>
      </c>
      <c r="F35" s="64">
        <v>3.29</v>
      </c>
      <c r="G35" s="64">
        <v>57.01</v>
      </c>
      <c r="H35" s="64">
        <v>25.48</v>
      </c>
      <c r="I35" s="64">
        <v>1.52</v>
      </c>
      <c r="J35" s="64">
        <v>0.19</v>
      </c>
      <c r="K35" s="64">
        <v>357.68</v>
      </c>
      <c r="L35" s="64">
        <v>18.64</v>
      </c>
      <c r="M35" s="64">
        <v>85.3</v>
      </c>
      <c r="N35" s="64">
        <v>62.5</v>
      </c>
      <c r="O35" s="64">
        <v>0</v>
      </c>
      <c r="P35" s="64">
        <v>0.53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3" t="s">
        <v>1714</v>
      </c>
      <c r="B36" s="64">
        <v>22.41</v>
      </c>
      <c r="C36" s="64">
        <v>46.14</v>
      </c>
      <c r="D36" s="64">
        <v>44.09</v>
      </c>
      <c r="E36" s="64">
        <v>0.21</v>
      </c>
      <c r="F36" s="64">
        <v>3.65</v>
      </c>
      <c r="G36" s="64">
        <v>59.21</v>
      </c>
      <c r="H36" s="64">
        <v>26.77</v>
      </c>
      <c r="I36" s="64">
        <v>1.52</v>
      </c>
      <c r="J36" s="64">
        <v>0.63</v>
      </c>
      <c r="K36" s="64">
        <v>352.03</v>
      </c>
      <c r="L36" s="64">
        <v>18.809999999999999</v>
      </c>
      <c r="M36" s="64">
        <v>84.37</v>
      </c>
      <c r="N36" s="64">
        <v>73.900000000000006</v>
      </c>
      <c r="O36" s="64">
        <v>0</v>
      </c>
      <c r="P36" s="64">
        <v>0.52</v>
      </c>
      <c r="Q36" s="64">
        <v>0.94</v>
      </c>
      <c r="R36" s="198"/>
      <c r="S36" s="198"/>
      <c r="T36" s="198"/>
      <c r="U36" s="198"/>
    </row>
    <row r="37" spans="1:21" s="12" customFormat="1" x14ac:dyDescent="0.25">
      <c r="A37" s="213" t="s">
        <v>1715</v>
      </c>
      <c r="B37" s="64">
        <v>27.28</v>
      </c>
      <c r="C37" s="64">
        <v>68.86</v>
      </c>
      <c r="D37" s="64">
        <v>60.53</v>
      </c>
      <c r="E37" s="64">
        <v>0.14000000000000001</v>
      </c>
      <c r="F37" s="64">
        <v>2.93</v>
      </c>
      <c r="G37" s="64">
        <v>59.21</v>
      </c>
      <c r="H37" s="64">
        <v>26.77</v>
      </c>
      <c r="I37" s="64">
        <v>1.51</v>
      </c>
      <c r="J37" s="64">
        <v>0.38</v>
      </c>
      <c r="K37" s="64">
        <v>90.27</v>
      </c>
      <c r="L37" s="64">
        <v>18.649999999999999</v>
      </c>
      <c r="M37" s="64">
        <v>85.58</v>
      </c>
      <c r="N37" s="64">
        <v>89.5</v>
      </c>
      <c r="O37" s="64">
        <v>0</v>
      </c>
      <c r="P37" s="64">
        <v>0.57999999999999996</v>
      </c>
      <c r="Q37" s="64">
        <v>2.97</v>
      </c>
      <c r="R37" s="198"/>
      <c r="S37" s="198"/>
      <c r="T37" s="198"/>
      <c r="U37" s="198"/>
    </row>
    <row r="38" spans="1:21" s="12" customFormat="1" x14ac:dyDescent="0.25">
      <c r="A38" s="213" t="s">
        <v>1716</v>
      </c>
      <c r="B38" s="64">
        <v>27.88</v>
      </c>
      <c r="C38" s="64">
        <v>74.8</v>
      </c>
      <c r="D38" s="64">
        <v>64.290000000000006</v>
      </c>
      <c r="E38" s="64">
        <v>0.02</v>
      </c>
      <c r="F38" s="64">
        <v>3.09</v>
      </c>
      <c r="G38" s="64">
        <v>59.21</v>
      </c>
      <c r="H38" s="64">
        <v>26.77</v>
      </c>
      <c r="I38" s="64">
        <v>1.42</v>
      </c>
      <c r="J38" s="64">
        <v>0.33</v>
      </c>
      <c r="K38" s="64">
        <v>6.54</v>
      </c>
      <c r="L38" s="64">
        <v>18.64</v>
      </c>
      <c r="M38" s="64">
        <v>85.85</v>
      </c>
      <c r="N38" s="64">
        <v>111.9</v>
      </c>
      <c r="O38" s="64">
        <v>0</v>
      </c>
      <c r="P38" s="64">
        <v>0.6</v>
      </c>
      <c r="Q38" s="64">
        <v>4.55</v>
      </c>
      <c r="R38" s="198"/>
      <c r="S38" s="198"/>
      <c r="T38" s="198"/>
      <c r="U38" s="198"/>
    </row>
    <row r="39" spans="1:21" s="12" customFormat="1" x14ac:dyDescent="0.25">
      <c r="A39" s="213" t="s">
        <v>1717</v>
      </c>
      <c r="B39" s="64">
        <v>28.86</v>
      </c>
      <c r="C39" s="64">
        <v>75.02</v>
      </c>
      <c r="D39" s="64">
        <v>65.19</v>
      </c>
      <c r="E39" s="64">
        <v>0.05</v>
      </c>
      <c r="F39" s="64">
        <v>2.98</v>
      </c>
      <c r="G39" s="64">
        <v>60.31</v>
      </c>
      <c r="H39" s="64">
        <v>27.26</v>
      </c>
      <c r="I39" s="64">
        <v>1.46</v>
      </c>
      <c r="J39" s="64">
        <v>0.48</v>
      </c>
      <c r="K39" s="64">
        <v>347.65</v>
      </c>
      <c r="L39" s="64">
        <v>19.23</v>
      </c>
      <c r="M39" s="64">
        <v>83.49</v>
      </c>
      <c r="N39" s="64">
        <v>168.5</v>
      </c>
      <c r="O39" s="64">
        <v>0</v>
      </c>
      <c r="P39" s="64">
        <v>0.6</v>
      </c>
      <c r="Q39" s="64">
        <v>4.97</v>
      </c>
      <c r="R39" s="198"/>
      <c r="S39" s="198"/>
      <c r="T39" s="198"/>
      <c r="U39" s="198"/>
    </row>
    <row r="40" spans="1:21" s="12" customFormat="1" x14ac:dyDescent="0.25">
      <c r="A40" s="213" t="s">
        <v>1718</v>
      </c>
      <c r="B40" s="64">
        <v>30.08</v>
      </c>
      <c r="C40" s="64">
        <v>74.180000000000007</v>
      </c>
      <c r="D40" s="64">
        <v>65.709999999999994</v>
      </c>
      <c r="E40" s="64">
        <v>0.16</v>
      </c>
      <c r="F40" s="64">
        <v>2.99</v>
      </c>
      <c r="G40" s="64">
        <v>64.180000000000007</v>
      </c>
      <c r="H40" s="64">
        <v>29.59</v>
      </c>
      <c r="I40" s="64">
        <v>1.49</v>
      </c>
      <c r="J40" s="64">
        <v>0.72</v>
      </c>
      <c r="K40" s="64">
        <v>351.14</v>
      </c>
      <c r="L40" s="64">
        <v>20.55</v>
      </c>
      <c r="M40" s="64">
        <v>76.98</v>
      </c>
      <c r="N40" s="64">
        <v>256.60000000000002</v>
      </c>
      <c r="O40" s="64">
        <v>0</v>
      </c>
      <c r="P40" s="64">
        <v>0.61</v>
      </c>
      <c r="Q40" s="64">
        <v>5.59</v>
      </c>
      <c r="R40" s="198"/>
      <c r="S40" s="198"/>
      <c r="T40" s="198"/>
      <c r="U40" s="198"/>
    </row>
    <row r="41" spans="1:21" s="12" customFormat="1" x14ac:dyDescent="0.25">
      <c r="A41" s="213" t="s">
        <v>1719</v>
      </c>
      <c r="B41" s="64">
        <v>30.95</v>
      </c>
      <c r="C41" s="64">
        <v>72.14</v>
      </c>
      <c r="D41" s="64">
        <v>65.27</v>
      </c>
      <c r="E41" s="64">
        <v>0.21</v>
      </c>
      <c r="F41" s="64">
        <v>3.19</v>
      </c>
      <c r="G41" s="64">
        <v>64.180000000000007</v>
      </c>
      <c r="H41" s="64">
        <v>29.59</v>
      </c>
      <c r="I41" s="64">
        <v>1.46</v>
      </c>
      <c r="J41" s="64">
        <v>0.95</v>
      </c>
      <c r="K41" s="64">
        <v>348.22</v>
      </c>
      <c r="L41" s="64">
        <v>21.34</v>
      </c>
      <c r="M41" s="64">
        <v>73.14</v>
      </c>
      <c r="N41" s="64">
        <v>219.1</v>
      </c>
      <c r="O41" s="64">
        <v>0</v>
      </c>
      <c r="P41" s="64">
        <v>0.62</v>
      </c>
      <c r="Q41" s="64">
        <v>5.74</v>
      </c>
      <c r="R41" s="198"/>
      <c r="S41" s="198"/>
      <c r="T41" s="198"/>
      <c r="U41" s="198"/>
    </row>
    <row r="42" spans="1:21" s="12" customFormat="1" x14ac:dyDescent="0.25">
      <c r="A42" s="213" t="s">
        <v>1720</v>
      </c>
      <c r="B42" s="64">
        <v>31.43</v>
      </c>
      <c r="C42" s="64">
        <v>70.650000000000006</v>
      </c>
      <c r="D42" s="64">
        <v>64.84</v>
      </c>
      <c r="E42" s="64">
        <v>0.27</v>
      </c>
      <c r="F42" s="64">
        <v>3.19</v>
      </c>
      <c r="G42" s="64">
        <v>64.180000000000007</v>
      </c>
      <c r="H42" s="64">
        <v>29.59</v>
      </c>
      <c r="I42" s="64">
        <v>1.49</v>
      </c>
      <c r="J42" s="64">
        <v>0.52</v>
      </c>
      <c r="K42" s="64">
        <v>357.28</v>
      </c>
      <c r="L42" s="64">
        <v>21.41</v>
      </c>
      <c r="M42" s="64">
        <v>73.3</v>
      </c>
      <c r="N42" s="64">
        <v>221.2</v>
      </c>
      <c r="O42" s="64">
        <v>0</v>
      </c>
      <c r="P42" s="64">
        <v>0.62</v>
      </c>
      <c r="Q42" s="64">
        <v>6.22</v>
      </c>
      <c r="R42" s="198"/>
      <c r="S42" s="198"/>
      <c r="T42" s="198"/>
      <c r="U42" s="198"/>
    </row>
    <row r="43" spans="1:21" s="12" customFormat="1" x14ac:dyDescent="0.25">
      <c r="A43" s="213" t="s">
        <v>1721</v>
      </c>
      <c r="B43" s="64">
        <v>31.81</v>
      </c>
      <c r="C43" s="64">
        <v>69.55</v>
      </c>
      <c r="D43" s="64">
        <v>64.540000000000006</v>
      </c>
      <c r="E43" s="64">
        <v>0.31</v>
      </c>
      <c r="F43" s="64">
        <v>3.35</v>
      </c>
      <c r="G43" s="64">
        <v>65</v>
      </c>
      <c r="H43" s="64">
        <v>28.77</v>
      </c>
      <c r="I43" s="64">
        <v>1.5</v>
      </c>
      <c r="J43" s="64">
        <v>0.34</v>
      </c>
      <c r="K43" s="64">
        <v>54.12</v>
      </c>
      <c r="L43" s="64">
        <v>21.61</v>
      </c>
      <c r="M43" s="64">
        <v>72.680000000000007</v>
      </c>
      <c r="N43" s="64">
        <v>365.5</v>
      </c>
      <c r="O43" s="64">
        <v>0</v>
      </c>
      <c r="P43" s="64">
        <v>0.63</v>
      </c>
      <c r="Q43" s="64">
        <v>6.42</v>
      </c>
      <c r="R43" s="198"/>
      <c r="S43" s="198"/>
      <c r="T43" s="198"/>
      <c r="U43" s="198"/>
    </row>
    <row r="44" spans="1:21" s="12" customFormat="1" x14ac:dyDescent="0.25">
      <c r="A44" s="213" t="s">
        <v>1722</v>
      </c>
      <c r="B44" s="64">
        <v>31.95</v>
      </c>
      <c r="C44" s="64">
        <v>68.45</v>
      </c>
      <c r="D44" s="64">
        <v>64.05</v>
      </c>
      <c r="E44" s="64">
        <v>0.34</v>
      </c>
      <c r="F44" s="64">
        <v>3.28</v>
      </c>
      <c r="G44" s="64">
        <v>67.84</v>
      </c>
      <c r="H44" s="64">
        <v>26.86</v>
      </c>
      <c r="I44" s="64">
        <v>1.52</v>
      </c>
      <c r="J44" s="64">
        <v>0.47</v>
      </c>
      <c r="K44" s="64">
        <v>46.94</v>
      </c>
      <c r="L44" s="64">
        <v>22.2</v>
      </c>
      <c r="M44" s="64">
        <v>69.849999999999994</v>
      </c>
      <c r="N44" s="64">
        <v>423.6</v>
      </c>
      <c r="O44" s="64">
        <v>0</v>
      </c>
      <c r="P44" s="64">
        <v>0.63</v>
      </c>
      <c r="Q44" s="64">
        <v>6.39</v>
      </c>
      <c r="R44" s="198"/>
      <c r="S44" s="198"/>
      <c r="T44" s="198"/>
      <c r="U44" s="198"/>
    </row>
    <row r="45" spans="1:21" s="12" customFormat="1" x14ac:dyDescent="0.25">
      <c r="A45" s="213" t="s">
        <v>1723</v>
      </c>
      <c r="B45" s="64">
        <v>31.88</v>
      </c>
      <c r="C45" s="64">
        <v>67.430000000000007</v>
      </c>
      <c r="D45" s="64">
        <v>63.43</v>
      </c>
      <c r="E45" s="64">
        <v>0.31</v>
      </c>
      <c r="F45" s="64">
        <v>3.31</v>
      </c>
      <c r="G45" s="64">
        <v>67.84</v>
      </c>
      <c r="H45" s="64">
        <v>26.86</v>
      </c>
      <c r="I45" s="64">
        <v>1.46</v>
      </c>
      <c r="J45" s="64">
        <v>0.65</v>
      </c>
      <c r="K45" s="64">
        <v>76.83</v>
      </c>
      <c r="L45" s="64">
        <v>23.61</v>
      </c>
      <c r="M45" s="64">
        <v>63.66</v>
      </c>
      <c r="N45" s="64">
        <v>451.4</v>
      </c>
      <c r="O45" s="64">
        <v>0</v>
      </c>
      <c r="P45" s="64">
        <v>0.64</v>
      </c>
      <c r="Q45" s="64">
        <v>6.03</v>
      </c>
      <c r="R45" s="198"/>
      <c r="S45" s="198"/>
      <c r="T45" s="198"/>
      <c r="U45" s="198"/>
    </row>
    <row r="46" spans="1:21" s="12" customFormat="1" x14ac:dyDescent="0.25">
      <c r="A46" s="213" t="s">
        <v>1724</v>
      </c>
      <c r="B46" s="64">
        <v>31.14</v>
      </c>
      <c r="C46" s="64">
        <v>66.790000000000006</v>
      </c>
      <c r="D46" s="64">
        <v>62.48</v>
      </c>
      <c r="E46" s="64">
        <v>0.33</v>
      </c>
      <c r="F46" s="64">
        <v>3.43</v>
      </c>
      <c r="G46" s="64">
        <v>67.84</v>
      </c>
      <c r="H46" s="64">
        <v>26.86</v>
      </c>
      <c r="I46" s="64">
        <v>1.49</v>
      </c>
      <c r="J46" s="64">
        <v>0.38</v>
      </c>
      <c r="K46" s="64">
        <v>49.49</v>
      </c>
      <c r="L46" s="64">
        <v>23.24</v>
      </c>
      <c r="M46" s="64">
        <v>66.010000000000005</v>
      </c>
      <c r="N46" s="64">
        <v>503.1</v>
      </c>
      <c r="O46" s="64">
        <v>0</v>
      </c>
      <c r="P46" s="64">
        <v>0.64</v>
      </c>
      <c r="Q46" s="64">
        <v>5.4</v>
      </c>
      <c r="R46" s="198"/>
      <c r="S46" s="198"/>
      <c r="T46" s="198"/>
      <c r="U46" s="198"/>
    </row>
    <row r="47" spans="1:21" s="12" customFormat="1" x14ac:dyDescent="0.25">
      <c r="A47" s="213" t="s">
        <v>1725</v>
      </c>
      <c r="B47" s="64">
        <v>30.52</v>
      </c>
      <c r="C47" s="64">
        <v>66.59</v>
      </c>
      <c r="D47" s="64">
        <v>61.87</v>
      </c>
      <c r="E47" s="64">
        <v>0.37</v>
      </c>
      <c r="F47" s="64">
        <v>3.49</v>
      </c>
      <c r="G47" s="64">
        <v>68.56</v>
      </c>
      <c r="H47" s="64">
        <v>28.75</v>
      </c>
      <c r="I47" s="64">
        <v>1.53</v>
      </c>
      <c r="J47" s="64">
        <v>0.79</v>
      </c>
      <c r="K47" s="64">
        <v>104.84</v>
      </c>
      <c r="L47" s="64">
        <v>24.54</v>
      </c>
      <c r="M47" s="64">
        <v>60.85</v>
      </c>
      <c r="N47" s="64">
        <v>547</v>
      </c>
      <c r="O47" s="64">
        <v>0</v>
      </c>
      <c r="P47" s="64">
        <v>0.65</v>
      </c>
      <c r="Q47" s="64">
        <v>5.49</v>
      </c>
      <c r="R47" s="198"/>
      <c r="S47" s="198"/>
      <c r="T47" s="198"/>
      <c r="U47" s="198"/>
    </row>
    <row r="48" spans="1:21" s="12" customFormat="1" x14ac:dyDescent="0.25">
      <c r="A48" s="213" t="s">
        <v>1726</v>
      </c>
      <c r="B48" s="64">
        <v>29.76</v>
      </c>
      <c r="C48" s="64">
        <v>68.36</v>
      </c>
      <c r="D48" s="64">
        <v>62.24</v>
      </c>
      <c r="E48" s="64">
        <v>0.27</v>
      </c>
      <c r="F48" s="64">
        <v>3.62</v>
      </c>
      <c r="G48" s="64">
        <v>71.069999999999993</v>
      </c>
      <c r="H48" s="64">
        <v>33.200000000000003</v>
      </c>
      <c r="I48" s="64">
        <v>1.43</v>
      </c>
      <c r="J48" s="64">
        <v>0.77</v>
      </c>
      <c r="K48" s="64">
        <v>100.89</v>
      </c>
      <c r="L48" s="64">
        <v>24.11</v>
      </c>
      <c r="M48" s="64">
        <v>62.18</v>
      </c>
      <c r="N48" s="64">
        <v>595.5</v>
      </c>
      <c r="O48" s="64">
        <v>0</v>
      </c>
      <c r="P48" s="64">
        <v>0.64</v>
      </c>
      <c r="Q48" s="64">
        <v>5.74</v>
      </c>
      <c r="R48" s="198"/>
      <c r="S48" s="198"/>
      <c r="T48" s="198"/>
      <c r="U48" s="198"/>
    </row>
    <row r="49" spans="1:21" s="12" customFormat="1" x14ac:dyDescent="0.25">
      <c r="A49" s="213" t="s">
        <v>1727</v>
      </c>
      <c r="B49" s="64">
        <v>28.43</v>
      </c>
      <c r="C49" s="64">
        <v>70.64</v>
      </c>
      <c r="D49" s="64">
        <v>62.43</v>
      </c>
      <c r="E49" s="64">
        <v>0.34</v>
      </c>
      <c r="F49" s="64">
        <v>3.63</v>
      </c>
      <c r="G49" s="64">
        <v>71.069999999999993</v>
      </c>
      <c r="H49" s="64">
        <v>33.200000000000003</v>
      </c>
      <c r="I49" s="64">
        <v>1.49</v>
      </c>
      <c r="J49" s="64">
        <v>0.7</v>
      </c>
      <c r="K49" s="64">
        <v>0.8</v>
      </c>
      <c r="L49" s="64">
        <v>26.05</v>
      </c>
      <c r="M49" s="64">
        <v>53.5</v>
      </c>
      <c r="N49" s="64">
        <v>604.29999999999995</v>
      </c>
      <c r="O49" s="64">
        <v>0</v>
      </c>
      <c r="P49" s="64">
        <v>0.66</v>
      </c>
      <c r="Q49" s="64">
        <v>6</v>
      </c>
      <c r="R49" s="198"/>
      <c r="S49" s="198"/>
      <c r="T49" s="198"/>
      <c r="U49" s="198"/>
    </row>
    <row r="50" spans="1:21" s="12" customFormat="1" x14ac:dyDescent="0.25">
      <c r="A50" s="213" t="s">
        <v>1728</v>
      </c>
      <c r="B50" s="64">
        <v>27.13</v>
      </c>
      <c r="C50" s="64">
        <v>73.56</v>
      </c>
      <c r="D50" s="64">
        <v>63</v>
      </c>
      <c r="E50" s="64">
        <v>0.38</v>
      </c>
      <c r="F50" s="64">
        <v>3.73</v>
      </c>
      <c r="G50" s="64">
        <v>71.069999999999993</v>
      </c>
      <c r="H50" s="64">
        <v>33.200000000000003</v>
      </c>
      <c r="I50" s="64">
        <v>1.46</v>
      </c>
      <c r="J50" s="64">
        <v>0.31</v>
      </c>
      <c r="K50" s="64">
        <v>18.09</v>
      </c>
      <c r="L50" s="64">
        <v>27.97</v>
      </c>
      <c r="M50" s="64">
        <v>47.54</v>
      </c>
      <c r="N50" s="64">
        <v>636.70000000000005</v>
      </c>
      <c r="O50" s="64">
        <v>0</v>
      </c>
      <c r="P50" s="64">
        <v>0.68</v>
      </c>
      <c r="Q50" s="64">
        <v>6.01</v>
      </c>
      <c r="R50" s="198"/>
      <c r="S50" s="198"/>
      <c r="T50" s="198"/>
      <c r="U50" s="198"/>
    </row>
    <row r="51" spans="1:21" s="12" customFormat="1" x14ac:dyDescent="0.25">
      <c r="A51" s="213" t="s">
        <v>1729</v>
      </c>
      <c r="B51" s="64">
        <v>21.59</v>
      </c>
      <c r="C51" s="64">
        <v>77.28</v>
      </c>
      <c r="D51" s="64">
        <v>60.61</v>
      </c>
      <c r="E51" s="64">
        <v>0.62</v>
      </c>
      <c r="F51" s="64">
        <v>3.94</v>
      </c>
      <c r="G51" s="64">
        <v>69.11</v>
      </c>
      <c r="H51" s="64">
        <v>32.049999999999997</v>
      </c>
      <c r="I51" s="64">
        <v>1.49</v>
      </c>
      <c r="J51" s="64">
        <v>0.48</v>
      </c>
      <c r="K51" s="64">
        <v>89.92</v>
      </c>
      <c r="L51" s="64">
        <v>26.83</v>
      </c>
      <c r="M51" s="64">
        <v>51.52</v>
      </c>
      <c r="N51" s="64">
        <v>662.9</v>
      </c>
      <c r="O51" s="64">
        <v>0</v>
      </c>
      <c r="P51" s="64">
        <v>0.7</v>
      </c>
      <c r="Q51" s="64">
        <v>5.59</v>
      </c>
      <c r="R51" s="198"/>
      <c r="S51" s="198"/>
      <c r="T51" s="198"/>
      <c r="U51" s="198"/>
    </row>
    <row r="52" spans="1:21" s="12" customFormat="1" x14ac:dyDescent="0.25">
      <c r="A52" s="213" t="s">
        <v>1730</v>
      </c>
      <c r="B52" s="64">
        <v>11.16</v>
      </c>
      <c r="C52" s="64">
        <v>85.64</v>
      </c>
      <c r="D52" s="64">
        <v>56.86</v>
      </c>
      <c r="E52" s="64">
        <v>0.9</v>
      </c>
      <c r="F52" s="64">
        <v>4.7300000000000004</v>
      </c>
      <c r="G52" s="64">
        <v>62.27</v>
      </c>
      <c r="H52" s="64">
        <v>29.34</v>
      </c>
      <c r="I52" s="64">
        <v>1.5</v>
      </c>
      <c r="J52" s="64">
        <v>0.19</v>
      </c>
      <c r="K52" s="64">
        <v>49.59</v>
      </c>
      <c r="L52" s="64">
        <v>28.38</v>
      </c>
      <c r="M52" s="64">
        <v>46.72</v>
      </c>
      <c r="N52" s="64">
        <v>696.3</v>
      </c>
      <c r="O52" s="64">
        <v>0</v>
      </c>
      <c r="P52" s="64">
        <v>0.74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3" t="s">
        <v>1731</v>
      </c>
      <c r="B53" s="64">
        <v>6.52</v>
      </c>
      <c r="C53" s="64">
        <v>90.4</v>
      </c>
      <c r="D53" s="64">
        <v>55.76</v>
      </c>
      <c r="E53" s="64">
        <v>0.77</v>
      </c>
      <c r="F53" s="64">
        <v>4.4400000000000004</v>
      </c>
      <c r="G53" s="64">
        <v>62.27</v>
      </c>
      <c r="H53" s="64">
        <v>29.34</v>
      </c>
      <c r="I53" s="64">
        <v>1.52</v>
      </c>
      <c r="J53" s="64">
        <v>1.07</v>
      </c>
      <c r="K53" s="64">
        <v>117.97</v>
      </c>
      <c r="L53" s="64">
        <v>27.31</v>
      </c>
      <c r="M53" s="64">
        <v>48.55</v>
      </c>
      <c r="N53" s="64">
        <v>730.1</v>
      </c>
      <c r="O53" s="64">
        <v>0</v>
      </c>
      <c r="P53" s="64">
        <v>0.73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3" t="s">
        <v>1732</v>
      </c>
      <c r="B54" s="64">
        <v>3.57</v>
      </c>
      <c r="C54" s="64">
        <v>81.94</v>
      </c>
      <c r="D54" s="64">
        <v>48.73</v>
      </c>
      <c r="E54" s="64">
        <v>0.88</v>
      </c>
      <c r="F54" s="64">
        <v>7.01</v>
      </c>
      <c r="G54" s="64">
        <v>62.27</v>
      </c>
      <c r="H54" s="64">
        <v>29.34</v>
      </c>
      <c r="I54" s="64">
        <v>1.53</v>
      </c>
      <c r="J54" s="64">
        <v>1.3</v>
      </c>
      <c r="K54" s="64">
        <v>111.77</v>
      </c>
      <c r="L54" s="64">
        <v>26.03</v>
      </c>
      <c r="M54" s="64">
        <v>52.15</v>
      </c>
      <c r="N54" s="64">
        <v>755.1</v>
      </c>
      <c r="O54" s="64">
        <v>0</v>
      </c>
      <c r="P54" s="64">
        <v>0.65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3" t="s">
        <v>1733</v>
      </c>
      <c r="B55" s="64">
        <v>2.19</v>
      </c>
      <c r="C55" s="64">
        <v>57.44</v>
      </c>
      <c r="D55" s="64">
        <v>34.1</v>
      </c>
      <c r="E55" s="64">
        <v>0.6</v>
      </c>
      <c r="F55" s="64">
        <v>7.19</v>
      </c>
      <c r="G55" s="64">
        <v>61.45</v>
      </c>
      <c r="H55" s="64">
        <v>29.26</v>
      </c>
      <c r="I55" s="64">
        <v>1.52</v>
      </c>
      <c r="J55" s="64">
        <v>0.33</v>
      </c>
      <c r="K55" s="64">
        <v>124.02</v>
      </c>
      <c r="L55" s="64">
        <v>26.51</v>
      </c>
      <c r="M55" s="64">
        <v>52.08</v>
      </c>
      <c r="N55" s="64">
        <v>755.2</v>
      </c>
      <c r="O55" s="64">
        <v>0</v>
      </c>
      <c r="P55" s="64">
        <v>0.59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3" t="s">
        <v>1734</v>
      </c>
      <c r="B56" s="64">
        <v>2.67</v>
      </c>
      <c r="C56" s="64">
        <v>48.93</v>
      </c>
      <c r="D56" s="64">
        <v>29.79</v>
      </c>
      <c r="E56" s="64">
        <v>0.08</v>
      </c>
      <c r="F56" s="64">
        <v>4.3499999999999996</v>
      </c>
      <c r="G56" s="64">
        <v>58.58</v>
      </c>
      <c r="H56" s="64">
        <v>28.9</v>
      </c>
      <c r="I56" s="64">
        <v>1.53</v>
      </c>
      <c r="J56" s="64">
        <v>0.42</v>
      </c>
      <c r="K56" s="64">
        <v>108.56</v>
      </c>
      <c r="L56" s="64">
        <v>26.8</v>
      </c>
      <c r="M56" s="64">
        <v>50.48</v>
      </c>
      <c r="N56" s="64">
        <v>772</v>
      </c>
      <c r="O56" s="64">
        <v>0</v>
      </c>
      <c r="P56" s="64">
        <v>0.56999999999999995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3" t="s">
        <v>1735</v>
      </c>
      <c r="B57" s="64">
        <v>3.25</v>
      </c>
      <c r="C57" s="64">
        <v>62.74</v>
      </c>
      <c r="D57" s="64">
        <v>37.880000000000003</v>
      </c>
      <c r="E57" s="64">
        <v>0.19</v>
      </c>
      <c r="F57" s="64">
        <v>8.0399999999999991</v>
      </c>
      <c r="G57" s="64">
        <v>58.58</v>
      </c>
      <c r="H57" s="64">
        <v>28.9</v>
      </c>
      <c r="I57" s="64">
        <v>1.52</v>
      </c>
      <c r="J57" s="64">
        <v>0.65</v>
      </c>
      <c r="K57" s="64">
        <v>103.62</v>
      </c>
      <c r="L57" s="64">
        <v>27.05</v>
      </c>
      <c r="M57" s="64">
        <v>50.26</v>
      </c>
      <c r="N57" s="64">
        <v>753.4</v>
      </c>
      <c r="O57" s="64">
        <v>0</v>
      </c>
      <c r="P57" s="64">
        <v>0.53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3" t="s">
        <v>1736</v>
      </c>
      <c r="B58" s="64">
        <v>2.0299999999999998</v>
      </c>
      <c r="C58" s="64">
        <v>53.76</v>
      </c>
      <c r="D58" s="64">
        <v>31.94</v>
      </c>
      <c r="E58" s="64">
        <v>0.26</v>
      </c>
      <c r="F58" s="64">
        <v>11.99</v>
      </c>
      <c r="G58" s="64">
        <v>58.58</v>
      </c>
      <c r="H58" s="64">
        <v>28.9</v>
      </c>
      <c r="I58" s="64">
        <v>1.5</v>
      </c>
      <c r="J58" s="64">
        <v>0.27</v>
      </c>
      <c r="K58" s="64">
        <v>68.11</v>
      </c>
      <c r="L58" s="64">
        <v>27.26</v>
      </c>
      <c r="M58" s="64">
        <v>49.86</v>
      </c>
      <c r="N58" s="64">
        <v>735.6</v>
      </c>
      <c r="O58" s="64">
        <v>0</v>
      </c>
      <c r="P58" s="64">
        <v>0.47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3" t="s">
        <v>1737</v>
      </c>
      <c r="B59" s="64">
        <v>2.1800000000000002</v>
      </c>
      <c r="C59" s="64">
        <v>56.49</v>
      </c>
      <c r="D59" s="64">
        <v>33.57</v>
      </c>
      <c r="E59" s="64">
        <v>0.12</v>
      </c>
      <c r="F59" s="64">
        <v>8.0500000000000007</v>
      </c>
      <c r="G59" s="64">
        <v>60.37</v>
      </c>
      <c r="H59" s="64">
        <v>28.74</v>
      </c>
      <c r="I59" s="64">
        <v>1.47</v>
      </c>
      <c r="J59" s="64">
        <v>0.7</v>
      </c>
      <c r="K59" s="64">
        <v>338.7</v>
      </c>
      <c r="L59" s="64">
        <v>30.11</v>
      </c>
      <c r="M59" s="64">
        <v>40.36</v>
      </c>
      <c r="N59" s="64">
        <v>730.1</v>
      </c>
      <c r="O59" s="64">
        <v>0</v>
      </c>
      <c r="P59" s="64">
        <v>0.5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3" t="s">
        <v>1738</v>
      </c>
      <c r="B60" s="64">
        <v>2.46</v>
      </c>
      <c r="C60" s="64">
        <v>61.93</v>
      </c>
      <c r="D60" s="64">
        <v>36.79</v>
      </c>
      <c r="E60" s="64">
        <v>0.16</v>
      </c>
      <c r="F60" s="64">
        <v>6.2</v>
      </c>
      <c r="G60" s="64">
        <v>66.62</v>
      </c>
      <c r="H60" s="64">
        <v>28.35</v>
      </c>
      <c r="I60" s="64">
        <v>1.54</v>
      </c>
      <c r="J60" s="64">
        <v>0.76</v>
      </c>
      <c r="K60" s="64">
        <v>346.76</v>
      </c>
      <c r="L60" s="64">
        <v>31.67</v>
      </c>
      <c r="M60" s="64">
        <v>37.17</v>
      </c>
      <c r="N60" s="64">
        <v>692.1</v>
      </c>
      <c r="O60" s="64">
        <v>0</v>
      </c>
      <c r="P60" s="64">
        <v>0.52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3" t="s">
        <v>1739</v>
      </c>
      <c r="B61" s="64">
        <v>3.29</v>
      </c>
      <c r="C61" s="64">
        <v>64.260000000000005</v>
      </c>
      <c r="D61" s="64">
        <v>38.75</v>
      </c>
      <c r="E61" s="64">
        <v>0.17</v>
      </c>
      <c r="F61" s="64">
        <v>4.62</v>
      </c>
      <c r="G61" s="64">
        <v>66.62</v>
      </c>
      <c r="H61" s="64">
        <v>28.35</v>
      </c>
      <c r="I61" s="64">
        <v>1.5</v>
      </c>
      <c r="J61" s="64">
        <v>0.31</v>
      </c>
      <c r="K61" s="64">
        <v>3.95</v>
      </c>
      <c r="L61" s="64">
        <v>31.8</v>
      </c>
      <c r="M61" s="64">
        <v>36.46</v>
      </c>
      <c r="N61" s="64">
        <v>669.1</v>
      </c>
      <c r="O61" s="64">
        <v>0</v>
      </c>
      <c r="P61" s="64">
        <v>0.51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3" t="s">
        <v>1740</v>
      </c>
      <c r="B62" s="64">
        <v>3.75</v>
      </c>
      <c r="C62" s="64">
        <v>63.92</v>
      </c>
      <c r="D62" s="64">
        <v>38.92</v>
      </c>
      <c r="E62" s="64">
        <v>0.1</v>
      </c>
      <c r="F62" s="64">
        <v>4.51</v>
      </c>
      <c r="G62" s="64">
        <v>66.62</v>
      </c>
      <c r="H62" s="64">
        <v>28.35</v>
      </c>
      <c r="I62" s="64">
        <v>1.45</v>
      </c>
      <c r="J62" s="64">
        <v>0.13</v>
      </c>
      <c r="K62" s="64">
        <v>353.84</v>
      </c>
      <c r="L62" s="64">
        <v>30.29</v>
      </c>
      <c r="M62" s="64">
        <v>40.17</v>
      </c>
      <c r="N62" s="64">
        <v>649.5</v>
      </c>
      <c r="O62" s="64">
        <v>0</v>
      </c>
      <c r="P62" s="64">
        <v>0.53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1741</v>
      </c>
      <c r="B63" s="64">
        <v>4.0999999999999996</v>
      </c>
      <c r="C63" s="64">
        <v>63.31</v>
      </c>
      <c r="D63" s="64">
        <v>38.869999999999997</v>
      </c>
      <c r="E63" s="64">
        <v>0.37</v>
      </c>
      <c r="F63" s="64">
        <v>4.4000000000000004</v>
      </c>
      <c r="G63" s="64">
        <v>65.42</v>
      </c>
      <c r="H63" s="64">
        <v>27.99</v>
      </c>
      <c r="I63" s="64">
        <v>1.5</v>
      </c>
      <c r="J63" s="64">
        <v>0.55000000000000004</v>
      </c>
      <c r="K63" s="64">
        <v>345.73</v>
      </c>
      <c r="L63" s="64">
        <v>32.35</v>
      </c>
      <c r="M63" s="64">
        <v>35.130000000000003</v>
      </c>
      <c r="N63" s="64">
        <v>651</v>
      </c>
      <c r="O63" s="64">
        <v>0</v>
      </c>
      <c r="P63" s="64">
        <v>0.54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3" t="s">
        <v>1742</v>
      </c>
      <c r="B64" s="64">
        <v>4.07</v>
      </c>
      <c r="C64" s="64">
        <v>60.7</v>
      </c>
      <c r="D64" s="64">
        <v>37.409999999999997</v>
      </c>
      <c r="E64" s="64">
        <v>0.18</v>
      </c>
      <c r="F64" s="64">
        <v>4.83</v>
      </c>
      <c r="G64" s="64">
        <v>61.22</v>
      </c>
      <c r="H64" s="64">
        <v>27.15</v>
      </c>
      <c r="I64" s="64">
        <v>1.54</v>
      </c>
      <c r="J64" s="64">
        <v>0.74</v>
      </c>
      <c r="K64" s="64">
        <v>351.22</v>
      </c>
      <c r="L64" s="64">
        <v>32.08</v>
      </c>
      <c r="M64" s="64">
        <v>35.520000000000003</v>
      </c>
      <c r="N64" s="64">
        <v>630.1</v>
      </c>
      <c r="O64" s="64">
        <v>0</v>
      </c>
      <c r="P64" s="64">
        <v>0.54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3" t="s">
        <v>1743</v>
      </c>
      <c r="B65" s="64">
        <v>3.89</v>
      </c>
      <c r="C65" s="64">
        <v>62.81</v>
      </c>
      <c r="D65" s="64">
        <v>38.43</v>
      </c>
      <c r="E65" s="64">
        <v>0.17</v>
      </c>
      <c r="F65" s="64">
        <v>4.74</v>
      </c>
      <c r="G65" s="64">
        <v>61.22</v>
      </c>
      <c r="H65" s="64">
        <v>27.15</v>
      </c>
      <c r="I65" s="64">
        <v>1.47</v>
      </c>
      <c r="J65" s="64">
        <v>0.45</v>
      </c>
      <c r="K65" s="64">
        <v>342.71</v>
      </c>
      <c r="L65" s="64">
        <v>32.33</v>
      </c>
      <c r="M65" s="64">
        <v>34.43</v>
      </c>
      <c r="N65" s="64">
        <v>574.5</v>
      </c>
      <c r="O65" s="64">
        <v>0</v>
      </c>
      <c r="P65" s="64">
        <v>0.55000000000000004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3" t="s">
        <v>1744</v>
      </c>
      <c r="B66" s="64">
        <v>3.78</v>
      </c>
      <c r="C66" s="64">
        <v>67.569999999999993</v>
      </c>
      <c r="D66" s="64">
        <v>40.97</v>
      </c>
      <c r="E66" s="64">
        <v>0.18</v>
      </c>
      <c r="F66" s="64">
        <v>5.24</v>
      </c>
      <c r="G66" s="64">
        <v>61.22</v>
      </c>
      <c r="H66" s="64">
        <v>27.15</v>
      </c>
      <c r="I66" s="64">
        <v>1.55</v>
      </c>
      <c r="J66" s="64">
        <v>0.56999999999999995</v>
      </c>
      <c r="K66" s="64">
        <v>343.08</v>
      </c>
      <c r="L66" s="64">
        <v>31.93</v>
      </c>
      <c r="M66" s="64">
        <v>35.270000000000003</v>
      </c>
      <c r="N66" s="64">
        <v>464.7</v>
      </c>
      <c r="O66" s="64">
        <v>0</v>
      </c>
      <c r="P66" s="64">
        <v>0.56000000000000005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3" t="s">
        <v>1745</v>
      </c>
      <c r="B67" s="64">
        <v>3.49</v>
      </c>
      <c r="C67" s="64">
        <v>71.459999999999994</v>
      </c>
      <c r="D67" s="64">
        <v>42.88</v>
      </c>
      <c r="E67" s="64">
        <v>0.17</v>
      </c>
      <c r="F67" s="64">
        <v>5.49</v>
      </c>
      <c r="G67" s="64">
        <v>61.52</v>
      </c>
      <c r="H67" s="64">
        <v>27.24</v>
      </c>
      <c r="I67" s="64">
        <v>1.55</v>
      </c>
      <c r="J67" s="64">
        <v>0.39</v>
      </c>
      <c r="K67" s="64">
        <v>335.76</v>
      </c>
      <c r="L67" s="64">
        <v>31.67</v>
      </c>
      <c r="M67" s="64">
        <v>34.630000000000003</v>
      </c>
      <c r="N67" s="64">
        <v>472.8</v>
      </c>
      <c r="O67" s="64">
        <v>0</v>
      </c>
      <c r="P67" s="64">
        <v>0.57999999999999996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3" t="s">
        <v>1746</v>
      </c>
      <c r="B68" s="64">
        <v>2.92</v>
      </c>
      <c r="C68" s="64">
        <v>75.55</v>
      </c>
      <c r="D68" s="64">
        <v>44.69</v>
      </c>
      <c r="E68" s="64">
        <v>0.35</v>
      </c>
      <c r="F68" s="64">
        <v>5.97</v>
      </c>
      <c r="G68" s="64">
        <v>62.52</v>
      </c>
      <c r="H68" s="64">
        <v>27.47</v>
      </c>
      <c r="I68" s="64">
        <v>1.58</v>
      </c>
      <c r="J68" s="64">
        <v>0.3</v>
      </c>
      <c r="K68" s="64">
        <v>338.5</v>
      </c>
      <c r="L68" s="64">
        <v>31.87</v>
      </c>
      <c r="M68" s="64">
        <v>33.01</v>
      </c>
      <c r="N68" s="64">
        <v>397.9</v>
      </c>
      <c r="O68" s="64">
        <v>0</v>
      </c>
      <c r="P68" s="64">
        <v>0.6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3" t="s">
        <v>1747</v>
      </c>
      <c r="B69" s="64">
        <v>2.25</v>
      </c>
      <c r="C69" s="64">
        <v>77.62</v>
      </c>
      <c r="D69" s="64">
        <v>45.29</v>
      </c>
      <c r="E69" s="64">
        <v>0.32</v>
      </c>
      <c r="F69" s="64">
        <v>6.83</v>
      </c>
      <c r="G69" s="64">
        <v>62.52</v>
      </c>
      <c r="H69" s="64">
        <v>27.47</v>
      </c>
      <c r="I69" s="64">
        <v>1.45</v>
      </c>
      <c r="J69" s="64">
        <v>0.12</v>
      </c>
      <c r="K69" s="64">
        <v>337.81</v>
      </c>
      <c r="L69" s="64">
        <v>29.47</v>
      </c>
      <c r="M69" s="64">
        <v>38.590000000000003</v>
      </c>
      <c r="N69" s="64">
        <v>334</v>
      </c>
      <c r="O69" s="64">
        <v>0</v>
      </c>
      <c r="P69" s="64">
        <v>0.57999999999999996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3" t="s">
        <v>1748</v>
      </c>
      <c r="B70" s="64">
        <v>2.2000000000000002</v>
      </c>
      <c r="C70" s="64">
        <v>77.95</v>
      </c>
      <c r="D70" s="64">
        <v>45.43</v>
      </c>
      <c r="E70" s="64">
        <v>0.44</v>
      </c>
      <c r="F70" s="64">
        <v>5.58</v>
      </c>
      <c r="G70" s="64">
        <v>62.52</v>
      </c>
      <c r="H70" s="64">
        <v>27.47</v>
      </c>
      <c r="I70" s="64">
        <v>1.48</v>
      </c>
      <c r="J70" s="64">
        <v>0.63</v>
      </c>
      <c r="K70" s="64">
        <v>351.97</v>
      </c>
      <c r="L70" s="64">
        <v>29.23</v>
      </c>
      <c r="M70" s="64">
        <v>40.119999999999997</v>
      </c>
      <c r="N70" s="64">
        <v>228.3</v>
      </c>
      <c r="O70" s="64">
        <v>0</v>
      </c>
      <c r="P70" s="64">
        <v>0.59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3" t="s">
        <v>1749</v>
      </c>
      <c r="B71" s="64">
        <v>2.36</v>
      </c>
      <c r="C71" s="64">
        <v>70.38</v>
      </c>
      <c r="D71" s="64">
        <v>41.38</v>
      </c>
      <c r="E71" s="64">
        <v>0.59</v>
      </c>
      <c r="F71" s="64">
        <v>5.35</v>
      </c>
      <c r="G71" s="64">
        <v>61.69</v>
      </c>
      <c r="H71" s="64">
        <v>27.34</v>
      </c>
      <c r="I71" s="64">
        <v>1.51</v>
      </c>
      <c r="J71" s="64">
        <v>0.92</v>
      </c>
      <c r="K71" s="64">
        <v>344.51</v>
      </c>
      <c r="L71" s="64">
        <v>29.66</v>
      </c>
      <c r="M71" s="64">
        <v>39.46</v>
      </c>
      <c r="N71" s="64">
        <v>182.4</v>
      </c>
      <c r="O71" s="64">
        <v>0</v>
      </c>
      <c r="P71" s="64">
        <v>0.59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3" t="s">
        <v>1750</v>
      </c>
      <c r="B72" s="64">
        <v>2.64</v>
      </c>
      <c r="C72" s="64">
        <v>51.86</v>
      </c>
      <c r="D72" s="64">
        <v>31.38</v>
      </c>
      <c r="E72" s="64">
        <v>0.14000000000000001</v>
      </c>
      <c r="F72" s="64">
        <v>5.0599999999999996</v>
      </c>
      <c r="G72" s="64">
        <v>58.76</v>
      </c>
      <c r="H72" s="64">
        <v>26.69</v>
      </c>
      <c r="I72" s="64">
        <v>1.43</v>
      </c>
      <c r="J72" s="64">
        <v>0.89</v>
      </c>
      <c r="K72" s="64">
        <v>350.66</v>
      </c>
      <c r="L72" s="64">
        <v>28.91</v>
      </c>
      <c r="M72" s="64">
        <v>40.549999999999997</v>
      </c>
      <c r="N72" s="64">
        <v>147.30000000000001</v>
      </c>
      <c r="O72" s="64">
        <v>0</v>
      </c>
      <c r="P72" s="64">
        <v>0.6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3" t="s">
        <v>1751</v>
      </c>
      <c r="B73" s="64">
        <v>3.55</v>
      </c>
      <c r="C73" s="64">
        <v>48.08</v>
      </c>
      <c r="D73" s="64">
        <v>30.03</v>
      </c>
      <c r="E73" s="64">
        <v>0.11</v>
      </c>
      <c r="F73" s="64">
        <v>4.22</v>
      </c>
      <c r="G73" s="64">
        <v>58.76</v>
      </c>
      <c r="H73" s="64">
        <v>26.69</v>
      </c>
      <c r="I73" s="64">
        <v>1.5</v>
      </c>
      <c r="J73" s="64">
        <v>0.57999999999999996</v>
      </c>
      <c r="K73" s="64">
        <v>350.15</v>
      </c>
      <c r="L73" s="64">
        <v>28.41</v>
      </c>
      <c r="M73" s="64">
        <v>41.03</v>
      </c>
      <c r="N73" s="64">
        <v>137</v>
      </c>
      <c r="O73" s="64">
        <v>0</v>
      </c>
      <c r="P73" s="64">
        <v>0.62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3" t="s">
        <v>1752</v>
      </c>
      <c r="B74" s="64">
        <v>4.49</v>
      </c>
      <c r="C74" s="64">
        <v>67.78</v>
      </c>
      <c r="D74" s="64">
        <v>41.65</v>
      </c>
      <c r="E74" s="64">
        <v>0.03</v>
      </c>
      <c r="F74" s="64">
        <v>4.1399999999999997</v>
      </c>
      <c r="G74" s="64">
        <v>58.76</v>
      </c>
      <c r="H74" s="64">
        <v>26.69</v>
      </c>
      <c r="I74" s="64">
        <v>1.55</v>
      </c>
      <c r="J74" s="64">
        <v>0.28000000000000003</v>
      </c>
      <c r="K74" s="64">
        <v>1.02</v>
      </c>
      <c r="L74" s="64">
        <v>27.88</v>
      </c>
      <c r="M74" s="64">
        <v>41.94</v>
      </c>
      <c r="N74" s="64">
        <v>115</v>
      </c>
      <c r="O74" s="64">
        <v>0</v>
      </c>
      <c r="P74" s="64">
        <v>0.68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3" t="s">
        <v>1753</v>
      </c>
      <c r="B75" s="64">
        <v>5.0999999999999996</v>
      </c>
      <c r="C75" s="64">
        <v>69.69</v>
      </c>
      <c r="D75" s="64">
        <v>43.19</v>
      </c>
      <c r="E75" s="64">
        <v>0.09</v>
      </c>
      <c r="F75" s="64">
        <v>3.85</v>
      </c>
      <c r="G75" s="64">
        <v>63.24</v>
      </c>
      <c r="H75" s="64">
        <v>28.8</v>
      </c>
      <c r="I75" s="64">
        <v>1.57</v>
      </c>
      <c r="J75" s="64">
        <v>0.4</v>
      </c>
      <c r="K75" s="64">
        <v>57.63</v>
      </c>
      <c r="L75" s="64">
        <v>27.32</v>
      </c>
      <c r="M75" s="64">
        <v>44.95</v>
      </c>
      <c r="N75" s="64">
        <v>129.6</v>
      </c>
      <c r="O75" s="64">
        <v>0</v>
      </c>
      <c r="P75" s="64">
        <v>0.66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3" t="s">
        <v>1754</v>
      </c>
      <c r="B76" s="64">
        <v>5.43</v>
      </c>
      <c r="C76" s="64">
        <v>73.180000000000007</v>
      </c>
      <c r="D76" s="64">
        <v>45.39</v>
      </c>
      <c r="E76" s="64">
        <v>0.06</v>
      </c>
      <c r="F76" s="64">
        <v>3.85</v>
      </c>
      <c r="G76" s="64">
        <v>77.97</v>
      </c>
      <c r="H76" s="64">
        <v>33.67</v>
      </c>
      <c r="I76" s="64">
        <v>1.53</v>
      </c>
      <c r="J76" s="64">
        <v>0.37</v>
      </c>
      <c r="K76" s="64">
        <v>349.79</v>
      </c>
      <c r="L76" s="64">
        <v>26.85</v>
      </c>
      <c r="M76" s="64">
        <v>51.6</v>
      </c>
      <c r="N76" s="64">
        <v>102.5</v>
      </c>
      <c r="O76" s="64">
        <v>0</v>
      </c>
      <c r="P76" s="64">
        <v>0.68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3" t="s">
        <v>1755</v>
      </c>
      <c r="B77" s="64">
        <v>6.26</v>
      </c>
      <c r="C77" s="64">
        <v>73.319999999999993</v>
      </c>
      <c r="D77" s="64">
        <v>46.14</v>
      </c>
      <c r="E77" s="64">
        <v>0.09</v>
      </c>
      <c r="F77" s="64">
        <v>4.0999999999999996</v>
      </c>
      <c r="G77" s="64">
        <v>77.97</v>
      </c>
      <c r="H77" s="64">
        <v>33.67</v>
      </c>
      <c r="I77" s="64">
        <v>1.5</v>
      </c>
      <c r="J77" s="64">
        <v>1.1599999999999999</v>
      </c>
      <c r="K77" s="64">
        <v>348.17</v>
      </c>
      <c r="L77" s="64">
        <v>26.01</v>
      </c>
      <c r="M77" s="64">
        <v>57.97</v>
      </c>
      <c r="N77" s="64">
        <v>68.5</v>
      </c>
      <c r="O77" s="64">
        <v>0</v>
      </c>
      <c r="P77" s="64">
        <v>0.67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3" t="s">
        <v>1756</v>
      </c>
      <c r="B78" s="64">
        <v>6.32</v>
      </c>
      <c r="C78" s="64">
        <v>74.209999999999994</v>
      </c>
      <c r="D78" s="64">
        <v>46.67</v>
      </c>
      <c r="E78" s="64">
        <v>0.05</v>
      </c>
      <c r="F78" s="64">
        <v>4.1900000000000004</v>
      </c>
      <c r="G78" s="64">
        <v>77.97</v>
      </c>
      <c r="H78" s="64">
        <v>33.67</v>
      </c>
      <c r="I78" s="64">
        <v>1.5</v>
      </c>
      <c r="J78" s="64">
        <v>1.57</v>
      </c>
      <c r="K78" s="64">
        <v>348.07</v>
      </c>
      <c r="L78" s="64">
        <v>25.4</v>
      </c>
      <c r="M78" s="64">
        <v>61.83</v>
      </c>
      <c r="N78" s="64">
        <v>55.3</v>
      </c>
      <c r="O78" s="64">
        <v>0</v>
      </c>
      <c r="P78" s="64">
        <v>0.69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3" t="s">
        <v>1757</v>
      </c>
      <c r="B79" s="64">
        <v>6.52</v>
      </c>
      <c r="C79" s="64">
        <v>73.3</v>
      </c>
      <c r="D79" s="64">
        <v>46.33</v>
      </c>
      <c r="E79" s="64">
        <v>0.06</v>
      </c>
      <c r="F79" s="64">
        <v>4.2</v>
      </c>
      <c r="G79" s="64">
        <v>77.849999999999994</v>
      </c>
      <c r="H79" s="64">
        <v>33.479999999999997</v>
      </c>
      <c r="I79" s="64">
        <v>1.55</v>
      </c>
      <c r="J79" s="64">
        <v>1.1299999999999999</v>
      </c>
      <c r="K79" s="64">
        <v>347.8</v>
      </c>
      <c r="L79" s="64">
        <v>25.07</v>
      </c>
      <c r="M79" s="64">
        <v>64.7</v>
      </c>
      <c r="N79" s="64">
        <v>44.3</v>
      </c>
      <c r="O79" s="64">
        <v>0</v>
      </c>
      <c r="P79" s="64">
        <v>0.71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3" t="s">
        <v>1758</v>
      </c>
      <c r="B80" s="64">
        <v>6.46</v>
      </c>
      <c r="C80" s="64">
        <v>74.680000000000007</v>
      </c>
      <c r="D80" s="64">
        <v>47.04</v>
      </c>
      <c r="E80" s="64">
        <v>0.08</v>
      </c>
      <c r="F80" s="64">
        <v>4.03</v>
      </c>
      <c r="G80" s="64">
        <v>77.41</v>
      </c>
      <c r="H80" s="64">
        <v>33.020000000000003</v>
      </c>
      <c r="I80" s="64">
        <v>1.5</v>
      </c>
      <c r="J80" s="64">
        <v>0.97</v>
      </c>
      <c r="K80" s="64">
        <v>351.9</v>
      </c>
      <c r="L80" s="64">
        <v>24.88</v>
      </c>
      <c r="M80" s="64">
        <v>58.86</v>
      </c>
      <c r="N80" s="64">
        <v>35.700000000000003</v>
      </c>
      <c r="O80" s="64">
        <v>0</v>
      </c>
      <c r="P80" s="64">
        <v>0.74</v>
      </c>
      <c r="Q80" s="64">
        <v>5.21</v>
      </c>
      <c r="R80" s="198"/>
      <c r="S80" s="198"/>
      <c r="T80" s="198"/>
      <c r="U80" s="198"/>
    </row>
    <row r="81" spans="1:26" s="12" customFormat="1" x14ac:dyDescent="0.25">
      <c r="A81" s="213" t="s">
        <v>1759</v>
      </c>
      <c r="B81" s="64">
        <v>6.96</v>
      </c>
      <c r="C81" s="64">
        <v>74.59</v>
      </c>
      <c r="D81" s="64">
        <v>47.39</v>
      </c>
      <c r="E81" s="64">
        <v>7.0000000000000007E-2</v>
      </c>
      <c r="F81" s="64">
        <v>3.67</v>
      </c>
      <c r="G81" s="64">
        <v>77.41</v>
      </c>
      <c r="H81" s="64">
        <v>33.020000000000003</v>
      </c>
      <c r="I81" s="64">
        <v>1.45</v>
      </c>
      <c r="J81" s="64">
        <v>0.63</v>
      </c>
      <c r="K81" s="64">
        <v>344.86</v>
      </c>
      <c r="L81" s="64">
        <v>24.7</v>
      </c>
      <c r="M81" s="64">
        <v>59.03</v>
      </c>
      <c r="N81" s="64">
        <v>33.799999999999997</v>
      </c>
      <c r="O81" s="64">
        <v>0</v>
      </c>
      <c r="P81" s="64">
        <v>0.77</v>
      </c>
      <c r="Q81" s="64">
        <v>5.21</v>
      </c>
      <c r="R81" s="198"/>
      <c r="S81" s="198"/>
      <c r="T81" s="198"/>
      <c r="U81" s="198"/>
    </row>
    <row r="82" spans="1:26" s="12" customFormat="1" x14ac:dyDescent="0.25">
      <c r="A82" s="213" t="s">
        <v>1760</v>
      </c>
      <c r="B82" s="64">
        <v>7.87</v>
      </c>
      <c r="C82" s="64">
        <v>73.75</v>
      </c>
      <c r="D82" s="64">
        <v>47.66</v>
      </c>
      <c r="E82" s="64">
        <v>0.11</v>
      </c>
      <c r="F82" s="64">
        <v>3.55</v>
      </c>
      <c r="G82" s="64">
        <v>77.41</v>
      </c>
      <c r="H82" s="64">
        <v>33.020000000000003</v>
      </c>
      <c r="I82" s="64">
        <v>1.48</v>
      </c>
      <c r="J82" s="64">
        <v>0.55000000000000004</v>
      </c>
      <c r="K82" s="64">
        <v>345.77</v>
      </c>
      <c r="L82" s="64">
        <v>24.34</v>
      </c>
      <c r="M82" s="64">
        <v>60</v>
      </c>
      <c r="N82" s="64">
        <v>33.5</v>
      </c>
      <c r="O82" s="64">
        <v>0</v>
      </c>
      <c r="P82" s="64">
        <v>0.91</v>
      </c>
      <c r="Q82" s="64">
        <v>5.21</v>
      </c>
      <c r="R82" s="198"/>
      <c r="S82" s="198"/>
      <c r="T82" s="198"/>
      <c r="U82" s="198"/>
    </row>
    <row r="83" spans="1:26" s="12" customFormat="1" x14ac:dyDescent="0.25">
      <c r="A83" s="213" t="s">
        <v>1761</v>
      </c>
      <c r="B83" s="64">
        <v>8.89</v>
      </c>
      <c r="C83" s="64">
        <v>74</v>
      </c>
      <c r="D83" s="64">
        <v>48.62</v>
      </c>
      <c r="E83" s="64">
        <v>0.12</v>
      </c>
      <c r="F83" s="64">
        <v>3.37</v>
      </c>
      <c r="G83" s="64">
        <v>80.5</v>
      </c>
      <c r="H83" s="64">
        <v>34.39</v>
      </c>
      <c r="I83" s="64">
        <v>1.48</v>
      </c>
      <c r="J83" s="64">
        <v>0.61</v>
      </c>
      <c r="K83" s="64">
        <v>350.88</v>
      </c>
      <c r="L83" s="64">
        <v>24.19</v>
      </c>
      <c r="M83" s="64">
        <v>61.18</v>
      </c>
      <c r="N83" s="64">
        <v>33.799999999999997</v>
      </c>
      <c r="O83" s="64">
        <v>0</v>
      </c>
      <c r="P83" s="64">
        <v>0.87</v>
      </c>
      <c r="Q83" s="64">
        <v>5.21</v>
      </c>
      <c r="R83" s="198"/>
      <c r="S83" s="198"/>
      <c r="T83" s="198"/>
      <c r="U83" s="198"/>
    </row>
    <row r="84" spans="1:26" s="12" customFormat="1" x14ac:dyDescent="0.25">
      <c r="A84" s="213" t="s">
        <v>1762</v>
      </c>
      <c r="B84" s="64">
        <v>10.07</v>
      </c>
      <c r="C84" s="64">
        <v>73.239999999999995</v>
      </c>
      <c r="D84" s="64">
        <v>49.14</v>
      </c>
      <c r="E84" s="64">
        <v>0.12</v>
      </c>
      <c r="F84" s="64">
        <v>3.34</v>
      </c>
      <c r="G84" s="64">
        <v>90.66</v>
      </c>
      <c r="H84" s="64">
        <v>37.619999999999997</v>
      </c>
      <c r="I84" s="64">
        <v>1.41</v>
      </c>
      <c r="J84" s="64">
        <v>7.0000000000000007E-2</v>
      </c>
      <c r="K84" s="64">
        <v>36.409999999999997</v>
      </c>
      <c r="L84" s="64">
        <v>23.65</v>
      </c>
      <c r="M84" s="64">
        <v>64.63</v>
      </c>
      <c r="N84" s="64">
        <v>34.5</v>
      </c>
      <c r="O84" s="64">
        <v>0</v>
      </c>
      <c r="P84" s="64">
        <v>0.97</v>
      </c>
      <c r="Q84" s="64">
        <v>5.21</v>
      </c>
      <c r="R84" s="198"/>
      <c r="S84" s="198"/>
      <c r="T84" s="198"/>
      <c r="U84" s="198"/>
    </row>
    <row r="85" spans="1:26" s="12" customFormat="1" x14ac:dyDescent="0.25">
      <c r="A85" s="213" t="s">
        <v>1763</v>
      </c>
      <c r="B85" s="64">
        <v>11.66</v>
      </c>
      <c r="C85" s="64">
        <v>72.8</v>
      </c>
      <c r="D85" s="64">
        <v>50.17</v>
      </c>
      <c r="E85" s="64">
        <v>7.0000000000000007E-2</v>
      </c>
      <c r="F85" s="64">
        <v>3.13</v>
      </c>
      <c r="G85" s="64">
        <v>90.66</v>
      </c>
      <c r="H85" s="64">
        <v>37.619999999999997</v>
      </c>
      <c r="I85" s="64">
        <v>1.5</v>
      </c>
      <c r="J85" s="64">
        <v>0.27</v>
      </c>
      <c r="K85" s="64">
        <v>355.93</v>
      </c>
      <c r="L85" s="64">
        <v>23.29</v>
      </c>
      <c r="M85" s="64">
        <v>68.27</v>
      </c>
      <c r="N85" s="64">
        <v>33.9</v>
      </c>
      <c r="O85" s="64">
        <v>0</v>
      </c>
      <c r="P85" s="64">
        <v>0.85</v>
      </c>
      <c r="Q85" s="64">
        <v>5.21</v>
      </c>
      <c r="R85" s="198"/>
      <c r="S85" s="198"/>
      <c r="T85" s="198"/>
      <c r="U85" s="198"/>
    </row>
    <row r="86" spans="1:26" s="12" customFormat="1" x14ac:dyDescent="0.25">
      <c r="A86" s="213" t="s">
        <v>1764</v>
      </c>
      <c r="B86" s="64">
        <v>13.14</v>
      </c>
      <c r="C86" s="64">
        <v>71.5</v>
      </c>
      <c r="D86" s="64">
        <v>50.64</v>
      </c>
      <c r="E86" s="64">
        <v>0.13</v>
      </c>
      <c r="F86" s="64">
        <v>3.45</v>
      </c>
      <c r="G86" s="64">
        <v>90.66</v>
      </c>
      <c r="H86" s="64">
        <v>37.619999999999997</v>
      </c>
      <c r="I86" s="64">
        <v>1.47</v>
      </c>
      <c r="J86" s="64">
        <v>0.75</v>
      </c>
      <c r="K86" s="64">
        <v>333.6</v>
      </c>
      <c r="L86" s="64">
        <v>22.98</v>
      </c>
      <c r="M86" s="64">
        <v>70.319999999999993</v>
      </c>
      <c r="N86" s="64">
        <v>33.299999999999997</v>
      </c>
      <c r="O86" s="64">
        <v>0</v>
      </c>
      <c r="P86" s="64">
        <v>0.93</v>
      </c>
      <c r="Q86" s="64">
        <v>5.21</v>
      </c>
      <c r="R86" s="198"/>
      <c r="S86" s="198"/>
      <c r="T86" s="198"/>
      <c r="U86" s="198"/>
    </row>
    <row r="87" spans="1:26" s="12" customFormat="1" x14ac:dyDescent="0.25">
      <c r="A87" s="213" t="s">
        <v>1765</v>
      </c>
      <c r="B87" s="64">
        <v>14.14</v>
      </c>
      <c r="C87" s="64">
        <v>71.95</v>
      </c>
      <c r="D87" s="64">
        <v>51.69</v>
      </c>
      <c r="E87" s="64">
        <v>0.03</v>
      </c>
      <c r="F87" s="64">
        <v>3.25</v>
      </c>
      <c r="G87" s="64">
        <v>95.83</v>
      </c>
      <c r="H87" s="64">
        <v>38.72</v>
      </c>
      <c r="I87" s="64">
        <v>1.5</v>
      </c>
      <c r="J87" s="64">
        <v>0.54</v>
      </c>
      <c r="K87" s="64">
        <v>340.26</v>
      </c>
      <c r="L87" s="64">
        <v>22.86</v>
      </c>
      <c r="M87" s="64">
        <v>71.69</v>
      </c>
      <c r="N87" s="64">
        <v>34.200000000000003</v>
      </c>
      <c r="O87" s="64">
        <v>0</v>
      </c>
      <c r="P87" s="64">
        <v>0.95</v>
      </c>
      <c r="Q87" s="64">
        <v>5.21</v>
      </c>
      <c r="R87" s="198"/>
      <c r="S87" s="198"/>
      <c r="T87" s="198"/>
      <c r="U87" s="198"/>
    </row>
    <row r="88" spans="1:26" s="12" customFormat="1" x14ac:dyDescent="0.25">
      <c r="A88" s="213" t="s">
        <v>1766</v>
      </c>
      <c r="B88" s="64">
        <v>15.14</v>
      </c>
      <c r="C88" s="64">
        <v>71.41</v>
      </c>
      <c r="D88" s="64">
        <v>52.2</v>
      </c>
      <c r="E88" s="64">
        <v>0.12</v>
      </c>
      <c r="F88" s="64">
        <v>3.48</v>
      </c>
      <c r="G88" s="64">
        <v>112.81</v>
      </c>
      <c r="H88" s="64">
        <v>43.9</v>
      </c>
      <c r="I88" s="64">
        <v>1.44</v>
      </c>
      <c r="J88" s="64">
        <v>0.2</v>
      </c>
      <c r="K88" s="64">
        <v>323.76</v>
      </c>
      <c r="L88" s="64">
        <v>22.46</v>
      </c>
      <c r="M88" s="64">
        <v>73.680000000000007</v>
      </c>
      <c r="N88" s="64">
        <v>34.5</v>
      </c>
      <c r="O88" s="64">
        <v>0</v>
      </c>
      <c r="P88" s="64">
        <v>1.01</v>
      </c>
      <c r="Q88" s="64">
        <v>5.21</v>
      </c>
      <c r="R88" s="198"/>
      <c r="S88" s="198"/>
      <c r="T88" s="198"/>
      <c r="U88" s="198"/>
    </row>
    <row r="89" spans="1:26" s="12" customFormat="1" x14ac:dyDescent="0.25">
      <c r="A89" s="213" t="s">
        <v>1767</v>
      </c>
      <c r="B89" s="64">
        <v>16.27</v>
      </c>
      <c r="C89" s="64">
        <v>70.61</v>
      </c>
      <c r="D89" s="64">
        <v>52.66</v>
      </c>
      <c r="E89" s="64">
        <v>0.14000000000000001</v>
      </c>
      <c r="F89" s="64">
        <v>3.47</v>
      </c>
      <c r="G89" s="64">
        <v>112.81</v>
      </c>
      <c r="H89" s="64">
        <v>43.9</v>
      </c>
      <c r="I89" s="64">
        <v>1.5</v>
      </c>
      <c r="J89" s="64">
        <v>0.1</v>
      </c>
      <c r="K89" s="64">
        <v>249.07</v>
      </c>
      <c r="L89" s="64">
        <v>22.09</v>
      </c>
      <c r="M89" s="64">
        <v>76.239999999999995</v>
      </c>
      <c r="N89" s="64">
        <v>34.6</v>
      </c>
      <c r="O89" s="64">
        <v>0</v>
      </c>
      <c r="P89" s="64">
        <v>1.05</v>
      </c>
      <c r="Q89" s="64">
        <v>5.21</v>
      </c>
      <c r="R89" s="198"/>
      <c r="S89" s="198"/>
      <c r="T89" s="198"/>
      <c r="U89" s="198"/>
    </row>
    <row r="90" spans="1:26" s="12" customFormat="1" x14ac:dyDescent="0.25">
      <c r="A90" s="213" t="s">
        <v>1768</v>
      </c>
      <c r="B90" s="64">
        <v>17.43</v>
      </c>
      <c r="C90" s="64">
        <v>69.55</v>
      </c>
      <c r="D90" s="64">
        <v>53.01</v>
      </c>
      <c r="E90" s="64">
        <v>0.14000000000000001</v>
      </c>
      <c r="F90" s="64">
        <v>3.58</v>
      </c>
      <c r="G90" s="64">
        <v>112.81</v>
      </c>
      <c r="H90" s="64">
        <v>43.9</v>
      </c>
      <c r="I90" s="64">
        <v>1.55</v>
      </c>
      <c r="J90" s="64">
        <v>0.14000000000000001</v>
      </c>
      <c r="K90" s="64">
        <v>237.48</v>
      </c>
      <c r="L90" s="64">
        <v>22</v>
      </c>
      <c r="M90" s="64">
        <v>76.81</v>
      </c>
      <c r="N90" s="64">
        <v>34.4</v>
      </c>
      <c r="O90" s="64">
        <v>0</v>
      </c>
      <c r="P90" s="64">
        <v>1.1100000000000001</v>
      </c>
      <c r="Q90" s="64">
        <v>5.21</v>
      </c>
      <c r="R90" s="198"/>
      <c r="S90" s="198"/>
      <c r="T90" s="198"/>
      <c r="U90" s="198"/>
    </row>
    <row r="91" spans="1:26" s="12" customFormat="1" x14ac:dyDescent="0.25">
      <c r="A91" s="213" t="s">
        <v>1769</v>
      </c>
      <c r="B91" s="64">
        <v>19.27</v>
      </c>
      <c r="C91" s="64">
        <v>68.23</v>
      </c>
      <c r="D91" s="64">
        <v>53.75</v>
      </c>
      <c r="E91" s="64">
        <v>0.22</v>
      </c>
      <c r="F91" s="64">
        <v>3.4</v>
      </c>
      <c r="G91" s="64">
        <v>118.41</v>
      </c>
      <c r="H91" s="64">
        <v>46.37</v>
      </c>
      <c r="I91" s="64">
        <v>1.51</v>
      </c>
      <c r="J91" s="64">
        <v>0.14000000000000001</v>
      </c>
      <c r="K91" s="64">
        <v>314.43</v>
      </c>
      <c r="L91" s="64">
        <v>21.62</v>
      </c>
      <c r="M91" s="64">
        <v>83</v>
      </c>
      <c r="N91" s="64">
        <v>34.6</v>
      </c>
      <c r="O91" s="64">
        <v>0</v>
      </c>
      <c r="P91" s="64">
        <v>1.24</v>
      </c>
      <c r="Q91" s="64">
        <v>5.21</v>
      </c>
      <c r="R91" s="198"/>
      <c r="S91" s="198"/>
      <c r="T91" s="198"/>
      <c r="U91" s="198"/>
    </row>
    <row r="92" spans="1:26" s="12" customFormat="1" x14ac:dyDescent="0.25">
      <c r="A92" s="213" t="s">
        <v>1770</v>
      </c>
      <c r="B92" s="64">
        <v>22.02</v>
      </c>
      <c r="C92" s="64">
        <v>67.56</v>
      </c>
      <c r="D92" s="64">
        <v>55.59</v>
      </c>
      <c r="E92" s="64">
        <v>0.2</v>
      </c>
      <c r="F92" s="64">
        <v>3.44</v>
      </c>
      <c r="G92" s="64">
        <v>136.82</v>
      </c>
      <c r="H92" s="64">
        <v>52.04</v>
      </c>
      <c r="I92" s="64">
        <v>1.48</v>
      </c>
      <c r="J92" s="64">
        <v>0.11</v>
      </c>
      <c r="K92" s="64">
        <v>255.28</v>
      </c>
      <c r="L92" s="64">
        <v>21.14</v>
      </c>
      <c r="M92" s="64">
        <v>87.5</v>
      </c>
      <c r="N92" s="64">
        <v>34.5</v>
      </c>
      <c r="O92" s="64">
        <v>0</v>
      </c>
      <c r="P92" s="64">
        <v>1.27</v>
      </c>
      <c r="Q92" s="64">
        <v>5.62</v>
      </c>
      <c r="R92" s="198"/>
      <c r="S92" s="198"/>
      <c r="T92" s="198"/>
      <c r="U92" s="198"/>
    </row>
    <row r="93" spans="1:26" s="12" customFormat="1" x14ac:dyDescent="0.25">
      <c r="A93" s="213" t="s">
        <v>1771</v>
      </c>
      <c r="B93" s="64">
        <v>24.6</v>
      </c>
      <c r="C93" s="64">
        <v>66.66</v>
      </c>
      <c r="D93" s="64">
        <v>57.16</v>
      </c>
      <c r="E93" s="64">
        <v>0.22</v>
      </c>
      <c r="F93" s="64">
        <v>3.4</v>
      </c>
      <c r="G93" s="64">
        <v>136.82</v>
      </c>
      <c r="H93" s="64">
        <v>52.04</v>
      </c>
      <c r="I93" s="64">
        <v>1.46</v>
      </c>
      <c r="J93" s="64">
        <v>0.1</v>
      </c>
      <c r="K93" s="64">
        <v>244.66</v>
      </c>
      <c r="L93" s="64">
        <v>21.15</v>
      </c>
      <c r="M93" s="64">
        <v>82.62</v>
      </c>
      <c r="N93" s="64">
        <v>34.299999999999997</v>
      </c>
      <c r="O93" s="64">
        <v>0</v>
      </c>
      <c r="P93" s="64">
        <v>1.24</v>
      </c>
      <c r="Q93" s="64">
        <v>5.64</v>
      </c>
      <c r="R93" s="198"/>
      <c r="S93" s="198"/>
      <c r="T93" s="198"/>
      <c r="U93" s="198"/>
    </row>
    <row r="94" spans="1:26" s="12" customFormat="1" x14ac:dyDescent="0.25">
      <c r="A94" s="213" t="s">
        <v>1772</v>
      </c>
      <c r="B94" s="64">
        <v>26.45</v>
      </c>
      <c r="C94" s="64">
        <v>65.84</v>
      </c>
      <c r="D94" s="64">
        <v>58.19</v>
      </c>
      <c r="E94" s="64">
        <v>0.22</v>
      </c>
      <c r="F94" s="64">
        <v>3.34</v>
      </c>
      <c r="G94" s="64">
        <v>136.82</v>
      </c>
      <c r="H94" s="64">
        <v>52.04</v>
      </c>
      <c r="I94" s="64">
        <v>1.55</v>
      </c>
      <c r="J94" s="64">
        <v>0.04</v>
      </c>
      <c r="K94" s="64">
        <v>47.98</v>
      </c>
      <c r="L94" s="64">
        <v>20.92</v>
      </c>
      <c r="M94" s="64">
        <v>84.57</v>
      </c>
      <c r="N94" s="64">
        <v>34.5</v>
      </c>
      <c r="O94" s="64">
        <v>0</v>
      </c>
      <c r="P94" s="64">
        <v>1.28</v>
      </c>
      <c r="Q94" s="64">
        <v>5.68</v>
      </c>
      <c r="R94" s="198"/>
      <c r="S94" s="198"/>
      <c r="T94" s="198"/>
      <c r="U94" s="198"/>
    </row>
    <row r="95" spans="1:26" s="12" customFormat="1" x14ac:dyDescent="0.25">
      <c r="A95" s="213" t="s">
        <v>1773</v>
      </c>
      <c r="B95" s="64">
        <v>28.62</v>
      </c>
      <c r="C95" s="64">
        <v>65.83</v>
      </c>
      <c r="D95" s="64">
        <v>59.92</v>
      </c>
      <c r="E95" s="64">
        <v>0.25</v>
      </c>
      <c r="F95" s="64">
        <v>3.39</v>
      </c>
      <c r="G95" s="64">
        <v>137.62</v>
      </c>
      <c r="H95" s="64">
        <v>52.88</v>
      </c>
      <c r="I95" s="64">
        <v>1.53</v>
      </c>
      <c r="J95" s="64">
        <v>0.11</v>
      </c>
      <c r="K95" s="64">
        <v>239.82</v>
      </c>
      <c r="L95" s="64">
        <v>20.92</v>
      </c>
      <c r="M95" s="64">
        <v>85.24</v>
      </c>
      <c r="N95" s="64">
        <v>34</v>
      </c>
      <c r="O95" s="64">
        <v>0</v>
      </c>
      <c r="P95" s="64">
        <v>1.3</v>
      </c>
      <c r="Q95" s="64">
        <v>5.46</v>
      </c>
      <c r="R95" s="198"/>
      <c r="S95" s="198"/>
      <c r="T95" s="198"/>
      <c r="U95" s="198"/>
    </row>
    <row r="96" spans="1:26" s="12" customFormat="1" x14ac:dyDescent="0.25">
      <c r="A96" s="213" t="s">
        <v>1774</v>
      </c>
      <c r="B96" s="64">
        <v>30.46</v>
      </c>
      <c r="C96" s="64">
        <v>65.569999999999993</v>
      </c>
      <c r="D96" s="64">
        <v>61.26</v>
      </c>
      <c r="E96" s="64">
        <v>0.15</v>
      </c>
      <c r="F96" s="64">
        <v>3.35</v>
      </c>
      <c r="G96" s="64">
        <v>140.25</v>
      </c>
      <c r="H96" s="64">
        <v>54.83</v>
      </c>
      <c r="I96" s="64">
        <v>1.47</v>
      </c>
      <c r="J96" s="64">
        <v>0.11</v>
      </c>
      <c r="K96" s="64">
        <v>230.62</v>
      </c>
      <c r="L96" s="64">
        <v>21.04</v>
      </c>
      <c r="M96" s="64">
        <v>84.28</v>
      </c>
      <c r="N96" s="64">
        <v>34.299999999999997</v>
      </c>
      <c r="O96" s="64">
        <v>0</v>
      </c>
      <c r="P96" s="64">
        <v>1.29</v>
      </c>
      <c r="Q96" s="64">
        <v>6.52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1775</v>
      </c>
      <c r="B97" s="64">
        <v>31.47</v>
      </c>
      <c r="C97" s="64">
        <v>64.89</v>
      </c>
      <c r="D97" s="64">
        <v>61.7</v>
      </c>
      <c r="E97" s="64">
        <v>0.27</v>
      </c>
      <c r="F97" s="64">
        <v>3.45</v>
      </c>
      <c r="G97" s="64">
        <v>140.25</v>
      </c>
      <c r="H97" s="64">
        <v>54.83</v>
      </c>
      <c r="I97" s="64">
        <v>1.54</v>
      </c>
      <c r="J97" s="64">
        <v>0.13</v>
      </c>
      <c r="K97" s="64">
        <v>295.62</v>
      </c>
      <c r="L97" s="64">
        <v>20.69</v>
      </c>
      <c r="M97" s="64">
        <v>87.04</v>
      </c>
      <c r="N97" s="64">
        <v>34.6</v>
      </c>
      <c r="O97" s="64">
        <v>0</v>
      </c>
      <c r="P97" s="64">
        <v>1.32</v>
      </c>
      <c r="Q97" s="64">
        <v>6.66</v>
      </c>
      <c r="R97" s="198"/>
      <c r="S97" s="198"/>
      <c r="T97" s="198"/>
      <c r="U97" s="198"/>
    </row>
    <row r="98" spans="1:33" s="12" customFormat="1" x14ac:dyDescent="0.25">
      <c r="A98" s="213" t="s">
        <v>1776</v>
      </c>
      <c r="B98" s="64">
        <v>33.18</v>
      </c>
      <c r="C98" s="64">
        <v>64.52</v>
      </c>
      <c r="D98" s="64">
        <v>62.86</v>
      </c>
      <c r="E98" s="64">
        <v>0.17</v>
      </c>
      <c r="F98" s="64">
        <v>3.34</v>
      </c>
      <c r="G98" s="64">
        <v>140.25</v>
      </c>
      <c r="H98" s="64">
        <v>54.83</v>
      </c>
      <c r="I98" s="64">
        <v>1.44</v>
      </c>
      <c r="J98" s="64">
        <v>0.13</v>
      </c>
      <c r="K98" s="64">
        <v>323.74</v>
      </c>
      <c r="L98" s="64">
        <v>20.309999999999999</v>
      </c>
      <c r="M98" s="64">
        <v>91.33</v>
      </c>
      <c r="N98" s="64">
        <v>34.9</v>
      </c>
      <c r="O98" s="64">
        <v>0</v>
      </c>
      <c r="P98" s="64">
        <v>1.41</v>
      </c>
      <c r="Q98" s="64">
        <v>7.55</v>
      </c>
      <c r="R98" s="198"/>
      <c r="S98" s="198"/>
      <c r="T98" s="198"/>
      <c r="U98" s="198"/>
    </row>
    <row r="99" spans="1:33" s="12" customFormat="1" x14ac:dyDescent="0.25">
      <c r="A99" s="213" t="s">
        <v>1777</v>
      </c>
      <c r="B99" s="64">
        <v>36.35</v>
      </c>
      <c r="C99" s="64">
        <v>64.48</v>
      </c>
      <c r="D99" s="64">
        <v>65.38</v>
      </c>
      <c r="E99" s="64">
        <v>0.25</v>
      </c>
      <c r="F99" s="64">
        <v>3.3</v>
      </c>
      <c r="G99" s="64">
        <v>138.82</v>
      </c>
      <c r="H99" s="64">
        <v>53.87</v>
      </c>
      <c r="I99" s="64">
        <v>1.56</v>
      </c>
      <c r="J99" s="64">
        <v>0.27</v>
      </c>
      <c r="K99" s="64">
        <v>333.75</v>
      </c>
      <c r="L99" s="64">
        <v>20.12</v>
      </c>
      <c r="M99" s="64">
        <v>92.32</v>
      </c>
      <c r="N99" s="64">
        <v>34.6</v>
      </c>
      <c r="O99" s="64">
        <v>0</v>
      </c>
      <c r="P99" s="64">
        <v>1.39</v>
      </c>
      <c r="Q99" s="64">
        <v>7.32</v>
      </c>
      <c r="R99" s="198"/>
      <c r="S99" s="198"/>
      <c r="T99" s="198"/>
      <c r="U99" s="198"/>
    </row>
    <row r="100" spans="1:33" s="12" customFormat="1" x14ac:dyDescent="0.25">
      <c r="A100" s="213" t="s">
        <v>1778</v>
      </c>
      <c r="B100" s="64">
        <v>38.799999999999997</v>
      </c>
      <c r="C100" s="64">
        <v>64.88</v>
      </c>
      <c r="D100" s="64">
        <v>67.569999999999993</v>
      </c>
      <c r="E100" s="64">
        <v>0.25</v>
      </c>
      <c r="F100" s="64">
        <v>3.33</v>
      </c>
      <c r="G100" s="64">
        <v>134.12</v>
      </c>
      <c r="H100" s="64">
        <v>51.62</v>
      </c>
      <c r="I100" s="64">
        <v>1.48</v>
      </c>
      <c r="J100" s="64">
        <v>0.22</v>
      </c>
      <c r="K100" s="64">
        <v>331.77</v>
      </c>
      <c r="L100" s="64">
        <v>20.239999999999998</v>
      </c>
      <c r="M100" s="64">
        <v>90.79</v>
      </c>
      <c r="N100" s="64">
        <v>34.6</v>
      </c>
      <c r="O100" s="64">
        <v>0</v>
      </c>
      <c r="P100" s="64">
        <v>1.35</v>
      </c>
      <c r="Q100" s="64">
        <v>7.88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1779</v>
      </c>
      <c r="B101" s="64">
        <v>39.950000000000003</v>
      </c>
      <c r="C101" s="64">
        <v>66.58</v>
      </c>
      <c r="D101" s="64">
        <v>69.42</v>
      </c>
      <c r="E101" s="64">
        <v>0.22</v>
      </c>
      <c r="F101" s="64">
        <v>3.39</v>
      </c>
      <c r="G101" s="64">
        <v>134.12</v>
      </c>
      <c r="H101" s="64">
        <v>51.62</v>
      </c>
      <c r="I101" s="64">
        <v>1.48</v>
      </c>
      <c r="J101" s="64">
        <v>0.28999999999999998</v>
      </c>
      <c r="K101" s="64">
        <v>345.12</v>
      </c>
      <c r="L101" s="64">
        <v>20.329999999999998</v>
      </c>
      <c r="M101" s="64">
        <v>90.42</v>
      </c>
      <c r="N101" s="64">
        <v>34.799999999999997</v>
      </c>
      <c r="O101" s="64">
        <v>0</v>
      </c>
      <c r="P101" s="64">
        <v>1.37</v>
      </c>
      <c r="Q101" s="64">
        <v>8.39</v>
      </c>
      <c r="R101" s="198"/>
      <c r="S101" s="198"/>
      <c r="T101" s="198"/>
      <c r="U101" s="198"/>
    </row>
    <row r="102" spans="1:33" s="12" customFormat="1" x14ac:dyDescent="0.25">
      <c r="A102" s="213" t="s">
        <v>1780</v>
      </c>
      <c r="B102" s="64">
        <v>40.58</v>
      </c>
      <c r="C102" s="64">
        <v>66.989999999999995</v>
      </c>
      <c r="D102" s="64">
        <v>70.16</v>
      </c>
      <c r="E102" s="64">
        <v>0.26</v>
      </c>
      <c r="F102" s="64">
        <v>3.37</v>
      </c>
      <c r="G102" s="64">
        <v>134.12</v>
      </c>
      <c r="H102" s="64">
        <v>51.62</v>
      </c>
      <c r="I102" s="64">
        <v>1.43</v>
      </c>
      <c r="J102" s="64">
        <v>0.28000000000000003</v>
      </c>
      <c r="K102" s="64">
        <v>358.97</v>
      </c>
      <c r="L102" s="64">
        <v>20.51</v>
      </c>
      <c r="M102" s="64">
        <v>85.65</v>
      </c>
      <c r="N102" s="64">
        <v>34.6</v>
      </c>
      <c r="O102" s="64">
        <v>0</v>
      </c>
      <c r="P102" s="64">
        <v>1.36</v>
      </c>
      <c r="Q102" s="64">
        <v>8.1300000000000008</v>
      </c>
      <c r="R102" s="198"/>
      <c r="S102" s="198"/>
      <c r="T102" s="198"/>
      <c r="U102" s="198"/>
    </row>
    <row r="103" spans="1:33" s="12" customFormat="1" x14ac:dyDescent="0.25">
      <c r="A103" s="213" t="s">
        <v>1781</v>
      </c>
      <c r="B103" s="64">
        <v>40.78</v>
      </c>
      <c r="C103" s="64">
        <v>66.819999999999993</v>
      </c>
      <c r="D103" s="64">
        <v>70.23</v>
      </c>
      <c r="E103" s="64">
        <v>0.25</v>
      </c>
      <c r="F103" s="64">
        <v>3.29</v>
      </c>
      <c r="G103" s="64">
        <v>133.38999999999999</v>
      </c>
      <c r="H103" s="64">
        <v>51.89</v>
      </c>
      <c r="I103" s="64">
        <v>1.52</v>
      </c>
      <c r="J103" s="64">
        <v>0.54</v>
      </c>
      <c r="K103" s="64">
        <v>350.91</v>
      </c>
      <c r="L103" s="64">
        <v>20.41</v>
      </c>
      <c r="M103" s="64">
        <v>86.53</v>
      </c>
      <c r="N103" s="64">
        <v>35</v>
      </c>
      <c r="O103" s="64">
        <v>0</v>
      </c>
      <c r="P103" s="64">
        <v>1.36</v>
      </c>
      <c r="Q103" s="64">
        <v>8.3699999999999992</v>
      </c>
      <c r="R103" s="198"/>
      <c r="S103" s="198"/>
      <c r="T103" s="198"/>
      <c r="U103" s="198"/>
    </row>
    <row r="104" spans="1:33" s="12" customFormat="1" x14ac:dyDescent="0.25">
      <c r="A104" s="213" t="s">
        <v>1782</v>
      </c>
      <c r="B104" s="64">
        <v>40.520000000000003</v>
      </c>
      <c r="C104" s="64">
        <v>66.83</v>
      </c>
      <c r="D104" s="64">
        <v>70.02</v>
      </c>
      <c r="E104" s="64">
        <v>0.09</v>
      </c>
      <c r="F104" s="64">
        <v>3.22</v>
      </c>
      <c r="G104" s="64">
        <v>131.01</v>
      </c>
      <c r="H104" s="64">
        <v>53.1</v>
      </c>
      <c r="I104" s="64">
        <v>1.44</v>
      </c>
      <c r="J104" s="64">
        <v>0.21</v>
      </c>
      <c r="K104" s="64">
        <v>358.69</v>
      </c>
      <c r="L104" s="64">
        <v>20.21</v>
      </c>
      <c r="M104" s="64">
        <v>87.95</v>
      </c>
      <c r="N104" s="64">
        <v>35.4</v>
      </c>
      <c r="O104" s="64">
        <v>0</v>
      </c>
      <c r="P104" s="64">
        <v>1.35</v>
      </c>
      <c r="Q104" s="64">
        <v>8.1199999999999992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2.0299999999999998</v>
      </c>
      <c r="C106" s="67">
        <f>MIN(C9:C104)</f>
        <v>46.14</v>
      </c>
      <c r="D106" s="67">
        <f t="shared" ref="D106:Q106" si="0">MIN(D9:D104)</f>
        <v>29.79</v>
      </c>
      <c r="E106" s="67">
        <f t="shared" si="0"/>
        <v>0.02</v>
      </c>
      <c r="F106" s="67">
        <f t="shared" si="0"/>
        <v>2.71</v>
      </c>
      <c r="G106" s="67">
        <f t="shared" si="0"/>
        <v>51.85</v>
      </c>
      <c r="H106" s="67">
        <f t="shared" si="0"/>
        <v>23.53</v>
      </c>
      <c r="I106" s="67">
        <f t="shared" si="0"/>
        <v>1.4</v>
      </c>
      <c r="J106" s="67">
        <f t="shared" si="0"/>
        <v>0.04</v>
      </c>
      <c r="K106" s="67">
        <f t="shared" si="0"/>
        <v>0.23</v>
      </c>
      <c r="L106" s="67">
        <f t="shared" si="0"/>
        <v>18.5</v>
      </c>
      <c r="M106" s="67">
        <f t="shared" si="0"/>
        <v>33.01</v>
      </c>
      <c r="N106" s="67">
        <f t="shared" si="0"/>
        <v>33.299999999999997</v>
      </c>
      <c r="O106" s="67">
        <f t="shared" si="0"/>
        <v>0</v>
      </c>
      <c r="P106" s="67">
        <f t="shared" si="0"/>
        <v>0.47</v>
      </c>
      <c r="Q106" s="67">
        <f t="shared" si="0"/>
        <v>0.94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40.78</v>
      </c>
      <c r="C107" s="66">
        <f t="shared" ref="C107:Q107" si="1">MAX(C9:C104)</f>
        <v>90.4</v>
      </c>
      <c r="D107" s="66">
        <f t="shared" si="1"/>
        <v>73.430000000000007</v>
      </c>
      <c r="E107" s="66">
        <f t="shared" si="1"/>
        <v>0.9</v>
      </c>
      <c r="F107" s="66">
        <f t="shared" si="1"/>
        <v>11.99</v>
      </c>
      <c r="G107" s="66">
        <f t="shared" si="1"/>
        <v>140.25</v>
      </c>
      <c r="H107" s="66">
        <f t="shared" si="1"/>
        <v>54.83</v>
      </c>
      <c r="I107" s="66">
        <f t="shared" si="1"/>
        <v>1.6</v>
      </c>
      <c r="J107" s="66">
        <f t="shared" si="1"/>
        <v>1.57</v>
      </c>
      <c r="K107" s="66">
        <f t="shared" si="1"/>
        <v>358.97</v>
      </c>
      <c r="L107" s="66">
        <f t="shared" si="1"/>
        <v>32.35</v>
      </c>
      <c r="M107" s="66">
        <f t="shared" si="1"/>
        <v>92.32</v>
      </c>
      <c r="N107" s="66">
        <f t="shared" si="1"/>
        <v>772</v>
      </c>
      <c r="O107" s="66">
        <f t="shared" si="1"/>
        <v>0</v>
      </c>
      <c r="P107" s="66">
        <f t="shared" si="1"/>
        <v>1.41</v>
      </c>
      <c r="Q107" s="66">
        <f t="shared" si="1"/>
        <v>8.39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18.746875000000003</v>
      </c>
      <c r="C108" s="67">
        <f t="shared" ref="C108:Q108" si="2">AVERAGE(C9:C104)</f>
        <v>70.29083333333331</v>
      </c>
      <c r="D108" s="67">
        <f t="shared" si="2"/>
        <v>54.471874999999976</v>
      </c>
      <c r="E108" s="67">
        <f t="shared" si="2"/>
        <v>0.24052083333333332</v>
      </c>
      <c r="F108" s="67">
        <f t="shared" si="2"/>
        <v>3.9554166666666668</v>
      </c>
      <c r="G108" s="67">
        <f t="shared" si="2"/>
        <v>77.665729166666665</v>
      </c>
      <c r="H108" s="67">
        <f t="shared" si="2"/>
        <v>33.41687499999999</v>
      </c>
      <c r="I108" s="67">
        <f t="shared" si="2"/>
        <v>1.4968750000000002</v>
      </c>
      <c r="J108" s="67">
        <f t="shared" si="2"/>
        <v>0.4835416666666667</v>
      </c>
      <c r="K108" s="67">
        <f t="shared" si="2"/>
        <v>228.70885416666658</v>
      </c>
      <c r="L108" s="67">
        <f t="shared" si="2"/>
        <v>23.316666666666663</v>
      </c>
      <c r="M108" s="67">
        <f t="shared" si="2"/>
        <v>67.971770833333309</v>
      </c>
      <c r="N108" s="67">
        <f t="shared" si="2"/>
        <v>231.80104166666661</v>
      </c>
      <c r="O108" s="67">
        <f t="shared" si="2"/>
        <v>0</v>
      </c>
      <c r="P108" s="67">
        <f t="shared" si="2"/>
        <v>0.82062500000000005</v>
      </c>
      <c r="Q108" s="67">
        <f t="shared" si="2"/>
        <v>5.5239583333333258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11.773447495149954</v>
      </c>
      <c r="C109" s="67">
        <f t="shared" ref="C109:Q109" si="3">STDEV(C9:C104)</f>
        <v>7.8735154546135542</v>
      </c>
      <c r="D109" s="67">
        <f t="shared" si="3"/>
        <v>10.951805841239855</v>
      </c>
      <c r="E109" s="67">
        <f t="shared" si="3"/>
        <v>0.18259169169815209</v>
      </c>
      <c r="F109" s="67">
        <f t="shared" si="3"/>
        <v>1.3723034164012937</v>
      </c>
      <c r="G109" s="67">
        <f t="shared" si="3"/>
        <v>26.925417213003428</v>
      </c>
      <c r="H109" s="67">
        <f t="shared" si="3"/>
        <v>8.9384884289647797</v>
      </c>
      <c r="I109" s="67">
        <f t="shared" si="3"/>
        <v>4.2309946572258533E-2</v>
      </c>
      <c r="J109" s="67">
        <f t="shared" si="3"/>
        <v>0.30692697285619353</v>
      </c>
      <c r="K109" s="67">
        <f t="shared" si="3"/>
        <v>139.69619138740669</v>
      </c>
      <c r="L109" s="67">
        <f t="shared" si="3"/>
        <v>4.2507043791939205</v>
      </c>
      <c r="M109" s="67">
        <f t="shared" si="3"/>
        <v>18.262486773354066</v>
      </c>
      <c r="N109" s="67">
        <f t="shared" si="3"/>
        <v>247.74742889729316</v>
      </c>
      <c r="O109" s="67">
        <f t="shared" si="3"/>
        <v>0</v>
      </c>
      <c r="P109" s="67">
        <f t="shared" si="3"/>
        <v>0.28748935907081402</v>
      </c>
      <c r="Q109" s="67">
        <f t="shared" si="3"/>
        <v>1.0518759974612863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1783</v>
      </c>
      <c r="B9" s="64">
        <v>40.1</v>
      </c>
      <c r="C9" s="64">
        <v>66.180000000000007</v>
      </c>
      <c r="D9" s="64">
        <v>69.319999999999993</v>
      </c>
      <c r="E9" s="64">
        <v>0.24</v>
      </c>
      <c r="F9" s="64">
        <v>3.32</v>
      </c>
      <c r="G9" s="64">
        <v>131.01</v>
      </c>
      <c r="H9" s="64">
        <v>53.1</v>
      </c>
      <c r="I9" s="64">
        <v>1.5</v>
      </c>
      <c r="J9" s="64">
        <v>0.2</v>
      </c>
      <c r="K9" s="64">
        <v>135.12</v>
      </c>
      <c r="L9" s="64">
        <v>20.04</v>
      </c>
      <c r="M9" s="64">
        <v>88.48</v>
      </c>
      <c r="N9" s="64">
        <v>35.299999999999997</v>
      </c>
      <c r="O9" s="64">
        <v>0</v>
      </c>
      <c r="P9" s="64">
        <v>1.33</v>
      </c>
      <c r="Q9" s="64">
        <v>8.4</v>
      </c>
      <c r="R9" s="198"/>
      <c r="S9" s="198"/>
      <c r="T9" s="198"/>
      <c r="U9" s="198"/>
    </row>
    <row r="10" spans="1:21" s="12" customFormat="1" x14ac:dyDescent="0.25">
      <c r="A10" s="213" t="s">
        <v>1784</v>
      </c>
      <c r="B10" s="64">
        <v>39.53</v>
      </c>
      <c r="C10" s="64">
        <v>65.430000000000007</v>
      </c>
      <c r="D10" s="64">
        <v>68.45</v>
      </c>
      <c r="E10" s="64">
        <v>0.24</v>
      </c>
      <c r="F10" s="64">
        <v>3.26</v>
      </c>
      <c r="G10" s="64">
        <v>131.01</v>
      </c>
      <c r="H10" s="64">
        <v>53.1</v>
      </c>
      <c r="I10" s="64">
        <v>1.5</v>
      </c>
      <c r="J10" s="64">
        <v>0.22</v>
      </c>
      <c r="K10" s="64">
        <v>189.66</v>
      </c>
      <c r="L10" s="64">
        <v>20</v>
      </c>
      <c r="M10" s="64">
        <v>88.97</v>
      </c>
      <c r="N10" s="64">
        <v>35.4</v>
      </c>
      <c r="O10" s="64">
        <v>0</v>
      </c>
      <c r="P10" s="64">
        <v>1.31</v>
      </c>
      <c r="Q10" s="64">
        <v>8.4499999999999993</v>
      </c>
      <c r="R10" s="198"/>
      <c r="S10" s="198"/>
      <c r="T10" s="198"/>
      <c r="U10" s="198"/>
    </row>
    <row r="11" spans="1:21" s="12" customFormat="1" x14ac:dyDescent="0.25">
      <c r="A11" s="213" t="s">
        <v>1785</v>
      </c>
      <c r="B11" s="64">
        <v>38.85</v>
      </c>
      <c r="C11" s="64">
        <v>65.010000000000005</v>
      </c>
      <c r="D11" s="64">
        <v>67.680000000000007</v>
      </c>
      <c r="E11" s="64">
        <v>0.28000000000000003</v>
      </c>
      <c r="F11" s="64">
        <v>3.27</v>
      </c>
      <c r="G11" s="64">
        <v>130.41999999999999</v>
      </c>
      <c r="H11" s="64">
        <v>51.62</v>
      </c>
      <c r="I11" s="64">
        <v>1.54</v>
      </c>
      <c r="J11" s="64">
        <v>0.19</v>
      </c>
      <c r="K11" s="64">
        <v>208.81</v>
      </c>
      <c r="L11" s="64">
        <v>19.649999999999999</v>
      </c>
      <c r="M11" s="64">
        <v>91.4</v>
      </c>
      <c r="N11" s="64">
        <v>35.799999999999997</v>
      </c>
      <c r="O11" s="64">
        <v>0</v>
      </c>
      <c r="P11" s="64">
        <v>1.3</v>
      </c>
      <c r="Q11" s="64">
        <v>8.25</v>
      </c>
      <c r="R11" s="198"/>
      <c r="S11" s="198"/>
      <c r="T11" s="198"/>
      <c r="U11" s="198"/>
    </row>
    <row r="12" spans="1:21" s="12" customFormat="1" x14ac:dyDescent="0.25">
      <c r="A12" s="213" t="s">
        <v>1786</v>
      </c>
      <c r="B12" s="64">
        <v>38.18</v>
      </c>
      <c r="C12" s="64">
        <v>64.33</v>
      </c>
      <c r="D12" s="64">
        <v>66.77</v>
      </c>
      <c r="E12" s="64">
        <v>0.3</v>
      </c>
      <c r="F12" s="64">
        <v>3.28</v>
      </c>
      <c r="G12" s="64">
        <v>128.47</v>
      </c>
      <c r="H12" s="64">
        <v>48.14</v>
      </c>
      <c r="I12" s="64">
        <v>1.48</v>
      </c>
      <c r="J12" s="64">
        <v>0.04</v>
      </c>
      <c r="K12" s="64">
        <v>221.51</v>
      </c>
      <c r="L12" s="64">
        <v>19.47</v>
      </c>
      <c r="M12" s="64">
        <v>92.42</v>
      </c>
      <c r="N12" s="64">
        <v>36.4</v>
      </c>
      <c r="O12" s="64">
        <v>0</v>
      </c>
      <c r="P12" s="64">
        <v>1.29</v>
      </c>
      <c r="Q12" s="64">
        <v>7.44</v>
      </c>
      <c r="R12" s="198"/>
      <c r="S12" s="198"/>
      <c r="T12" s="198"/>
      <c r="U12" s="198"/>
    </row>
    <row r="13" spans="1:21" s="12" customFormat="1" x14ac:dyDescent="0.25">
      <c r="A13" s="213" t="s">
        <v>1787</v>
      </c>
      <c r="B13" s="64">
        <v>37.380000000000003</v>
      </c>
      <c r="C13" s="64">
        <v>63.62</v>
      </c>
      <c r="D13" s="64">
        <v>65.73</v>
      </c>
      <c r="E13" s="64">
        <v>0.26</v>
      </c>
      <c r="F13" s="64">
        <v>3.58</v>
      </c>
      <c r="G13" s="64">
        <v>128.47</v>
      </c>
      <c r="H13" s="64">
        <v>48.14</v>
      </c>
      <c r="I13" s="64">
        <v>1.51</v>
      </c>
      <c r="J13" s="64">
        <v>7.0000000000000007E-2</v>
      </c>
      <c r="K13" s="64">
        <v>344.49</v>
      </c>
      <c r="L13" s="64">
        <v>19.260000000000002</v>
      </c>
      <c r="M13" s="64">
        <v>94.06</v>
      </c>
      <c r="N13" s="64">
        <v>36.4</v>
      </c>
      <c r="O13" s="64">
        <v>0</v>
      </c>
      <c r="P13" s="64">
        <v>1.2</v>
      </c>
      <c r="Q13" s="64">
        <v>6.96</v>
      </c>
      <c r="R13" s="198"/>
      <c r="S13" s="198"/>
      <c r="T13" s="198"/>
      <c r="U13" s="198"/>
    </row>
    <row r="14" spans="1:21" s="12" customFormat="1" x14ac:dyDescent="0.25">
      <c r="A14" s="213" t="s">
        <v>1788</v>
      </c>
      <c r="B14" s="64">
        <v>37.1</v>
      </c>
      <c r="C14" s="64">
        <v>63.08</v>
      </c>
      <c r="D14" s="64">
        <v>65.209999999999994</v>
      </c>
      <c r="E14" s="64">
        <v>0.24</v>
      </c>
      <c r="F14" s="64">
        <v>3.58</v>
      </c>
      <c r="G14" s="64">
        <v>128.47</v>
      </c>
      <c r="H14" s="64">
        <v>48.14</v>
      </c>
      <c r="I14" s="64">
        <v>1.54</v>
      </c>
      <c r="J14" s="64">
        <v>0.23</v>
      </c>
      <c r="K14" s="64">
        <v>354.24</v>
      </c>
      <c r="L14" s="64">
        <v>18.809999999999999</v>
      </c>
      <c r="M14" s="64">
        <v>97.13</v>
      </c>
      <c r="N14" s="64">
        <v>36.4</v>
      </c>
      <c r="O14" s="64">
        <v>0</v>
      </c>
      <c r="P14" s="64">
        <v>1.24</v>
      </c>
      <c r="Q14" s="64">
        <v>8.23</v>
      </c>
      <c r="R14" s="198"/>
      <c r="S14" s="198"/>
      <c r="T14" s="198"/>
      <c r="U14" s="198"/>
    </row>
    <row r="15" spans="1:21" s="12" customFormat="1" x14ac:dyDescent="0.25">
      <c r="A15" s="213" t="s">
        <v>1789</v>
      </c>
      <c r="B15" s="64">
        <v>37.46</v>
      </c>
      <c r="C15" s="64">
        <v>62.94</v>
      </c>
      <c r="D15" s="64">
        <v>65.42</v>
      </c>
      <c r="E15" s="64">
        <v>0.28000000000000003</v>
      </c>
      <c r="F15" s="64">
        <v>3.52</v>
      </c>
      <c r="G15" s="64">
        <v>125.87</v>
      </c>
      <c r="H15" s="64">
        <v>47.79</v>
      </c>
      <c r="I15" s="64">
        <v>1.58</v>
      </c>
      <c r="J15" s="64">
        <v>0.06</v>
      </c>
      <c r="K15" s="64">
        <v>326.54000000000002</v>
      </c>
      <c r="L15" s="64">
        <v>18.48</v>
      </c>
      <c r="M15" s="64">
        <v>98.69</v>
      </c>
      <c r="N15" s="64">
        <v>36.6</v>
      </c>
      <c r="O15" s="64">
        <v>0</v>
      </c>
      <c r="P15" s="64">
        <v>1.22</v>
      </c>
      <c r="Q15" s="64">
        <v>7.09</v>
      </c>
      <c r="R15" s="198"/>
      <c r="S15" s="198"/>
      <c r="T15" s="198"/>
      <c r="U15" s="198"/>
    </row>
    <row r="16" spans="1:21" s="12" customFormat="1" x14ac:dyDescent="0.25">
      <c r="A16" s="213" t="s">
        <v>1790</v>
      </c>
      <c r="B16" s="64">
        <v>37.81</v>
      </c>
      <c r="C16" s="64">
        <v>62.09</v>
      </c>
      <c r="D16" s="64">
        <v>65.23</v>
      </c>
      <c r="E16" s="64">
        <v>0.3</v>
      </c>
      <c r="F16" s="64">
        <v>3.31</v>
      </c>
      <c r="G16" s="64">
        <v>116.79</v>
      </c>
      <c r="H16" s="64">
        <v>46.95</v>
      </c>
      <c r="I16" s="64">
        <v>1.56</v>
      </c>
      <c r="J16" s="64">
        <v>0.01</v>
      </c>
      <c r="K16" s="64">
        <v>144.74</v>
      </c>
      <c r="L16" s="64">
        <v>18.36</v>
      </c>
      <c r="M16" s="64">
        <v>98.7</v>
      </c>
      <c r="N16" s="64">
        <v>36.6</v>
      </c>
      <c r="O16" s="64">
        <v>0</v>
      </c>
      <c r="P16" s="64">
        <v>1.19</v>
      </c>
      <c r="Q16" s="64">
        <v>7.22</v>
      </c>
      <c r="R16" s="198"/>
      <c r="S16" s="198"/>
      <c r="T16" s="198"/>
      <c r="U16" s="198"/>
    </row>
    <row r="17" spans="1:21" s="12" customFormat="1" x14ac:dyDescent="0.25">
      <c r="A17" s="213" t="s">
        <v>1791</v>
      </c>
      <c r="B17" s="64">
        <v>37.82</v>
      </c>
      <c r="C17" s="64">
        <v>61.57</v>
      </c>
      <c r="D17" s="64">
        <v>64.95</v>
      </c>
      <c r="E17" s="64">
        <v>0.26</v>
      </c>
      <c r="F17" s="64">
        <v>3.12</v>
      </c>
      <c r="G17" s="64">
        <v>116.79</v>
      </c>
      <c r="H17" s="64">
        <v>46.95</v>
      </c>
      <c r="I17" s="64">
        <v>1.51</v>
      </c>
      <c r="J17" s="64">
        <v>0.4</v>
      </c>
      <c r="K17" s="64">
        <v>333.94</v>
      </c>
      <c r="L17" s="64">
        <v>18.440000000000001</v>
      </c>
      <c r="M17" s="64">
        <v>98.7</v>
      </c>
      <c r="N17" s="64">
        <v>36.1</v>
      </c>
      <c r="O17" s="64">
        <v>0</v>
      </c>
      <c r="P17" s="64">
        <v>1.18</v>
      </c>
      <c r="Q17" s="64">
        <v>7.31</v>
      </c>
      <c r="R17" s="198"/>
      <c r="S17" s="198"/>
      <c r="T17" s="198"/>
      <c r="U17" s="198"/>
    </row>
    <row r="18" spans="1:21" s="12" customFormat="1" x14ac:dyDescent="0.25">
      <c r="A18" s="213" t="s">
        <v>1792</v>
      </c>
      <c r="B18" s="64">
        <v>37.5</v>
      </c>
      <c r="C18" s="64">
        <v>61.8</v>
      </c>
      <c r="D18" s="64">
        <v>64.83</v>
      </c>
      <c r="E18" s="64">
        <v>0.28000000000000003</v>
      </c>
      <c r="F18" s="64">
        <v>3.42</v>
      </c>
      <c r="G18" s="64">
        <v>116.79</v>
      </c>
      <c r="H18" s="64">
        <v>46.95</v>
      </c>
      <c r="I18" s="64">
        <v>1.48</v>
      </c>
      <c r="J18" s="64">
        <v>0.57999999999999996</v>
      </c>
      <c r="K18" s="64">
        <v>340.73</v>
      </c>
      <c r="L18" s="64">
        <v>18.559999999999999</v>
      </c>
      <c r="M18" s="64">
        <v>97.75</v>
      </c>
      <c r="N18" s="64">
        <v>36.299999999999997</v>
      </c>
      <c r="O18" s="64">
        <v>0</v>
      </c>
      <c r="P18" s="64">
        <v>1.18</v>
      </c>
      <c r="Q18" s="64">
        <v>7.63</v>
      </c>
      <c r="R18" s="198"/>
      <c r="S18" s="198"/>
      <c r="T18" s="198"/>
      <c r="U18" s="198"/>
    </row>
    <row r="19" spans="1:21" s="12" customFormat="1" x14ac:dyDescent="0.25">
      <c r="A19" s="213" t="s">
        <v>1793</v>
      </c>
      <c r="B19" s="64">
        <v>36.950000000000003</v>
      </c>
      <c r="C19" s="64">
        <v>61.59</v>
      </c>
      <c r="D19" s="64">
        <v>64.260000000000005</v>
      </c>
      <c r="E19" s="64">
        <v>0.3</v>
      </c>
      <c r="F19" s="64">
        <v>3.26</v>
      </c>
      <c r="G19" s="64">
        <v>117.49</v>
      </c>
      <c r="H19" s="64">
        <v>48.67</v>
      </c>
      <c r="I19" s="64">
        <v>1.45</v>
      </c>
      <c r="J19" s="64">
        <v>0.38</v>
      </c>
      <c r="K19" s="64">
        <v>336.06</v>
      </c>
      <c r="L19" s="64">
        <v>18.579999999999998</v>
      </c>
      <c r="M19" s="64">
        <v>94.33</v>
      </c>
      <c r="N19" s="64">
        <v>36.700000000000003</v>
      </c>
      <c r="O19" s="64">
        <v>0</v>
      </c>
      <c r="P19" s="64">
        <v>1.1599999999999999</v>
      </c>
      <c r="Q19" s="64">
        <v>6.86</v>
      </c>
      <c r="R19" s="198"/>
      <c r="S19" s="198"/>
      <c r="T19" s="198"/>
      <c r="U19" s="198"/>
    </row>
    <row r="20" spans="1:21" s="12" customFormat="1" x14ac:dyDescent="0.25">
      <c r="A20" s="213" t="s">
        <v>1794</v>
      </c>
      <c r="B20" s="64">
        <v>36.56</v>
      </c>
      <c r="C20" s="64">
        <v>61.38</v>
      </c>
      <c r="D20" s="64">
        <v>63.84</v>
      </c>
      <c r="E20" s="64">
        <v>0.32</v>
      </c>
      <c r="F20" s="64">
        <v>3.47</v>
      </c>
      <c r="G20" s="64">
        <v>119.93</v>
      </c>
      <c r="H20" s="64">
        <v>52.69</v>
      </c>
      <c r="I20" s="64">
        <v>1.48</v>
      </c>
      <c r="J20" s="64">
        <v>0.13</v>
      </c>
      <c r="K20" s="64">
        <v>303.14</v>
      </c>
      <c r="L20" s="64">
        <v>18.350000000000001</v>
      </c>
      <c r="M20" s="64">
        <v>94.29</v>
      </c>
      <c r="N20" s="64">
        <v>37.200000000000003</v>
      </c>
      <c r="O20" s="64">
        <v>0</v>
      </c>
      <c r="P20" s="64">
        <v>1.1599999999999999</v>
      </c>
      <c r="Q20" s="64">
        <v>7.64</v>
      </c>
      <c r="R20" s="198"/>
      <c r="S20" s="198"/>
      <c r="T20" s="198"/>
      <c r="U20" s="198"/>
    </row>
    <row r="21" spans="1:21" s="12" customFormat="1" x14ac:dyDescent="0.25">
      <c r="A21" s="213" t="s">
        <v>1795</v>
      </c>
      <c r="B21" s="64">
        <v>36.409999999999997</v>
      </c>
      <c r="C21" s="64">
        <v>61.18</v>
      </c>
      <c r="D21" s="64">
        <v>63.61</v>
      </c>
      <c r="E21" s="64">
        <v>0.23</v>
      </c>
      <c r="F21" s="64">
        <v>3.3</v>
      </c>
      <c r="G21" s="64">
        <v>119.93</v>
      </c>
      <c r="H21" s="64">
        <v>52.69</v>
      </c>
      <c r="I21" s="64">
        <v>1.49</v>
      </c>
      <c r="J21" s="64">
        <v>0.04</v>
      </c>
      <c r="K21" s="64">
        <v>74.23</v>
      </c>
      <c r="L21" s="64">
        <v>18.12</v>
      </c>
      <c r="M21" s="64">
        <v>96.23</v>
      </c>
      <c r="N21" s="64">
        <v>37.299999999999997</v>
      </c>
      <c r="O21" s="64">
        <v>0</v>
      </c>
      <c r="P21" s="64">
        <v>1.1599999999999999</v>
      </c>
      <c r="Q21" s="64">
        <v>7.58</v>
      </c>
      <c r="R21" s="198"/>
      <c r="S21" s="198"/>
      <c r="T21" s="198"/>
      <c r="U21" s="198"/>
    </row>
    <row r="22" spans="1:21" s="12" customFormat="1" x14ac:dyDescent="0.25">
      <c r="A22" s="213" t="s">
        <v>1796</v>
      </c>
      <c r="B22" s="64">
        <v>36.549999999999997</v>
      </c>
      <c r="C22" s="64">
        <v>60.87</v>
      </c>
      <c r="D22" s="64">
        <v>63.55</v>
      </c>
      <c r="E22" s="64">
        <v>0.23</v>
      </c>
      <c r="F22" s="64">
        <v>3.36</v>
      </c>
      <c r="G22" s="64">
        <v>119.93</v>
      </c>
      <c r="H22" s="64">
        <v>52.69</v>
      </c>
      <c r="I22" s="64">
        <v>1.5</v>
      </c>
      <c r="J22" s="64">
        <v>0.06</v>
      </c>
      <c r="K22" s="64">
        <v>57.02</v>
      </c>
      <c r="L22" s="64">
        <v>18.2</v>
      </c>
      <c r="M22" s="64">
        <v>96.05</v>
      </c>
      <c r="N22" s="64">
        <v>37.200000000000003</v>
      </c>
      <c r="O22" s="64">
        <v>0</v>
      </c>
      <c r="P22" s="64">
        <v>1.1599999999999999</v>
      </c>
      <c r="Q22" s="64">
        <v>6.75</v>
      </c>
      <c r="R22" s="198"/>
      <c r="S22" s="198"/>
      <c r="T22" s="198"/>
      <c r="U22" s="198"/>
    </row>
    <row r="23" spans="1:21" s="12" customFormat="1" x14ac:dyDescent="0.25">
      <c r="A23" s="213" t="s">
        <v>1797</v>
      </c>
      <c r="B23" s="64">
        <v>36.700000000000003</v>
      </c>
      <c r="C23" s="64">
        <v>61.07</v>
      </c>
      <c r="D23" s="64">
        <v>63.78</v>
      </c>
      <c r="E23" s="64">
        <v>0.23</v>
      </c>
      <c r="F23" s="64">
        <v>3.32</v>
      </c>
      <c r="G23" s="64">
        <v>123.88</v>
      </c>
      <c r="H23" s="64">
        <v>54.66</v>
      </c>
      <c r="I23" s="64">
        <v>1.54</v>
      </c>
      <c r="J23" s="64">
        <v>0.1</v>
      </c>
      <c r="K23" s="64">
        <v>44.62</v>
      </c>
      <c r="L23" s="64">
        <v>18.61</v>
      </c>
      <c r="M23" s="64">
        <v>92.13</v>
      </c>
      <c r="N23" s="64">
        <v>36.6</v>
      </c>
      <c r="O23" s="64">
        <v>0</v>
      </c>
      <c r="P23" s="64">
        <v>1.1499999999999999</v>
      </c>
      <c r="Q23" s="64">
        <v>7.15</v>
      </c>
      <c r="R23" s="198"/>
      <c r="S23" s="198"/>
      <c r="T23" s="198"/>
      <c r="U23" s="198"/>
    </row>
    <row r="24" spans="1:21" s="12" customFormat="1" x14ac:dyDescent="0.25">
      <c r="A24" s="213" t="s">
        <v>1798</v>
      </c>
      <c r="B24" s="64">
        <v>36.61</v>
      </c>
      <c r="C24" s="64">
        <v>61.3</v>
      </c>
      <c r="D24" s="64">
        <v>63.84</v>
      </c>
      <c r="E24" s="64">
        <v>7.0000000000000007E-2</v>
      </c>
      <c r="F24" s="64">
        <v>3.31</v>
      </c>
      <c r="G24" s="64">
        <v>137.72</v>
      </c>
      <c r="H24" s="64">
        <v>63.12</v>
      </c>
      <c r="I24" s="64">
        <v>1.54</v>
      </c>
      <c r="J24" s="64">
        <v>0.14000000000000001</v>
      </c>
      <c r="K24" s="64">
        <v>35.31</v>
      </c>
      <c r="L24" s="64">
        <v>18.940000000000001</v>
      </c>
      <c r="M24" s="64">
        <v>87.32</v>
      </c>
      <c r="N24" s="64">
        <v>36.799999999999997</v>
      </c>
      <c r="O24" s="64">
        <v>0</v>
      </c>
      <c r="P24" s="64">
        <v>1.1399999999999999</v>
      </c>
      <c r="Q24" s="64">
        <v>6.4</v>
      </c>
      <c r="R24" s="198"/>
      <c r="S24" s="198"/>
      <c r="T24" s="198"/>
      <c r="U24" s="198"/>
    </row>
    <row r="25" spans="1:21" s="12" customFormat="1" x14ac:dyDescent="0.25">
      <c r="A25" s="213" t="s">
        <v>1799</v>
      </c>
      <c r="B25" s="64">
        <v>35.979999999999997</v>
      </c>
      <c r="C25" s="64">
        <v>60.88</v>
      </c>
      <c r="D25" s="64">
        <v>63.1</v>
      </c>
      <c r="E25" s="64">
        <v>0.21</v>
      </c>
      <c r="F25" s="64">
        <v>3.51</v>
      </c>
      <c r="G25" s="64">
        <v>137.72</v>
      </c>
      <c r="H25" s="64">
        <v>63.12</v>
      </c>
      <c r="I25" s="64">
        <v>1.5</v>
      </c>
      <c r="J25" s="64">
        <v>0.19</v>
      </c>
      <c r="K25" s="64">
        <v>336.42</v>
      </c>
      <c r="L25" s="64">
        <v>19.05</v>
      </c>
      <c r="M25" s="64">
        <v>83.66</v>
      </c>
      <c r="N25" s="64">
        <v>37.200000000000003</v>
      </c>
      <c r="O25" s="64">
        <v>0</v>
      </c>
      <c r="P25" s="64">
        <v>1.1200000000000001</v>
      </c>
      <c r="Q25" s="64">
        <v>6.72</v>
      </c>
      <c r="R25" s="198"/>
      <c r="S25" s="198"/>
      <c r="T25" s="198"/>
      <c r="U25" s="198"/>
    </row>
    <row r="26" spans="1:21" s="12" customFormat="1" x14ac:dyDescent="0.25">
      <c r="A26" s="213" t="s">
        <v>1800</v>
      </c>
      <c r="B26" s="64">
        <v>35.229999999999997</v>
      </c>
      <c r="C26" s="64">
        <v>61.3</v>
      </c>
      <c r="D26" s="64">
        <v>62.72</v>
      </c>
      <c r="E26" s="64">
        <v>0.2</v>
      </c>
      <c r="F26" s="64">
        <v>3.38</v>
      </c>
      <c r="G26" s="64">
        <v>137.72</v>
      </c>
      <c r="H26" s="64">
        <v>63.12</v>
      </c>
      <c r="I26" s="64">
        <v>1.45</v>
      </c>
      <c r="J26" s="64">
        <v>0.16</v>
      </c>
      <c r="K26" s="64">
        <v>358.14</v>
      </c>
      <c r="L26" s="64">
        <v>19.04</v>
      </c>
      <c r="M26" s="64">
        <v>81.099999999999994</v>
      </c>
      <c r="N26" s="64">
        <v>37.4</v>
      </c>
      <c r="O26" s="64">
        <v>0</v>
      </c>
      <c r="P26" s="64">
        <v>1.0900000000000001</v>
      </c>
      <c r="Q26" s="64">
        <v>6.65</v>
      </c>
      <c r="R26" s="198"/>
      <c r="S26" s="198"/>
      <c r="T26" s="198"/>
      <c r="U26" s="198"/>
    </row>
    <row r="27" spans="1:21" s="12" customFormat="1" x14ac:dyDescent="0.25">
      <c r="A27" s="213" t="s">
        <v>1801</v>
      </c>
      <c r="B27" s="64">
        <v>34.65</v>
      </c>
      <c r="C27" s="64">
        <v>61.59</v>
      </c>
      <c r="D27" s="64">
        <v>62.43</v>
      </c>
      <c r="E27" s="64">
        <v>0.22</v>
      </c>
      <c r="F27" s="64">
        <v>3.41</v>
      </c>
      <c r="G27" s="64">
        <v>133.15</v>
      </c>
      <c r="H27" s="64">
        <v>59.18</v>
      </c>
      <c r="I27" s="64">
        <v>1.56</v>
      </c>
      <c r="J27" s="64">
        <v>0.19</v>
      </c>
      <c r="K27" s="64">
        <v>351.46</v>
      </c>
      <c r="L27" s="64">
        <v>19.09</v>
      </c>
      <c r="M27" s="64">
        <v>78.73</v>
      </c>
      <c r="N27" s="64">
        <v>37.5</v>
      </c>
      <c r="O27" s="64">
        <v>0</v>
      </c>
      <c r="P27" s="64">
        <v>1.06</v>
      </c>
      <c r="Q27" s="64">
        <v>7.98</v>
      </c>
      <c r="R27" s="198"/>
      <c r="S27" s="198"/>
      <c r="T27" s="198"/>
      <c r="U27" s="198"/>
    </row>
    <row r="28" spans="1:21" s="12" customFormat="1" x14ac:dyDescent="0.25">
      <c r="A28" s="213" t="s">
        <v>1802</v>
      </c>
      <c r="B28" s="64">
        <v>34.26</v>
      </c>
      <c r="C28" s="64">
        <v>61.72</v>
      </c>
      <c r="D28" s="64">
        <v>62.18</v>
      </c>
      <c r="E28" s="64">
        <v>0.28000000000000003</v>
      </c>
      <c r="F28" s="64">
        <v>3.42</v>
      </c>
      <c r="G28" s="64">
        <v>117.14</v>
      </c>
      <c r="H28" s="64">
        <v>49.93</v>
      </c>
      <c r="I28" s="64">
        <v>1.5</v>
      </c>
      <c r="J28" s="64">
        <v>0.19</v>
      </c>
      <c r="K28" s="64">
        <v>51.62</v>
      </c>
      <c r="L28" s="64">
        <v>18.920000000000002</v>
      </c>
      <c r="M28" s="64">
        <v>78.52</v>
      </c>
      <c r="N28" s="64">
        <v>37.6</v>
      </c>
      <c r="O28" s="64">
        <v>0</v>
      </c>
      <c r="P28" s="64">
        <v>1.04</v>
      </c>
      <c r="Q28" s="64">
        <v>6.66</v>
      </c>
      <c r="R28" s="198"/>
      <c r="S28" s="198"/>
      <c r="T28" s="198"/>
      <c r="U28" s="198"/>
    </row>
    <row r="29" spans="1:21" s="12" customFormat="1" x14ac:dyDescent="0.25">
      <c r="A29" s="213" t="s">
        <v>1803</v>
      </c>
      <c r="B29" s="64">
        <v>33.46</v>
      </c>
      <c r="C29" s="64">
        <v>61.89</v>
      </c>
      <c r="D29" s="64">
        <v>61.63</v>
      </c>
      <c r="E29" s="64">
        <v>0.2</v>
      </c>
      <c r="F29" s="64">
        <v>3.47</v>
      </c>
      <c r="G29" s="64">
        <v>117.14</v>
      </c>
      <c r="H29" s="64">
        <v>49.93</v>
      </c>
      <c r="I29" s="64">
        <v>1.43</v>
      </c>
      <c r="J29" s="64">
        <v>0.26</v>
      </c>
      <c r="K29" s="64">
        <v>87.54</v>
      </c>
      <c r="L29" s="64">
        <v>18.87</v>
      </c>
      <c r="M29" s="64">
        <v>77.180000000000007</v>
      </c>
      <c r="N29" s="64">
        <v>37.700000000000003</v>
      </c>
      <c r="O29" s="64">
        <v>0</v>
      </c>
      <c r="P29" s="64">
        <v>1</v>
      </c>
      <c r="Q29" s="64">
        <v>7.64</v>
      </c>
      <c r="R29" s="198"/>
      <c r="S29" s="198"/>
      <c r="T29" s="198"/>
      <c r="U29" s="198"/>
    </row>
    <row r="30" spans="1:21" s="12" customFormat="1" x14ac:dyDescent="0.25">
      <c r="A30" s="213" t="s">
        <v>1804</v>
      </c>
      <c r="B30" s="64">
        <v>32.39</v>
      </c>
      <c r="C30" s="64">
        <v>61.56</v>
      </c>
      <c r="D30" s="64">
        <v>60.6</v>
      </c>
      <c r="E30" s="64">
        <v>0.27</v>
      </c>
      <c r="F30" s="64">
        <v>3.62</v>
      </c>
      <c r="G30" s="64">
        <v>117.14</v>
      </c>
      <c r="H30" s="64">
        <v>49.93</v>
      </c>
      <c r="I30" s="64">
        <v>1.48</v>
      </c>
      <c r="J30" s="64">
        <v>0.17</v>
      </c>
      <c r="K30" s="64">
        <v>100.67</v>
      </c>
      <c r="L30" s="64">
        <v>18.91</v>
      </c>
      <c r="M30" s="64">
        <v>77.11</v>
      </c>
      <c r="N30" s="64">
        <v>37.799999999999997</v>
      </c>
      <c r="O30" s="64">
        <v>0</v>
      </c>
      <c r="P30" s="64">
        <v>0.97</v>
      </c>
      <c r="Q30" s="64">
        <v>7.96</v>
      </c>
      <c r="R30" s="198"/>
      <c r="S30" s="198"/>
      <c r="T30" s="198"/>
      <c r="U30" s="198"/>
    </row>
    <row r="31" spans="1:21" s="12" customFormat="1" x14ac:dyDescent="0.25">
      <c r="A31" s="213" t="s">
        <v>1805</v>
      </c>
      <c r="B31" s="64">
        <v>31.45</v>
      </c>
      <c r="C31" s="64">
        <v>61.76</v>
      </c>
      <c r="D31" s="64">
        <v>59.95</v>
      </c>
      <c r="E31" s="64">
        <v>0.24</v>
      </c>
      <c r="F31" s="64">
        <v>3.43</v>
      </c>
      <c r="G31" s="64">
        <v>110.59</v>
      </c>
      <c r="H31" s="64">
        <v>46.98</v>
      </c>
      <c r="I31" s="64">
        <v>1.58</v>
      </c>
      <c r="J31" s="64">
        <v>0.12</v>
      </c>
      <c r="K31" s="64">
        <v>35.29</v>
      </c>
      <c r="L31" s="64">
        <v>18.739999999999998</v>
      </c>
      <c r="M31" s="64">
        <v>77.81</v>
      </c>
      <c r="N31" s="64">
        <v>38.299999999999997</v>
      </c>
      <c r="O31" s="64">
        <v>0</v>
      </c>
      <c r="P31" s="64">
        <v>0.94</v>
      </c>
      <c r="Q31" s="64">
        <v>5.76</v>
      </c>
      <c r="R31" s="198"/>
      <c r="S31" s="198"/>
      <c r="T31" s="198"/>
      <c r="U31" s="198"/>
    </row>
    <row r="32" spans="1:21" s="12" customFormat="1" x14ac:dyDescent="0.25">
      <c r="A32" s="213" t="s">
        <v>1806</v>
      </c>
      <c r="B32" s="64">
        <v>31.13</v>
      </c>
      <c r="C32" s="64">
        <v>61.46</v>
      </c>
      <c r="D32" s="64">
        <v>59.53</v>
      </c>
      <c r="E32" s="64">
        <v>0.22</v>
      </c>
      <c r="F32" s="64">
        <v>3.25</v>
      </c>
      <c r="G32" s="64">
        <v>87.64</v>
      </c>
      <c r="H32" s="64">
        <v>40.06</v>
      </c>
      <c r="I32" s="64">
        <v>1.43</v>
      </c>
      <c r="J32" s="64">
        <v>0.15</v>
      </c>
      <c r="K32" s="64">
        <v>53.39</v>
      </c>
      <c r="L32" s="64">
        <v>18.52</v>
      </c>
      <c r="M32" s="64">
        <v>79.52</v>
      </c>
      <c r="N32" s="64">
        <v>38.4</v>
      </c>
      <c r="O32" s="64">
        <v>0</v>
      </c>
      <c r="P32" s="64">
        <v>0.92</v>
      </c>
      <c r="Q32" s="64">
        <v>5.37</v>
      </c>
      <c r="R32" s="198"/>
      <c r="S32" s="198"/>
      <c r="T32" s="198"/>
      <c r="U32" s="198"/>
    </row>
    <row r="33" spans="1:21" s="12" customFormat="1" x14ac:dyDescent="0.25">
      <c r="A33" s="213" t="s">
        <v>1807</v>
      </c>
      <c r="B33" s="64">
        <v>31.37</v>
      </c>
      <c r="C33" s="64">
        <v>61.24</v>
      </c>
      <c r="D33" s="64">
        <v>59.6</v>
      </c>
      <c r="E33" s="64">
        <v>0.25</v>
      </c>
      <c r="F33" s="64">
        <v>3.2</v>
      </c>
      <c r="G33" s="64">
        <v>87.64</v>
      </c>
      <c r="H33" s="64">
        <v>40.06</v>
      </c>
      <c r="I33" s="64">
        <v>1.5</v>
      </c>
      <c r="J33" s="64">
        <v>0.13</v>
      </c>
      <c r="K33" s="64">
        <v>338.95</v>
      </c>
      <c r="L33" s="64">
        <v>18.260000000000002</v>
      </c>
      <c r="M33" s="64">
        <v>82.78</v>
      </c>
      <c r="N33" s="64">
        <v>39.4</v>
      </c>
      <c r="O33" s="64">
        <v>0</v>
      </c>
      <c r="P33" s="64">
        <v>0.89</v>
      </c>
      <c r="Q33" s="64">
        <v>6.92</v>
      </c>
      <c r="R33" s="198"/>
      <c r="S33" s="198"/>
      <c r="T33" s="198"/>
      <c r="U33" s="198"/>
    </row>
    <row r="34" spans="1:21" s="12" customFormat="1" x14ac:dyDescent="0.25">
      <c r="A34" s="213" t="s">
        <v>1808</v>
      </c>
      <c r="B34" s="64">
        <v>32.29</v>
      </c>
      <c r="C34" s="64">
        <v>62.16</v>
      </c>
      <c r="D34" s="64">
        <v>60.84</v>
      </c>
      <c r="E34" s="64">
        <v>0.18</v>
      </c>
      <c r="F34" s="64">
        <v>3.15</v>
      </c>
      <c r="G34" s="64">
        <v>87.64</v>
      </c>
      <c r="H34" s="64">
        <v>40.06</v>
      </c>
      <c r="I34" s="64">
        <v>1.42</v>
      </c>
      <c r="J34" s="64">
        <v>0.16</v>
      </c>
      <c r="K34" s="64">
        <v>57.1</v>
      </c>
      <c r="L34" s="64">
        <v>18.04</v>
      </c>
      <c r="M34" s="64">
        <v>83.43</v>
      </c>
      <c r="N34" s="64">
        <v>41.9</v>
      </c>
      <c r="O34" s="64">
        <v>0</v>
      </c>
      <c r="P34" s="64">
        <v>0.88</v>
      </c>
      <c r="Q34" s="64">
        <v>7.77</v>
      </c>
      <c r="R34" s="198"/>
      <c r="S34" s="198"/>
      <c r="T34" s="198"/>
      <c r="U34" s="198"/>
    </row>
    <row r="35" spans="1:21" s="12" customFormat="1" x14ac:dyDescent="0.25">
      <c r="A35" s="213" t="s">
        <v>1809</v>
      </c>
      <c r="B35" s="64">
        <v>32.369999999999997</v>
      </c>
      <c r="C35" s="64">
        <v>62.19</v>
      </c>
      <c r="D35" s="64">
        <v>60.93</v>
      </c>
      <c r="E35" s="64">
        <v>0.21</v>
      </c>
      <c r="F35" s="64">
        <v>3.41</v>
      </c>
      <c r="G35" s="64">
        <v>86.39</v>
      </c>
      <c r="H35" s="64">
        <v>38.19</v>
      </c>
      <c r="I35" s="64">
        <v>1.47</v>
      </c>
      <c r="J35" s="64">
        <v>0.1</v>
      </c>
      <c r="K35" s="64">
        <v>108.12</v>
      </c>
      <c r="L35" s="64">
        <v>18.22</v>
      </c>
      <c r="M35" s="64">
        <v>82.69</v>
      </c>
      <c r="N35" s="64">
        <v>52.7</v>
      </c>
      <c r="O35" s="64">
        <v>0</v>
      </c>
      <c r="P35" s="64">
        <v>0.85</v>
      </c>
      <c r="Q35" s="64">
        <v>6.79</v>
      </c>
      <c r="R35" s="198"/>
      <c r="S35" s="198"/>
      <c r="T35" s="198"/>
      <c r="U35" s="198"/>
    </row>
    <row r="36" spans="1:21" s="12" customFormat="1" x14ac:dyDescent="0.25">
      <c r="A36" s="213" t="s">
        <v>1810</v>
      </c>
      <c r="B36" s="64">
        <v>32.340000000000003</v>
      </c>
      <c r="C36" s="64">
        <v>62.5</v>
      </c>
      <c r="D36" s="64">
        <v>61.07</v>
      </c>
      <c r="E36" s="64">
        <v>0.27</v>
      </c>
      <c r="F36" s="64">
        <v>3.33</v>
      </c>
      <c r="G36" s="64">
        <v>81.98</v>
      </c>
      <c r="H36" s="64">
        <v>33.79</v>
      </c>
      <c r="I36" s="64">
        <v>1.57</v>
      </c>
      <c r="J36" s="64">
        <v>0.46</v>
      </c>
      <c r="K36" s="64">
        <v>93.65</v>
      </c>
      <c r="L36" s="64">
        <v>18.600000000000001</v>
      </c>
      <c r="M36" s="64">
        <v>80.45</v>
      </c>
      <c r="N36" s="64">
        <v>71.7</v>
      </c>
      <c r="O36" s="64">
        <v>0</v>
      </c>
      <c r="P36" s="64">
        <v>0.84</v>
      </c>
      <c r="Q36" s="64">
        <v>6.66</v>
      </c>
      <c r="R36" s="198"/>
      <c r="S36" s="198"/>
      <c r="T36" s="198"/>
      <c r="U36" s="198"/>
    </row>
    <row r="37" spans="1:21" s="12" customFormat="1" x14ac:dyDescent="0.25">
      <c r="A37" s="213" t="s">
        <v>1811</v>
      </c>
      <c r="B37" s="64">
        <v>32.020000000000003</v>
      </c>
      <c r="C37" s="64">
        <v>62.22</v>
      </c>
      <c r="D37" s="64">
        <v>60.66</v>
      </c>
      <c r="E37" s="64">
        <v>0.23</v>
      </c>
      <c r="F37" s="64">
        <v>3.35</v>
      </c>
      <c r="G37" s="64">
        <v>81.98</v>
      </c>
      <c r="H37" s="64">
        <v>33.79</v>
      </c>
      <c r="I37" s="64">
        <v>1.41</v>
      </c>
      <c r="J37" s="64">
        <v>0.3</v>
      </c>
      <c r="K37" s="64">
        <v>152.99</v>
      </c>
      <c r="L37" s="64">
        <v>18.82</v>
      </c>
      <c r="M37" s="64">
        <v>80.45</v>
      </c>
      <c r="N37" s="64">
        <v>102.6</v>
      </c>
      <c r="O37" s="64">
        <v>0</v>
      </c>
      <c r="P37" s="64">
        <v>0.79</v>
      </c>
      <c r="Q37" s="64">
        <v>7.21</v>
      </c>
      <c r="R37" s="198"/>
      <c r="S37" s="198"/>
      <c r="T37" s="198"/>
      <c r="U37" s="198"/>
    </row>
    <row r="38" spans="1:21" s="12" customFormat="1" x14ac:dyDescent="0.25">
      <c r="A38" s="213" t="s">
        <v>1812</v>
      </c>
      <c r="B38" s="64">
        <v>31.53</v>
      </c>
      <c r="C38" s="64">
        <v>62.42</v>
      </c>
      <c r="D38" s="64">
        <v>60.38</v>
      </c>
      <c r="E38" s="64">
        <v>0.28999999999999998</v>
      </c>
      <c r="F38" s="64">
        <v>3.44</v>
      </c>
      <c r="G38" s="64">
        <v>81.98</v>
      </c>
      <c r="H38" s="64">
        <v>33.79</v>
      </c>
      <c r="I38" s="64">
        <v>1.53</v>
      </c>
      <c r="J38" s="64">
        <v>0.21</v>
      </c>
      <c r="K38" s="64">
        <v>115.71</v>
      </c>
      <c r="L38" s="64">
        <v>19.41</v>
      </c>
      <c r="M38" s="64">
        <v>77.8</v>
      </c>
      <c r="N38" s="64">
        <v>162</v>
      </c>
      <c r="O38" s="64">
        <v>0</v>
      </c>
      <c r="P38" s="64">
        <v>0.8</v>
      </c>
      <c r="Q38" s="64">
        <v>6.11</v>
      </c>
      <c r="R38" s="198"/>
      <c r="S38" s="198"/>
      <c r="T38" s="198"/>
      <c r="U38" s="198"/>
    </row>
    <row r="39" spans="1:21" s="12" customFormat="1" x14ac:dyDescent="0.25">
      <c r="A39" s="213" t="s">
        <v>1813</v>
      </c>
      <c r="B39" s="64">
        <v>31.49</v>
      </c>
      <c r="C39" s="64">
        <v>62.84</v>
      </c>
      <c r="D39" s="64">
        <v>60.58</v>
      </c>
      <c r="E39" s="64">
        <v>0.19</v>
      </c>
      <c r="F39" s="64">
        <v>3.49</v>
      </c>
      <c r="G39" s="64">
        <v>80.739999999999995</v>
      </c>
      <c r="H39" s="64">
        <v>33.72</v>
      </c>
      <c r="I39" s="64">
        <v>1.54</v>
      </c>
      <c r="J39" s="64">
        <v>0.5</v>
      </c>
      <c r="K39" s="64">
        <v>109.55</v>
      </c>
      <c r="L39" s="64">
        <v>20.28</v>
      </c>
      <c r="M39" s="64">
        <v>68.77</v>
      </c>
      <c r="N39" s="64">
        <v>212</v>
      </c>
      <c r="O39" s="64">
        <v>0</v>
      </c>
      <c r="P39" s="64">
        <v>0.79</v>
      </c>
      <c r="Q39" s="64">
        <v>7.54</v>
      </c>
      <c r="R39" s="198"/>
      <c r="S39" s="198"/>
      <c r="T39" s="198"/>
      <c r="U39" s="198"/>
    </row>
    <row r="40" spans="1:21" s="12" customFormat="1" x14ac:dyDescent="0.25">
      <c r="A40" s="213" t="s">
        <v>1814</v>
      </c>
      <c r="B40" s="64">
        <v>31.52</v>
      </c>
      <c r="C40" s="64">
        <v>62.47</v>
      </c>
      <c r="D40" s="64">
        <v>60.4</v>
      </c>
      <c r="E40" s="64">
        <v>0.12</v>
      </c>
      <c r="F40" s="64">
        <v>3.39</v>
      </c>
      <c r="G40" s="64">
        <v>76.67</v>
      </c>
      <c r="H40" s="64">
        <v>33.44</v>
      </c>
      <c r="I40" s="64">
        <v>1.47</v>
      </c>
      <c r="J40" s="64">
        <v>0.82</v>
      </c>
      <c r="K40" s="64">
        <v>103.16</v>
      </c>
      <c r="L40" s="64">
        <v>20.71</v>
      </c>
      <c r="M40" s="64">
        <v>63.11</v>
      </c>
      <c r="N40" s="64">
        <v>262.89999999999998</v>
      </c>
      <c r="O40" s="64">
        <v>0</v>
      </c>
      <c r="P40" s="64">
        <v>0.77</v>
      </c>
      <c r="Q40" s="64">
        <v>6.71</v>
      </c>
      <c r="R40" s="198"/>
      <c r="S40" s="198"/>
      <c r="T40" s="198"/>
      <c r="U40" s="198"/>
    </row>
    <row r="41" spans="1:21" s="12" customFormat="1" x14ac:dyDescent="0.25">
      <c r="A41" s="213" t="s">
        <v>1815</v>
      </c>
      <c r="B41" s="64">
        <v>31.26</v>
      </c>
      <c r="C41" s="64">
        <v>61.95</v>
      </c>
      <c r="D41" s="64">
        <v>59.9</v>
      </c>
      <c r="E41" s="64">
        <v>0.26</v>
      </c>
      <c r="F41" s="64">
        <v>3.59</v>
      </c>
      <c r="G41" s="64">
        <v>76.67</v>
      </c>
      <c r="H41" s="64">
        <v>33.44</v>
      </c>
      <c r="I41" s="64">
        <v>1.49</v>
      </c>
      <c r="J41" s="64">
        <v>1.22</v>
      </c>
      <c r="K41" s="64">
        <v>105</v>
      </c>
      <c r="L41" s="64">
        <v>21.08</v>
      </c>
      <c r="M41" s="64">
        <v>59.47</v>
      </c>
      <c r="N41" s="64">
        <v>292.7</v>
      </c>
      <c r="O41" s="64">
        <v>0</v>
      </c>
      <c r="P41" s="64">
        <v>0.76</v>
      </c>
      <c r="Q41" s="64">
        <v>5.49</v>
      </c>
      <c r="R41" s="198"/>
      <c r="S41" s="198"/>
      <c r="T41" s="198"/>
      <c r="U41" s="198"/>
    </row>
    <row r="42" spans="1:21" s="12" customFormat="1" x14ac:dyDescent="0.25">
      <c r="A42" s="213" t="s">
        <v>1816</v>
      </c>
      <c r="B42" s="64">
        <v>30.23</v>
      </c>
      <c r="C42" s="64">
        <v>61.48</v>
      </c>
      <c r="D42" s="64">
        <v>58.82</v>
      </c>
      <c r="E42" s="64">
        <v>0.34</v>
      </c>
      <c r="F42" s="64">
        <v>3.57</v>
      </c>
      <c r="G42" s="64">
        <v>76.67</v>
      </c>
      <c r="H42" s="64">
        <v>33.44</v>
      </c>
      <c r="I42" s="64">
        <v>1.51</v>
      </c>
      <c r="J42" s="64">
        <v>1.24</v>
      </c>
      <c r="K42" s="64">
        <v>104.93</v>
      </c>
      <c r="L42" s="64">
        <v>21.29</v>
      </c>
      <c r="M42" s="64">
        <v>57.29</v>
      </c>
      <c r="N42" s="64">
        <v>292.5</v>
      </c>
      <c r="O42" s="64">
        <v>0</v>
      </c>
      <c r="P42" s="64">
        <v>0.73</v>
      </c>
      <c r="Q42" s="64">
        <v>5.37</v>
      </c>
      <c r="R42" s="198"/>
      <c r="S42" s="198"/>
      <c r="T42" s="198"/>
      <c r="U42" s="198"/>
    </row>
    <row r="43" spans="1:21" s="12" customFormat="1" x14ac:dyDescent="0.25">
      <c r="A43" s="213" t="s">
        <v>1817</v>
      </c>
      <c r="B43" s="64">
        <v>29</v>
      </c>
      <c r="C43" s="64">
        <v>61.12</v>
      </c>
      <c r="D43" s="64">
        <v>57.64</v>
      </c>
      <c r="E43" s="64">
        <v>0.32</v>
      </c>
      <c r="F43" s="64">
        <v>3.6</v>
      </c>
      <c r="G43" s="64">
        <v>74.73</v>
      </c>
      <c r="H43" s="64">
        <v>30.81</v>
      </c>
      <c r="I43" s="64">
        <v>1.48</v>
      </c>
      <c r="J43" s="64">
        <v>0.42</v>
      </c>
      <c r="K43" s="64">
        <v>84.89</v>
      </c>
      <c r="L43" s="64">
        <v>22.13</v>
      </c>
      <c r="M43" s="64">
        <v>55.71</v>
      </c>
      <c r="N43" s="64">
        <v>287.10000000000002</v>
      </c>
      <c r="O43" s="64">
        <v>0</v>
      </c>
      <c r="P43" s="64">
        <v>0.71</v>
      </c>
      <c r="Q43" s="64">
        <v>6.31</v>
      </c>
      <c r="R43" s="198"/>
      <c r="S43" s="198"/>
      <c r="T43" s="198"/>
      <c r="U43" s="198"/>
    </row>
    <row r="44" spans="1:21" s="12" customFormat="1" x14ac:dyDescent="0.25">
      <c r="A44" s="213" t="s">
        <v>1818</v>
      </c>
      <c r="B44" s="64">
        <v>28.39</v>
      </c>
      <c r="C44" s="64">
        <v>61.12</v>
      </c>
      <c r="D44" s="64">
        <v>57.14</v>
      </c>
      <c r="E44" s="64">
        <v>0.31</v>
      </c>
      <c r="F44" s="64">
        <v>3.73</v>
      </c>
      <c r="G44" s="64">
        <v>67.97</v>
      </c>
      <c r="H44" s="64">
        <v>24.64</v>
      </c>
      <c r="I44" s="64">
        <v>1.49</v>
      </c>
      <c r="J44" s="64">
        <v>0.7</v>
      </c>
      <c r="K44" s="64">
        <v>98.84</v>
      </c>
      <c r="L44" s="64">
        <v>22.82</v>
      </c>
      <c r="M44" s="64">
        <v>54.31</v>
      </c>
      <c r="N44" s="64">
        <v>420.6</v>
      </c>
      <c r="O44" s="64">
        <v>0</v>
      </c>
      <c r="P44" s="64">
        <v>0.7</v>
      </c>
      <c r="Q44" s="64">
        <v>6.64</v>
      </c>
      <c r="R44" s="198"/>
      <c r="S44" s="198"/>
      <c r="T44" s="198"/>
      <c r="U44" s="198"/>
    </row>
    <row r="45" spans="1:21" s="12" customFormat="1" x14ac:dyDescent="0.25">
      <c r="A45" s="213" t="s">
        <v>1819</v>
      </c>
      <c r="B45" s="64">
        <v>27.91</v>
      </c>
      <c r="C45" s="64">
        <v>61.12</v>
      </c>
      <c r="D45" s="64">
        <v>56.76</v>
      </c>
      <c r="E45" s="64">
        <v>0.33</v>
      </c>
      <c r="F45" s="64">
        <v>3.61</v>
      </c>
      <c r="G45" s="64">
        <v>67.97</v>
      </c>
      <c r="H45" s="64">
        <v>24.64</v>
      </c>
      <c r="I45" s="64">
        <v>1.51</v>
      </c>
      <c r="J45" s="64">
        <v>0.48</v>
      </c>
      <c r="K45" s="64">
        <v>86.24</v>
      </c>
      <c r="L45" s="64">
        <v>24.22</v>
      </c>
      <c r="M45" s="64">
        <v>50.46</v>
      </c>
      <c r="N45" s="64">
        <v>460.8</v>
      </c>
      <c r="O45" s="64">
        <v>0</v>
      </c>
      <c r="P45" s="64">
        <v>0.7</v>
      </c>
      <c r="Q45" s="64">
        <v>5.83</v>
      </c>
      <c r="R45" s="198"/>
      <c r="S45" s="198"/>
      <c r="T45" s="198"/>
      <c r="U45" s="198"/>
    </row>
    <row r="46" spans="1:21" s="12" customFormat="1" x14ac:dyDescent="0.25">
      <c r="A46" s="213" t="s">
        <v>1820</v>
      </c>
      <c r="B46" s="64">
        <v>27.51</v>
      </c>
      <c r="C46" s="64">
        <v>61.41</v>
      </c>
      <c r="D46" s="64">
        <v>56.6</v>
      </c>
      <c r="E46" s="64">
        <v>0.33</v>
      </c>
      <c r="F46" s="64">
        <v>3.43</v>
      </c>
      <c r="G46" s="64">
        <v>67.97</v>
      </c>
      <c r="H46" s="64">
        <v>24.64</v>
      </c>
      <c r="I46" s="64">
        <v>1.45</v>
      </c>
      <c r="J46" s="64">
        <v>0.35</v>
      </c>
      <c r="K46" s="64">
        <v>42.55</v>
      </c>
      <c r="L46" s="64">
        <v>26.12</v>
      </c>
      <c r="M46" s="64">
        <v>44.38</v>
      </c>
      <c r="N46" s="64">
        <v>507.4</v>
      </c>
      <c r="O46" s="64">
        <v>0</v>
      </c>
      <c r="P46" s="64">
        <v>0.69</v>
      </c>
      <c r="Q46" s="64">
        <v>5.23</v>
      </c>
      <c r="R46" s="198"/>
      <c r="S46" s="198"/>
      <c r="T46" s="198"/>
      <c r="U46" s="198"/>
    </row>
    <row r="47" spans="1:21" s="12" customFormat="1" x14ac:dyDescent="0.25">
      <c r="A47" s="213" t="s">
        <v>1821</v>
      </c>
      <c r="B47" s="64">
        <v>26.74</v>
      </c>
      <c r="C47" s="64">
        <v>61.81</v>
      </c>
      <c r="D47" s="64">
        <v>56.2</v>
      </c>
      <c r="E47" s="64">
        <v>0.3</v>
      </c>
      <c r="F47" s="64">
        <v>3.34</v>
      </c>
      <c r="G47" s="64">
        <v>66.95</v>
      </c>
      <c r="H47" s="64">
        <v>25.81</v>
      </c>
      <c r="I47" s="64">
        <v>1.62</v>
      </c>
      <c r="J47" s="64">
        <v>0.89</v>
      </c>
      <c r="K47" s="64">
        <v>111.52</v>
      </c>
      <c r="L47" s="64">
        <v>25.13</v>
      </c>
      <c r="M47" s="64">
        <v>47.4</v>
      </c>
      <c r="N47" s="64">
        <v>554.9</v>
      </c>
      <c r="O47" s="64">
        <v>0</v>
      </c>
      <c r="P47" s="64">
        <v>0.67</v>
      </c>
      <c r="Q47" s="64">
        <v>5.33</v>
      </c>
      <c r="R47" s="198"/>
      <c r="S47" s="198"/>
      <c r="T47" s="198"/>
      <c r="U47" s="198"/>
    </row>
    <row r="48" spans="1:21" s="12" customFormat="1" x14ac:dyDescent="0.25">
      <c r="A48" s="213" t="s">
        <v>1822</v>
      </c>
      <c r="B48" s="64">
        <v>25.62</v>
      </c>
      <c r="C48" s="64">
        <v>61.99</v>
      </c>
      <c r="D48" s="64">
        <v>55.4</v>
      </c>
      <c r="E48" s="64">
        <v>0.28999999999999998</v>
      </c>
      <c r="F48" s="64">
        <v>3.37</v>
      </c>
      <c r="G48" s="64">
        <v>63.6</v>
      </c>
      <c r="H48" s="64">
        <v>28.55</v>
      </c>
      <c r="I48" s="64">
        <v>1.52</v>
      </c>
      <c r="J48" s="64">
        <v>0.52</v>
      </c>
      <c r="K48" s="64">
        <v>95.87</v>
      </c>
      <c r="L48" s="64">
        <v>25.97</v>
      </c>
      <c r="M48" s="64">
        <v>45.97</v>
      </c>
      <c r="N48" s="64">
        <v>591.4</v>
      </c>
      <c r="O48" s="64">
        <v>0</v>
      </c>
      <c r="P48" s="64">
        <v>0.66</v>
      </c>
      <c r="Q48" s="64">
        <v>5.24</v>
      </c>
      <c r="R48" s="198"/>
      <c r="S48" s="198"/>
      <c r="T48" s="198"/>
      <c r="U48" s="198"/>
    </row>
    <row r="49" spans="1:21" s="12" customFormat="1" x14ac:dyDescent="0.25">
      <c r="A49" s="213" t="s">
        <v>1823</v>
      </c>
      <c r="B49" s="64">
        <v>24.36</v>
      </c>
      <c r="C49" s="64">
        <v>62.33</v>
      </c>
      <c r="D49" s="64">
        <v>54.58</v>
      </c>
      <c r="E49" s="64">
        <v>0.26</v>
      </c>
      <c r="F49" s="64">
        <v>3.43</v>
      </c>
      <c r="G49" s="64">
        <v>63.6</v>
      </c>
      <c r="H49" s="64">
        <v>28.55</v>
      </c>
      <c r="I49" s="64">
        <v>1.51</v>
      </c>
      <c r="J49" s="64">
        <v>0.25</v>
      </c>
      <c r="K49" s="64">
        <v>24.59</v>
      </c>
      <c r="L49" s="64">
        <v>27.02</v>
      </c>
      <c r="M49" s="64">
        <v>43.97</v>
      </c>
      <c r="N49" s="64">
        <v>623.6</v>
      </c>
      <c r="O49" s="64">
        <v>0</v>
      </c>
      <c r="P49" s="64">
        <v>0.66</v>
      </c>
      <c r="Q49" s="64">
        <v>5.53</v>
      </c>
      <c r="R49" s="198"/>
      <c r="S49" s="198"/>
      <c r="T49" s="198"/>
      <c r="U49" s="198"/>
    </row>
    <row r="50" spans="1:21" s="12" customFormat="1" x14ac:dyDescent="0.25">
      <c r="A50" s="213" t="s">
        <v>1824</v>
      </c>
      <c r="B50" s="64">
        <v>25.38</v>
      </c>
      <c r="C50" s="64">
        <v>71.25</v>
      </c>
      <c r="D50" s="64">
        <v>60.32</v>
      </c>
      <c r="E50" s="64">
        <v>0.35</v>
      </c>
      <c r="F50" s="64">
        <v>3.89</v>
      </c>
      <c r="G50" s="64">
        <v>63.6</v>
      </c>
      <c r="H50" s="64">
        <v>28.55</v>
      </c>
      <c r="I50" s="64">
        <v>1.52</v>
      </c>
      <c r="J50" s="64">
        <v>0.74</v>
      </c>
      <c r="K50" s="64">
        <v>334.93</v>
      </c>
      <c r="L50" s="64">
        <v>30.45</v>
      </c>
      <c r="M50" s="64">
        <v>37.409999999999997</v>
      </c>
      <c r="N50" s="64">
        <v>651</v>
      </c>
      <c r="O50" s="64">
        <v>0</v>
      </c>
      <c r="P50" s="64">
        <v>0.71</v>
      </c>
      <c r="Q50" s="64">
        <v>5.69</v>
      </c>
      <c r="R50" s="198"/>
      <c r="S50" s="198"/>
      <c r="T50" s="198"/>
      <c r="U50" s="198"/>
    </row>
    <row r="51" spans="1:21" s="12" customFormat="1" x14ac:dyDescent="0.25">
      <c r="A51" s="213" t="s">
        <v>1825</v>
      </c>
      <c r="B51" s="64">
        <v>18.07</v>
      </c>
      <c r="C51" s="64">
        <v>86.1</v>
      </c>
      <c r="D51" s="64">
        <v>62.66</v>
      </c>
      <c r="E51" s="64">
        <v>0.33</v>
      </c>
      <c r="F51" s="64">
        <v>4.59</v>
      </c>
      <c r="G51" s="64">
        <v>62.68</v>
      </c>
      <c r="H51" s="64">
        <v>27.83</v>
      </c>
      <c r="I51" s="64">
        <v>1.54</v>
      </c>
      <c r="J51" s="64">
        <v>0.54</v>
      </c>
      <c r="K51" s="64">
        <v>341.03</v>
      </c>
      <c r="L51" s="64">
        <v>32.26</v>
      </c>
      <c r="M51" s="64">
        <v>33.840000000000003</v>
      </c>
      <c r="N51" s="64">
        <v>674.5</v>
      </c>
      <c r="O51" s="64">
        <v>0</v>
      </c>
      <c r="P51" s="64">
        <v>0.79</v>
      </c>
      <c r="Q51" s="64">
        <v>7.22</v>
      </c>
      <c r="R51" s="198"/>
      <c r="S51" s="198"/>
      <c r="T51" s="198"/>
      <c r="U51" s="198"/>
    </row>
    <row r="52" spans="1:21" s="12" customFormat="1" x14ac:dyDescent="0.25">
      <c r="A52" s="213" t="s">
        <v>1826</v>
      </c>
      <c r="B52" s="64">
        <v>12.17</v>
      </c>
      <c r="C52" s="64">
        <v>89.36</v>
      </c>
      <c r="D52" s="64">
        <v>59.73</v>
      </c>
      <c r="E52" s="64">
        <v>0.28000000000000003</v>
      </c>
      <c r="F52" s="64">
        <v>3.88</v>
      </c>
      <c r="G52" s="64">
        <v>59.47</v>
      </c>
      <c r="H52" s="64">
        <v>26.12</v>
      </c>
      <c r="I52" s="64">
        <v>1.48</v>
      </c>
      <c r="J52" s="64">
        <v>0.28999999999999998</v>
      </c>
      <c r="K52" s="64">
        <v>355.72</v>
      </c>
      <c r="L52" s="64">
        <v>32.520000000000003</v>
      </c>
      <c r="M52" s="64">
        <v>33.64</v>
      </c>
      <c r="N52" s="64">
        <v>702.4</v>
      </c>
      <c r="O52" s="64">
        <v>0</v>
      </c>
      <c r="P52" s="64">
        <v>0.77</v>
      </c>
      <c r="Q52" s="64">
        <v>7.56</v>
      </c>
      <c r="R52" s="198"/>
      <c r="S52" s="198"/>
      <c r="T52" s="198"/>
      <c r="U52" s="198"/>
    </row>
    <row r="53" spans="1:21" s="12" customFormat="1" x14ac:dyDescent="0.25">
      <c r="A53" s="213" t="s">
        <v>1827</v>
      </c>
      <c r="B53" s="64">
        <v>9.75</v>
      </c>
      <c r="C53" s="64">
        <v>86.35</v>
      </c>
      <c r="D53" s="64">
        <v>56.12</v>
      </c>
      <c r="E53" s="64">
        <v>0.28999999999999998</v>
      </c>
      <c r="F53" s="64">
        <v>4.34</v>
      </c>
      <c r="G53" s="64">
        <v>59.47</v>
      </c>
      <c r="H53" s="64">
        <v>26.12</v>
      </c>
      <c r="I53" s="64">
        <v>1.45</v>
      </c>
      <c r="J53" s="64">
        <v>0.4</v>
      </c>
      <c r="K53" s="64">
        <v>331.09</v>
      </c>
      <c r="L53" s="64">
        <v>30.97</v>
      </c>
      <c r="M53" s="64">
        <v>36.659999999999997</v>
      </c>
      <c r="N53" s="64">
        <v>716.4</v>
      </c>
      <c r="O53" s="64">
        <v>0</v>
      </c>
      <c r="P53" s="64">
        <v>0.76</v>
      </c>
      <c r="Q53" s="64">
        <v>6.75</v>
      </c>
      <c r="R53" s="198"/>
      <c r="S53" s="198"/>
      <c r="T53" s="198"/>
      <c r="U53" s="198"/>
    </row>
    <row r="54" spans="1:21" s="12" customFormat="1" x14ac:dyDescent="0.25">
      <c r="A54" s="213" t="s">
        <v>1828</v>
      </c>
      <c r="B54" s="64">
        <v>6.69</v>
      </c>
      <c r="C54" s="64">
        <v>84.12</v>
      </c>
      <c r="D54" s="64">
        <v>52.43</v>
      </c>
      <c r="E54" s="64">
        <v>0.24</v>
      </c>
      <c r="F54" s="64">
        <v>4.7699999999999996</v>
      </c>
      <c r="G54" s="64">
        <v>59.47</v>
      </c>
      <c r="H54" s="64">
        <v>26.12</v>
      </c>
      <c r="I54" s="64">
        <v>1.5</v>
      </c>
      <c r="J54" s="64">
        <v>0.08</v>
      </c>
      <c r="K54" s="64">
        <v>303.20999999999998</v>
      </c>
      <c r="L54" s="64">
        <v>30.73</v>
      </c>
      <c r="M54" s="64">
        <v>36.51</v>
      </c>
      <c r="N54" s="64">
        <v>745.8</v>
      </c>
      <c r="O54" s="64">
        <v>0</v>
      </c>
      <c r="P54" s="64">
        <v>0.75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3" t="s">
        <v>1829</v>
      </c>
      <c r="B55" s="64">
        <v>5.01</v>
      </c>
      <c r="C55" s="64">
        <v>80.930000000000007</v>
      </c>
      <c r="D55" s="64">
        <v>49.33</v>
      </c>
      <c r="E55" s="64">
        <v>0.23</v>
      </c>
      <c r="F55" s="64">
        <v>4.91</v>
      </c>
      <c r="G55" s="64">
        <v>59.76</v>
      </c>
      <c r="H55" s="64">
        <v>26.42</v>
      </c>
      <c r="I55" s="64">
        <v>1.46</v>
      </c>
      <c r="J55" s="64">
        <v>0.91</v>
      </c>
      <c r="K55" s="64">
        <v>336.79</v>
      </c>
      <c r="L55" s="64">
        <v>31.76</v>
      </c>
      <c r="M55" s="64">
        <v>35.08</v>
      </c>
      <c r="N55" s="64">
        <v>751</v>
      </c>
      <c r="O55" s="64">
        <v>0</v>
      </c>
      <c r="P55" s="64">
        <v>0.71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3" t="s">
        <v>1830</v>
      </c>
      <c r="B56" s="64">
        <v>4.26</v>
      </c>
      <c r="C56" s="64">
        <v>77.680000000000007</v>
      </c>
      <c r="D56" s="64">
        <v>46.93</v>
      </c>
      <c r="E56" s="64">
        <v>0.11</v>
      </c>
      <c r="F56" s="64">
        <v>5.64</v>
      </c>
      <c r="G56" s="64">
        <v>60.77</v>
      </c>
      <c r="H56" s="64">
        <v>27.81</v>
      </c>
      <c r="I56" s="64">
        <v>1.47</v>
      </c>
      <c r="J56" s="64">
        <v>0.24</v>
      </c>
      <c r="K56" s="64">
        <v>317.3</v>
      </c>
      <c r="L56" s="64">
        <v>30.92</v>
      </c>
      <c r="M56" s="64">
        <v>35.86</v>
      </c>
      <c r="N56" s="64">
        <v>745.8</v>
      </c>
      <c r="O56" s="64">
        <v>0</v>
      </c>
      <c r="P56" s="64">
        <v>0.69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3" t="s">
        <v>1831</v>
      </c>
      <c r="B57" s="64">
        <v>3.46</v>
      </c>
      <c r="C57" s="64">
        <v>74.31</v>
      </c>
      <c r="D57" s="64">
        <v>44.43</v>
      </c>
      <c r="E57" s="64">
        <v>0.17</v>
      </c>
      <c r="F57" s="64">
        <v>5.84</v>
      </c>
      <c r="G57" s="64">
        <v>60.77</v>
      </c>
      <c r="H57" s="64">
        <v>27.81</v>
      </c>
      <c r="I57" s="64">
        <v>1.46</v>
      </c>
      <c r="J57" s="64">
        <v>0.04</v>
      </c>
      <c r="K57" s="64">
        <v>165.99</v>
      </c>
      <c r="L57" s="64">
        <v>30.4</v>
      </c>
      <c r="M57" s="64">
        <v>37.03</v>
      </c>
      <c r="N57" s="64">
        <v>754.5</v>
      </c>
      <c r="O57" s="64">
        <v>0</v>
      </c>
      <c r="P57" s="64">
        <v>0.66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3" t="s">
        <v>1832</v>
      </c>
      <c r="B58" s="64">
        <v>3.2</v>
      </c>
      <c r="C58" s="64">
        <v>69.81</v>
      </c>
      <c r="D58" s="64">
        <v>41.74</v>
      </c>
      <c r="E58" s="64">
        <v>0.17</v>
      </c>
      <c r="F58" s="64">
        <v>5.66</v>
      </c>
      <c r="G58" s="64">
        <v>60.77</v>
      </c>
      <c r="H58" s="64">
        <v>27.81</v>
      </c>
      <c r="I58" s="64">
        <v>1.56</v>
      </c>
      <c r="J58" s="64">
        <v>0.18</v>
      </c>
      <c r="K58" s="64">
        <v>331.59</v>
      </c>
      <c r="L58" s="64">
        <v>31.16</v>
      </c>
      <c r="M58" s="64">
        <v>35.840000000000003</v>
      </c>
      <c r="N58" s="64">
        <v>757.3</v>
      </c>
      <c r="O58" s="64">
        <v>0</v>
      </c>
      <c r="P58" s="64">
        <v>0.65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3" t="s">
        <v>1833</v>
      </c>
      <c r="B59" s="64">
        <v>3.28</v>
      </c>
      <c r="C59" s="64">
        <v>68.86</v>
      </c>
      <c r="D59" s="64">
        <v>41.27</v>
      </c>
      <c r="E59" s="64">
        <v>0.22</v>
      </c>
      <c r="F59" s="64">
        <v>5.23</v>
      </c>
      <c r="G59" s="64">
        <v>63.79</v>
      </c>
      <c r="H59" s="64">
        <v>27.88</v>
      </c>
      <c r="I59" s="64">
        <v>1.56</v>
      </c>
      <c r="J59" s="64">
        <v>0.7</v>
      </c>
      <c r="K59" s="64">
        <v>329.24</v>
      </c>
      <c r="L59" s="64">
        <v>32.49</v>
      </c>
      <c r="M59" s="64">
        <v>33.229999999999997</v>
      </c>
      <c r="N59" s="64">
        <v>734.1</v>
      </c>
      <c r="O59" s="64">
        <v>0</v>
      </c>
      <c r="P59" s="64">
        <v>0.63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3" t="s">
        <v>1834</v>
      </c>
      <c r="B60" s="64">
        <v>2.91</v>
      </c>
      <c r="C60" s="64">
        <v>67.38</v>
      </c>
      <c r="D60" s="64">
        <v>40.17</v>
      </c>
      <c r="E60" s="64">
        <v>0.23</v>
      </c>
      <c r="F60" s="64">
        <v>9.43</v>
      </c>
      <c r="G60" s="64">
        <v>74.37</v>
      </c>
      <c r="H60" s="64">
        <v>28.06</v>
      </c>
      <c r="I60" s="64">
        <v>1.45</v>
      </c>
      <c r="J60" s="64">
        <v>0.09</v>
      </c>
      <c r="K60" s="64">
        <v>17.510000000000002</v>
      </c>
      <c r="L60" s="64">
        <v>31.42</v>
      </c>
      <c r="M60" s="64">
        <v>34.840000000000003</v>
      </c>
      <c r="N60" s="64">
        <v>731.2</v>
      </c>
      <c r="O60" s="64">
        <v>0</v>
      </c>
      <c r="P60" s="64">
        <v>0.59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3" t="s">
        <v>1835</v>
      </c>
      <c r="B61" s="64">
        <v>2.23</v>
      </c>
      <c r="C61" s="64">
        <v>63.78</v>
      </c>
      <c r="D61" s="64">
        <v>37.630000000000003</v>
      </c>
      <c r="E61" s="64">
        <v>0.21</v>
      </c>
      <c r="F61" s="64">
        <v>10.42</v>
      </c>
      <c r="G61" s="64">
        <v>74.37</v>
      </c>
      <c r="H61" s="64">
        <v>28.06</v>
      </c>
      <c r="I61" s="64">
        <v>1.49</v>
      </c>
      <c r="J61" s="64">
        <v>0.77</v>
      </c>
      <c r="K61" s="64">
        <v>142.30000000000001</v>
      </c>
      <c r="L61" s="64">
        <v>30.15</v>
      </c>
      <c r="M61" s="64">
        <v>36.31</v>
      </c>
      <c r="N61" s="64">
        <v>709.6</v>
      </c>
      <c r="O61" s="64">
        <v>0</v>
      </c>
      <c r="P61" s="64">
        <v>0.56000000000000005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3" t="s">
        <v>1836</v>
      </c>
      <c r="B62" s="64">
        <v>1.97</v>
      </c>
      <c r="C62" s="64">
        <v>60.47</v>
      </c>
      <c r="D62" s="64">
        <v>35.6</v>
      </c>
      <c r="E62" s="64">
        <v>0.23</v>
      </c>
      <c r="F62" s="64">
        <v>9.8000000000000007</v>
      </c>
      <c r="G62" s="64">
        <v>74.37</v>
      </c>
      <c r="H62" s="64">
        <v>28.06</v>
      </c>
      <c r="I62" s="64">
        <v>1.59</v>
      </c>
      <c r="J62" s="64">
        <v>1.96</v>
      </c>
      <c r="K62" s="64">
        <v>151.52000000000001</v>
      </c>
      <c r="L62" s="64">
        <v>28.61</v>
      </c>
      <c r="M62" s="64">
        <v>39.26</v>
      </c>
      <c r="N62" s="64">
        <v>708</v>
      </c>
      <c r="O62" s="64">
        <v>0</v>
      </c>
      <c r="P62" s="64">
        <v>0.56999999999999995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1837</v>
      </c>
      <c r="B63" s="64">
        <v>1.98</v>
      </c>
      <c r="C63" s="64">
        <v>59.76</v>
      </c>
      <c r="D63" s="64">
        <v>35.21</v>
      </c>
      <c r="E63" s="64">
        <v>0.41</v>
      </c>
      <c r="F63" s="64">
        <v>7.88</v>
      </c>
      <c r="G63" s="64">
        <v>73.53</v>
      </c>
      <c r="H63" s="64">
        <v>28.36</v>
      </c>
      <c r="I63" s="64">
        <v>1.51</v>
      </c>
      <c r="J63" s="64">
        <v>0.55000000000000004</v>
      </c>
      <c r="K63" s="64">
        <v>162.18</v>
      </c>
      <c r="L63" s="64">
        <v>28.95</v>
      </c>
      <c r="M63" s="64">
        <v>38.159999999999997</v>
      </c>
      <c r="N63" s="64">
        <v>690</v>
      </c>
      <c r="O63" s="64">
        <v>0</v>
      </c>
      <c r="P63" s="64">
        <v>0.55000000000000004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3" t="s">
        <v>1838</v>
      </c>
      <c r="B64" s="64">
        <v>2.12</v>
      </c>
      <c r="C64" s="64">
        <v>58.68</v>
      </c>
      <c r="D64" s="64">
        <v>34.729999999999997</v>
      </c>
      <c r="E64" s="64">
        <v>0.17</v>
      </c>
      <c r="F64" s="64">
        <v>6.36</v>
      </c>
      <c r="G64" s="64">
        <v>70.59</v>
      </c>
      <c r="H64" s="64">
        <v>29.05</v>
      </c>
      <c r="I64" s="64">
        <v>1.52</v>
      </c>
      <c r="J64" s="64">
        <v>0.77</v>
      </c>
      <c r="K64" s="64">
        <v>164.97</v>
      </c>
      <c r="L64" s="64">
        <v>29.29</v>
      </c>
      <c r="M64" s="64">
        <v>37.43</v>
      </c>
      <c r="N64" s="64">
        <v>602.5</v>
      </c>
      <c r="O64" s="64">
        <v>0</v>
      </c>
      <c r="P64" s="64">
        <v>0.53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3" t="s">
        <v>1839</v>
      </c>
      <c r="B65" s="64">
        <v>2.2599999999999998</v>
      </c>
      <c r="C65" s="64">
        <v>58.75</v>
      </c>
      <c r="D65" s="64">
        <v>34.89</v>
      </c>
      <c r="E65" s="64">
        <v>0.2</v>
      </c>
      <c r="F65" s="64">
        <v>5.72</v>
      </c>
      <c r="G65" s="64">
        <v>70.59</v>
      </c>
      <c r="H65" s="64">
        <v>29.05</v>
      </c>
      <c r="I65" s="64">
        <v>1.47</v>
      </c>
      <c r="J65" s="64">
        <v>0.95</v>
      </c>
      <c r="K65" s="64">
        <v>159.85</v>
      </c>
      <c r="L65" s="64">
        <v>29.26</v>
      </c>
      <c r="M65" s="64">
        <v>36.950000000000003</v>
      </c>
      <c r="N65" s="64">
        <v>599.5</v>
      </c>
      <c r="O65" s="64">
        <v>0</v>
      </c>
      <c r="P65" s="64">
        <v>0.52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3" t="s">
        <v>1840</v>
      </c>
      <c r="B66" s="64">
        <v>2.44</v>
      </c>
      <c r="C66" s="64">
        <v>57.71</v>
      </c>
      <c r="D66" s="64">
        <v>34.450000000000003</v>
      </c>
      <c r="E66" s="64">
        <v>0.17</v>
      </c>
      <c r="F66" s="64">
        <v>5.28</v>
      </c>
      <c r="G66" s="64">
        <v>70.59</v>
      </c>
      <c r="H66" s="64">
        <v>29.05</v>
      </c>
      <c r="I66" s="64">
        <v>1.51</v>
      </c>
      <c r="J66" s="64">
        <v>0.28000000000000003</v>
      </c>
      <c r="K66" s="64">
        <v>151.4</v>
      </c>
      <c r="L66" s="64">
        <v>29.73</v>
      </c>
      <c r="M66" s="64">
        <v>34.57</v>
      </c>
      <c r="N66" s="64">
        <v>591.5</v>
      </c>
      <c r="O66" s="64">
        <v>0</v>
      </c>
      <c r="P66" s="64">
        <v>0.51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3" t="s">
        <v>1841</v>
      </c>
      <c r="B67" s="64">
        <v>2.6</v>
      </c>
      <c r="C67" s="64">
        <v>59.72</v>
      </c>
      <c r="D67" s="64">
        <v>35.69</v>
      </c>
      <c r="E67" s="64">
        <v>0.25</v>
      </c>
      <c r="F67" s="64">
        <v>14.03</v>
      </c>
      <c r="G67" s="64">
        <v>70.03</v>
      </c>
      <c r="H67" s="64">
        <v>28.85</v>
      </c>
      <c r="I67" s="64">
        <v>1.42</v>
      </c>
      <c r="J67" s="64">
        <v>0.33</v>
      </c>
      <c r="K67" s="64">
        <v>327.08999999999997</v>
      </c>
      <c r="L67" s="64">
        <v>30.9</v>
      </c>
      <c r="M67" s="64">
        <v>29.58</v>
      </c>
      <c r="N67" s="64">
        <v>484.4</v>
      </c>
      <c r="O67" s="64">
        <v>0</v>
      </c>
      <c r="P67" s="64">
        <v>0.55000000000000004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3" t="s">
        <v>1842</v>
      </c>
      <c r="B68" s="64">
        <v>1.63</v>
      </c>
      <c r="C68" s="64">
        <v>63.81</v>
      </c>
      <c r="D68" s="64">
        <v>37.17</v>
      </c>
      <c r="E68" s="64">
        <v>0.62</v>
      </c>
      <c r="F68" s="64">
        <v>34.92</v>
      </c>
      <c r="G68" s="64">
        <v>68.08</v>
      </c>
      <c r="H68" s="64">
        <v>28.39</v>
      </c>
      <c r="I68" s="64">
        <v>1.44</v>
      </c>
      <c r="J68" s="64">
        <v>0.13</v>
      </c>
      <c r="K68" s="64">
        <v>273.56</v>
      </c>
      <c r="L68" s="64">
        <v>29.87</v>
      </c>
      <c r="M68" s="64">
        <v>28.75</v>
      </c>
      <c r="N68" s="64">
        <v>379.2</v>
      </c>
      <c r="O68" s="64">
        <v>0</v>
      </c>
      <c r="P68" s="64">
        <v>0.57999999999999996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3" t="s">
        <v>1843</v>
      </c>
      <c r="B69" s="64">
        <v>1.23</v>
      </c>
      <c r="C69" s="64">
        <v>49.9</v>
      </c>
      <c r="D69" s="64">
        <v>29.17</v>
      </c>
      <c r="E69" s="64">
        <v>1.23</v>
      </c>
      <c r="F69" s="64">
        <v>46.43</v>
      </c>
      <c r="G69" s="64">
        <v>68.08</v>
      </c>
      <c r="H69" s="64">
        <v>28.39</v>
      </c>
      <c r="I69" s="64">
        <v>1.44</v>
      </c>
      <c r="J69" s="64">
        <v>0.19</v>
      </c>
      <c r="K69" s="64">
        <v>22.65</v>
      </c>
      <c r="L69" s="64">
        <v>29.65</v>
      </c>
      <c r="M69" s="64">
        <v>28.26</v>
      </c>
      <c r="N69" s="64">
        <v>243</v>
      </c>
      <c r="O69" s="64">
        <v>0</v>
      </c>
      <c r="P69" s="64">
        <v>0.54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3" t="s">
        <v>1844</v>
      </c>
      <c r="B70" s="64">
        <v>1.04</v>
      </c>
      <c r="C70" s="64">
        <v>55.17</v>
      </c>
      <c r="D70" s="64">
        <v>31.93</v>
      </c>
      <c r="E70" s="64">
        <v>0.66</v>
      </c>
      <c r="F70" s="64">
        <v>27.36</v>
      </c>
      <c r="G70" s="64">
        <v>68.08</v>
      </c>
      <c r="H70" s="64">
        <v>28.39</v>
      </c>
      <c r="I70" s="64">
        <v>1.5</v>
      </c>
      <c r="J70" s="64">
        <v>0.24</v>
      </c>
      <c r="K70" s="64">
        <v>9.43</v>
      </c>
      <c r="L70" s="64">
        <v>29.15</v>
      </c>
      <c r="M70" s="64">
        <v>26.2</v>
      </c>
      <c r="N70" s="64">
        <v>197.9</v>
      </c>
      <c r="O70" s="64">
        <v>0</v>
      </c>
      <c r="P70" s="64">
        <v>0.51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3" t="s">
        <v>1845</v>
      </c>
      <c r="B71" s="64">
        <v>1.46</v>
      </c>
      <c r="C71" s="64">
        <v>58</v>
      </c>
      <c r="D71" s="64">
        <v>33.83</v>
      </c>
      <c r="E71" s="64">
        <v>1.05</v>
      </c>
      <c r="F71" s="64">
        <v>33.11</v>
      </c>
      <c r="G71" s="64">
        <v>63.09</v>
      </c>
      <c r="H71" s="64">
        <v>27.59</v>
      </c>
      <c r="I71" s="64">
        <v>1.47</v>
      </c>
      <c r="J71" s="64">
        <v>0.54</v>
      </c>
      <c r="K71" s="64">
        <v>320.75</v>
      </c>
      <c r="L71" s="64">
        <v>29.41</v>
      </c>
      <c r="M71" s="64">
        <v>26.88</v>
      </c>
      <c r="N71" s="64">
        <v>210.7</v>
      </c>
      <c r="O71" s="64">
        <v>0</v>
      </c>
      <c r="P71" s="64">
        <v>0.65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3" t="s">
        <v>1846</v>
      </c>
      <c r="B72" s="64">
        <v>1.28</v>
      </c>
      <c r="C72" s="64">
        <v>47.23</v>
      </c>
      <c r="D72" s="64">
        <v>27.74</v>
      </c>
      <c r="E72" s="64">
        <v>0.54</v>
      </c>
      <c r="F72" s="64">
        <v>42.8</v>
      </c>
      <c r="G72" s="64">
        <v>45.61</v>
      </c>
      <c r="H72" s="64">
        <v>23.79</v>
      </c>
      <c r="I72" s="64">
        <v>1.52</v>
      </c>
      <c r="J72" s="64">
        <v>0.6</v>
      </c>
      <c r="K72" s="64">
        <v>319.61</v>
      </c>
      <c r="L72" s="64">
        <v>29.68</v>
      </c>
      <c r="M72" s="64">
        <v>24.58</v>
      </c>
      <c r="N72" s="64">
        <v>210.2</v>
      </c>
      <c r="O72" s="64">
        <v>0</v>
      </c>
      <c r="P72" s="64">
        <v>0.5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3" t="s">
        <v>1847</v>
      </c>
      <c r="B73" s="64">
        <v>1.1100000000000001</v>
      </c>
      <c r="C73" s="64">
        <v>40.04</v>
      </c>
      <c r="D73" s="64">
        <v>23.64</v>
      </c>
      <c r="E73" s="64">
        <v>0.35</v>
      </c>
      <c r="F73" s="64">
        <v>27.52</v>
      </c>
      <c r="G73" s="64">
        <v>45.61</v>
      </c>
      <c r="H73" s="64">
        <v>23.79</v>
      </c>
      <c r="I73" s="64">
        <v>1.57</v>
      </c>
      <c r="J73" s="64">
        <v>0.47</v>
      </c>
      <c r="K73" s="64">
        <v>317.37</v>
      </c>
      <c r="L73" s="64">
        <v>29.44</v>
      </c>
      <c r="M73" s="64">
        <v>25.65</v>
      </c>
      <c r="N73" s="64">
        <v>162.9</v>
      </c>
      <c r="O73" s="64">
        <v>0</v>
      </c>
      <c r="P73" s="64">
        <v>0.41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3" t="s">
        <v>1848</v>
      </c>
      <c r="B74" s="64">
        <v>1.85</v>
      </c>
      <c r="C74" s="64">
        <v>49.34</v>
      </c>
      <c r="D74" s="64">
        <v>29.36</v>
      </c>
      <c r="E74" s="64">
        <v>0.24</v>
      </c>
      <c r="F74" s="64">
        <v>14.74</v>
      </c>
      <c r="G74" s="64">
        <v>45.61</v>
      </c>
      <c r="H74" s="64">
        <v>23.79</v>
      </c>
      <c r="I74" s="64">
        <v>1.51</v>
      </c>
      <c r="J74" s="64">
        <v>0.61</v>
      </c>
      <c r="K74" s="64">
        <v>321.52</v>
      </c>
      <c r="L74" s="64">
        <v>29.17</v>
      </c>
      <c r="M74" s="64">
        <v>27.32</v>
      </c>
      <c r="N74" s="64">
        <v>141.9</v>
      </c>
      <c r="O74" s="64">
        <v>0</v>
      </c>
      <c r="P74" s="64">
        <v>0.44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3" t="s">
        <v>1849</v>
      </c>
      <c r="B75" s="64">
        <v>1.65</v>
      </c>
      <c r="C75" s="64">
        <v>54.15</v>
      </c>
      <c r="D75" s="64">
        <v>31.85</v>
      </c>
      <c r="E75" s="64">
        <v>0.12</v>
      </c>
      <c r="F75" s="64">
        <v>7.55</v>
      </c>
      <c r="G75" s="64">
        <v>45.18</v>
      </c>
      <c r="H75" s="64">
        <v>23.07</v>
      </c>
      <c r="I75" s="64">
        <v>1.47</v>
      </c>
      <c r="J75" s="64">
        <v>0.46</v>
      </c>
      <c r="K75" s="64">
        <v>325.61</v>
      </c>
      <c r="L75" s="64">
        <v>29.06</v>
      </c>
      <c r="M75" s="64">
        <v>28.42</v>
      </c>
      <c r="N75" s="64">
        <v>111.4</v>
      </c>
      <c r="O75" s="64">
        <v>0</v>
      </c>
      <c r="P75" s="64">
        <v>0.44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3" t="s">
        <v>1850</v>
      </c>
      <c r="B76" s="64">
        <v>2.0499999999999998</v>
      </c>
      <c r="C76" s="64">
        <v>53.89</v>
      </c>
      <c r="D76" s="64">
        <v>32.03</v>
      </c>
      <c r="E76" s="64">
        <v>0.25</v>
      </c>
      <c r="F76" s="64">
        <v>6.41</v>
      </c>
      <c r="G76" s="64">
        <v>43.68</v>
      </c>
      <c r="H76" s="64">
        <v>21.39</v>
      </c>
      <c r="I76" s="64">
        <v>1.54</v>
      </c>
      <c r="J76" s="64">
        <v>0.56000000000000005</v>
      </c>
      <c r="K76" s="64">
        <v>329.1</v>
      </c>
      <c r="L76" s="64">
        <v>28.45</v>
      </c>
      <c r="M76" s="64">
        <v>29.38</v>
      </c>
      <c r="N76" s="64">
        <v>82.6</v>
      </c>
      <c r="O76" s="64">
        <v>0</v>
      </c>
      <c r="P76" s="64">
        <v>0.45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3" t="s">
        <v>1851</v>
      </c>
      <c r="B77" s="64">
        <v>2.5</v>
      </c>
      <c r="C77" s="64">
        <v>54.19</v>
      </c>
      <c r="D77" s="64">
        <v>32.56</v>
      </c>
      <c r="E77" s="64">
        <v>0.24</v>
      </c>
      <c r="F77" s="64">
        <v>5.43</v>
      </c>
      <c r="G77" s="64">
        <v>43.68</v>
      </c>
      <c r="H77" s="64">
        <v>21.39</v>
      </c>
      <c r="I77" s="64">
        <v>1.52</v>
      </c>
      <c r="J77" s="64">
        <v>0.45</v>
      </c>
      <c r="K77" s="64">
        <v>314.41000000000003</v>
      </c>
      <c r="L77" s="64">
        <v>27.86</v>
      </c>
      <c r="M77" s="64">
        <v>30.99</v>
      </c>
      <c r="N77" s="64">
        <v>66.2</v>
      </c>
      <c r="O77" s="64">
        <v>0</v>
      </c>
      <c r="P77" s="64">
        <v>0.47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3" t="s">
        <v>1852</v>
      </c>
      <c r="B78" s="64">
        <v>3.05</v>
      </c>
      <c r="C78" s="64">
        <v>54.42</v>
      </c>
      <c r="D78" s="64">
        <v>33.130000000000003</v>
      </c>
      <c r="E78" s="64">
        <v>0.19</v>
      </c>
      <c r="F78" s="64">
        <v>4.4000000000000004</v>
      </c>
      <c r="G78" s="64">
        <v>43.68</v>
      </c>
      <c r="H78" s="64">
        <v>21.39</v>
      </c>
      <c r="I78" s="64">
        <v>1.49</v>
      </c>
      <c r="J78" s="64">
        <v>0.21</v>
      </c>
      <c r="K78" s="64">
        <v>313.83999999999997</v>
      </c>
      <c r="L78" s="64">
        <v>27.36</v>
      </c>
      <c r="M78" s="64">
        <v>32.6</v>
      </c>
      <c r="N78" s="64">
        <v>52.3</v>
      </c>
      <c r="O78" s="64">
        <v>0</v>
      </c>
      <c r="P78" s="64">
        <v>0.5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3" t="s">
        <v>1853</v>
      </c>
      <c r="B79" s="64">
        <v>4.75</v>
      </c>
      <c r="C79" s="64">
        <v>55.19</v>
      </c>
      <c r="D79" s="64">
        <v>34.909999999999997</v>
      </c>
      <c r="E79" s="64">
        <v>0.17</v>
      </c>
      <c r="F79" s="64">
        <v>3.8</v>
      </c>
      <c r="G79" s="64">
        <v>47.63</v>
      </c>
      <c r="H79" s="64">
        <v>21.4</v>
      </c>
      <c r="I79" s="64">
        <v>1.5</v>
      </c>
      <c r="J79" s="64">
        <v>0.11</v>
      </c>
      <c r="K79" s="64">
        <v>301</v>
      </c>
      <c r="L79" s="64">
        <v>26.79</v>
      </c>
      <c r="M79" s="64">
        <v>33.799999999999997</v>
      </c>
      <c r="N79" s="64">
        <v>36.299999999999997</v>
      </c>
      <c r="O79" s="64">
        <v>0</v>
      </c>
      <c r="P79" s="64">
        <v>0.61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3" t="s">
        <v>1854</v>
      </c>
      <c r="B80" s="64">
        <v>5.73</v>
      </c>
      <c r="C80" s="64">
        <v>55.72</v>
      </c>
      <c r="D80" s="64">
        <v>35.99</v>
      </c>
      <c r="E80" s="64">
        <v>0.14000000000000001</v>
      </c>
      <c r="F80" s="64">
        <v>3.36</v>
      </c>
      <c r="G80" s="64">
        <v>61.48</v>
      </c>
      <c r="H80" s="64">
        <v>21.44</v>
      </c>
      <c r="I80" s="64">
        <v>1.44</v>
      </c>
      <c r="J80" s="64">
        <v>0.03</v>
      </c>
      <c r="K80" s="64">
        <v>124.23</v>
      </c>
      <c r="L80" s="64">
        <v>25.8</v>
      </c>
      <c r="M80" s="64">
        <v>37.18</v>
      </c>
      <c r="N80" s="64">
        <v>26</v>
      </c>
      <c r="O80" s="64">
        <v>0</v>
      </c>
      <c r="P80" s="64">
        <v>0.68</v>
      </c>
      <c r="Q80" s="64">
        <v>5.21</v>
      </c>
      <c r="R80" s="198"/>
      <c r="S80" s="198"/>
      <c r="T80" s="198"/>
      <c r="U80" s="198"/>
    </row>
    <row r="81" spans="1:26" s="12" customFormat="1" x14ac:dyDescent="0.25">
      <c r="A81" s="213" t="s">
        <v>1855</v>
      </c>
      <c r="B81" s="64">
        <v>6.99</v>
      </c>
      <c r="C81" s="64">
        <v>56.45</v>
      </c>
      <c r="D81" s="64">
        <v>37.4</v>
      </c>
      <c r="E81" s="64">
        <v>0.2</v>
      </c>
      <c r="F81" s="64">
        <v>3.02</v>
      </c>
      <c r="G81" s="64">
        <v>61.48</v>
      </c>
      <c r="H81" s="64">
        <v>21.44</v>
      </c>
      <c r="I81" s="64">
        <v>1.55</v>
      </c>
      <c r="J81" s="64">
        <v>0.14000000000000001</v>
      </c>
      <c r="K81" s="64">
        <v>98.6</v>
      </c>
      <c r="L81" s="64">
        <v>24.99</v>
      </c>
      <c r="M81" s="64">
        <v>40.78</v>
      </c>
      <c r="N81" s="64">
        <v>23.4</v>
      </c>
      <c r="O81" s="64">
        <v>0</v>
      </c>
      <c r="P81" s="64">
        <v>0.67</v>
      </c>
      <c r="Q81" s="64">
        <v>5.21</v>
      </c>
      <c r="R81" s="198"/>
      <c r="S81" s="198"/>
      <c r="T81" s="198"/>
      <c r="U81" s="198"/>
    </row>
    <row r="82" spans="1:26" s="12" customFormat="1" x14ac:dyDescent="0.25">
      <c r="A82" s="213" t="s">
        <v>1856</v>
      </c>
      <c r="B82" s="64">
        <v>10.74</v>
      </c>
      <c r="C82" s="64">
        <v>57.5</v>
      </c>
      <c r="D82" s="64">
        <v>40.99</v>
      </c>
      <c r="E82" s="64">
        <v>0.17</v>
      </c>
      <c r="F82" s="64">
        <v>3.2</v>
      </c>
      <c r="G82" s="64">
        <v>61.48</v>
      </c>
      <c r="H82" s="64">
        <v>21.44</v>
      </c>
      <c r="I82" s="64">
        <v>1.51</v>
      </c>
      <c r="J82" s="64">
        <v>0.2</v>
      </c>
      <c r="K82" s="64">
        <v>239.34</v>
      </c>
      <c r="L82" s="64">
        <v>24.5</v>
      </c>
      <c r="M82" s="64">
        <v>44.71</v>
      </c>
      <c r="N82" s="64">
        <v>22.7</v>
      </c>
      <c r="O82" s="64">
        <v>0</v>
      </c>
      <c r="P82" s="64">
        <v>0.72</v>
      </c>
      <c r="Q82" s="64">
        <v>5.21</v>
      </c>
      <c r="R82" s="198"/>
      <c r="S82" s="198"/>
      <c r="T82" s="198"/>
      <c r="U82" s="198"/>
    </row>
    <row r="83" spans="1:26" s="12" customFormat="1" x14ac:dyDescent="0.25">
      <c r="A83" s="213" t="s">
        <v>1857</v>
      </c>
      <c r="B83" s="64">
        <v>14.92</v>
      </c>
      <c r="C83" s="64">
        <v>57.94</v>
      </c>
      <c r="D83" s="64">
        <v>44.59</v>
      </c>
      <c r="E83" s="64">
        <v>0.16</v>
      </c>
      <c r="F83" s="64">
        <v>3</v>
      </c>
      <c r="G83" s="64">
        <v>64.94</v>
      </c>
      <c r="H83" s="64">
        <v>22.46</v>
      </c>
      <c r="I83" s="64">
        <v>1.59</v>
      </c>
      <c r="J83" s="64">
        <v>0.09</v>
      </c>
      <c r="K83" s="64">
        <v>308.12</v>
      </c>
      <c r="L83" s="64">
        <v>24</v>
      </c>
      <c r="M83" s="64">
        <v>49.88</v>
      </c>
      <c r="N83" s="64">
        <v>23.2</v>
      </c>
      <c r="O83" s="64">
        <v>0</v>
      </c>
      <c r="P83" s="64">
        <v>0.86</v>
      </c>
      <c r="Q83" s="64">
        <v>5.21</v>
      </c>
      <c r="R83" s="198"/>
      <c r="S83" s="198"/>
      <c r="T83" s="198"/>
      <c r="U83" s="198"/>
    </row>
    <row r="84" spans="1:26" s="12" customFormat="1" x14ac:dyDescent="0.25">
      <c r="A84" s="213" t="s">
        <v>1858</v>
      </c>
      <c r="B84" s="64">
        <v>18.87</v>
      </c>
      <c r="C84" s="64">
        <v>58.23</v>
      </c>
      <c r="D84" s="64">
        <v>47.91</v>
      </c>
      <c r="E84" s="64">
        <v>0.17</v>
      </c>
      <c r="F84" s="64">
        <v>3.04</v>
      </c>
      <c r="G84" s="64">
        <v>77.06</v>
      </c>
      <c r="H84" s="64">
        <v>24.85</v>
      </c>
      <c r="I84" s="64">
        <v>1.59</v>
      </c>
      <c r="J84" s="64">
        <v>7.0000000000000007E-2</v>
      </c>
      <c r="K84" s="64">
        <v>331.25</v>
      </c>
      <c r="L84" s="64">
        <v>23.27</v>
      </c>
      <c r="M84" s="64">
        <v>53.93</v>
      </c>
      <c r="N84" s="64">
        <v>23.2</v>
      </c>
      <c r="O84" s="64">
        <v>0</v>
      </c>
      <c r="P84" s="64">
        <v>1.17</v>
      </c>
      <c r="Q84" s="64">
        <v>5.21</v>
      </c>
      <c r="R84" s="198"/>
      <c r="S84" s="198"/>
      <c r="T84" s="198"/>
      <c r="U84" s="198"/>
    </row>
    <row r="85" spans="1:26" s="12" customFormat="1" x14ac:dyDescent="0.25">
      <c r="A85" s="213" t="s">
        <v>1859</v>
      </c>
      <c r="B85" s="64">
        <v>24.99</v>
      </c>
      <c r="C85" s="64">
        <v>58.79</v>
      </c>
      <c r="D85" s="64">
        <v>53.13</v>
      </c>
      <c r="E85" s="64">
        <v>0.21</v>
      </c>
      <c r="F85" s="64">
        <v>3.16</v>
      </c>
      <c r="G85" s="64">
        <v>77.06</v>
      </c>
      <c r="H85" s="64">
        <v>24.85</v>
      </c>
      <c r="I85" s="64">
        <v>1.49</v>
      </c>
      <c r="J85" s="64">
        <v>0.04</v>
      </c>
      <c r="K85" s="64">
        <v>25.29</v>
      </c>
      <c r="L85" s="64">
        <v>22.95</v>
      </c>
      <c r="M85" s="64">
        <v>53.9</v>
      </c>
      <c r="N85" s="64">
        <v>23.1</v>
      </c>
      <c r="O85" s="64">
        <v>0</v>
      </c>
      <c r="P85" s="64">
        <v>1.2</v>
      </c>
      <c r="Q85" s="64">
        <v>5.21</v>
      </c>
      <c r="R85" s="198"/>
      <c r="S85" s="198"/>
      <c r="T85" s="198"/>
      <c r="U85" s="198"/>
    </row>
    <row r="86" spans="1:26" s="12" customFormat="1" x14ac:dyDescent="0.25">
      <c r="A86" s="213" t="s">
        <v>1860</v>
      </c>
      <c r="B86" s="64">
        <v>31.72</v>
      </c>
      <c r="C86" s="64">
        <v>59.53</v>
      </c>
      <c r="D86" s="64">
        <v>58.94</v>
      </c>
      <c r="E86" s="64">
        <v>0.25</v>
      </c>
      <c r="F86" s="64">
        <v>3.31</v>
      </c>
      <c r="G86" s="64">
        <v>77.06</v>
      </c>
      <c r="H86" s="64">
        <v>24.85</v>
      </c>
      <c r="I86" s="64">
        <v>1.54</v>
      </c>
      <c r="J86" s="64">
        <v>0.08</v>
      </c>
      <c r="K86" s="64">
        <v>332.75</v>
      </c>
      <c r="L86" s="64">
        <v>22.86</v>
      </c>
      <c r="M86" s="64">
        <v>55.12</v>
      </c>
      <c r="N86" s="64">
        <v>22.8</v>
      </c>
      <c r="O86" s="64">
        <v>0</v>
      </c>
      <c r="P86" s="64">
        <v>1.27</v>
      </c>
      <c r="Q86" s="64">
        <v>6.06</v>
      </c>
      <c r="R86" s="198"/>
      <c r="S86" s="198"/>
      <c r="T86" s="198"/>
      <c r="U86" s="198"/>
    </row>
    <row r="87" spans="1:26" s="12" customFormat="1" x14ac:dyDescent="0.25">
      <c r="A87" s="213" t="s">
        <v>1861</v>
      </c>
      <c r="B87" s="64">
        <v>37.229999999999997</v>
      </c>
      <c r="C87" s="64">
        <v>60.01</v>
      </c>
      <c r="D87" s="64">
        <v>63.62</v>
      </c>
      <c r="E87" s="64">
        <v>0.27</v>
      </c>
      <c r="F87" s="64">
        <v>3.19</v>
      </c>
      <c r="G87" s="64">
        <v>95.22</v>
      </c>
      <c r="H87" s="64">
        <v>26.14</v>
      </c>
      <c r="I87" s="64">
        <v>1.42</v>
      </c>
      <c r="J87" s="64">
        <v>7.0000000000000007E-2</v>
      </c>
      <c r="K87" s="64">
        <v>292.44</v>
      </c>
      <c r="L87" s="64">
        <v>22.57</v>
      </c>
      <c r="M87" s="64">
        <v>58.56</v>
      </c>
      <c r="N87" s="64">
        <v>22.7</v>
      </c>
      <c r="O87" s="64">
        <v>0</v>
      </c>
      <c r="P87" s="64">
        <v>1.31</v>
      </c>
      <c r="Q87" s="64">
        <v>6.82</v>
      </c>
      <c r="R87" s="198"/>
      <c r="S87" s="198"/>
      <c r="T87" s="198"/>
      <c r="U87" s="198"/>
    </row>
    <row r="88" spans="1:26" s="12" customFormat="1" x14ac:dyDescent="0.25">
      <c r="A88" s="213" t="s">
        <v>1862</v>
      </c>
      <c r="B88" s="64">
        <v>40.799999999999997</v>
      </c>
      <c r="C88" s="64">
        <v>59.92</v>
      </c>
      <c r="D88" s="64">
        <v>66.430000000000007</v>
      </c>
      <c r="E88" s="64">
        <v>0.08</v>
      </c>
      <c r="F88" s="64">
        <v>3.07</v>
      </c>
      <c r="G88" s="64">
        <v>158.80000000000001</v>
      </c>
      <c r="H88" s="64">
        <v>32.22</v>
      </c>
      <c r="I88" s="64">
        <v>1.5</v>
      </c>
      <c r="J88" s="64">
        <v>0.1</v>
      </c>
      <c r="K88" s="64">
        <v>10.89</v>
      </c>
      <c r="L88" s="64">
        <v>22.52</v>
      </c>
      <c r="M88" s="64">
        <v>58.93</v>
      </c>
      <c r="N88" s="64">
        <v>22.7</v>
      </c>
      <c r="O88" s="64">
        <v>0</v>
      </c>
      <c r="P88" s="64">
        <v>1.43</v>
      </c>
      <c r="Q88" s="64">
        <v>7.26</v>
      </c>
      <c r="R88" s="198"/>
      <c r="S88" s="198"/>
      <c r="T88" s="198"/>
      <c r="U88" s="198"/>
    </row>
    <row r="89" spans="1:26" s="12" customFormat="1" x14ac:dyDescent="0.25">
      <c r="A89" s="213" t="s">
        <v>1863</v>
      </c>
      <c r="B89" s="64">
        <v>44.34</v>
      </c>
      <c r="C89" s="64">
        <v>59.52</v>
      </c>
      <c r="D89" s="64">
        <v>69.05</v>
      </c>
      <c r="E89" s="64">
        <v>0.23</v>
      </c>
      <c r="F89" s="64">
        <v>2.98</v>
      </c>
      <c r="G89" s="64">
        <v>158.80000000000001</v>
      </c>
      <c r="H89" s="64">
        <v>32.22</v>
      </c>
      <c r="I89" s="64">
        <v>1.43</v>
      </c>
      <c r="J89" s="64">
        <v>0.15</v>
      </c>
      <c r="K89" s="64">
        <v>15.14</v>
      </c>
      <c r="L89" s="64">
        <v>22.59</v>
      </c>
      <c r="M89" s="64">
        <v>55.85</v>
      </c>
      <c r="N89" s="64">
        <v>22.5</v>
      </c>
      <c r="O89" s="64">
        <v>0</v>
      </c>
      <c r="P89" s="64">
        <v>1.49</v>
      </c>
      <c r="Q89" s="64">
        <v>7.61</v>
      </c>
      <c r="R89" s="198"/>
      <c r="S89" s="198"/>
      <c r="T89" s="198"/>
      <c r="U89" s="198"/>
    </row>
    <row r="90" spans="1:26" s="12" customFormat="1" x14ac:dyDescent="0.25">
      <c r="A90" s="213" t="s">
        <v>1864</v>
      </c>
      <c r="B90" s="64">
        <v>46.66</v>
      </c>
      <c r="C90" s="64">
        <v>59.67</v>
      </c>
      <c r="D90" s="64">
        <v>70.989999999999995</v>
      </c>
      <c r="E90" s="64">
        <v>0.3</v>
      </c>
      <c r="F90" s="64">
        <v>3.24</v>
      </c>
      <c r="G90" s="64">
        <v>158.80000000000001</v>
      </c>
      <c r="H90" s="64">
        <v>32.22</v>
      </c>
      <c r="I90" s="64">
        <v>1.5</v>
      </c>
      <c r="J90" s="64">
        <v>0.33</v>
      </c>
      <c r="K90" s="64">
        <v>358.4</v>
      </c>
      <c r="L90" s="64">
        <v>22.43</v>
      </c>
      <c r="M90" s="64">
        <v>54.8</v>
      </c>
      <c r="N90" s="64">
        <v>22.1</v>
      </c>
      <c r="O90" s="64">
        <v>0</v>
      </c>
      <c r="P90" s="64">
        <v>1.46</v>
      </c>
      <c r="Q90" s="64">
        <v>7.97</v>
      </c>
      <c r="R90" s="198"/>
      <c r="S90" s="198"/>
      <c r="T90" s="198"/>
      <c r="U90" s="198"/>
    </row>
    <row r="91" spans="1:26" s="12" customFormat="1" x14ac:dyDescent="0.25">
      <c r="A91" s="213" t="s">
        <v>1865</v>
      </c>
      <c r="B91" s="64">
        <v>47.93</v>
      </c>
      <c r="C91" s="64">
        <v>59.63</v>
      </c>
      <c r="D91" s="64">
        <v>71.989999999999995</v>
      </c>
      <c r="E91" s="64">
        <v>0.28000000000000003</v>
      </c>
      <c r="F91" s="64">
        <v>3.41</v>
      </c>
      <c r="G91" s="64">
        <v>145.69999999999999</v>
      </c>
      <c r="H91" s="64">
        <v>33.44</v>
      </c>
      <c r="I91" s="64">
        <v>1.47</v>
      </c>
      <c r="J91" s="64">
        <v>0.21</v>
      </c>
      <c r="K91" s="64">
        <v>352.55</v>
      </c>
      <c r="L91" s="64">
        <v>22.36</v>
      </c>
      <c r="M91" s="64">
        <v>53.39</v>
      </c>
      <c r="N91" s="64">
        <v>22.5</v>
      </c>
      <c r="O91" s="64">
        <v>0</v>
      </c>
      <c r="P91" s="64">
        <v>1.43</v>
      </c>
      <c r="Q91" s="64">
        <v>8.11</v>
      </c>
      <c r="R91" s="198"/>
      <c r="S91" s="198"/>
      <c r="T91" s="198"/>
      <c r="U91" s="198"/>
    </row>
    <row r="92" spans="1:26" s="12" customFormat="1" x14ac:dyDescent="0.25">
      <c r="A92" s="213" t="s">
        <v>1866</v>
      </c>
      <c r="B92" s="64">
        <v>48.77</v>
      </c>
      <c r="C92" s="64">
        <v>59.07</v>
      </c>
      <c r="D92" s="64">
        <v>72.349999999999994</v>
      </c>
      <c r="E92" s="64">
        <v>0.24</v>
      </c>
      <c r="F92" s="64">
        <v>3.44</v>
      </c>
      <c r="G92" s="64">
        <v>102.66</v>
      </c>
      <c r="H92" s="64">
        <v>36.31</v>
      </c>
      <c r="I92" s="64">
        <v>1.48</v>
      </c>
      <c r="J92" s="64">
        <v>0.09</v>
      </c>
      <c r="K92" s="64">
        <v>354.02</v>
      </c>
      <c r="L92" s="64">
        <v>22.31</v>
      </c>
      <c r="M92" s="64">
        <v>53.95</v>
      </c>
      <c r="N92" s="64">
        <v>22.7</v>
      </c>
      <c r="O92" s="64">
        <v>0</v>
      </c>
      <c r="P92" s="64">
        <v>1.48</v>
      </c>
      <c r="Q92" s="64">
        <v>8.1999999999999993</v>
      </c>
      <c r="R92" s="198"/>
      <c r="S92" s="198"/>
      <c r="T92" s="198"/>
      <c r="U92" s="198"/>
    </row>
    <row r="93" spans="1:26" s="12" customFormat="1" x14ac:dyDescent="0.25">
      <c r="A93" s="213" t="s">
        <v>1867</v>
      </c>
      <c r="B93" s="64">
        <v>49.7</v>
      </c>
      <c r="C93" s="64">
        <v>58.71</v>
      </c>
      <c r="D93" s="64">
        <v>72.900000000000006</v>
      </c>
      <c r="E93" s="64">
        <v>0.27</v>
      </c>
      <c r="F93" s="64">
        <v>2.93</v>
      </c>
      <c r="G93" s="64">
        <v>102.66</v>
      </c>
      <c r="H93" s="64">
        <v>36.31</v>
      </c>
      <c r="I93" s="64">
        <v>1.55</v>
      </c>
      <c r="J93" s="64">
        <v>0.4</v>
      </c>
      <c r="K93" s="64">
        <v>351.62</v>
      </c>
      <c r="L93" s="64">
        <v>22.26</v>
      </c>
      <c r="M93" s="64">
        <v>56</v>
      </c>
      <c r="N93" s="64">
        <v>22.2</v>
      </c>
      <c r="O93" s="64">
        <v>0</v>
      </c>
      <c r="P93" s="64">
        <v>1.47</v>
      </c>
      <c r="Q93" s="64">
        <v>8.31</v>
      </c>
      <c r="R93" s="198"/>
      <c r="S93" s="198"/>
      <c r="T93" s="198"/>
      <c r="U93" s="198"/>
    </row>
    <row r="94" spans="1:26" s="12" customFormat="1" x14ac:dyDescent="0.25">
      <c r="A94" s="213" t="s">
        <v>1868</v>
      </c>
      <c r="B94" s="64">
        <v>50.1</v>
      </c>
      <c r="C94" s="64">
        <v>58.48</v>
      </c>
      <c r="D94" s="64">
        <v>73.099999999999994</v>
      </c>
      <c r="E94" s="64">
        <v>0.24</v>
      </c>
      <c r="F94" s="64">
        <v>3.1</v>
      </c>
      <c r="G94" s="64">
        <v>102.66</v>
      </c>
      <c r="H94" s="64">
        <v>36.31</v>
      </c>
      <c r="I94" s="64">
        <v>1.48</v>
      </c>
      <c r="J94" s="64">
        <v>0.39</v>
      </c>
      <c r="K94" s="64">
        <v>347.1</v>
      </c>
      <c r="L94" s="64">
        <v>22.27</v>
      </c>
      <c r="M94" s="64">
        <v>55.57</v>
      </c>
      <c r="N94" s="64">
        <v>22.3</v>
      </c>
      <c r="O94" s="64">
        <v>0</v>
      </c>
      <c r="P94" s="64">
        <v>1.43</v>
      </c>
      <c r="Q94" s="64">
        <v>8.3699999999999992</v>
      </c>
      <c r="R94" s="198"/>
      <c r="S94" s="198"/>
      <c r="T94" s="198"/>
      <c r="U94" s="198"/>
    </row>
    <row r="95" spans="1:26" s="12" customFormat="1" x14ac:dyDescent="0.25">
      <c r="A95" s="213" t="s">
        <v>1869</v>
      </c>
      <c r="B95" s="64">
        <v>49.7</v>
      </c>
      <c r="C95" s="64">
        <v>58.83</v>
      </c>
      <c r="D95" s="64">
        <v>72.97</v>
      </c>
      <c r="E95" s="64">
        <v>0.27</v>
      </c>
      <c r="F95" s="64">
        <v>2.88</v>
      </c>
      <c r="G95" s="64">
        <v>101.64</v>
      </c>
      <c r="H95" s="64">
        <v>36.25</v>
      </c>
      <c r="I95" s="64">
        <v>1.58</v>
      </c>
      <c r="J95" s="64">
        <v>0.37</v>
      </c>
      <c r="K95" s="64">
        <v>201.99</v>
      </c>
      <c r="L95" s="64">
        <v>22.31</v>
      </c>
      <c r="M95" s="64">
        <v>58.21</v>
      </c>
      <c r="N95" s="64">
        <v>22.4</v>
      </c>
      <c r="O95" s="64">
        <v>0</v>
      </c>
      <c r="P95" s="64">
        <v>1.43</v>
      </c>
      <c r="Q95" s="64">
        <v>8.41</v>
      </c>
      <c r="R95" s="198"/>
      <c r="S95" s="198"/>
      <c r="T95" s="198"/>
      <c r="U95" s="198"/>
    </row>
    <row r="96" spans="1:26" s="12" customFormat="1" x14ac:dyDescent="0.25">
      <c r="A96" s="213" t="s">
        <v>1870</v>
      </c>
      <c r="B96" s="64">
        <v>49.11</v>
      </c>
      <c r="C96" s="64">
        <v>58.07</v>
      </c>
      <c r="D96" s="64">
        <v>72.069999999999993</v>
      </c>
      <c r="E96" s="64">
        <v>0.27</v>
      </c>
      <c r="F96" s="64">
        <v>3.04</v>
      </c>
      <c r="G96" s="64">
        <v>98.04</v>
      </c>
      <c r="H96" s="64">
        <v>36.1</v>
      </c>
      <c r="I96" s="64">
        <v>1.5</v>
      </c>
      <c r="J96" s="64">
        <v>7.0000000000000007E-2</v>
      </c>
      <c r="K96" s="64">
        <v>276.24</v>
      </c>
      <c r="L96" s="64">
        <v>21.98</v>
      </c>
      <c r="M96" s="64">
        <v>62.24</v>
      </c>
      <c r="N96" s="64">
        <v>23.2</v>
      </c>
      <c r="O96" s="64">
        <v>0</v>
      </c>
      <c r="P96" s="64">
        <v>1.41</v>
      </c>
      <c r="Q96" s="64">
        <v>8.39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1871</v>
      </c>
      <c r="B97" s="64">
        <v>48.97</v>
      </c>
      <c r="C97" s="64">
        <v>57.33</v>
      </c>
      <c r="D97" s="64">
        <v>71.56</v>
      </c>
      <c r="E97" s="64">
        <v>0.25</v>
      </c>
      <c r="F97" s="64">
        <v>3.16</v>
      </c>
      <c r="G97" s="64">
        <v>98.04</v>
      </c>
      <c r="H97" s="64">
        <v>36.1</v>
      </c>
      <c r="I97" s="64">
        <v>1.56</v>
      </c>
      <c r="J97" s="64">
        <v>0.08</v>
      </c>
      <c r="K97" s="64">
        <v>293.72000000000003</v>
      </c>
      <c r="L97" s="64">
        <v>21.71</v>
      </c>
      <c r="M97" s="64">
        <v>63.59</v>
      </c>
      <c r="N97" s="64">
        <v>23.4</v>
      </c>
      <c r="O97" s="64">
        <v>0</v>
      </c>
      <c r="P97" s="64">
        <v>1.41</v>
      </c>
      <c r="Q97" s="64">
        <v>8.3699999999999992</v>
      </c>
      <c r="R97" s="198"/>
      <c r="S97" s="198"/>
      <c r="T97" s="198"/>
      <c r="U97" s="198"/>
    </row>
    <row r="98" spans="1:33" s="12" customFormat="1" x14ac:dyDescent="0.25">
      <c r="A98" s="213" t="s">
        <v>1872</v>
      </c>
      <c r="B98" s="64">
        <v>49.01</v>
      </c>
      <c r="C98" s="64">
        <v>56.31</v>
      </c>
      <c r="D98" s="64">
        <v>71.03</v>
      </c>
      <c r="E98" s="64">
        <v>0.28999999999999998</v>
      </c>
      <c r="F98" s="64">
        <v>3.3</v>
      </c>
      <c r="G98" s="64">
        <v>98.04</v>
      </c>
      <c r="H98" s="64">
        <v>36.1</v>
      </c>
      <c r="I98" s="64">
        <v>1.48</v>
      </c>
      <c r="J98" s="64">
        <v>0.06</v>
      </c>
      <c r="K98" s="64">
        <v>249.77</v>
      </c>
      <c r="L98" s="64">
        <v>21.25</v>
      </c>
      <c r="M98" s="64">
        <v>63.65</v>
      </c>
      <c r="N98" s="64">
        <v>23.2</v>
      </c>
      <c r="O98" s="64">
        <v>0</v>
      </c>
      <c r="P98" s="64">
        <v>1.42</v>
      </c>
      <c r="Q98" s="64">
        <v>8.33</v>
      </c>
      <c r="R98" s="198"/>
      <c r="S98" s="198"/>
      <c r="T98" s="198"/>
      <c r="U98" s="198"/>
    </row>
    <row r="99" spans="1:33" s="12" customFormat="1" x14ac:dyDescent="0.25">
      <c r="A99" s="213" t="s">
        <v>1873</v>
      </c>
      <c r="B99" s="64">
        <v>48.89</v>
      </c>
      <c r="C99" s="64">
        <v>56.18</v>
      </c>
      <c r="D99" s="64">
        <v>70.86</v>
      </c>
      <c r="E99" s="64">
        <v>0.28999999999999998</v>
      </c>
      <c r="F99" s="64">
        <v>3.21</v>
      </c>
      <c r="G99" s="64">
        <v>96.88</v>
      </c>
      <c r="H99" s="64">
        <v>35.479999999999997</v>
      </c>
      <c r="I99" s="64">
        <v>1.48</v>
      </c>
      <c r="J99" s="64">
        <v>0.04</v>
      </c>
      <c r="K99" s="64">
        <v>113.63</v>
      </c>
      <c r="L99" s="64">
        <v>20.84</v>
      </c>
      <c r="M99" s="64">
        <v>65.989999999999995</v>
      </c>
      <c r="N99" s="64">
        <v>22.9</v>
      </c>
      <c r="O99" s="64">
        <v>0</v>
      </c>
      <c r="P99" s="64">
        <v>1.39</v>
      </c>
      <c r="Q99" s="64">
        <v>8.31</v>
      </c>
      <c r="R99" s="198"/>
      <c r="S99" s="198"/>
      <c r="T99" s="198"/>
      <c r="U99" s="198"/>
    </row>
    <row r="100" spans="1:33" s="12" customFormat="1" x14ac:dyDescent="0.25">
      <c r="A100" s="213" t="s">
        <v>1874</v>
      </c>
      <c r="B100" s="64">
        <v>49.7</v>
      </c>
      <c r="C100" s="64">
        <v>55.52</v>
      </c>
      <c r="D100" s="64">
        <v>71.150000000000006</v>
      </c>
      <c r="E100" s="64">
        <v>0.24</v>
      </c>
      <c r="F100" s="64">
        <v>3.34</v>
      </c>
      <c r="G100" s="64">
        <v>93.07</v>
      </c>
      <c r="H100" s="64">
        <v>34.06</v>
      </c>
      <c r="I100" s="64">
        <v>1.5</v>
      </c>
      <c r="J100" s="64">
        <v>0.11</v>
      </c>
      <c r="K100" s="64">
        <v>238.24</v>
      </c>
      <c r="L100" s="64">
        <v>20.73</v>
      </c>
      <c r="M100" s="64">
        <v>69.849999999999994</v>
      </c>
      <c r="N100" s="64">
        <v>22.6</v>
      </c>
      <c r="O100" s="64">
        <v>0</v>
      </c>
      <c r="P100" s="64">
        <v>1.4</v>
      </c>
      <c r="Q100" s="64">
        <v>8.2899999999999991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1875</v>
      </c>
      <c r="B101" s="64">
        <v>50.67</v>
      </c>
      <c r="C101" s="64">
        <v>55.22</v>
      </c>
      <c r="D101" s="64">
        <v>71.760000000000005</v>
      </c>
      <c r="E101" s="64">
        <v>0.26</v>
      </c>
      <c r="F101" s="64">
        <v>3.19</v>
      </c>
      <c r="G101" s="64">
        <v>93.07</v>
      </c>
      <c r="H101" s="64">
        <v>34.06</v>
      </c>
      <c r="I101" s="64">
        <v>1.5</v>
      </c>
      <c r="J101" s="64">
        <v>0.09</v>
      </c>
      <c r="K101" s="64">
        <v>240.45</v>
      </c>
      <c r="L101" s="64">
        <v>20.58</v>
      </c>
      <c r="M101" s="64">
        <v>70.75</v>
      </c>
      <c r="N101" s="64">
        <v>22.7</v>
      </c>
      <c r="O101" s="64">
        <v>0</v>
      </c>
      <c r="P101" s="64">
        <v>1.38</v>
      </c>
      <c r="Q101" s="64">
        <v>8.36</v>
      </c>
      <c r="R101" s="198"/>
      <c r="S101" s="198"/>
      <c r="T101" s="198"/>
      <c r="U101" s="198"/>
    </row>
    <row r="102" spans="1:33" s="12" customFormat="1" x14ac:dyDescent="0.25">
      <c r="A102" s="213" t="s">
        <v>1876</v>
      </c>
      <c r="B102" s="64">
        <v>50.74</v>
      </c>
      <c r="C102" s="64">
        <v>54.38</v>
      </c>
      <c r="D102" s="64">
        <v>71.34</v>
      </c>
      <c r="E102" s="64">
        <v>0.27</v>
      </c>
      <c r="F102" s="64">
        <v>3.21</v>
      </c>
      <c r="G102" s="64">
        <v>93.07</v>
      </c>
      <c r="H102" s="64">
        <v>34.06</v>
      </c>
      <c r="I102" s="64">
        <v>1.45</v>
      </c>
      <c r="J102" s="64">
        <v>0.04</v>
      </c>
      <c r="K102" s="64">
        <v>170.3</v>
      </c>
      <c r="L102" s="64">
        <v>20.48</v>
      </c>
      <c r="M102" s="64">
        <v>67.88</v>
      </c>
      <c r="N102" s="64">
        <v>22.8</v>
      </c>
      <c r="O102" s="64">
        <v>0</v>
      </c>
      <c r="P102" s="64">
        <v>1.35</v>
      </c>
      <c r="Q102" s="64">
        <v>8.3800000000000008</v>
      </c>
      <c r="R102" s="198"/>
      <c r="S102" s="198"/>
      <c r="T102" s="198"/>
      <c r="U102" s="198"/>
    </row>
    <row r="103" spans="1:33" s="12" customFormat="1" x14ac:dyDescent="0.25">
      <c r="A103" s="213" t="s">
        <v>1877</v>
      </c>
      <c r="B103" s="64">
        <v>50.55</v>
      </c>
      <c r="C103" s="64">
        <v>54.42</v>
      </c>
      <c r="D103" s="64">
        <v>71.22</v>
      </c>
      <c r="E103" s="64">
        <v>0.28999999999999998</v>
      </c>
      <c r="F103" s="64">
        <v>3.33</v>
      </c>
      <c r="G103" s="64">
        <v>93.12</v>
      </c>
      <c r="H103" s="64">
        <v>34.270000000000003</v>
      </c>
      <c r="I103" s="64">
        <v>1.44</v>
      </c>
      <c r="J103" s="64">
        <v>0.05</v>
      </c>
      <c r="K103" s="64">
        <v>307.38</v>
      </c>
      <c r="L103" s="64">
        <v>20.059999999999999</v>
      </c>
      <c r="M103" s="64">
        <v>72.81</v>
      </c>
      <c r="N103" s="64">
        <v>23.1</v>
      </c>
      <c r="O103" s="64">
        <v>0</v>
      </c>
      <c r="P103" s="64">
        <v>1.36</v>
      </c>
      <c r="Q103" s="64">
        <v>8.41</v>
      </c>
      <c r="R103" s="198"/>
      <c r="S103" s="198"/>
      <c r="T103" s="198"/>
      <c r="U103" s="198"/>
    </row>
    <row r="104" spans="1:33" s="12" customFormat="1" x14ac:dyDescent="0.25">
      <c r="A104" s="213" t="s">
        <v>1878</v>
      </c>
      <c r="B104" s="64">
        <v>51.37</v>
      </c>
      <c r="C104" s="64">
        <v>54.16</v>
      </c>
      <c r="D104" s="64">
        <v>71.73</v>
      </c>
      <c r="E104" s="64">
        <v>0.09</v>
      </c>
      <c r="F104" s="64">
        <v>3.12</v>
      </c>
      <c r="G104" s="64">
        <v>93.3</v>
      </c>
      <c r="H104" s="64">
        <v>35.22</v>
      </c>
      <c r="I104" s="64">
        <v>1.53</v>
      </c>
      <c r="J104" s="64">
        <v>0.09</v>
      </c>
      <c r="K104" s="64">
        <v>281.22000000000003</v>
      </c>
      <c r="L104" s="64">
        <v>19.82</v>
      </c>
      <c r="M104" s="64">
        <v>76.010000000000005</v>
      </c>
      <c r="N104" s="64">
        <v>22.8</v>
      </c>
      <c r="O104" s="64">
        <v>0</v>
      </c>
      <c r="P104" s="64">
        <v>1.36</v>
      </c>
      <c r="Q104" s="64">
        <v>8.4600000000000009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1.04</v>
      </c>
      <c r="C106" s="67">
        <f>MIN(C9:C104)</f>
        <v>40.04</v>
      </c>
      <c r="D106" s="67">
        <f t="shared" ref="D106:Q106" si="0">MIN(D9:D104)</f>
        <v>23.64</v>
      </c>
      <c r="E106" s="67">
        <f t="shared" si="0"/>
        <v>7.0000000000000007E-2</v>
      </c>
      <c r="F106" s="67">
        <f t="shared" si="0"/>
        <v>2.88</v>
      </c>
      <c r="G106" s="67">
        <f t="shared" si="0"/>
        <v>43.68</v>
      </c>
      <c r="H106" s="67">
        <f t="shared" si="0"/>
        <v>21.39</v>
      </c>
      <c r="I106" s="67">
        <f t="shared" si="0"/>
        <v>1.41</v>
      </c>
      <c r="J106" s="67">
        <f t="shared" si="0"/>
        <v>0.01</v>
      </c>
      <c r="K106" s="67">
        <f t="shared" si="0"/>
        <v>9.43</v>
      </c>
      <c r="L106" s="67">
        <f t="shared" si="0"/>
        <v>18.04</v>
      </c>
      <c r="M106" s="67">
        <f t="shared" si="0"/>
        <v>24.58</v>
      </c>
      <c r="N106" s="67">
        <f t="shared" si="0"/>
        <v>22.1</v>
      </c>
      <c r="O106" s="67">
        <f t="shared" si="0"/>
        <v>0</v>
      </c>
      <c r="P106" s="67">
        <f t="shared" si="0"/>
        <v>0.41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51.37</v>
      </c>
      <c r="C107" s="66">
        <f t="shared" ref="C107:Q107" si="1">MAX(C9:C104)</f>
        <v>89.36</v>
      </c>
      <c r="D107" s="66">
        <f t="shared" si="1"/>
        <v>73.099999999999994</v>
      </c>
      <c r="E107" s="66">
        <f t="shared" si="1"/>
        <v>1.23</v>
      </c>
      <c r="F107" s="66">
        <f t="shared" si="1"/>
        <v>46.43</v>
      </c>
      <c r="G107" s="66">
        <f t="shared" si="1"/>
        <v>158.80000000000001</v>
      </c>
      <c r="H107" s="66">
        <f t="shared" si="1"/>
        <v>63.12</v>
      </c>
      <c r="I107" s="66">
        <f t="shared" si="1"/>
        <v>1.62</v>
      </c>
      <c r="J107" s="66">
        <f t="shared" si="1"/>
        <v>1.96</v>
      </c>
      <c r="K107" s="66">
        <f t="shared" si="1"/>
        <v>358.4</v>
      </c>
      <c r="L107" s="66">
        <f t="shared" si="1"/>
        <v>32.520000000000003</v>
      </c>
      <c r="M107" s="66">
        <f t="shared" si="1"/>
        <v>98.7</v>
      </c>
      <c r="N107" s="66">
        <f t="shared" si="1"/>
        <v>757.3</v>
      </c>
      <c r="O107" s="66">
        <f t="shared" si="1"/>
        <v>0</v>
      </c>
      <c r="P107" s="66">
        <f t="shared" si="1"/>
        <v>1.49</v>
      </c>
      <c r="Q107" s="66">
        <f t="shared" si="1"/>
        <v>8.4600000000000009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25.912395833333331</v>
      </c>
      <c r="C108" s="67">
        <f t="shared" ref="C108:Q108" si="2">AVERAGE(C9:C104)</f>
        <v>61.43656249999998</v>
      </c>
      <c r="D108" s="67">
        <f t="shared" si="2"/>
        <v>55.33156249999999</v>
      </c>
      <c r="E108" s="67">
        <f t="shared" si="2"/>
        <v>0.27114583333333336</v>
      </c>
      <c r="F108" s="67">
        <f t="shared" si="2"/>
        <v>6.1559375000000012</v>
      </c>
      <c r="G108" s="67">
        <f t="shared" si="2"/>
        <v>88.786354166666683</v>
      </c>
      <c r="H108" s="67">
        <f t="shared" si="2"/>
        <v>34.906145833333312</v>
      </c>
      <c r="I108" s="67">
        <f t="shared" si="2"/>
        <v>1.5011458333333332</v>
      </c>
      <c r="J108" s="67">
        <f t="shared" si="2"/>
        <v>0.32093749999999988</v>
      </c>
      <c r="K108" s="67">
        <f t="shared" si="2"/>
        <v>210.05822916666679</v>
      </c>
      <c r="L108" s="67">
        <f t="shared" si="2"/>
        <v>23.712812500000009</v>
      </c>
      <c r="M108" s="67">
        <f t="shared" si="2"/>
        <v>58.930000000000014</v>
      </c>
      <c r="N108" s="67">
        <f t="shared" si="2"/>
        <v>215.40104166666677</v>
      </c>
      <c r="O108" s="67">
        <f t="shared" si="2"/>
        <v>0</v>
      </c>
      <c r="P108" s="67">
        <f t="shared" si="2"/>
        <v>0.93729166666666652</v>
      </c>
      <c r="Q108" s="67">
        <f t="shared" si="2"/>
        <v>6.5327083333333258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17.150820250127776</v>
      </c>
      <c r="C109" s="67">
        <f t="shared" ref="C109:Q109" si="3">STDEV(C9:C104)</f>
        <v>7.5490715815537044</v>
      </c>
      <c r="D109" s="67">
        <f t="shared" si="3"/>
        <v>13.957243380985151</v>
      </c>
      <c r="E109" s="67">
        <f t="shared" si="3"/>
        <v>0.1557452021169711</v>
      </c>
      <c r="F109" s="67">
        <f t="shared" si="3"/>
        <v>8.0611749931220817</v>
      </c>
      <c r="G109" s="67">
        <f t="shared" si="3"/>
        <v>29.766066165837824</v>
      </c>
      <c r="H109" s="67">
        <f t="shared" si="3"/>
        <v>10.97979036994715</v>
      </c>
      <c r="I109" s="67">
        <f t="shared" si="3"/>
        <v>4.5140011232110817E-2</v>
      </c>
      <c r="J109" s="67">
        <f t="shared" si="3"/>
        <v>0.31779529367851028</v>
      </c>
      <c r="K109" s="67">
        <f t="shared" si="3"/>
        <v>118.9185896847947</v>
      </c>
      <c r="L109" s="67">
        <f t="shared" si="3"/>
        <v>4.7132741336792492</v>
      </c>
      <c r="M109" s="67">
        <f t="shared" si="3"/>
        <v>23.05981654192777</v>
      </c>
      <c r="N109" s="67">
        <f t="shared" si="3"/>
        <v>265.00135947805842</v>
      </c>
      <c r="O109" s="67">
        <f t="shared" si="3"/>
        <v>0</v>
      </c>
      <c r="P109" s="67">
        <f t="shared" si="3"/>
        <v>0.33276348220277963</v>
      </c>
      <c r="Q109" s="67">
        <f t="shared" si="3"/>
        <v>1.2441411996077896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9" sqref="G12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1879</v>
      </c>
      <c r="B9" s="64">
        <v>51.85</v>
      </c>
      <c r="C9" s="64">
        <v>53.55</v>
      </c>
      <c r="D9" s="64">
        <v>71.78</v>
      </c>
      <c r="E9" s="64">
        <v>0.2</v>
      </c>
      <c r="F9" s="64">
        <v>3.04</v>
      </c>
      <c r="G9" s="64">
        <v>93.3</v>
      </c>
      <c r="H9" s="64">
        <v>35.22</v>
      </c>
      <c r="I9" s="64">
        <v>1.46</v>
      </c>
      <c r="J9" s="64">
        <v>0.1</v>
      </c>
      <c r="K9" s="64">
        <v>305.23</v>
      </c>
      <c r="L9" s="64">
        <v>19.91</v>
      </c>
      <c r="M9" s="64">
        <v>77.92</v>
      </c>
      <c r="N9" s="64">
        <v>22.9</v>
      </c>
      <c r="O9" s="64">
        <v>0</v>
      </c>
      <c r="P9" s="64">
        <v>1.34</v>
      </c>
      <c r="Q9" s="64">
        <v>8.48</v>
      </c>
      <c r="R9" s="198"/>
      <c r="S9" s="198"/>
      <c r="T9" s="198"/>
      <c r="U9" s="198"/>
    </row>
    <row r="10" spans="1:21" s="12" customFormat="1" x14ac:dyDescent="0.25">
      <c r="A10" s="213" t="s">
        <v>1880</v>
      </c>
      <c r="B10" s="64">
        <v>52.26</v>
      </c>
      <c r="C10" s="64">
        <v>53.12</v>
      </c>
      <c r="D10" s="64">
        <v>71.87</v>
      </c>
      <c r="E10" s="64">
        <v>0.19</v>
      </c>
      <c r="F10" s="64">
        <v>3.1</v>
      </c>
      <c r="G10" s="64">
        <v>93.3</v>
      </c>
      <c r="H10" s="64">
        <v>35.22</v>
      </c>
      <c r="I10" s="64">
        <v>1.47</v>
      </c>
      <c r="J10" s="64">
        <v>0.14000000000000001</v>
      </c>
      <c r="K10" s="64">
        <v>331.2</v>
      </c>
      <c r="L10" s="64">
        <v>20.170000000000002</v>
      </c>
      <c r="M10" s="64">
        <v>79.58</v>
      </c>
      <c r="N10" s="64">
        <v>22.7</v>
      </c>
      <c r="O10" s="64">
        <v>0</v>
      </c>
      <c r="P10" s="64">
        <v>1.31</v>
      </c>
      <c r="Q10" s="64">
        <v>8.5</v>
      </c>
      <c r="R10" s="198"/>
      <c r="S10" s="198"/>
      <c r="T10" s="198"/>
      <c r="U10" s="198"/>
    </row>
    <row r="11" spans="1:21" s="12" customFormat="1" x14ac:dyDescent="0.25">
      <c r="A11" s="213" t="s">
        <v>1881</v>
      </c>
      <c r="B11" s="64">
        <v>53.2</v>
      </c>
      <c r="C11" s="64">
        <v>52.45</v>
      </c>
      <c r="D11" s="64">
        <v>72.25</v>
      </c>
      <c r="E11" s="64">
        <v>0.15</v>
      </c>
      <c r="F11" s="64">
        <v>3.08</v>
      </c>
      <c r="G11" s="64">
        <v>94.23</v>
      </c>
      <c r="H11" s="64">
        <v>34.630000000000003</v>
      </c>
      <c r="I11" s="64">
        <v>1.45</v>
      </c>
      <c r="J11" s="64">
        <v>0.12</v>
      </c>
      <c r="K11" s="64">
        <v>292.04000000000002</v>
      </c>
      <c r="L11" s="64">
        <v>20.239999999999998</v>
      </c>
      <c r="M11" s="64">
        <v>78.94</v>
      </c>
      <c r="N11" s="64">
        <v>23</v>
      </c>
      <c r="O11" s="64">
        <v>0</v>
      </c>
      <c r="P11" s="64">
        <v>1.34</v>
      </c>
      <c r="Q11" s="64">
        <v>8.49</v>
      </c>
      <c r="R11" s="198"/>
      <c r="S11" s="198"/>
      <c r="T11" s="198"/>
      <c r="U11" s="198"/>
    </row>
    <row r="12" spans="1:21" s="12" customFormat="1" x14ac:dyDescent="0.25">
      <c r="A12" s="213" t="s">
        <v>1882</v>
      </c>
      <c r="B12" s="64">
        <v>53.82</v>
      </c>
      <c r="C12" s="64">
        <v>52.86</v>
      </c>
      <c r="D12" s="64">
        <v>72.98</v>
      </c>
      <c r="E12" s="64">
        <v>0.23</v>
      </c>
      <c r="F12" s="64">
        <v>3.12</v>
      </c>
      <c r="G12" s="64">
        <v>97.26</v>
      </c>
      <c r="H12" s="64">
        <v>33.24</v>
      </c>
      <c r="I12" s="64">
        <v>1.49</v>
      </c>
      <c r="J12" s="64">
        <v>0.08</v>
      </c>
      <c r="K12" s="64">
        <v>348.53</v>
      </c>
      <c r="L12" s="64">
        <v>20.63</v>
      </c>
      <c r="M12" s="64">
        <v>74.010000000000005</v>
      </c>
      <c r="N12" s="64">
        <v>22.9</v>
      </c>
      <c r="O12" s="64">
        <v>0</v>
      </c>
      <c r="P12" s="64">
        <v>1.29</v>
      </c>
      <c r="Q12" s="64">
        <v>8.59</v>
      </c>
      <c r="R12" s="198"/>
      <c r="S12" s="198"/>
      <c r="T12" s="198"/>
      <c r="U12" s="198"/>
    </row>
    <row r="13" spans="1:21" s="12" customFormat="1" x14ac:dyDescent="0.25">
      <c r="A13" s="213" t="s">
        <v>1883</v>
      </c>
      <c r="B13" s="64">
        <v>53.57</v>
      </c>
      <c r="C13" s="64">
        <v>51.67</v>
      </c>
      <c r="D13" s="64">
        <v>72.12</v>
      </c>
      <c r="E13" s="64">
        <v>0.19</v>
      </c>
      <c r="F13" s="64">
        <v>3.12</v>
      </c>
      <c r="G13" s="64">
        <v>97.26</v>
      </c>
      <c r="H13" s="64">
        <v>33.24</v>
      </c>
      <c r="I13" s="64">
        <v>1.55</v>
      </c>
      <c r="J13" s="64">
        <v>0.24</v>
      </c>
      <c r="K13" s="64">
        <v>204.25</v>
      </c>
      <c r="L13" s="64">
        <v>20.83</v>
      </c>
      <c r="M13" s="64">
        <v>69.11</v>
      </c>
      <c r="N13" s="64">
        <v>22.6</v>
      </c>
      <c r="O13" s="64">
        <v>0</v>
      </c>
      <c r="P13" s="64">
        <v>1.18</v>
      </c>
      <c r="Q13" s="64">
        <v>8.6</v>
      </c>
      <c r="R13" s="198"/>
      <c r="S13" s="198"/>
      <c r="T13" s="198"/>
      <c r="U13" s="198"/>
    </row>
    <row r="14" spans="1:21" s="12" customFormat="1" x14ac:dyDescent="0.25">
      <c r="A14" s="213" t="s">
        <v>1884</v>
      </c>
      <c r="B14" s="64">
        <v>52.13</v>
      </c>
      <c r="C14" s="64">
        <v>50.91</v>
      </c>
      <c r="D14" s="64">
        <v>70.540000000000006</v>
      </c>
      <c r="E14" s="64">
        <v>0.18</v>
      </c>
      <c r="F14" s="64">
        <v>3.17</v>
      </c>
      <c r="G14" s="64">
        <v>97.26</v>
      </c>
      <c r="H14" s="64">
        <v>33.24</v>
      </c>
      <c r="I14" s="64">
        <v>1.56</v>
      </c>
      <c r="J14" s="64">
        <v>0.21</v>
      </c>
      <c r="K14" s="64">
        <v>171.06</v>
      </c>
      <c r="L14" s="64">
        <v>20.7</v>
      </c>
      <c r="M14" s="64">
        <v>69.52</v>
      </c>
      <c r="N14" s="64">
        <v>22.9</v>
      </c>
      <c r="O14" s="64">
        <v>0</v>
      </c>
      <c r="P14" s="64">
        <v>1.22</v>
      </c>
      <c r="Q14" s="64">
        <v>8.56</v>
      </c>
      <c r="R14" s="198"/>
      <c r="S14" s="198"/>
      <c r="T14" s="198"/>
      <c r="U14" s="198"/>
    </row>
    <row r="15" spans="1:21" s="12" customFormat="1" x14ac:dyDescent="0.25">
      <c r="A15" s="213" t="s">
        <v>1885</v>
      </c>
      <c r="B15" s="64">
        <v>50.85</v>
      </c>
      <c r="C15" s="64">
        <v>50.89</v>
      </c>
      <c r="D15" s="64">
        <v>69.5</v>
      </c>
      <c r="E15" s="64">
        <v>0.26</v>
      </c>
      <c r="F15" s="64">
        <v>3.26</v>
      </c>
      <c r="G15" s="64">
        <v>92.32</v>
      </c>
      <c r="H15" s="64">
        <v>33.1</v>
      </c>
      <c r="I15" s="64">
        <v>1.42</v>
      </c>
      <c r="J15" s="64">
        <v>0.42</v>
      </c>
      <c r="K15" s="64">
        <v>146.74</v>
      </c>
      <c r="L15" s="64">
        <v>20.52</v>
      </c>
      <c r="M15" s="64">
        <v>71.63</v>
      </c>
      <c r="N15" s="64">
        <v>22.7</v>
      </c>
      <c r="O15" s="64">
        <v>0</v>
      </c>
      <c r="P15" s="64">
        <v>1.21</v>
      </c>
      <c r="Q15" s="64">
        <v>8.44</v>
      </c>
      <c r="R15" s="198"/>
      <c r="S15" s="198"/>
      <c r="T15" s="198"/>
      <c r="U15" s="198"/>
    </row>
    <row r="16" spans="1:21" s="12" customFormat="1" x14ac:dyDescent="0.25">
      <c r="A16" s="213" t="s">
        <v>1886</v>
      </c>
      <c r="B16" s="64">
        <v>49.76</v>
      </c>
      <c r="C16" s="64">
        <v>49.91</v>
      </c>
      <c r="D16" s="64">
        <v>68.099999999999994</v>
      </c>
      <c r="E16" s="64">
        <v>0.22</v>
      </c>
      <c r="F16" s="64">
        <v>3.21</v>
      </c>
      <c r="G16" s="64">
        <v>75</v>
      </c>
      <c r="H16" s="64">
        <v>32.770000000000003</v>
      </c>
      <c r="I16" s="64">
        <v>1.53</v>
      </c>
      <c r="J16" s="64">
        <v>7.0000000000000007E-2</v>
      </c>
      <c r="K16" s="64">
        <v>243.93</v>
      </c>
      <c r="L16" s="64">
        <v>20.170000000000002</v>
      </c>
      <c r="M16" s="64">
        <v>75.819999999999993</v>
      </c>
      <c r="N16" s="64">
        <v>23.2</v>
      </c>
      <c r="O16" s="64">
        <v>0</v>
      </c>
      <c r="P16" s="64">
        <v>1.19</v>
      </c>
      <c r="Q16" s="64">
        <v>8.3699999999999992</v>
      </c>
      <c r="R16" s="198"/>
      <c r="S16" s="198"/>
      <c r="T16" s="198"/>
      <c r="U16" s="198"/>
    </row>
    <row r="17" spans="1:21" s="12" customFormat="1" x14ac:dyDescent="0.25">
      <c r="A17" s="213" t="s">
        <v>1887</v>
      </c>
      <c r="B17" s="64">
        <v>48.81</v>
      </c>
      <c r="C17" s="64">
        <v>49.77</v>
      </c>
      <c r="D17" s="64">
        <v>67.25</v>
      </c>
      <c r="E17" s="64">
        <v>0.22</v>
      </c>
      <c r="F17" s="64">
        <v>3.37</v>
      </c>
      <c r="G17" s="64">
        <v>75</v>
      </c>
      <c r="H17" s="64">
        <v>32.770000000000003</v>
      </c>
      <c r="I17" s="64">
        <v>1.51</v>
      </c>
      <c r="J17" s="64">
        <v>0.1</v>
      </c>
      <c r="K17" s="64">
        <v>57.36</v>
      </c>
      <c r="L17" s="64">
        <v>19.809999999999999</v>
      </c>
      <c r="M17" s="64">
        <v>78.790000000000006</v>
      </c>
      <c r="N17" s="64">
        <v>23.1</v>
      </c>
      <c r="O17" s="64">
        <v>0</v>
      </c>
      <c r="P17" s="64">
        <v>1.17</v>
      </c>
      <c r="Q17" s="64">
        <v>8.25</v>
      </c>
      <c r="R17" s="198"/>
      <c r="S17" s="198"/>
      <c r="T17" s="198"/>
      <c r="U17" s="198"/>
    </row>
    <row r="18" spans="1:21" s="12" customFormat="1" x14ac:dyDescent="0.25">
      <c r="A18" s="213" t="s">
        <v>1888</v>
      </c>
      <c r="B18" s="64">
        <v>47.77</v>
      </c>
      <c r="C18" s="64">
        <v>49.26</v>
      </c>
      <c r="D18" s="64">
        <v>66.14</v>
      </c>
      <c r="E18" s="64">
        <v>0.21</v>
      </c>
      <c r="F18" s="64">
        <v>3.18</v>
      </c>
      <c r="G18" s="64">
        <v>75</v>
      </c>
      <c r="H18" s="64">
        <v>32.770000000000003</v>
      </c>
      <c r="I18" s="64">
        <v>1.49</v>
      </c>
      <c r="J18" s="64">
        <v>0.45</v>
      </c>
      <c r="K18" s="64">
        <v>111.11</v>
      </c>
      <c r="L18" s="64">
        <v>20.260000000000002</v>
      </c>
      <c r="M18" s="64">
        <v>74.3</v>
      </c>
      <c r="N18" s="64">
        <v>21.7</v>
      </c>
      <c r="O18" s="64">
        <v>0</v>
      </c>
      <c r="P18" s="64">
        <v>1.1599999999999999</v>
      </c>
      <c r="Q18" s="64">
        <v>8.1300000000000008</v>
      </c>
      <c r="R18" s="198"/>
      <c r="S18" s="198"/>
      <c r="T18" s="198"/>
      <c r="U18" s="198"/>
    </row>
    <row r="19" spans="1:21" s="12" customFormat="1" x14ac:dyDescent="0.25">
      <c r="A19" s="213" t="s">
        <v>1889</v>
      </c>
      <c r="B19" s="64">
        <v>46.65</v>
      </c>
      <c r="C19" s="64">
        <v>49.23</v>
      </c>
      <c r="D19" s="64">
        <v>65.23</v>
      </c>
      <c r="E19" s="64">
        <v>0.15</v>
      </c>
      <c r="F19" s="64">
        <v>3.2</v>
      </c>
      <c r="G19" s="64">
        <v>73.22</v>
      </c>
      <c r="H19" s="64">
        <v>32.36</v>
      </c>
      <c r="I19" s="64">
        <v>1.55</v>
      </c>
      <c r="J19" s="64">
        <v>0.22</v>
      </c>
      <c r="K19" s="64">
        <v>190.01</v>
      </c>
      <c r="L19" s="64">
        <v>20.27</v>
      </c>
      <c r="M19" s="64">
        <v>76.08</v>
      </c>
      <c r="N19" s="64">
        <v>22.7</v>
      </c>
      <c r="O19" s="64">
        <v>0</v>
      </c>
      <c r="P19" s="64">
        <v>1.1299999999999999</v>
      </c>
      <c r="Q19" s="64">
        <v>8.0500000000000007</v>
      </c>
      <c r="R19" s="198"/>
      <c r="S19" s="198"/>
      <c r="T19" s="198"/>
      <c r="U19" s="198"/>
    </row>
    <row r="20" spans="1:21" s="12" customFormat="1" x14ac:dyDescent="0.25">
      <c r="A20" s="213" t="s">
        <v>1890</v>
      </c>
      <c r="B20" s="64">
        <v>45.54</v>
      </c>
      <c r="C20" s="64">
        <v>48.63</v>
      </c>
      <c r="D20" s="64">
        <v>64.010000000000005</v>
      </c>
      <c r="E20" s="64">
        <v>0.2</v>
      </c>
      <c r="F20" s="64">
        <v>3.25</v>
      </c>
      <c r="G20" s="64">
        <v>67.010000000000005</v>
      </c>
      <c r="H20" s="64">
        <v>31.39</v>
      </c>
      <c r="I20" s="64">
        <v>1.46</v>
      </c>
      <c r="J20" s="64">
        <v>0.1</v>
      </c>
      <c r="K20" s="64">
        <v>32.21</v>
      </c>
      <c r="L20" s="64">
        <v>19.88</v>
      </c>
      <c r="M20" s="64">
        <v>79.819999999999993</v>
      </c>
      <c r="N20" s="64">
        <v>23.4</v>
      </c>
      <c r="O20" s="64">
        <v>0</v>
      </c>
      <c r="P20" s="64">
        <v>1.1100000000000001</v>
      </c>
      <c r="Q20" s="64">
        <v>8.01</v>
      </c>
      <c r="R20" s="198"/>
      <c r="S20" s="198"/>
      <c r="T20" s="198"/>
      <c r="U20" s="198"/>
    </row>
    <row r="21" spans="1:21" s="12" customFormat="1" x14ac:dyDescent="0.25">
      <c r="A21" s="213" t="s">
        <v>1891</v>
      </c>
      <c r="B21" s="64">
        <v>44.52</v>
      </c>
      <c r="C21" s="64">
        <v>48.54</v>
      </c>
      <c r="D21" s="64">
        <v>63.14</v>
      </c>
      <c r="E21" s="64">
        <v>0.24</v>
      </c>
      <c r="F21" s="64">
        <v>3.22</v>
      </c>
      <c r="G21" s="64">
        <v>67.010000000000005</v>
      </c>
      <c r="H21" s="64">
        <v>31.39</v>
      </c>
      <c r="I21" s="64">
        <v>1.55</v>
      </c>
      <c r="J21" s="64">
        <v>0.1</v>
      </c>
      <c r="K21" s="64">
        <v>328.45</v>
      </c>
      <c r="L21" s="64">
        <v>19.37</v>
      </c>
      <c r="M21" s="64">
        <v>81.069999999999993</v>
      </c>
      <c r="N21" s="64">
        <v>23.2</v>
      </c>
      <c r="O21" s="64">
        <v>0</v>
      </c>
      <c r="P21" s="64">
        <v>1.1000000000000001</v>
      </c>
      <c r="Q21" s="64">
        <v>7.9</v>
      </c>
      <c r="R21" s="198"/>
      <c r="S21" s="198"/>
      <c r="T21" s="198"/>
      <c r="U21" s="198"/>
    </row>
    <row r="22" spans="1:21" s="12" customFormat="1" x14ac:dyDescent="0.25">
      <c r="A22" s="213" t="s">
        <v>1892</v>
      </c>
      <c r="B22" s="64">
        <v>43.57</v>
      </c>
      <c r="C22" s="64">
        <v>47.92</v>
      </c>
      <c r="D22" s="64">
        <v>62.03</v>
      </c>
      <c r="E22" s="64">
        <v>0.2</v>
      </c>
      <c r="F22" s="64">
        <v>3.25</v>
      </c>
      <c r="G22" s="64">
        <v>67.010000000000005</v>
      </c>
      <c r="H22" s="64">
        <v>31.39</v>
      </c>
      <c r="I22" s="64">
        <v>1.42</v>
      </c>
      <c r="J22" s="64">
        <v>0.11</v>
      </c>
      <c r="K22" s="64">
        <v>279.58</v>
      </c>
      <c r="L22" s="64">
        <v>18.98</v>
      </c>
      <c r="M22" s="64">
        <v>84.8</v>
      </c>
      <c r="N22" s="64">
        <v>23.2</v>
      </c>
      <c r="O22" s="64">
        <v>0</v>
      </c>
      <c r="P22" s="64">
        <v>1.08</v>
      </c>
      <c r="Q22" s="64">
        <v>7.78</v>
      </c>
      <c r="R22" s="198"/>
      <c r="S22" s="198"/>
      <c r="T22" s="198"/>
      <c r="U22" s="198"/>
    </row>
    <row r="23" spans="1:21" s="12" customFormat="1" x14ac:dyDescent="0.25">
      <c r="A23" s="213" t="s">
        <v>1893</v>
      </c>
      <c r="B23" s="64">
        <v>42.92</v>
      </c>
      <c r="C23" s="64">
        <v>48.13</v>
      </c>
      <c r="D23" s="64">
        <v>61.63</v>
      </c>
      <c r="E23" s="64">
        <v>0.24</v>
      </c>
      <c r="F23" s="64">
        <v>3.2</v>
      </c>
      <c r="G23" s="64">
        <v>69.73</v>
      </c>
      <c r="H23" s="64">
        <v>31.41</v>
      </c>
      <c r="I23" s="64">
        <v>1.45</v>
      </c>
      <c r="J23" s="64">
        <v>0.1</v>
      </c>
      <c r="K23" s="64">
        <v>271.7</v>
      </c>
      <c r="L23" s="64">
        <v>18.670000000000002</v>
      </c>
      <c r="M23" s="64">
        <v>86.81</v>
      </c>
      <c r="N23" s="64">
        <v>23.1</v>
      </c>
      <c r="O23" s="64">
        <v>0</v>
      </c>
      <c r="P23" s="64">
        <v>1.07</v>
      </c>
      <c r="Q23" s="64">
        <v>7.74</v>
      </c>
      <c r="R23" s="198"/>
      <c r="S23" s="198"/>
      <c r="T23" s="198"/>
      <c r="U23" s="198"/>
    </row>
    <row r="24" spans="1:21" s="12" customFormat="1" x14ac:dyDescent="0.25">
      <c r="A24" s="213" t="s">
        <v>1894</v>
      </c>
      <c r="B24" s="64">
        <v>42.55</v>
      </c>
      <c r="C24" s="64">
        <v>47.77</v>
      </c>
      <c r="D24" s="64">
        <v>61.13</v>
      </c>
      <c r="E24" s="64">
        <v>0.12</v>
      </c>
      <c r="F24" s="64">
        <v>3.12</v>
      </c>
      <c r="G24" s="64">
        <v>79.260000000000005</v>
      </c>
      <c r="H24" s="64">
        <v>31.51</v>
      </c>
      <c r="I24" s="64">
        <v>1.47</v>
      </c>
      <c r="J24" s="64">
        <v>7.0000000000000007E-2</v>
      </c>
      <c r="K24" s="64">
        <v>107.01</v>
      </c>
      <c r="L24" s="64">
        <v>18.809999999999999</v>
      </c>
      <c r="M24" s="64">
        <v>86</v>
      </c>
      <c r="N24" s="64">
        <v>22.6</v>
      </c>
      <c r="O24" s="64">
        <v>0</v>
      </c>
      <c r="P24" s="64">
        <v>1.06</v>
      </c>
      <c r="Q24" s="64">
        <v>7.78</v>
      </c>
      <c r="R24" s="198"/>
      <c r="S24" s="198"/>
      <c r="T24" s="198"/>
      <c r="U24" s="198"/>
    </row>
    <row r="25" spans="1:21" s="12" customFormat="1" x14ac:dyDescent="0.25">
      <c r="A25" s="213" t="s">
        <v>1895</v>
      </c>
      <c r="B25" s="64">
        <v>42.13</v>
      </c>
      <c r="C25" s="64">
        <v>47.63</v>
      </c>
      <c r="D25" s="64">
        <v>60.72</v>
      </c>
      <c r="E25" s="64">
        <v>0.2</v>
      </c>
      <c r="F25" s="64">
        <v>3.18</v>
      </c>
      <c r="G25" s="64">
        <v>79.260000000000005</v>
      </c>
      <c r="H25" s="64">
        <v>31.51</v>
      </c>
      <c r="I25" s="64">
        <v>1.47</v>
      </c>
      <c r="J25" s="64">
        <v>0.18</v>
      </c>
      <c r="K25" s="64">
        <v>184.28</v>
      </c>
      <c r="L25" s="64">
        <v>19.27</v>
      </c>
      <c r="M25" s="64">
        <v>83.83</v>
      </c>
      <c r="N25" s="64">
        <v>22</v>
      </c>
      <c r="O25" s="64">
        <v>0</v>
      </c>
      <c r="P25" s="64">
        <v>1.04</v>
      </c>
      <c r="Q25" s="64">
        <v>7.7</v>
      </c>
      <c r="R25" s="198"/>
      <c r="S25" s="198"/>
      <c r="T25" s="198"/>
      <c r="U25" s="198"/>
    </row>
    <row r="26" spans="1:21" s="12" customFormat="1" x14ac:dyDescent="0.25">
      <c r="A26" s="213" t="s">
        <v>1896</v>
      </c>
      <c r="B26" s="64">
        <v>41.38</v>
      </c>
      <c r="C26" s="64">
        <v>47.71</v>
      </c>
      <c r="D26" s="64">
        <v>60.16</v>
      </c>
      <c r="E26" s="64">
        <v>0.21</v>
      </c>
      <c r="F26" s="64">
        <v>3.7</v>
      </c>
      <c r="G26" s="64">
        <v>79.260000000000005</v>
      </c>
      <c r="H26" s="64">
        <v>31.51</v>
      </c>
      <c r="I26" s="64">
        <v>1.44</v>
      </c>
      <c r="J26" s="64">
        <v>0.35</v>
      </c>
      <c r="K26" s="64">
        <v>205.73</v>
      </c>
      <c r="L26" s="64">
        <v>19.440000000000001</v>
      </c>
      <c r="M26" s="64">
        <v>79.41</v>
      </c>
      <c r="N26" s="64">
        <v>22.6</v>
      </c>
      <c r="O26" s="64">
        <v>0</v>
      </c>
      <c r="P26" s="64">
        <v>1.03</v>
      </c>
      <c r="Q26" s="64">
        <v>7.63</v>
      </c>
      <c r="R26" s="198"/>
      <c r="S26" s="198"/>
      <c r="T26" s="198"/>
      <c r="U26" s="198"/>
    </row>
    <row r="27" spans="1:21" s="12" customFormat="1" x14ac:dyDescent="0.25">
      <c r="A27" s="213" t="s">
        <v>1897</v>
      </c>
      <c r="B27" s="64">
        <v>39.93</v>
      </c>
      <c r="C27" s="64">
        <v>47.5</v>
      </c>
      <c r="D27" s="64">
        <v>58.88</v>
      </c>
      <c r="E27" s="64">
        <v>0.25</v>
      </c>
      <c r="F27" s="64">
        <v>3.2</v>
      </c>
      <c r="G27" s="64">
        <v>79.11</v>
      </c>
      <c r="H27" s="64">
        <v>31.34</v>
      </c>
      <c r="I27" s="64">
        <v>1.51</v>
      </c>
      <c r="J27" s="64">
        <v>0.12</v>
      </c>
      <c r="K27" s="64">
        <v>155.22</v>
      </c>
      <c r="L27" s="64">
        <v>19.11</v>
      </c>
      <c r="M27" s="64">
        <v>79.64</v>
      </c>
      <c r="N27" s="64">
        <v>23.3</v>
      </c>
      <c r="O27" s="64">
        <v>0</v>
      </c>
      <c r="P27" s="64">
        <v>1.01</v>
      </c>
      <c r="Q27" s="64">
        <v>7.57</v>
      </c>
      <c r="R27" s="198"/>
      <c r="S27" s="198"/>
      <c r="T27" s="198"/>
      <c r="U27" s="198"/>
    </row>
    <row r="28" spans="1:21" s="12" customFormat="1" x14ac:dyDescent="0.25">
      <c r="A28" s="213" t="s">
        <v>1898</v>
      </c>
      <c r="B28" s="64">
        <v>38.979999999999997</v>
      </c>
      <c r="C28" s="64">
        <v>47.55</v>
      </c>
      <c r="D28" s="64">
        <v>58.15</v>
      </c>
      <c r="E28" s="64">
        <v>0.16</v>
      </c>
      <c r="F28" s="64">
        <v>3.29</v>
      </c>
      <c r="G28" s="64">
        <v>78.58</v>
      </c>
      <c r="H28" s="64">
        <v>30.92</v>
      </c>
      <c r="I28" s="64">
        <v>1.52</v>
      </c>
      <c r="J28" s="64">
        <v>0.24</v>
      </c>
      <c r="K28" s="64">
        <v>111.59</v>
      </c>
      <c r="L28" s="64">
        <v>18.84</v>
      </c>
      <c r="M28" s="64">
        <v>84.39</v>
      </c>
      <c r="N28" s="64">
        <v>23.3</v>
      </c>
      <c r="O28" s="64">
        <v>0</v>
      </c>
      <c r="P28" s="64">
        <v>0.99</v>
      </c>
      <c r="Q28" s="64">
        <v>7.49</v>
      </c>
      <c r="R28" s="198"/>
      <c r="S28" s="198"/>
      <c r="T28" s="198"/>
      <c r="U28" s="198"/>
    </row>
    <row r="29" spans="1:21" s="12" customFormat="1" x14ac:dyDescent="0.25">
      <c r="A29" s="213" t="s">
        <v>1899</v>
      </c>
      <c r="B29" s="64">
        <v>38.28</v>
      </c>
      <c r="C29" s="64">
        <v>47.03</v>
      </c>
      <c r="D29" s="64">
        <v>57.3</v>
      </c>
      <c r="E29" s="64">
        <v>0.22</v>
      </c>
      <c r="F29" s="64">
        <v>3.78</v>
      </c>
      <c r="G29" s="64">
        <v>78.58</v>
      </c>
      <c r="H29" s="64">
        <v>30.92</v>
      </c>
      <c r="I29" s="64">
        <v>1.45</v>
      </c>
      <c r="J29" s="64">
        <v>0.09</v>
      </c>
      <c r="K29" s="64">
        <v>93.69</v>
      </c>
      <c r="L29" s="64">
        <v>18.96</v>
      </c>
      <c r="M29" s="64">
        <v>85.32</v>
      </c>
      <c r="N29" s="64">
        <v>23</v>
      </c>
      <c r="O29" s="64">
        <v>0</v>
      </c>
      <c r="P29" s="64">
        <v>0.98</v>
      </c>
      <c r="Q29" s="64">
        <v>7.44</v>
      </c>
      <c r="R29" s="198"/>
      <c r="S29" s="198"/>
      <c r="T29" s="198"/>
      <c r="U29" s="198"/>
    </row>
    <row r="30" spans="1:21" s="12" customFormat="1" x14ac:dyDescent="0.25">
      <c r="A30" s="213" t="s">
        <v>1900</v>
      </c>
      <c r="B30" s="64">
        <v>38.049999999999997</v>
      </c>
      <c r="C30" s="64">
        <v>47.2</v>
      </c>
      <c r="D30" s="64">
        <v>57.21</v>
      </c>
      <c r="E30" s="64">
        <v>0.28000000000000003</v>
      </c>
      <c r="F30" s="64">
        <v>3.7</v>
      </c>
      <c r="G30" s="64">
        <v>78.58</v>
      </c>
      <c r="H30" s="64">
        <v>30.92</v>
      </c>
      <c r="I30" s="64">
        <v>1.47</v>
      </c>
      <c r="J30" s="64">
        <v>0.02</v>
      </c>
      <c r="K30" s="64">
        <v>226.66</v>
      </c>
      <c r="L30" s="64">
        <v>18.89</v>
      </c>
      <c r="M30" s="64">
        <v>87.15</v>
      </c>
      <c r="N30" s="64">
        <v>23.3</v>
      </c>
      <c r="O30" s="64">
        <v>0</v>
      </c>
      <c r="P30" s="64">
        <v>0.96</v>
      </c>
      <c r="Q30" s="64">
        <v>7.34</v>
      </c>
      <c r="R30" s="198"/>
      <c r="S30" s="198"/>
      <c r="T30" s="198"/>
      <c r="U30" s="198"/>
    </row>
    <row r="31" spans="1:21" s="12" customFormat="1" x14ac:dyDescent="0.25">
      <c r="A31" s="213" t="s">
        <v>1901</v>
      </c>
      <c r="B31" s="64">
        <v>38.020000000000003</v>
      </c>
      <c r="C31" s="64">
        <v>46.82</v>
      </c>
      <c r="D31" s="64">
        <v>56.97</v>
      </c>
      <c r="E31" s="64">
        <v>0.24</v>
      </c>
      <c r="F31" s="64">
        <v>3.25</v>
      </c>
      <c r="G31" s="64">
        <v>76.37</v>
      </c>
      <c r="H31" s="64">
        <v>30.97</v>
      </c>
      <c r="I31" s="64">
        <v>1.53</v>
      </c>
      <c r="J31" s="64">
        <v>0.16</v>
      </c>
      <c r="K31" s="64">
        <v>106.76</v>
      </c>
      <c r="L31" s="64">
        <v>18.98</v>
      </c>
      <c r="M31" s="64">
        <v>84.13</v>
      </c>
      <c r="N31" s="64">
        <v>22.8</v>
      </c>
      <c r="O31" s="64">
        <v>0</v>
      </c>
      <c r="P31" s="64">
        <v>0.95</v>
      </c>
      <c r="Q31" s="64">
        <v>7.35</v>
      </c>
      <c r="R31" s="198"/>
      <c r="S31" s="198"/>
      <c r="T31" s="198"/>
      <c r="U31" s="198"/>
    </row>
    <row r="32" spans="1:21" s="12" customFormat="1" x14ac:dyDescent="0.25">
      <c r="A32" s="213" t="s">
        <v>1902</v>
      </c>
      <c r="B32" s="64">
        <v>38.1</v>
      </c>
      <c r="C32" s="64">
        <v>47.25</v>
      </c>
      <c r="D32" s="64">
        <v>57.27</v>
      </c>
      <c r="E32" s="64">
        <v>0.31</v>
      </c>
      <c r="F32" s="64">
        <v>3.11</v>
      </c>
      <c r="G32" s="64">
        <v>68.62</v>
      </c>
      <c r="H32" s="64">
        <v>31.09</v>
      </c>
      <c r="I32" s="64">
        <v>1.5</v>
      </c>
      <c r="J32" s="64">
        <v>0.02</v>
      </c>
      <c r="K32" s="64">
        <v>90.52</v>
      </c>
      <c r="L32" s="64">
        <v>19.260000000000002</v>
      </c>
      <c r="M32" s="64">
        <v>84.13</v>
      </c>
      <c r="N32" s="64">
        <v>23.1</v>
      </c>
      <c r="O32" s="64">
        <v>0</v>
      </c>
      <c r="P32" s="64">
        <v>0.93</v>
      </c>
      <c r="Q32" s="64">
        <v>7.35</v>
      </c>
      <c r="R32" s="198"/>
      <c r="S32" s="198"/>
      <c r="T32" s="198"/>
      <c r="U32" s="198"/>
    </row>
    <row r="33" spans="1:21" s="12" customFormat="1" x14ac:dyDescent="0.25">
      <c r="A33" s="213" t="s">
        <v>1903</v>
      </c>
      <c r="B33" s="64">
        <v>39.090000000000003</v>
      </c>
      <c r="C33" s="64">
        <v>47.22</v>
      </c>
      <c r="D33" s="64">
        <v>58.05</v>
      </c>
      <c r="E33" s="64">
        <v>0.23</v>
      </c>
      <c r="F33" s="64">
        <v>3.04</v>
      </c>
      <c r="G33" s="64">
        <v>68.62</v>
      </c>
      <c r="H33" s="64">
        <v>31.09</v>
      </c>
      <c r="I33" s="64">
        <v>1.48</v>
      </c>
      <c r="J33" s="64">
        <v>0.11</v>
      </c>
      <c r="K33" s="64">
        <v>217.93</v>
      </c>
      <c r="L33" s="64">
        <v>19.29</v>
      </c>
      <c r="M33" s="64">
        <v>84.38</v>
      </c>
      <c r="N33" s="64">
        <v>23.2</v>
      </c>
      <c r="O33" s="64">
        <v>0</v>
      </c>
      <c r="P33" s="64">
        <v>0.94</v>
      </c>
      <c r="Q33" s="64">
        <v>7.4</v>
      </c>
      <c r="R33" s="198"/>
      <c r="S33" s="198"/>
      <c r="T33" s="198"/>
      <c r="U33" s="198"/>
    </row>
    <row r="34" spans="1:21" s="12" customFormat="1" x14ac:dyDescent="0.25">
      <c r="A34" s="213" t="s">
        <v>1904</v>
      </c>
      <c r="B34" s="64">
        <v>40.520000000000003</v>
      </c>
      <c r="C34" s="64">
        <v>47.23</v>
      </c>
      <c r="D34" s="64">
        <v>59.21</v>
      </c>
      <c r="E34" s="64">
        <v>0.26</v>
      </c>
      <c r="F34" s="64">
        <v>3.26</v>
      </c>
      <c r="G34" s="64">
        <v>68.62</v>
      </c>
      <c r="H34" s="64">
        <v>31.09</v>
      </c>
      <c r="I34" s="64">
        <v>1.46</v>
      </c>
      <c r="J34" s="64">
        <v>0.05</v>
      </c>
      <c r="K34" s="64">
        <v>135</v>
      </c>
      <c r="L34" s="64">
        <v>19.309999999999999</v>
      </c>
      <c r="M34" s="64">
        <v>84.9</v>
      </c>
      <c r="N34" s="64">
        <v>24.8</v>
      </c>
      <c r="O34" s="64">
        <v>0</v>
      </c>
      <c r="P34" s="64">
        <v>0.94</v>
      </c>
      <c r="Q34" s="64">
        <v>7.41</v>
      </c>
      <c r="R34" s="198"/>
      <c r="S34" s="198"/>
      <c r="T34" s="198"/>
      <c r="U34" s="198"/>
    </row>
    <row r="35" spans="1:21" s="12" customFormat="1" x14ac:dyDescent="0.25">
      <c r="A35" s="213" t="s">
        <v>1905</v>
      </c>
      <c r="B35" s="64">
        <v>41.47</v>
      </c>
      <c r="C35" s="64">
        <v>48.08</v>
      </c>
      <c r="D35" s="64">
        <v>60.43</v>
      </c>
      <c r="E35" s="64">
        <v>0.26</v>
      </c>
      <c r="F35" s="64">
        <v>3.39</v>
      </c>
      <c r="G35" s="64">
        <v>71.63</v>
      </c>
      <c r="H35" s="64">
        <v>31.35</v>
      </c>
      <c r="I35" s="64">
        <v>1.51</v>
      </c>
      <c r="J35" s="64">
        <v>7.0000000000000007E-2</v>
      </c>
      <c r="K35" s="64">
        <v>161.4</v>
      </c>
      <c r="L35" s="64">
        <v>19.62</v>
      </c>
      <c r="M35" s="64">
        <v>81.53</v>
      </c>
      <c r="N35" s="64">
        <v>29.4</v>
      </c>
      <c r="O35" s="64">
        <v>0</v>
      </c>
      <c r="P35" s="64">
        <v>0.93</v>
      </c>
      <c r="Q35" s="64">
        <v>7.52</v>
      </c>
      <c r="R35" s="198"/>
      <c r="S35" s="198"/>
      <c r="T35" s="198"/>
      <c r="U35" s="198"/>
    </row>
    <row r="36" spans="1:21" s="12" customFormat="1" x14ac:dyDescent="0.25">
      <c r="A36" s="213" t="s">
        <v>1906</v>
      </c>
      <c r="B36" s="64">
        <v>42.13</v>
      </c>
      <c r="C36" s="64">
        <v>47.71</v>
      </c>
      <c r="D36" s="64">
        <v>60.76</v>
      </c>
      <c r="E36" s="64">
        <v>0.28000000000000003</v>
      </c>
      <c r="F36" s="64">
        <v>2.82</v>
      </c>
      <c r="G36" s="64">
        <v>82.18</v>
      </c>
      <c r="H36" s="64">
        <v>31.96</v>
      </c>
      <c r="I36" s="64">
        <v>1.5</v>
      </c>
      <c r="J36" s="64">
        <v>0.22</v>
      </c>
      <c r="K36" s="64">
        <v>175.22</v>
      </c>
      <c r="L36" s="64">
        <v>19.73</v>
      </c>
      <c r="M36" s="64">
        <v>81.7</v>
      </c>
      <c r="N36" s="64">
        <v>44.4</v>
      </c>
      <c r="O36" s="64">
        <v>0</v>
      </c>
      <c r="P36" s="64">
        <v>0.92</v>
      </c>
      <c r="Q36" s="64">
        <v>7.59</v>
      </c>
      <c r="R36" s="198"/>
      <c r="S36" s="198"/>
      <c r="T36" s="198"/>
      <c r="U36" s="198"/>
    </row>
    <row r="37" spans="1:21" s="12" customFormat="1" x14ac:dyDescent="0.25">
      <c r="A37" s="213" t="s">
        <v>1907</v>
      </c>
      <c r="B37" s="64">
        <v>42.32</v>
      </c>
      <c r="C37" s="64">
        <v>47.56</v>
      </c>
      <c r="D37" s="64">
        <v>60.83</v>
      </c>
      <c r="E37" s="64">
        <v>0.28999999999999998</v>
      </c>
      <c r="F37" s="64">
        <v>3.26</v>
      </c>
      <c r="G37" s="64">
        <v>82.18</v>
      </c>
      <c r="H37" s="64">
        <v>31.96</v>
      </c>
      <c r="I37" s="64">
        <v>1.51</v>
      </c>
      <c r="J37" s="64">
        <v>0.16</v>
      </c>
      <c r="K37" s="64">
        <v>144.69</v>
      </c>
      <c r="L37" s="64">
        <v>19.8</v>
      </c>
      <c r="M37" s="64">
        <v>80.23</v>
      </c>
      <c r="N37" s="64">
        <v>65.599999999999994</v>
      </c>
      <c r="O37" s="64">
        <v>0</v>
      </c>
      <c r="P37" s="64">
        <v>0.91</v>
      </c>
      <c r="Q37" s="64">
        <v>7.6</v>
      </c>
      <c r="R37" s="198"/>
      <c r="S37" s="198"/>
      <c r="T37" s="198"/>
      <c r="U37" s="198"/>
    </row>
    <row r="38" spans="1:21" s="12" customFormat="1" x14ac:dyDescent="0.25">
      <c r="A38" s="213" t="s">
        <v>1908</v>
      </c>
      <c r="B38" s="64">
        <v>42.02</v>
      </c>
      <c r="C38" s="64">
        <v>47.45</v>
      </c>
      <c r="D38" s="64">
        <v>60.53</v>
      </c>
      <c r="E38" s="64">
        <v>0.24</v>
      </c>
      <c r="F38" s="64">
        <v>3.33</v>
      </c>
      <c r="G38" s="64">
        <v>82.18</v>
      </c>
      <c r="H38" s="64">
        <v>31.96</v>
      </c>
      <c r="I38" s="64">
        <v>1.51</v>
      </c>
      <c r="J38" s="64">
        <v>0.45</v>
      </c>
      <c r="K38" s="64">
        <v>158.21</v>
      </c>
      <c r="L38" s="64">
        <v>20</v>
      </c>
      <c r="M38" s="64">
        <v>78.209999999999994</v>
      </c>
      <c r="N38" s="64">
        <v>85.8</v>
      </c>
      <c r="O38" s="64">
        <v>0</v>
      </c>
      <c r="P38" s="64">
        <v>0.95</v>
      </c>
      <c r="Q38" s="64">
        <v>7.62</v>
      </c>
      <c r="R38" s="198"/>
      <c r="S38" s="198"/>
      <c r="T38" s="198"/>
      <c r="U38" s="198"/>
    </row>
    <row r="39" spans="1:21" s="12" customFormat="1" x14ac:dyDescent="0.25">
      <c r="A39" s="213" t="s">
        <v>1909</v>
      </c>
      <c r="B39" s="64">
        <v>41.85</v>
      </c>
      <c r="C39" s="64">
        <v>47.75</v>
      </c>
      <c r="D39" s="64">
        <v>60.56</v>
      </c>
      <c r="E39" s="64">
        <v>0.35</v>
      </c>
      <c r="F39" s="64">
        <v>3.31</v>
      </c>
      <c r="G39" s="64">
        <v>82.78</v>
      </c>
      <c r="H39" s="64">
        <v>32.43</v>
      </c>
      <c r="I39" s="64">
        <v>1.55</v>
      </c>
      <c r="J39" s="64">
        <v>0.27</v>
      </c>
      <c r="K39" s="64">
        <v>174.47</v>
      </c>
      <c r="L39" s="64">
        <v>20.420000000000002</v>
      </c>
      <c r="M39" s="64">
        <v>75.989999999999995</v>
      </c>
      <c r="N39" s="64">
        <v>103.3</v>
      </c>
      <c r="O39" s="64">
        <v>0</v>
      </c>
      <c r="P39" s="64">
        <v>0.95</v>
      </c>
      <c r="Q39" s="64">
        <v>7.6</v>
      </c>
      <c r="R39" s="198"/>
      <c r="S39" s="198"/>
      <c r="T39" s="198"/>
      <c r="U39" s="198"/>
    </row>
    <row r="40" spans="1:21" s="12" customFormat="1" x14ac:dyDescent="0.25">
      <c r="A40" s="213" t="s">
        <v>1910</v>
      </c>
      <c r="B40" s="64">
        <v>40.86</v>
      </c>
      <c r="C40" s="64">
        <v>48.45</v>
      </c>
      <c r="D40" s="64">
        <v>60.15</v>
      </c>
      <c r="E40" s="64">
        <v>0.05</v>
      </c>
      <c r="F40" s="64">
        <v>3.01</v>
      </c>
      <c r="G40" s="64">
        <v>84.9</v>
      </c>
      <c r="H40" s="64">
        <v>34.44</v>
      </c>
      <c r="I40" s="64">
        <v>1.48</v>
      </c>
      <c r="J40" s="64">
        <v>0.41</v>
      </c>
      <c r="K40" s="64">
        <v>173.28</v>
      </c>
      <c r="L40" s="64">
        <v>20.190000000000001</v>
      </c>
      <c r="M40" s="64">
        <v>76.94</v>
      </c>
      <c r="N40" s="64">
        <v>152.6</v>
      </c>
      <c r="O40" s="64">
        <v>0</v>
      </c>
      <c r="P40" s="64">
        <v>0.94</v>
      </c>
      <c r="Q40" s="64">
        <v>7.63</v>
      </c>
      <c r="R40" s="198"/>
      <c r="S40" s="198"/>
      <c r="T40" s="198"/>
      <c r="U40" s="198"/>
    </row>
    <row r="41" spans="1:21" s="12" customFormat="1" x14ac:dyDescent="0.25">
      <c r="A41" s="213" t="s">
        <v>1911</v>
      </c>
      <c r="B41" s="64">
        <v>38.82</v>
      </c>
      <c r="C41" s="64">
        <v>48.36</v>
      </c>
      <c r="D41" s="64">
        <v>58.46</v>
      </c>
      <c r="E41" s="64">
        <v>0.12</v>
      </c>
      <c r="F41" s="64">
        <v>3.28</v>
      </c>
      <c r="G41" s="64">
        <v>84.9</v>
      </c>
      <c r="H41" s="64">
        <v>34.44</v>
      </c>
      <c r="I41" s="64">
        <v>1.52</v>
      </c>
      <c r="J41" s="64">
        <v>0.73</v>
      </c>
      <c r="K41" s="64">
        <v>150.38999999999999</v>
      </c>
      <c r="L41" s="64">
        <v>20.57</v>
      </c>
      <c r="M41" s="64">
        <v>75.92</v>
      </c>
      <c r="N41" s="64">
        <v>203.2</v>
      </c>
      <c r="O41" s="64">
        <v>0</v>
      </c>
      <c r="P41" s="64">
        <v>0.93</v>
      </c>
      <c r="Q41" s="64">
        <v>7.6</v>
      </c>
      <c r="R41" s="198"/>
      <c r="S41" s="198"/>
      <c r="T41" s="198"/>
      <c r="U41" s="198"/>
    </row>
    <row r="42" spans="1:21" s="12" customFormat="1" x14ac:dyDescent="0.25">
      <c r="A42" s="213" t="s">
        <v>1912</v>
      </c>
      <c r="B42" s="64">
        <v>37.090000000000003</v>
      </c>
      <c r="C42" s="64">
        <v>48.84</v>
      </c>
      <c r="D42" s="64">
        <v>57.34</v>
      </c>
      <c r="E42" s="64">
        <v>0.17</v>
      </c>
      <c r="F42" s="64">
        <v>3.52</v>
      </c>
      <c r="G42" s="64">
        <v>84.9</v>
      </c>
      <c r="H42" s="64">
        <v>34.44</v>
      </c>
      <c r="I42" s="64">
        <v>1.56</v>
      </c>
      <c r="J42" s="64">
        <v>0.26</v>
      </c>
      <c r="K42" s="64">
        <v>170.61</v>
      </c>
      <c r="L42" s="64">
        <v>20.57</v>
      </c>
      <c r="M42" s="64">
        <v>76.58</v>
      </c>
      <c r="N42" s="64">
        <v>168.1</v>
      </c>
      <c r="O42" s="64">
        <v>0</v>
      </c>
      <c r="P42" s="64">
        <v>0.91</v>
      </c>
      <c r="Q42" s="64">
        <v>7.47</v>
      </c>
      <c r="R42" s="198"/>
      <c r="S42" s="198"/>
      <c r="T42" s="198"/>
      <c r="U42" s="198"/>
    </row>
    <row r="43" spans="1:21" s="12" customFormat="1" x14ac:dyDescent="0.25">
      <c r="A43" s="213" t="s">
        <v>1913</v>
      </c>
      <c r="B43" s="64">
        <v>34.89</v>
      </c>
      <c r="C43" s="64">
        <v>48.75</v>
      </c>
      <c r="D43" s="64">
        <v>55.53</v>
      </c>
      <c r="E43" s="64">
        <v>0.19</v>
      </c>
      <c r="F43" s="64">
        <v>3.04</v>
      </c>
      <c r="G43" s="64">
        <v>82.02</v>
      </c>
      <c r="H43" s="64">
        <v>33.31</v>
      </c>
      <c r="I43" s="64">
        <v>1.53</v>
      </c>
      <c r="J43" s="64">
        <v>0.68</v>
      </c>
      <c r="K43" s="64">
        <v>157.38</v>
      </c>
      <c r="L43" s="64">
        <v>20.77</v>
      </c>
      <c r="M43" s="64">
        <v>76.02</v>
      </c>
      <c r="N43" s="64">
        <v>200.8</v>
      </c>
      <c r="O43" s="64">
        <v>0</v>
      </c>
      <c r="P43" s="64">
        <v>0.9</v>
      </c>
      <c r="Q43" s="64">
        <v>7.38</v>
      </c>
      <c r="R43" s="198"/>
      <c r="S43" s="198"/>
      <c r="T43" s="198"/>
      <c r="U43" s="198"/>
    </row>
    <row r="44" spans="1:21" s="12" customFormat="1" x14ac:dyDescent="0.25">
      <c r="A44" s="213" t="s">
        <v>1914</v>
      </c>
      <c r="B44" s="64">
        <v>32.869999999999997</v>
      </c>
      <c r="C44" s="64">
        <v>49.47</v>
      </c>
      <c r="D44" s="64">
        <v>54.3</v>
      </c>
      <c r="E44" s="64">
        <v>0.14000000000000001</v>
      </c>
      <c r="F44" s="64">
        <v>3.49</v>
      </c>
      <c r="G44" s="64">
        <v>71.92</v>
      </c>
      <c r="H44" s="64">
        <v>30.66</v>
      </c>
      <c r="I44" s="64">
        <v>1.45</v>
      </c>
      <c r="J44" s="64">
        <v>0.69</v>
      </c>
      <c r="K44" s="64">
        <v>158.63</v>
      </c>
      <c r="L44" s="64">
        <v>21.23</v>
      </c>
      <c r="M44" s="64">
        <v>73.22</v>
      </c>
      <c r="N44" s="64">
        <v>233.2</v>
      </c>
      <c r="O44" s="64">
        <v>0</v>
      </c>
      <c r="P44" s="64">
        <v>0.89</v>
      </c>
      <c r="Q44" s="64">
        <v>7.22</v>
      </c>
      <c r="R44" s="198"/>
      <c r="S44" s="198"/>
      <c r="T44" s="198"/>
      <c r="U44" s="198"/>
    </row>
    <row r="45" spans="1:21" s="12" customFormat="1" x14ac:dyDescent="0.25">
      <c r="A45" s="213" t="s">
        <v>1915</v>
      </c>
      <c r="B45" s="64">
        <v>30.72</v>
      </c>
      <c r="C45" s="64">
        <v>49.56</v>
      </c>
      <c r="D45" s="64">
        <v>52.63</v>
      </c>
      <c r="E45" s="64">
        <v>0.1</v>
      </c>
      <c r="F45" s="64">
        <v>3.25</v>
      </c>
      <c r="G45" s="64">
        <v>71.92</v>
      </c>
      <c r="H45" s="64">
        <v>30.66</v>
      </c>
      <c r="I45" s="64">
        <v>1.51</v>
      </c>
      <c r="J45" s="64">
        <v>1</v>
      </c>
      <c r="K45" s="64">
        <v>156.05000000000001</v>
      </c>
      <c r="L45" s="64">
        <v>21.64</v>
      </c>
      <c r="M45" s="64">
        <v>72.099999999999994</v>
      </c>
      <c r="N45" s="64">
        <v>237.8</v>
      </c>
      <c r="O45" s="64">
        <v>0</v>
      </c>
      <c r="P45" s="64">
        <v>0.87</v>
      </c>
      <c r="Q45" s="64">
        <v>7.08</v>
      </c>
      <c r="R45" s="198"/>
      <c r="S45" s="198"/>
      <c r="T45" s="198"/>
      <c r="U45" s="198"/>
    </row>
    <row r="46" spans="1:21" s="12" customFormat="1" x14ac:dyDescent="0.25">
      <c r="A46" s="213" t="s">
        <v>1916</v>
      </c>
      <c r="B46" s="64">
        <v>29.01</v>
      </c>
      <c r="C46" s="64">
        <v>50.51</v>
      </c>
      <c r="D46" s="64">
        <v>51.78</v>
      </c>
      <c r="E46" s="64">
        <v>0.13</v>
      </c>
      <c r="F46" s="64">
        <v>3.36</v>
      </c>
      <c r="G46" s="64">
        <v>71.92</v>
      </c>
      <c r="H46" s="64">
        <v>30.66</v>
      </c>
      <c r="I46" s="64">
        <v>1.47</v>
      </c>
      <c r="J46" s="64">
        <v>0.9</v>
      </c>
      <c r="K46" s="64">
        <v>147.91999999999999</v>
      </c>
      <c r="L46" s="64">
        <v>22.34</v>
      </c>
      <c r="M46" s="64">
        <v>68.430000000000007</v>
      </c>
      <c r="N46" s="64">
        <v>291.2</v>
      </c>
      <c r="O46" s="64">
        <v>0</v>
      </c>
      <c r="P46" s="64">
        <v>0.86</v>
      </c>
      <c r="Q46" s="64">
        <v>6.87</v>
      </c>
      <c r="R46" s="198"/>
      <c r="S46" s="198"/>
      <c r="T46" s="198"/>
      <c r="U46" s="198"/>
    </row>
    <row r="47" spans="1:21" s="12" customFormat="1" x14ac:dyDescent="0.25">
      <c r="A47" s="213" t="s">
        <v>1917</v>
      </c>
      <c r="B47" s="64">
        <v>27.53</v>
      </c>
      <c r="C47" s="64">
        <v>50.52</v>
      </c>
      <c r="D47" s="64">
        <v>50.6</v>
      </c>
      <c r="E47" s="64">
        <v>0.12</v>
      </c>
      <c r="F47" s="64">
        <v>3.29</v>
      </c>
      <c r="G47" s="64">
        <v>69.290000000000006</v>
      </c>
      <c r="H47" s="64">
        <v>31.19</v>
      </c>
      <c r="I47" s="64">
        <v>1.5</v>
      </c>
      <c r="J47" s="64">
        <v>0.12</v>
      </c>
      <c r="K47" s="64">
        <v>157.62</v>
      </c>
      <c r="L47" s="64">
        <v>24</v>
      </c>
      <c r="M47" s="64">
        <v>61.04</v>
      </c>
      <c r="N47" s="64">
        <v>456.2</v>
      </c>
      <c r="O47" s="64">
        <v>0</v>
      </c>
      <c r="P47" s="64">
        <v>0.85</v>
      </c>
      <c r="Q47" s="64">
        <v>6.49</v>
      </c>
      <c r="R47" s="198"/>
      <c r="S47" s="198"/>
      <c r="T47" s="198"/>
      <c r="U47" s="198"/>
    </row>
    <row r="48" spans="1:21" s="12" customFormat="1" x14ac:dyDescent="0.25">
      <c r="A48" s="213" t="s">
        <v>1918</v>
      </c>
      <c r="B48" s="64">
        <v>25.72</v>
      </c>
      <c r="C48" s="64">
        <v>51.47</v>
      </c>
      <c r="D48" s="64">
        <v>49.68</v>
      </c>
      <c r="E48" s="64">
        <v>0.18</v>
      </c>
      <c r="F48" s="64">
        <v>3.05</v>
      </c>
      <c r="G48" s="64">
        <v>60.08</v>
      </c>
      <c r="H48" s="64">
        <v>32.450000000000003</v>
      </c>
      <c r="I48" s="64">
        <v>1.47</v>
      </c>
      <c r="J48" s="64">
        <v>0.27</v>
      </c>
      <c r="K48" s="64">
        <v>342.76</v>
      </c>
      <c r="L48" s="64">
        <v>26.18</v>
      </c>
      <c r="M48" s="64">
        <v>52.34</v>
      </c>
      <c r="N48" s="64">
        <v>476</v>
      </c>
      <c r="O48" s="64">
        <v>0</v>
      </c>
      <c r="P48" s="64">
        <v>0.87</v>
      </c>
      <c r="Q48" s="64">
        <v>6.11</v>
      </c>
      <c r="R48" s="198"/>
      <c r="S48" s="198"/>
      <c r="T48" s="198"/>
      <c r="U48" s="198"/>
    </row>
    <row r="49" spans="1:21" s="12" customFormat="1" x14ac:dyDescent="0.25">
      <c r="A49" s="213" t="s">
        <v>1919</v>
      </c>
      <c r="B49" s="64">
        <v>22.59</v>
      </c>
      <c r="C49" s="64">
        <v>53.12</v>
      </c>
      <c r="D49" s="64">
        <v>48.07</v>
      </c>
      <c r="E49" s="64">
        <v>0.13</v>
      </c>
      <c r="F49" s="64">
        <v>3.36</v>
      </c>
      <c r="G49" s="64">
        <v>60.08</v>
      </c>
      <c r="H49" s="64">
        <v>32.450000000000003</v>
      </c>
      <c r="I49" s="64">
        <v>1.48</v>
      </c>
      <c r="J49" s="64">
        <v>0.35</v>
      </c>
      <c r="K49" s="64">
        <v>319.56</v>
      </c>
      <c r="L49" s="64">
        <v>27.58</v>
      </c>
      <c r="M49" s="64">
        <v>48.83</v>
      </c>
      <c r="N49" s="64">
        <v>447.2</v>
      </c>
      <c r="O49" s="64">
        <v>0</v>
      </c>
      <c r="P49" s="64">
        <v>0.86</v>
      </c>
      <c r="Q49" s="64">
        <v>5.55</v>
      </c>
      <c r="R49" s="198"/>
      <c r="S49" s="198"/>
      <c r="T49" s="198"/>
      <c r="U49" s="198"/>
    </row>
    <row r="50" spans="1:21" s="12" customFormat="1" x14ac:dyDescent="0.25">
      <c r="A50" s="213" t="s">
        <v>1920</v>
      </c>
      <c r="B50" s="64">
        <v>20.99</v>
      </c>
      <c r="C50" s="64">
        <v>54.21</v>
      </c>
      <c r="D50" s="64">
        <v>47.39</v>
      </c>
      <c r="E50" s="64">
        <v>0.11</v>
      </c>
      <c r="F50" s="64">
        <v>3.55</v>
      </c>
      <c r="G50" s="64">
        <v>60.08</v>
      </c>
      <c r="H50" s="64">
        <v>32.450000000000003</v>
      </c>
      <c r="I50" s="64">
        <v>1.5</v>
      </c>
      <c r="J50" s="64">
        <v>0.56999999999999995</v>
      </c>
      <c r="K50" s="64">
        <v>347</v>
      </c>
      <c r="L50" s="64">
        <v>28.83</v>
      </c>
      <c r="M50" s="64">
        <v>45.86</v>
      </c>
      <c r="N50" s="64">
        <v>573.79999999999995</v>
      </c>
      <c r="O50" s="64">
        <v>0</v>
      </c>
      <c r="P50" s="64">
        <v>0.87</v>
      </c>
      <c r="Q50" s="64">
        <v>5.22</v>
      </c>
      <c r="R50" s="198"/>
      <c r="S50" s="198"/>
      <c r="T50" s="198"/>
      <c r="U50" s="198"/>
    </row>
    <row r="51" spans="1:21" s="12" customFormat="1" x14ac:dyDescent="0.25">
      <c r="A51" s="213" t="s">
        <v>1921</v>
      </c>
      <c r="B51" s="64">
        <v>20.07</v>
      </c>
      <c r="C51" s="64">
        <v>55.51</v>
      </c>
      <c r="D51" s="64">
        <v>47.38</v>
      </c>
      <c r="E51" s="64">
        <v>0.12</v>
      </c>
      <c r="F51" s="64">
        <v>3.39</v>
      </c>
      <c r="G51" s="64">
        <v>65.72</v>
      </c>
      <c r="H51" s="64">
        <v>32.700000000000003</v>
      </c>
      <c r="I51" s="64">
        <v>1.47</v>
      </c>
      <c r="J51" s="64">
        <v>0.56999999999999995</v>
      </c>
      <c r="K51" s="64">
        <v>345.88</v>
      </c>
      <c r="L51" s="64">
        <v>30.52</v>
      </c>
      <c r="M51" s="64">
        <v>41.47</v>
      </c>
      <c r="N51" s="64">
        <v>553.4</v>
      </c>
      <c r="O51" s="64">
        <v>0</v>
      </c>
      <c r="P51" s="64">
        <v>0.88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3" t="s">
        <v>1922</v>
      </c>
      <c r="B52" s="64">
        <v>17.62</v>
      </c>
      <c r="C52" s="64">
        <v>57.03</v>
      </c>
      <c r="D52" s="64">
        <v>46.25</v>
      </c>
      <c r="E52" s="64">
        <v>0.18</v>
      </c>
      <c r="F52" s="64">
        <v>4.92</v>
      </c>
      <c r="G52" s="64">
        <v>84.27</v>
      </c>
      <c r="H52" s="64">
        <v>33.31</v>
      </c>
      <c r="I52" s="64">
        <v>1.45</v>
      </c>
      <c r="J52" s="64">
        <v>0.09</v>
      </c>
      <c r="K52" s="64">
        <v>325.18</v>
      </c>
      <c r="L52" s="64">
        <v>28.89</v>
      </c>
      <c r="M52" s="64">
        <v>44.47</v>
      </c>
      <c r="N52" s="64">
        <v>433.5</v>
      </c>
      <c r="O52" s="64">
        <v>0</v>
      </c>
      <c r="P52" s="64">
        <v>0.88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3" t="s">
        <v>1923</v>
      </c>
      <c r="B53" s="64">
        <v>6.66</v>
      </c>
      <c r="C53" s="64">
        <v>70.02</v>
      </c>
      <c r="D53" s="64">
        <v>44.63</v>
      </c>
      <c r="E53" s="64">
        <v>0.24</v>
      </c>
      <c r="F53" s="64">
        <v>12.89</v>
      </c>
      <c r="G53" s="64">
        <v>84.27</v>
      </c>
      <c r="H53" s="64">
        <v>33.31</v>
      </c>
      <c r="I53" s="64">
        <v>1.45</v>
      </c>
      <c r="J53" s="64">
        <v>0.41</v>
      </c>
      <c r="K53" s="64">
        <v>323.63</v>
      </c>
      <c r="L53" s="64">
        <v>30.06</v>
      </c>
      <c r="M53" s="64">
        <v>41.62</v>
      </c>
      <c r="N53" s="64">
        <v>576.79999999999995</v>
      </c>
      <c r="O53" s="64">
        <v>0</v>
      </c>
      <c r="P53" s="64">
        <v>0.95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3" t="s">
        <v>1924</v>
      </c>
      <c r="B54" s="64">
        <v>2.37</v>
      </c>
      <c r="C54" s="64">
        <v>66.91</v>
      </c>
      <c r="D54" s="64">
        <v>39.47</v>
      </c>
      <c r="E54" s="64">
        <v>0.37</v>
      </c>
      <c r="F54" s="64">
        <v>25.64</v>
      </c>
      <c r="G54" s="64">
        <v>84.27</v>
      </c>
      <c r="H54" s="64">
        <v>33.31</v>
      </c>
      <c r="I54" s="64">
        <v>1.45</v>
      </c>
      <c r="J54" s="64">
        <v>0.97</v>
      </c>
      <c r="K54" s="64">
        <v>143.33000000000001</v>
      </c>
      <c r="L54" s="64">
        <v>28.96</v>
      </c>
      <c r="M54" s="64">
        <v>42.6</v>
      </c>
      <c r="N54" s="64">
        <v>622.1</v>
      </c>
      <c r="O54" s="64">
        <v>0</v>
      </c>
      <c r="P54" s="64">
        <v>0.83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3" t="s">
        <v>1925</v>
      </c>
      <c r="B55" s="64">
        <v>1.1299999999999999</v>
      </c>
      <c r="C55" s="64">
        <v>50.2</v>
      </c>
      <c r="D55" s="64">
        <v>29.26</v>
      </c>
      <c r="E55" s="64">
        <v>0.56999999999999995</v>
      </c>
      <c r="F55" s="64">
        <v>32.82</v>
      </c>
      <c r="G55" s="64">
        <v>84.52</v>
      </c>
      <c r="H55" s="64">
        <v>33.92</v>
      </c>
      <c r="I55" s="64">
        <v>1.6</v>
      </c>
      <c r="J55" s="64">
        <v>0.12</v>
      </c>
      <c r="K55" s="64">
        <v>117.01</v>
      </c>
      <c r="L55" s="64">
        <v>28.65</v>
      </c>
      <c r="M55" s="64">
        <v>43.61</v>
      </c>
      <c r="N55" s="64">
        <v>637</v>
      </c>
      <c r="O55" s="64">
        <v>0</v>
      </c>
      <c r="P55" s="64">
        <v>0.68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3" t="s">
        <v>1926</v>
      </c>
      <c r="B56" s="64">
        <v>1.02</v>
      </c>
      <c r="C56" s="64">
        <v>47.93</v>
      </c>
      <c r="D56" s="64">
        <v>27.92</v>
      </c>
      <c r="E56" s="64">
        <v>0.22</v>
      </c>
      <c r="F56" s="64">
        <v>27.42</v>
      </c>
      <c r="G56" s="64">
        <v>85.42</v>
      </c>
      <c r="H56" s="64">
        <v>36.83</v>
      </c>
      <c r="I56" s="64">
        <v>1.43</v>
      </c>
      <c r="J56" s="64">
        <v>0.55000000000000004</v>
      </c>
      <c r="K56" s="64">
        <v>138.22</v>
      </c>
      <c r="L56" s="64">
        <v>29.33</v>
      </c>
      <c r="M56" s="64">
        <v>40.15</v>
      </c>
      <c r="N56" s="64">
        <v>708.6</v>
      </c>
      <c r="O56" s="64">
        <v>0</v>
      </c>
      <c r="P56" s="64">
        <v>0.65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3" t="s">
        <v>1927</v>
      </c>
      <c r="B57" s="64">
        <v>0.98</v>
      </c>
      <c r="C57" s="64">
        <v>50.51</v>
      </c>
      <c r="D57" s="64">
        <v>29.31</v>
      </c>
      <c r="E57" s="64">
        <v>0.31</v>
      </c>
      <c r="F57" s="64">
        <v>23.16</v>
      </c>
      <c r="G57" s="64">
        <v>85.42</v>
      </c>
      <c r="H57" s="64">
        <v>36.83</v>
      </c>
      <c r="I57" s="64">
        <v>1.57</v>
      </c>
      <c r="J57" s="64">
        <v>0.21</v>
      </c>
      <c r="K57" s="64">
        <v>231.48</v>
      </c>
      <c r="L57" s="64">
        <v>30.07</v>
      </c>
      <c r="M57" s="64">
        <v>34.57</v>
      </c>
      <c r="N57" s="64">
        <v>769.2</v>
      </c>
      <c r="O57" s="64">
        <v>0</v>
      </c>
      <c r="P57" s="64">
        <v>0.66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3" t="s">
        <v>1928</v>
      </c>
      <c r="B58" s="64">
        <v>1.06</v>
      </c>
      <c r="C58" s="64">
        <v>51.48</v>
      </c>
      <c r="D58" s="64">
        <v>29.9</v>
      </c>
      <c r="E58" s="64">
        <v>0.25</v>
      </c>
      <c r="F58" s="64">
        <v>14.89</v>
      </c>
      <c r="G58" s="64">
        <v>85.42</v>
      </c>
      <c r="H58" s="64">
        <v>36.83</v>
      </c>
      <c r="I58" s="64">
        <v>1.48</v>
      </c>
      <c r="J58" s="64">
        <v>0.32</v>
      </c>
      <c r="K58" s="64">
        <v>337.09</v>
      </c>
      <c r="L58" s="64">
        <v>31.77</v>
      </c>
      <c r="M58" s="64">
        <v>30.78</v>
      </c>
      <c r="N58" s="64">
        <v>701.4</v>
      </c>
      <c r="O58" s="64">
        <v>0</v>
      </c>
      <c r="P58" s="64">
        <v>0.64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3" t="s">
        <v>1929</v>
      </c>
      <c r="B59" s="64">
        <v>1.17</v>
      </c>
      <c r="C59" s="64">
        <v>51.77</v>
      </c>
      <c r="D59" s="64">
        <v>30.15</v>
      </c>
      <c r="E59" s="64">
        <v>0.3</v>
      </c>
      <c r="F59" s="64">
        <v>15.46</v>
      </c>
      <c r="G59" s="64">
        <v>81.260000000000005</v>
      </c>
      <c r="H59" s="64">
        <v>35.97</v>
      </c>
      <c r="I59" s="64">
        <v>1.52</v>
      </c>
      <c r="J59" s="64">
        <v>0.5</v>
      </c>
      <c r="K59" s="64">
        <v>150.15</v>
      </c>
      <c r="L59" s="64">
        <v>30.17</v>
      </c>
      <c r="M59" s="64">
        <v>34.22</v>
      </c>
      <c r="N59" s="64">
        <v>704.8</v>
      </c>
      <c r="O59" s="64">
        <v>0</v>
      </c>
      <c r="P59" s="64">
        <v>0.62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3" t="s">
        <v>1930</v>
      </c>
      <c r="B60" s="64">
        <v>1.3</v>
      </c>
      <c r="C60" s="64">
        <v>55.51</v>
      </c>
      <c r="D60" s="64">
        <v>32.32</v>
      </c>
      <c r="E60" s="64">
        <v>0.87</v>
      </c>
      <c r="F60" s="64">
        <v>36.76</v>
      </c>
      <c r="G60" s="64">
        <v>66.72</v>
      </c>
      <c r="H60" s="64">
        <v>33.93</v>
      </c>
      <c r="I60" s="64">
        <v>1.46</v>
      </c>
      <c r="J60" s="64">
        <v>0.74</v>
      </c>
      <c r="K60" s="64">
        <v>320.24</v>
      </c>
      <c r="L60" s="64">
        <v>32.03</v>
      </c>
      <c r="M60" s="64">
        <v>30</v>
      </c>
      <c r="N60" s="64">
        <v>718.9</v>
      </c>
      <c r="O60" s="64">
        <v>0</v>
      </c>
      <c r="P60" s="64">
        <v>0.67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3" t="s">
        <v>1931</v>
      </c>
      <c r="B61" s="64">
        <v>1.1399999999999999</v>
      </c>
      <c r="C61" s="64">
        <v>55.19</v>
      </c>
      <c r="D61" s="64">
        <v>32.020000000000003</v>
      </c>
      <c r="E61" s="64">
        <v>2.08</v>
      </c>
      <c r="F61" s="64">
        <v>53.58</v>
      </c>
      <c r="G61" s="64">
        <v>66.72</v>
      </c>
      <c r="H61" s="64">
        <v>33.93</v>
      </c>
      <c r="I61" s="64">
        <v>1.57</v>
      </c>
      <c r="J61" s="64">
        <v>0.21</v>
      </c>
      <c r="K61" s="64">
        <v>316.32</v>
      </c>
      <c r="L61" s="64">
        <v>32.549999999999997</v>
      </c>
      <c r="M61" s="64">
        <v>28.04</v>
      </c>
      <c r="N61" s="64">
        <v>699.3</v>
      </c>
      <c r="O61" s="64">
        <v>0</v>
      </c>
      <c r="P61" s="64">
        <v>0.7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3" t="s">
        <v>1932</v>
      </c>
      <c r="B62" s="64">
        <v>0.68</v>
      </c>
      <c r="C62" s="64">
        <v>30.73</v>
      </c>
      <c r="D62" s="64">
        <v>18.149999999999999</v>
      </c>
      <c r="E62" s="64">
        <v>1.96</v>
      </c>
      <c r="F62" s="64">
        <v>63.54</v>
      </c>
      <c r="G62" s="64">
        <v>66.72</v>
      </c>
      <c r="H62" s="64">
        <v>33.93</v>
      </c>
      <c r="I62" s="64">
        <v>1.42</v>
      </c>
      <c r="J62" s="64">
        <v>0.27</v>
      </c>
      <c r="K62" s="64">
        <v>166.75</v>
      </c>
      <c r="L62" s="64">
        <v>30.19</v>
      </c>
      <c r="M62" s="64">
        <v>31.66</v>
      </c>
      <c r="N62" s="64">
        <v>675.3</v>
      </c>
      <c r="O62" s="64">
        <v>0</v>
      </c>
      <c r="P62" s="64">
        <v>0.52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1933</v>
      </c>
      <c r="B63" s="64">
        <v>0.7</v>
      </c>
      <c r="C63" s="64">
        <v>29.6</v>
      </c>
      <c r="D63" s="64">
        <v>17.54</v>
      </c>
      <c r="E63" s="64">
        <v>2.0299999999999998</v>
      </c>
      <c r="F63" s="64">
        <v>58.63</v>
      </c>
      <c r="G63" s="64">
        <v>64.430000000000007</v>
      </c>
      <c r="H63" s="64">
        <v>35.270000000000003</v>
      </c>
      <c r="I63" s="64">
        <v>1.43</v>
      </c>
      <c r="J63" s="64">
        <v>0.04</v>
      </c>
      <c r="K63" s="64">
        <v>242.27</v>
      </c>
      <c r="L63" s="64">
        <v>30.93</v>
      </c>
      <c r="M63" s="64">
        <v>31.01</v>
      </c>
      <c r="N63" s="64">
        <v>626.4</v>
      </c>
      <c r="O63" s="64">
        <v>0</v>
      </c>
      <c r="P63" s="64">
        <v>0.6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3" t="s">
        <v>1934</v>
      </c>
      <c r="B64" s="64">
        <v>0.83</v>
      </c>
      <c r="C64" s="64">
        <v>33.94</v>
      </c>
      <c r="D64" s="64">
        <v>20.04</v>
      </c>
      <c r="E64" s="64">
        <v>1.45</v>
      </c>
      <c r="F64" s="64">
        <v>55.86</v>
      </c>
      <c r="G64" s="64">
        <v>56.9</v>
      </c>
      <c r="H64" s="64">
        <v>38.44</v>
      </c>
      <c r="I64" s="64">
        <v>1.5</v>
      </c>
      <c r="J64" s="64">
        <v>0.03</v>
      </c>
      <c r="K64" s="64">
        <v>223.17</v>
      </c>
      <c r="L64" s="64">
        <v>30.75</v>
      </c>
      <c r="M64" s="64">
        <v>31.35</v>
      </c>
      <c r="N64" s="64">
        <v>596.1</v>
      </c>
      <c r="O64" s="64">
        <v>0</v>
      </c>
      <c r="P64" s="64">
        <v>0.57999999999999996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3" t="s">
        <v>1935</v>
      </c>
      <c r="B65" s="64">
        <v>0.79</v>
      </c>
      <c r="C65" s="64">
        <v>39.33</v>
      </c>
      <c r="D65" s="64">
        <v>22.98</v>
      </c>
      <c r="E65" s="64">
        <v>3.34</v>
      </c>
      <c r="F65" s="64">
        <v>61.96</v>
      </c>
      <c r="G65" s="64">
        <v>56.9</v>
      </c>
      <c r="H65" s="64">
        <v>38.44</v>
      </c>
      <c r="I65" s="64">
        <v>1.49</v>
      </c>
      <c r="J65" s="64">
        <v>0.25</v>
      </c>
      <c r="K65" s="64">
        <v>190.69</v>
      </c>
      <c r="L65" s="64">
        <v>29.86</v>
      </c>
      <c r="M65" s="64">
        <v>31.18</v>
      </c>
      <c r="N65" s="64">
        <v>523.6</v>
      </c>
      <c r="O65" s="64">
        <v>0</v>
      </c>
      <c r="P65" s="64">
        <v>0.72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3" t="s">
        <v>1936</v>
      </c>
      <c r="B66" s="64">
        <v>0.71</v>
      </c>
      <c r="C66" s="64">
        <v>39.58</v>
      </c>
      <c r="D66" s="64">
        <v>23.06</v>
      </c>
      <c r="E66" s="64">
        <v>3.66</v>
      </c>
      <c r="F66" s="64">
        <v>73.900000000000006</v>
      </c>
      <c r="G66" s="64">
        <v>56.9</v>
      </c>
      <c r="H66" s="64">
        <v>38.44</v>
      </c>
      <c r="I66" s="64">
        <v>1.52</v>
      </c>
      <c r="J66" s="64">
        <v>7.0000000000000007E-2</v>
      </c>
      <c r="K66" s="64">
        <v>237.37</v>
      </c>
      <c r="L66" s="64">
        <v>30.34</v>
      </c>
      <c r="M66" s="64">
        <v>31.25</v>
      </c>
      <c r="N66" s="64">
        <v>468.9</v>
      </c>
      <c r="O66" s="64">
        <v>0</v>
      </c>
      <c r="P66" s="64">
        <v>0.72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3" t="s">
        <v>1937</v>
      </c>
      <c r="B67" s="64">
        <v>0.8</v>
      </c>
      <c r="C67" s="64">
        <v>41.28</v>
      </c>
      <c r="D67" s="64">
        <v>24.06</v>
      </c>
      <c r="E67" s="64">
        <v>2.14</v>
      </c>
      <c r="F67" s="64">
        <v>52.79</v>
      </c>
      <c r="G67" s="64">
        <v>57.53</v>
      </c>
      <c r="H67" s="64">
        <v>37.26</v>
      </c>
      <c r="I67" s="64">
        <v>1.59</v>
      </c>
      <c r="J67" s="64">
        <v>0.24</v>
      </c>
      <c r="K67" s="64">
        <v>330.81</v>
      </c>
      <c r="L67" s="64">
        <v>31.1</v>
      </c>
      <c r="M67" s="64">
        <v>29.04</v>
      </c>
      <c r="N67" s="64">
        <v>465.1</v>
      </c>
      <c r="O67" s="64">
        <v>0</v>
      </c>
      <c r="P67" s="64">
        <v>0.67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3" t="s">
        <v>1938</v>
      </c>
      <c r="B68" s="64">
        <v>1.05</v>
      </c>
      <c r="C68" s="64">
        <v>38.19</v>
      </c>
      <c r="D68" s="64">
        <v>22.56</v>
      </c>
      <c r="E68" s="64">
        <v>0.78</v>
      </c>
      <c r="F68" s="64">
        <v>27.05</v>
      </c>
      <c r="G68" s="64">
        <v>59.59</v>
      </c>
      <c r="H68" s="64">
        <v>34.49</v>
      </c>
      <c r="I68" s="64">
        <v>1.45</v>
      </c>
      <c r="J68" s="64">
        <v>0.28000000000000003</v>
      </c>
      <c r="K68" s="64">
        <v>197.35</v>
      </c>
      <c r="L68" s="64">
        <v>29.31</v>
      </c>
      <c r="M68" s="64">
        <v>30.15</v>
      </c>
      <c r="N68" s="64">
        <v>388.3</v>
      </c>
      <c r="O68" s="64">
        <v>0</v>
      </c>
      <c r="P68" s="64">
        <v>0.68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3" t="s">
        <v>1939</v>
      </c>
      <c r="B69" s="64">
        <v>1.33</v>
      </c>
      <c r="C69" s="64">
        <v>34.26</v>
      </c>
      <c r="D69" s="64">
        <v>20.62</v>
      </c>
      <c r="E69" s="64">
        <v>0.59</v>
      </c>
      <c r="F69" s="64">
        <v>18.63</v>
      </c>
      <c r="G69" s="64">
        <v>59.59</v>
      </c>
      <c r="H69" s="64">
        <v>34.49</v>
      </c>
      <c r="I69" s="64">
        <v>1.47</v>
      </c>
      <c r="J69" s="64">
        <v>0.11</v>
      </c>
      <c r="K69" s="64">
        <v>70.08</v>
      </c>
      <c r="L69" s="64">
        <v>29.33</v>
      </c>
      <c r="M69" s="64">
        <v>30.78</v>
      </c>
      <c r="N69" s="64">
        <v>289</v>
      </c>
      <c r="O69" s="64">
        <v>0</v>
      </c>
      <c r="P69" s="64">
        <v>0.71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3" t="s">
        <v>1940</v>
      </c>
      <c r="B70" s="64">
        <v>1.62</v>
      </c>
      <c r="C70" s="64">
        <v>31.39</v>
      </c>
      <c r="D70" s="64">
        <v>19.260000000000002</v>
      </c>
      <c r="E70" s="64">
        <v>0.45</v>
      </c>
      <c r="F70" s="64">
        <v>12.23</v>
      </c>
      <c r="G70" s="64">
        <v>59.59</v>
      </c>
      <c r="H70" s="64">
        <v>34.49</v>
      </c>
      <c r="I70" s="64">
        <v>1.52</v>
      </c>
      <c r="J70" s="64">
        <v>0.08</v>
      </c>
      <c r="K70" s="64">
        <v>228.82</v>
      </c>
      <c r="L70" s="64">
        <v>28.96</v>
      </c>
      <c r="M70" s="64">
        <v>30.34</v>
      </c>
      <c r="N70" s="64">
        <v>201.8</v>
      </c>
      <c r="O70" s="64">
        <v>0</v>
      </c>
      <c r="P70" s="64">
        <v>0.71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3" t="s">
        <v>1941</v>
      </c>
      <c r="B71" s="64">
        <v>1.97</v>
      </c>
      <c r="C71" s="64">
        <v>29.33</v>
      </c>
      <c r="D71" s="64">
        <v>18.41</v>
      </c>
      <c r="E71" s="64">
        <v>0.44</v>
      </c>
      <c r="F71" s="64">
        <v>12.52</v>
      </c>
      <c r="G71" s="64">
        <v>57.17</v>
      </c>
      <c r="H71" s="64">
        <v>34.200000000000003</v>
      </c>
      <c r="I71" s="64">
        <v>1.54</v>
      </c>
      <c r="J71" s="64">
        <v>0.06</v>
      </c>
      <c r="K71" s="64">
        <v>0.77</v>
      </c>
      <c r="L71" s="64">
        <v>28.72</v>
      </c>
      <c r="M71" s="64">
        <v>31.73</v>
      </c>
      <c r="N71" s="64">
        <v>158.6</v>
      </c>
      <c r="O71" s="64">
        <v>0</v>
      </c>
      <c r="P71" s="64">
        <v>0.7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3" t="s">
        <v>1942</v>
      </c>
      <c r="B72" s="64">
        <v>1.46</v>
      </c>
      <c r="C72" s="64">
        <v>37.5</v>
      </c>
      <c r="D72" s="64">
        <v>22.51</v>
      </c>
      <c r="E72" s="64">
        <v>0.93</v>
      </c>
      <c r="F72" s="64">
        <v>55.63</v>
      </c>
      <c r="G72" s="64">
        <v>49.21</v>
      </c>
      <c r="H72" s="64">
        <v>32.81</v>
      </c>
      <c r="I72" s="64">
        <v>1.48</v>
      </c>
      <c r="J72" s="64">
        <v>0.15</v>
      </c>
      <c r="K72" s="64">
        <v>12.59</v>
      </c>
      <c r="L72" s="64">
        <v>28.4</v>
      </c>
      <c r="M72" s="64">
        <v>32.9</v>
      </c>
      <c r="N72" s="64">
        <v>137.80000000000001</v>
      </c>
      <c r="O72" s="64">
        <v>0</v>
      </c>
      <c r="P72" s="64">
        <v>0.73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3" t="s">
        <v>1943</v>
      </c>
      <c r="B73" s="64">
        <v>1.02</v>
      </c>
      <c r="C73" s="64">
        <v>39.909999999999997</v>
      </c>
      <c r="D73" s="64">
        <v>23.49</v>
      </c>
      <c r="E73" s="64">
        <v>1.05</v>
      </c>
      <c r="F73" s="64">
        <v>48.11</v>
      </c>
      <c r="G73" s="64">
        <v>49.21</v>
      </c>
      <c r="H73" s="64">
        <v>32.81</v>
      </c>
      <c r="I73" s="64">
        <v>1.53</v>
      </c>
      <c r="J73" s="64">
        <v>0.03</v>
      </c>
      <c r="K73" s="64">
        <v>178.64</v>
      </c>
      <c r="L73" s="64">
        <v>27.93</v>
      </c>
      <c r="M73" s="64">
        <v>32.78</v>
      </c>
      <c r="N73" s="64">
        <v>132.5</v>
      </c>
      <c r="O73" s="64">
        <v>0</v>
      </c>
      <c r="P73" s="64">
        <v>0.63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3" t="s">
        <v>1944</v>
      </c>
      <c r="B74" s="64">
        <v>1.05</v>
      </c>
      <c r="C74" s="64">
        <v>33.299999999999997</v>
      </c>
      <c r="D74" s="64">
        <v>19.87</v>
      </c>
      <c r="E74" s="64">
        <v>0.42</v>
      </c>
      <c r="F74" s="64">
        <v>28.25</v>
      </c>
      <c r="G74" s="64">
        <v>49.21</v>
      </c>
      <c r="H74" s="64">
        <v>32.81</v>
      </c>
      <c r="I74" s="64">
        <v>1.48</v>
      </c>
      <c r="J74" s="64">
        <v>0.12</v>
      </c>
      <c r="K74" s="64">
        <v>182.62</v>
      </c>
      <c r="L74" s="64">
        <v>27.85</v>
      </c>
      <c r="M74" s="64">
        <v>32.61</v>
      </c>
      <c r="N74" s="64">
        <v>117.9</v>
      </c>
      <c r="O74" s="64">
        <v>0</v>
      </c>
      <c r="P74" s="64">
        <v>0.51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3" t="s">
        <v>1945</v>
      </c>
      <c r="B75" s="64">
        <v>1.31</v>
      </c>
      <c r="C75" s="64">
        <v>34.11</v>
      </c>
      <c r="D75" s="64">
        <v>20.52</v>
      </c>
      <c r="E75" s="64">
        <v>0.22</v>
      </c>
      <c r="F75" s="64">
        <v>13.08</v>
      </c>
      <c r="G75" s="64">
        <v>48.63</v>
      </c>
      <c r="H75" s="64">
        <v>30.48</v>
      </c>
      <c r="I75" s="64">
        <v>1.48</v>
      </c>
      <c r="J75" s="64">
        <v>0.06</v>
      </c>
      <c r="K75" s="64">
        <v>339.74</v>
      </c>
      <c r="L75" s="64">
        <v>27.79</v>
      </c>
      <c r="M75" s="64">
        <v>33.54</v>
      </c>
      <c r="N75" s="64">
        <v>103.5</v>
      </c>
      <c r="O75" s="64">
        <v>0</v>
      </c>
      <c r="P75" s="64">
        <v>0.52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3" t="s">
        <v>1946</v>
      </c>
      <c r="B76" s="64">
        <v>1.74</v>
      </c>
      <c r="C76" s="64">
        <v>34.68</v>
      </c>
      <c r="D76" s="64">
        <v>21.18</v>
      </c>
      <c r="E76" s="64">
        <v>0.19</v>
      </c>
      <c r="F76" s="64">
        <v>7.28</v>
      </c>
      <c r="G76" s="64">
        <v>46.61</v>
      </c>
      <c r="H76" s="64">
        <v>24.98</v>
      </c>
      <c r="I76" s="64">
        <v>1.53</v>
      </c>
      <c r="J76" s="64">
        <v>0.21</v>
      </c>
      <c r="K76" s="64">
        <v>318.67</v>
      </c>
      <c r="L76" s="64">
        <v>27.44</v>
      </c>
      <c r="M76" s="64">
        <v>40.229999999999997</v>
      </c>
      <c r="N76" s="64">
        <v>88.6</v>
      </c>
      <c r="O76" s="64">
        <v>0</v>
      </c>
      <c r="P76" s="64">
        <v>0.56000000000000005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3" t="s">
        <v>1947</v>
      </c>
      <c r="B77" s="64">
        <v>2.2999999999999998</v>
      </c>
      <c r="C77" s="64">
        <v>33.590000000000003</v>
      </c>
      <c r="D77" s="64">
        <v>21.03</v>
      </c>
      <c r="E77" s="64">
        <v>0.08</v>
      </c>
      <c r="F77" s="64">
        <v>4.7</v>
      </c>
      <c r="G77" s="64">
        <v>46.61</v>
      </c>
      <c r="H77" s="64">
        <v>24.98</v>
      </c>
      <c r="I77" s="64">
        <v>1.49</v>
      </c>
      <c r="J77" s="64">
        <v>0.27</v>
      </c>
      <c r="K77" s="64">
        <v>322.83999999999997</v>
      </c>
      <c r="L77" s="64">
        <v>26.64</v>
      </c>
      <c r="M77" s="64">
        <v>45.81</v>
      </c>
      <c r="N77" s="64">
        <v>77.099999999999994</v>
      </c>
      <c r="O77" s="64">
        <v>0</v>
      </c>
      <c r="P77" s="64">
        <v>0.59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3" t="s">
        <v>1948</v>
      </c>
      <c r="B78" s="64">
        <v>3.05</v>
      </c>
      <c r="C78" s="64">
        <v>32.880000000000003</v>
      </c>
      <c r="D78" s="64">
        <v>21.24</v>
      </c>
      <c r="E78" s="64">
        <v>0.13</v>
      </c>
      <c r="F78" s="64">
        <v>3.32</v>
      </c>
      <c r="G78" s="64">
        <v>46.61</v>
      </c>
      <c r="H78" s="64">
        <v>24.98</v>
      </c>
      <c r="I78" s="64">
        <v>1.54</v>
      </c>
      <c r="J78" s="64">
        <v>0.35</v>
      </c>
      <c r="K78" s="64">
        <v>334.95</v>
      </c>
      <c r="L78" s="64">
        <v>26.26</v>
      </c>
      <c r="M78" s="64">
        <v>46.98</v>
      </c>
      <c r="N78" s="64">
        <v>54</v>
      </c>
      <c r="O78" s="64">
        <v>0</v>
      </c>
      <c r="P78" s="64">
        <v>0.64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3" t="s">
        <v>1949</v>
      </c>
      <c r="B79" s="64">
        <v>3.91</v>
      </c>
      <c r="C79" s="64">
        <v>32.15</v>
      </c>
      <c r="D79" s="64">
        <v>21.52</v>
      </c>
      <c r="E79" s="64">
        <v>0.18</v>
      </c>
      <c r="F79" s="64">
        <v>3.54</v>
      </c>
      <c r="G79" s="64">
        <v>49.93</v>
      </c>
      <c r="H79" s="64">
        <v>24.72</v>
      </c>
      <c r="I79" s="64">
        <v>1.46</v>
      </c>
      <c r="J79" s="64">
        <v>0.18</v>
      </c>
      <c r="K79" s="64">
        <v>353.82</v>
      </c>
      <c r="L79" s="64">
        <v>25.57</v>
      </c>
      <c r="M79" s="64">
        <v>50.01</v>
      </c>
      <c r="N79" s="64">
        <v>33.700000000000003</v>
      </c>
      <c r="O79" s="64">
        <v>0</v>
      </c>
      <c r="P79" s="64">
        <v>0.67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3" t="s">
        <v>1950</v>
      </c>
      <c r="B80" s="64">
        <v>4.45</v>
      </c>
      <c r="C80" s="64">
        <v>32.01</v>
      </c>
      <c r="D80" s="64">
        <v>21.88</v>
      </c>
      <c r="E80" s="64">
        <v>0.15</v>
      </c>
      <c r="F80" s="64">
        <v>2.99</v>
      </c>
      <c r="G80" s="64">
        <v>60.82</v>
      </c>
      <c r="H80" s="64">
        <v>24.1</v>
      </c>
      <c r="I80" s="64">
        <v>1.54</v>
      </c>
      <c r="J80" s="64">
        <v>0.12</v>
      </c>
      <c r="K80" s="64">
        <v>299.82</v>
      </c>
      <c r="L80" s="64">
        <v>24.83</v>
      </c>
      <c r="M80" s="64">
        <v>51.97</v>
      </c>
      <c r="N80" s="64">
        <v>24.4</v>
      </c>
      <c r="O80" s="64">
        <v>0</v>
      </c>
      <c r="P80" s="64">
        <v>0.65</v>
      </c>
      <c r="Q80" s="64">
        <v>5.21</v>
      </c>
      <c r="R80" s="198"/>
      <c r="S80" s="198"/>
      <c r="T80" s="198"/>
      <c r="U80" s="198"/>
    </row>
    <row r="81" spans="1:26" s="12" customFormat="1" x14ac:dyDescent="0.25">
      <c r="A81" s="213" t="s">
        <v>1951</v>
      </c>
      <c r="B81" s="64">
        <v>4.7300000000000004</v>
      </c>
      <c r="C81" s="64">
        <v>31.48</v>
      </c>
      <c r="D81" s="64">
        <v>21.81</v>
      </c>
      <c r="E81" s="64">
        <v>0.13</v>
      </c>
      <c r="F81" s="64">
        <v>3.38</v>
      </c>
      <c r="G81" s="64">
        <v>60.82</v>
      </c>
      <c r="H81" s="64">
        <v>24.1</v>
      </c>
      <c r="I81" s="64">
        <v>1.43</v>
      </c>
      <c r="J81" s="64">
        <v>0.09</v>
      </c>
      <c r="K81" s="64">
        <v>278.47000000000003</v>
      </c>
      <c r="L81" s="64">
        <v>24.6</v>
      </c>
      <c r="M81" s="64">
        <v>49.87</v>
      </c>
      <c r="N81" s="64">
        <v>21.3</v>
      </c>
      <c r="O81" s="64">
        <v>0</v>
      </c>
      <c r="P81" s="64">
        <v>0.73</v>
      </c>
      <c r="Q81" s="64">
        <v>5.21</v>
      </c>
      <c r="R81" s="198"/>
      <c r="S81" s="198"/>
      <c r="T81" s="198"/>
      <c r="U81" s="198"/>
    </row>
    <row r="82" spans="1:26" s="12" customFormat="1" x14ac:dyDescent="0.25">
      <c r="A82" s="213" t="s">
        <v>1952</v>
      </c>
      <c r="B82" s="64">
        <v>5.14</v>
      </c>
      <c r="C82" s="64">
        <v>31.39</v>
      </c>
      <c r="D82" s="64">
        <v>22.09</v>
      </c>
      <c r="E82" s="64">
        <v>0.14000000000000001</v>
      </c>
      <c r="F82" s="64">
        <v>3.38</v>
      </c>
      <c r="G82" s="64">
        <v>60.82</v>
      </c>
      <c r="H82" s="64">
        <v>24.1</v>
      </c>
      <c r="I82" s="64">
        <v>1.57</v>
      </c>
      <c r="J82" s="64">
        <v>0.04</v>
      </c>
      <c r="K82" s="64">
        <v>150.59</v>
      </c>
      <c r="L82" s="64">
        <v>24.12</v>
      </c>
      <c r="M82" s="64">
        <v>49.76</v>
      </c>
      <c r="N82" s="64">
        <v>21.1</v>
      </c>
      <c r="O82" s="64">
        <v>0</v>
      </c>
      <c r="P82" s="64">
        <v>0.7</v>
      </c>
      <c r="Q82" s="64">
        <v>5.21</v>
      </c>
      <c r="R82" s="198"/>
      <c r="S82" s="198"/>
      <c r="T82" s="198"/>
      <c r="U82" s="198"/>
    </row>
    <row r="83" spans="1:26" s="12" customFormat="1" x14ac:dyDescent="0.25">
      <c r="A83" s="213" t="s">
        <v>1953</v>
      </c>
      <c r="B83" s="64">
        <v>6.38</v>
      </c>
      <c r="C83" s="64">
        <v>30.17</v>
      </c>
      <c r="D83" s="64">
        <v>22.41</v>
      </c>
      <c r="E83" s="64">
        <v>0.11</v>
      </c>
      <c r="F83" s="64">
        <v>3.48</v>
      </c>
      <c r="G83" s="64">
        <v>63.29</v>
      </c>
      <c r="H83" s="64">
        <v>24.92</v>
      </c>
      <c r="I83" s="64">
        <v>1.53</v>
      </c>
      <c r="J83" s="64">
        <v>0.02</v>
      </c>
      <c r="K83" s="64">
        <v>338.81</v>
      </c>
      <c r="L83" s="64">
        <v>23.62</v>
      </c>
      <c r="M83" s="64">
        <v>52.8</v>
      </c>
      <c r="N83" s="64">
        <v>21.1</v>
      </c>
      <c r="O83" s="64">
        <v>0</v>
      </c>
      <c r="P83" s="64">
        <v>0.7</v>
      </c>
      <c r="Q83" s="64">
        <v>5.21</v>
      </c>
      <c r="R83" s="198"/>
      <c r="S83" s="198"/>
      <c r="T83" s="198"/>
      <c r="U83" s="198"/>
    </row>
    <row r="84" spans="1:26" s="12" customFormat="1" x14ac:dyDescent="0.25">
      <c r="A84" s="213" t="s">
        <v>1954</v>
      </c>
      <c r="B84" s="64">
        <v>9.52</v>
      </c>
      <c r="C84" s="64">
        <v>29.63</v>
      </c>
      <c r="D84" s="64">
        <v>24.63</v>
      </c>
      <c r="E84" s="64">
        <v>0.1</v>
      </c>
      <c r="F84" s="64">
        <v>3.46</v>
      </c>
      <c r="G84" s="64">
        <v>71.400000000000006</v>
      </c>
      <c r="H84" s="64">
        <v>26.82</v>
      </c>
      <c r="I84" s="64">
        <v>1.55</v>
      </c>
      <c r="J84" s="64">
        <v>0.12</v>
      </c>
      <c r="K84" s="64">
        <v>108.26</v>
      </c>
      <c r="L84" s="64">
        <v>23.19</v>
      </c>
      <c r="M84" s="64">
        <v>52.58</v>
      </c>
      <c r="N84" s="64">
        <v>21</v>
      </c>
      <c r="O84" s="64">
        <v>0</v>
      </c>
      <c r="P84" s="64">
        <v>0.76</v>
      </c>
      <c r="Q84" s="64">
        <v>5.21</v>
      </c>
      <c r="R84" s="198"/>
      <c r="S84" s="198"/>
      <c r="T84" s="198"/>
      <c r="U84" s="198"/>
    </row>
    <row r="85" spans="1:26" s="12" customFormat="1" x14ac:dyDescent="0.25">
      <c r="A85" s="213" t="s">
        <v>1955</v>
      </c>
      <c r="B85" s="64">
        <v>17.329999999999998</v>
      </c>
      <c r="C85" s="64">
        <v>30.11</v>
      </c>
      <c r="D85" s="64">
        <v>31.16</v>
      </c>
      <c r="E85" s="64">
        <v>0.17</v>
      </c>
      <c r="F85" s="64">
        <v>3.41</v>
      </c>
      <c r="G85" s="64">
        <v>71.400000000000006</v>
      </c>
      <c r="H85" s="64">
        <v>26.82</v>
      </c>
      <c r="I85" s="64">
        <v>1.53</v>
      </c>
      <c r="J85" s="64">
        <v>0.06</v>
      </c>
      <c r="K85" s="64">
        <v>31.25</v>
      </c>
      <c r="L85" s="64">
        <v>22.75</v>
      </c>
      <c r="M85" s="64">
        <v>59.78</v>
      </c>
      <c r="N85" s="64">
        <v>21.1</v>
      </c>
      <c r="O85" s="64">
        <v>0</v>
      </c>
      <c r="P85" s="64">
        <v>0.81</v>
      </c>
      <c r="Q85" s="64">
        <v>5.21</v>
      </c>
      <c r="R85" s="198"/>
      <c r="S85" s="198"/>
      <c r="T85" s="198"/>
      <c r="U85" s="198"/>
    </row>
    <row r="86" spans="1:26" s="12" customFormat="1" x14ac:dyDescent="0.25">
      <c r="A86" s="213" t="s">
        <v>1956</v>
      </c>
      <c r="B86" s="64">
        <v>24.67</v>
      </c>
      <c r="C86" s="64">
        <v>29.83</v>
      </c>
      <c r="D86" s="64">
        <v>36.89</v>
      </c>
      <c r="E86" s="64">
        <v>0.12</v>
      </c>
      <c r="F86" s="64">
        <v>3.19</v>
      </c>
      <c r="G86" s="64">
        <v>71.400000000000006</v>
      </c>
      <c r="H86" s="64">
        <v>26.82</v>
      </c>
      <c r="I86" s="64">
        <v>1.41</v>
      </c>
      <c r="J86" s="64">
        <v>0.05</v>
      </c>
      <c r="K86" s="64">
        <v>191.39</v>
      </c>
      <c r="L86" s="64">
        <v>22.5</v>
      </c>
      <c r="M86" s="64">
        <v>57.54</v>
      </c>
      <c r="N86" s="64">
        <v>20.9</v>
      </c>
      <c r="O86" s="64">
        <v>0</v>
      </c>
      <c r="P86" s="64">
        <v>0.97</v>
      </c>
      <c r="Q86" s="64">
        <v>5.21</v>
      </c>
      <c r="R86" s="198"/>
      <c r="S86" s="198"/>
      <c r="T86" s="198"/>
      <c r="U86" s="198"/>
    </row>
    <row r="87" spans="1:26" s="12" customFormat="1" x14ac:dyDescent="0.25">
      <c r="A87" s="213" t="s">
        <v>1957</v>
      </c>
      <c r="B87" s="64">
        <v>29.64</v>
      </c>
      <c r="C87" s="64">
        <v>30.27</v>
      </c>
      <c r="D87" s="64">
        <v>41.12</v>
      </c>
      <c r="E87" s="64">
        <v>0.17</v>
      </c>
      <c r="F87" s="64">
        <v>3.28</v>
      </c>
      <c r="G87" s="64">
        <v>78.89</v>
      </c>
      <c r="H87" s="64">
        <v>27.47</v>
      </c>
      <c r="I87" s="64">
        <v>1.44</v>
      </c>
      <c r="J87" s="64">
        <v>0.11</v>
      </c>
      <c r="K87" s="64">
        <v>327.85</v>
      </c>
      <c r="L87" s="64">
        <v>22.21</v>
      </c>
      <c r="M87" s="64">
        <v>62.15</v>
      </c>
      <c r="N87" s="64">
        <v>20.9</v>
      </c>
      <c r="O87" s="64">
        <v>0</v>
      </c>
      <c r="P87" s="64">
        <v>1.07</v>
      </c>
      <c r="Q87" s="64">
        <v>5.21</v>
      </c>
      <c r="R87" s="198"/>
      <c r="S87" s="198"/>
      <c r="T87" s="198"/>
      <c r="U87" s="198"/>
    </row>
    <row r="88" spans="1:26" s="12" customFormat="1" x14ac:dyDescent="0.25">
      <c r="A88" s="213" t="s">
        <v>1958</v>
      </c>
      <c r="B88" s="64">
        <v>35.299999999999997</v>
      </c>
      <c r="C88" s="64">
        <v>30.69</v>
      </c>
      <c r="D88" s="64">
        <v>45.89</v>
      </c>
      <c r="E88" s="64">
        <v>0.1</v>
      </c>
      <c r="F88" s="64">
        <v>3.12</v>
      </c>
      <c r="G88" s="64">
        <v>103.49</v>
      </c>
      <c r="H88" s="64">
        <v>30.49</v>
      </c>
      <c r="I88" s="64">
        <v>1.55</v>
      </c>
      <c r="J88" s="64">
        <v>0.1</v>
      </c>
      <c r="K88" s="64">
        <v>195.17</v>
      </c>
      <c r="L88" s="64">
        <v>22.13</v>
      </c>
      <c r="M88" s="64">
        <v>61.61</v>
      </c>
      <c r="N88" s="64">
        <v>20.399999999999999</v>
      </c>
      <c r="O88" s="64">
        <v>0</v>
      </c>
      <c r="P88" s="64">
        <v>1.19</v>
      </c>
      <c r="Q88" s="64">
        <v>5.22</v>
      </c>
      <c r="R88" s="198"/>
      <c r="S88" s="198"/>
      <c r="T88" s="198"/>
      <c r="U88" s="198"/>
    </row>
    <row r="89" spans="1:26" s="12" customFormat="1" x14ac:dyDescent="0.25">
      <c r="A89" s="213" t="s">
        <v>1959</v>
      </c>
      <c r="B89" s="64">
        <v>38.729999999999997</v>
      </c>
      <c r="C89" s="64">
        <v>31.38</v>
      </c>
      <c r="D89" s="64">
        <v>49.02</v>
      </c>
      <c r="E89" s="64">
        <v>0.22</v>
      </c>
      <c r="F89" s="64">
        <v>2.75</v>
      </c>
      <c r="G89" s="64">
        <v>103.49</v>
      </c>
      <c r="H89" s="64">
        <v>30.49</v>
      </c>
      <c r="I89" s="64">
        <v>1.52</v>
      </c>
      <c r="J89" s="64">
        <v>0.04</v>
      </c>
      <c r="K89" s="64">
        <v>359.75</v>
      </c>
      <c r="L89" s="64">
        <v>22.16</v>
      </c>
      <c r="M89" s="64">
        <v>56.88</v>
      </c>
      <c r="N89" s="64">
        <v>20.9</v>
      </c>
      <c r="O89" s="64">
        <v>0</v>
      </c>
      <c r="P89" s="64">
        <v>1.26</v>
      </c>
      <c r="Q89" s="64">
        <v>5.39</v>
      </c>
      <c r="R89" s="198"/>
      <c r="S89" s="198"/>
      <c r="T89" s="198"/>
      <c r="U89" s="198"/>
    </row>
    <row r="90" spans="1:26" s="12" customFormat="1" x14ac:dyDescent="0.25">
      <c r="A90" s="213" t="s">
        <v>1960</v>
      </c>
      <c r="B90" s="64">
        <v>42.92</v>
      </c>
      <c r="C90" s="64">
        <v>32.450000000000003</v>
      </c>
      <c r="D90" s="64">
        <v>52.97</v>
      </c>
      <c r="E90" s="64">
        <v>0.21</v>
      </c>
      <c r="F90" s="64">
        <v>2.77</v>
      </c>
      <c r="G90" s="64">
        <v>103.49</v>
      </c>
      <c r="H90" s="64">
        <v>30.49</v>
      </c>
      <c r="I90" s="64">
        <v>1.49</v>
      </c>
      <c r="J90" s="64">
        <v>0.06</v>
      </c>
      <c r="K90" s="64">
        <v>137.47</v>
      </c>
      <c r="L90" s="64">
        <v>21.83</v>
      </c>
      <c r="M90" s="64">
        <v>59.26</v>
      </c>
      <c r="N90" s="64">
        <v>20.9</v>
      </c>
      <c r="O90" s="64">
        <v>0</v>
      </c>
      <c r="P90" s="64">
        <v>1.36</v>
      </c>
      <c r="Q90" s="64">
        <v>5.62</v>
      </c>
      <c r="R90" s="198"/>
      <c r="S90" s="198"/>
      <c r="T90" s="198"/>
      <c r="U90" s="198"/>
    </row>
    <row r="91" spans="1:26" s="12" customFormat="1" x14ac:dyDescent="0.25">
      <c r="A91" s="213" t="s">
        <v>1961</v>
      </c>
      <c r="B91" s="64">
        <v>46.37</v>
      </c>
      <c r="C91" s="64">
        <v>33.36</v>
      </c>
      <c r="D91" s="64">
        <v>56.25</v>
      </c>
      <c r="E91" s="64">
        <v>0.25</v>
      </c>
      <c r="F91" s="64">
        <v>3.03</v>
      </c>
      <c r="G91" s="64">
        <v>104.47</v>
      </c>
      <c r="H91" s="64">
        <v>30.78</v>
      </c>
      <c r="I91" s="64">
        <v>1.54</v>
      </c>
      <c r="J91" s="64">
        <v>0.06</v>
      </c>
      <c r="K91" s="64">
        <v>268.20999999999998</v>
      </c>
      <c r="L91" s="64">
        <v>21.59</v>
      </c>
      <c r="M91" s="64">
        <v>61.7</v>
      </c>
      <c r="N91" s="64">
        <v>20.8</v>
      </c>
      <c r="O91" s="64">
        <v>0</v>
      </c>
      <c r="P91" s="64">
        <v>1.41</v>
      </c>
      <c r="Q91" s="64">
        <v>5.91</v>
      </c>
      <c r="R91" s="198"/>
      <c r="S91" s="198"/>
      <c r="T91" s="198"/>
      <c r="U91" s="198"/>
    </row>
    <row r="92" spans="1:26" s="12" customFormat="1" x14ac:dyDescent="0.25">
      <c r="A92" s="213" t="s">
        <v>1962</v>
      </c>
      <c r="B92" s="64">
        <v>52.77</v>
      </c>
      <c r="C92" s="64">
        <v>34.35</v>
      </c>
      <c r="D92" s="64">
        <v>61.92</v>
      </c>
      <c r="E92" s="64">
        <v>0.26</v>
      </c>
      <c r="F92" s="64">
        <v>3.12</v>
      </c>
      <c r="G92" s="64">
        <v>107.68</v>
      </c>
      <c r="H92" s="64">
        <v>31.46</v>
      </c>
      <c r="I92" s="64">
        <v>1.48</v>
      </c>
      <c r="J92" s="64">
        <v>0.03</v>
      </c>
      <c r="K92" s="64">
        <v>189.01</v>
      </c>
      <c r="L92" s="64">
        <v>21.47</v>
      </c>
      <c r="M92" s="64">
        <v>62.91</v>
      </c>
      <c r="N92" s="64">
        <v>20.8</v>
      </c>
      <c r="O92" s="64">
        <v>0</v>
      </c>
      <c r="P92" s="64">
        <v>1.46</v>
      </c>
      <c r="Q92" s="64">
        <v>6.25</v>
      </c>
      <c r="R92" s="198"/>
      <c r="S92" s="198"/>
      <c r="T92" s="198"/>
      <c r="U92" s="198"/>
    </row>
    <row r="93" spans="1:26" s="12" customFormat="1" x14ac:dyDescent="0.25">
      <c r="A93" s="213" t="s">
        <v>1963</v>
      </c>
      <c r="B93" s="64">
        <v>62</v>
      </c>
      <c r="C93" s="64">
        <v>37.21</v>
      </c>
      <c r="D93" s="64">
        <v>70.900000000000006</v>
      </c>
      <c r="E93" s="64">
        <v>0.26</v>
      </c>
      <c r="F93" s="64">
        <v>2.72</v>
      </c>
      <c r="G93" s="64">
        <v>107.68</v>
      </c>
      <c r="H93" s="64">
        <v>31.46</v>
      </c>
      <c r="I93" s="64">
        <v>1.46</v>
      </c>
      <c r="J93" s="64">
        <v>7.0000000000000007E-2</v>
      </c>
      <c r="K93" s="64">
        <v>39.64</v>
      </c>
      <c r="L93" s="64">
        <v>21.23</v>
      </c>
      <c r="M93" s="64">
        <v>65.81</v>
      </c>
      <c r="N93" s="64">
        <v>20.9</v>
      </c>
      <c r="O93" s="64">
        <v>0</v>
      </c>
      <c r="P93" s="64">
        <v>1.54</v>
      </c>
      <c r="Q93" s="64">
        <v>6.73</v>
      </c>
      <c r="R93" s="198"/>
      <c r="S93" s="198"/>
      <c r="T93" s="198"/>
      <c r="U93" s="198"/>
    </row>
    <row r="94" spans="1:26" s="12" customFormat="1" x14ac:dyDescent="0.25">
      <c r="A94" s="213" t="s">
        <v>1964</v>
      </c>
      <c r="B94" s="64">
        <v>68.3</v>
      </c>
      <c r="C94" s="64">
        <v>40.14</v>
      </c>
      <c r="D94" s="64">
        <v>77.58</v>
      </c>
      <c r="E94" s="64">
        <v>0.21</v>
      </c>
      <c r="F94" s="64">
        <v>3.12</v>
      </c>
      <c r="G94" s="64">
        <v>107.68</v>
      </c>
      <c r="H94" s="64">
        <v>31.46</v>
      </c>
      <c r="I94" s="64">
        <v>1.56</v>
      </c>
      <c r="J94" s="64">
        <v>7.0000000000000007E-2</v>
      </c>
      <c r="K94" s="64">
        <v>198.34</v>
      </c>
      <c r="L94" s="64">
        <v>21.01</v>
      </c>
      <c r="M94" s="64">
        <v>67.37</v>
      </c>
      <c r="N94" s="64">
        <v>20.6</v>
      </c>
      <c r="O94" s="64">
        <v>0</v>
      </c>
      <c r="P94" s="64">
        <v>1.58</v>
      </c>
      <c r="Q94" s="64">
        <v>7.3</v>
      </c>
      <c r="R94" s="198"/>
      <c r="S94" s="198"/>
      <c r="T94" s="198"/>
      <c r="U94" s="198"/>
    </row>
    <row r="95" spans="1:26" s="12" customFormat="1" x14ac:dyDescent="0.25">
      <c r="A95" s="213" t="s">
        <v>1965</v>
      </c>
      <c r="B95" s="64">
        <v>72.319999999999993</v>
      </c>
      <c r="C95" s="64">
        <v>40.82</v>
      </c>
      <c r="D95" s="64">
        <v>81.17</v>
      </c>
      <c r="E95" s="64">
        <v>0.22</v>
      </c>
      <c r="F95" s="64">
        <v>3.12</v>
      </c>
      <c r="G95" s="64">
        <v>110.37</v>
      </c>
      <c r="H95" s="64">
        <v>33.299999999999997</v>
      </c>
      <c r="I95" s="64">
        <v>1.45</v>
      </c>
      <c r="J95" s="64">
        <v>0.13</v>
      </c>
      <c r="K95" s="64">
        <v>197.63</v>
      </c>
      <c r="L95" s="64">
        <v>21.4</v>
      </c>
      <c r="M95" s="64">
        <v>63.27</v>
      </c>
      <c r="N95" s="64">
        <v>20.3</v>
      </c>
      <c r="O95" s="64">
        <v>0</v>
      </c>
      <c r="P95" s="64">
        <v>1.53</v>
      </c>
      <c r="Q95" s="64">
        <v>7.79</v>
      </c>
      <c r="R95" s="198"/>
      <c r="S95" s="198"/>
      <c r="T95" s="198"/>
      <c r="U95" s="198"/>
    </row>
    <row r="96" spans="1:26" s="12" customFormat="1" x14ac:dyDescent="0.25">
      <c r="A96" s="213" t="s">
        <v>1966</v>
      </c>
      <c r="B96" s="64">
        <v>73.900000000000006</v>
      </c>
      <c r="C96" s="64">
        <v>41.02</v>
      </c>
      <c r="D96" s="64">
        <v>82.55</v>
      </c>
      <c r="E96" s="64">
        <v>0.27</v>
      </c>
      <c r="F96" s="64">
        <v>3.04</v>
      </c>
      <c r="G96" s="64">
        <v>119.18</v>
      </c>
      <c r="H96" s="64">
        <v>37.619999999999997</v>
      </c>
      <c r="I96" s="64">
        <v>1.54</v>
      </c>
      <c r="J96" s="64">
        <v>0.25</v>
      </c>
      <c r="K96" s="64">
        <v>197.2</v>
      </c>
      <c r="L96" s="64">
        <v>21.54</v>
      </c>
      <c r="M96" s="64">
        <v>60.81</v>
      </c>
      <c r="N96" s="64">
        <v>19.899999999999999</v>
      </c>
      <c r="O96" s="64">
        <v>0</v>
      </c>
      <c r="P96" s="64">
        <v>1.53</v>
      </c>
      <c r="Q96" s="64">
        <v>8.11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1967</v>
      </c>
      <c r="B97" s="64">
        <v>74.44</v>
      </c>
      <c r="C97" s="64">
        <v>40.21</v>
      </c>
      <c r="D97" s="64">
        <v>82.53</v>
      </c>
      <c r="E97" s="64">
        <v>0.35</v>
      </c>
      <c r="F97" s="64">
        <v>2.85</v>
      </c>
      <c r="G97" s="64">
        <v>119.18</v>
      </c>
      <c r="H97" s="64">
        <v>37.619999999999997</v>
      </c>
      <c r="I97" s="64">
        <v>1.53</v>
      </c>
      <c r="J97" s="64">
        <v>0.22</v>
      </c>
      <c r="K97" s="64">
        <v>333.79</v>
      </c>
      <c r="L97" s="64">
        <v>21.3</v>
      </c>
      <c r="M97" s="64">
        <v>67.44</v>
      </c>
      <c r="N97" s="64">
        <v>21</v>
      </c>
      <c r="O97" s="64">
        <v>0</v>
      </c>
      <c r="P97" s="64">
        <v>1.58</v>
      </c>
      <c r="Q97" s="64">
        <v>8.2200000000000006</v>
      </c>
      <c r="R97" s="198"/>
      <c r="S97" s="198"/>
      <c r="T97" s="198"/>
      <c r="U97" s="198"/>
    </row>
    <row r="98" spans="1:33" s="12" customFormat="1" x14ac:dyDescent="0.25">
      <c r="A98" s="213" t="s">
        <v>1968</v>
      </c>
      <c r="B98" s="64">
        <v>75.959999999999994</v>
      </c>
      <c r="C98" s="64">
        <v>39.58</v>
      </c>
      <c r="D98" s="64">
        <v>83.4</v>
      </c>
      <c r="E98" s="64">
        <v>0.26</v>
      </c>
      <c r="F98" s="64">
        <v>3.2</v>
      </c>
      <c r="G98" s="64">
        <v>119.18</v>
      </c>
      <c r="H98" s="64">
        <v>37.619999999999997</v>
      </c>
      <c r="I98" s="64">
        <v>1.51</v>
      </c>
      <c r="J98" s="64">
        <v>0.12</v>
      </c>
      <c r="K98" s="64">
        <v>337.29</v>
      </c>
      <c r="L98" s="64">
        <v>20.34</v>
      </c>
      <c r="M98" s="64">
        <v>71.83</v>
      </c>
      <c r="N98" s="64">
        <v>21.1</v>
      </c>
      <c r="O98" s="64">
        <v>0</v>
      </c>
      <c r="P98" s="64">
        <v>1.66</v>
      </c>
      <c r="Q98" s="64">
        <v>8.32</v>
      </c>
      <c r="R98" s="198"/>
      <c r="S98" s="198"/>
      <c r="T98" s="198"/>
      <c r="U98" s="198"/>
    </row>
    <row r="99" spans="1:33" s="12" customFormat="1" x14ac:dyDescent="0.25">
      <c r="A99" s="213" t="s">
        <v>1969</v>
      </c>
      <c r="B99" s="64">
        <v>78.319999999999993</v>
      </c>
      <c r="C99" s="64">
        <v>39.880000000000003</v>
      </c>
      <c r="D99" s="64">
        <v>85.46</v>
      </c>
      <c r="E99" s="64">
        <v>0.32</v>
      </c>
      <c r="F99" s="64">
        <v>2.96</v>
      </c>
      <c r="G99" s="64">
        <v>117.16</v>
      </c>
      <c r="H99" s="64">
        <v>37.130000000000003</v>
      </c>
      <c r="I99" s="64">
        <v>1.5</v>
      </c>
      <c r="J99" s="64">
        <v>0.03</v>
      </c>
      <c r="K99" s="64">
        <v>219.98</v>
      </c>
      <c r="L99" s="64">
        <v>20.149999999999999</v>
      </c>
      <c r="M99" s="64">
        <v>71.95</v>
      </c>
      <c r="N99" s="64">
        <v>21</v>
      </c>
      <c r="O99" s="64">
        <v>0</v>
      </c>
      <c r="P99" s="64">
        <v>1.67</v>
      </c>
      <c r="Q99" s="64">
        <v>8.44</v>
      </c>
      <c r="R99" s="198"/>
      <c r="S99" s="198"/>
      <c r="T99" s="198"/>
      <c r="U99" s="198"/>
    </row>
    <row r="100" spans="1:33" s="12" customFormat="1" x14ac:dyDescent="0.25">
      <c r="A100" s="213" t="s">
        <v>1970</v>
      </c>
      <c r="B100" s="64">
        <v>80.87</v>
      </c>
      <c r="C100" s="64">
        <v>39.35</v>
      </c>
      <c r="D100" s="64">
        <v>87.21</v>
      </c>
      <c r="E100" s="64">
        <v>0.31</v>
      </c>
      <c r="F100" s="64">
        <v>2.88</v>
      </c>
      <c r="G100" s="64">
        <v>110.51</v>
      </c>
      <c r="H100" s="64">
        <v>36.01</v>
      </c>
      <c r="I100" s="64">
        <v>1.56</v>
      </c>
      <c r="J100" s="64">
        <v>0.17</v>
      </c>
      <c r="K100" s="64">
        <v>197.75</v>
      </c>
      <c r="L100" s="64">
        <v>20.079999999999998</v>
      </c>
      <c r="M100" s="64">
        <v>73.13</v>
      </c>
      <c r="N100" s="64">
        <v>20.3</v>
      </c>
      <c r="O100" s="64">
        <v>0</v>
      </c>
      <c r="P100" s="64">
        <v>1.66</v>
      </c>
      <c r="Q100" s="64">
        <v>8.5299999999999994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1971</v>
      </c>
      <c r="B101" s="64">
        <v>82.16</v>
      </c>
      <c r="C101" s="64">
        <v>38.85</v>
      </c>
      <c r="D101" s="64">
        <v>87.97</v>
      </c>
      <c r="E101" s="64">
        <v>0.34</v>
      </c>
      <c r="F101" s="64">
        <v>3.15</v>
      </c>
      <c r="G101" s="64">
        <v>110.51</v>
      </c>
      <c r="H101" s="64">
        <v>36.01</v>
      </c>
      <c r="I101" s="64">
        <v>1.51</v>
      </c>
      <c r="J101" s="64">
        <v>0.14000000000000001</v>
      </c>
      <c r="K101" s="64">
        <v>344.6</v>
      </c>
      <c r="L101" s="64">
        <v>20.3</v>
      </c>
      <c r="M101" s="64">
        <v>71.72</v>
      </c>
      <c r="N101" s="64">
        <v>20.9</v>
      </c>
      <c r="O101" s="64">
        <v>0</v>
      </c>
      <c r="P101" s="64">
        <v>1.64</v>
      </c>
      <c r="Q101" s="64">
        <v>8.7200000000000006</v>
      </c>
      <c r="R101" s="198"/>
      <c r="S101" s="198"/>
      <c r="T101" s="198"/>
      <c r="U101" s="198"/>
    </row>
    <row r="102" spans="1:33" s="12" customFormat="1" x14ac:dyDescent="0.25">
      <c r="A102" s="213" t="s">
        <v>1972</v>
      </c>
      <c r="B102" s="64">
        <v>83.97</v>
      </c>
      <c r="C102" s="64">
        <v>37.94</v>
      </c>
      <c r="D102" s="64">
        <v>88.92</v>
      </c>
      <c r="E102" s="64">
        <v>0.32</v>
      </c>
      <c r="F102" s="64">
        <v>3</v>
      </c>
      <c r="G102" s="64">
        <v>110.51</v>
      </c>
      <c r="H102" s="64">
        <v>36.01</v>
      </c>
      <c r="I102" s="64">
        <v>1.51</v>
      </c>
      <c r="J102" s="64">
        <v>0.03</v>
      </c>
      <c r="K102" s="64">
        <v>236.45</v>
      </c>
      <c r="L102" s="64">
        <v>19.73</v>
      </c>
      <c r="M102" s="64">
        <v>76.89</v>
      </c>
      <c r="N102" s="64">
        <v>21</v>
      </c>
      <c r="O102" s="64">
        <v>0</v>
      </c>
      <c r="P102" s="64">
        <v>1.66</v>
      </c>
      <c r="Q102" s="64">
        <v>8.7899999999999991</v>
      </c>
      <c r="R102" s="198"/>
      <c r="S102" s="198"/>
      <c r="T102" s="198"/>
      <c r="U102" s="198"/>
    </row>
    <row r="103" spans="1:33" s="12" customFormat="1" x14ac:dyDescent="0.25">
      <c r="A103" s="213" t="s">
        <v>1973</v>
      </c>
      <c r="B103" s="64">
        <v>86.54</v>
      </c>
      <c r="C103" s="64">
        <v>37.71</v>
      </c>
      <c r="D103" s="64">
        <v>90.85</v>
      </c>
      <c r="E103" s="64">
        <v>0.31</v>
      </c>
      <c r="F103" s="64">
        <v>3.15</v>
      </c>
      <c r="G103" s="64">
        <v>112.43</v>
      </c>
      <c r="H103" s="64">
        <v>36.340000000000003</v>
      </c>
      <c r="I103" s="64">
        <v>1.52</v>
      </c>
      <c r="J103" s="64">
        <v>0.03</v>
      </c>
      <c r="K103" s="64">
        <v>59.98</v>
      </c>
      <c r="L103" s="64">
        <v>19.899999999999999</v>
      </c>
      <c r="M103" s="64">
        <v>72.819999999999993</v>
      </c>
      <c r="N103" s="64">
        <v>20.399999999999999</v>
      </c>
      <c r="O103" s="64">
        <v>0</v>
      </c>
      <c r="P103" s="64">
        <v>1.69</v>
      </c>
      <c r="Q103" s="64">
        <v>8.94</v>
      </c>
      <c r="R103" s="198"/>
      <c r="S103" s="198"/>
      <c r="T103" s="198"/>
      <c r="U103" s="198"/>
    </row>
    <row r="104" spans="1:33" s="12" customFormat="1" x14ac:dyDescent="0.25">
      <c r="A104" s="213" t="s">
        <v>1974</v>
      </c>
      <c r="B104" s="64">
        <v>87.55</v>
      </c>
      <c r="C104" s="64">
        <v>38.06</v>
      </c>
      <c r="D104" s="64">
        <v>91.86</v>
      </c>
      <c r="E104" s="64">
        <v>0.14000000000000001</v>
      </c>
      <c r="F104" s="64">
        <v>2.57</v>
      </c>
      <c r="G104" s="64">
        <v>118.73</v>
      </c>
      <c r="H104" s="64">
        <v>37.86</v>
      </c>
      <c r="I104" s="64">
        <v>1.5</v>
      </c>
      <c r="J104" s="64">
        <v>0.18</v>
      </c>
      <c r="K104" s="64">
        <v>326.58999999999997</v>
      </c>
      <c r="L104" s="64">
        <v>19.420000000000002</v>
      </c>
      <c r="M104" s="64">
        <v>77.819999999999993</v>
      </c>
      <c r="N104" s="64">
        <v>21</v>
      </c>
      <c r="O104" s="64">
        <v>0</v>
      </c>
      <c r="P104" s="64">
        <v>1.69</v>
      </c>
      <c r="Q104" s="64">
        <v>9.1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0.68</v>
      </c>
      <c r="C106" s="67">
        <f>MIN(C9:C104)</f>
        <v>29.33</v>
      </c>
      <c r="D106" s="67">
        <f t="shared" ref="D106:Q106" si="0">MIN(D9:D104)</f>
        <v>17.54</v>
      </c>
      <c r="E106" s="67">
        <f t="shared" si="0"/>
        <v>0.05</v>
      </c>
      <c r="F106" s="67">
        <f t="shared" si="0"/>
        <v>2.57</v>
      </c>
      <c r="G106" s="67">
        <f t="shared" si="0"/>
        <v>46.61</v>
      </c>
      <c r="H106" s="67">
        <f t="shared" si="0"/>
        <v>24.1</v>
      </c>
      <c r="I106" s="67">
        <f t="shared" si="0"/>
        <v>1.41</v>
      </c>
      <c r="J106" s="67">
        <f t="shared" si="0"/>
        <v>0.02</v>
      </c>
      <c r="K106" s="67">
        <f t="shared" si="0"/>
        <v>0.77</v>
      </c>
      <c r="L106" s="67">
        <f t="shared" si="0"/>
        <v>18.670000000000002</v>
      </c>
      <c r="M106" s="67">
        <f t="shared" si="0"/>
        <v>28.04</v>
      </c>
      <c r="N106" s="67">
        <f t="shared" si="0"/>
        <v>19.899999999999999</v>
      </c>
      <c r="O106" s="67">
        <f t="shared" si="0"/>
        <v>0</v>
      </c>
      <c r="P106" s="67">
        <f t="shared" si="0"/>
        <v>0.51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87.55</v>
      </c>
      <c r="C107" s="66">
        <f t="shared" ref="C107:Q107" si="1">MAX(C9:C104)</f>
        <v>70.02</v>
      </c>
      <c r="D107" s="66">
        <f t="shared" si="1"/>
        <v>91.86</v>
      </c>
      <c r="E107" s="66">
        <f t="shared" si="1"/>
        <v>3.66</v>
      </c>
      <c r="F107" s="66">
        <f t="shared" si="1"/>
        <v>73.900000000000006</v>
      </c>
      <c r="G107" s="66">
        <f t="shared" si="1"/>
        <v>119.18</v>
      </c>
      <c r="H107" s="66">
        <f t="shared" si="1"/>
        <v>38.44</v>
      </c>
      <c r="I107" s="66">
        <f t="shared" si="1"/>
        <v>1.6</v>
      </c>
      <c r="J107" s="66">
        <f t="shared" si="1"/>
        <v>1</v>
      </c>
      <c r="K107" s="66">
        <f t="shared" si="1"/>
        <v>359.75</v>
      </c>
      <c r="L107" s="66">
        <f t="shared" si="1"/>
        <v>32.549999999999997</v>
      </c>
      <c r="M107" s="66">
        <f t="shared" si="1"/>
        <v>87.15</v>
      </c>
      <c r="N107" s="66">
        <f t="shared" si="1"/>
        <v>769.2</v>
      </c>
      <c r="O107" s="66">
        <f t="shared" si="1"/>
        <v>0</v>
      </c>
      <c r="P107" s="66">
        <f t="shared" si="1"/>
        <v>1.69</v>
      </c>
      <c r="Q107" s="66">
        <f t="shared" si="1"/>
        <v>9.1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31.773437499999996</v>
      </c>
      <c r="C108" s="67">
        <f t="shared" ref="C108:Q108" si="2">AVERAGE(C9:C104)</f>
        <v>43.596458333333345</v>
      </c>
      <c r="D108" s="67">
        <f t="shared" si="2"/>
        <v>50.184895833333336</v>
      </c>
      <c r="E108" s="67">
        <f t="shared" si="2"/>
        <v>0.41052083333333345</v>
      </c>
      <c r="F108" s="67">
        <f t="shared" si="2"/>
        <v>11.101875</v>
      </c>
      <c r="G108" s="67">
        <f t="shared" si="2"/>
        <v>78.663124999999994</v>
      </c>
      <c r="H108" s="67">
        <f t="shared" si="2"/>
        <v>32.395937500000009</v>
      </c>
      <c r="I108" s="67">
        <f t="shared" si="2"/>
        <v>1.4980208333333327</v>
      </c>
      <c r="J108" s="67">
        <f t="shared" si="2"/>
        <v>0.2182291666666667</v>
      </c>
      <c r="K108" s="67">
        <f t="shared" si="2"/>
        <v>211.34114583333329</v>
      </c>
      <c r="L108" s="67">
        <f t="shared" si="2"/>
        <v>23.518854166666671</v>
      </c>
      <c r="M108" s="67">
        <f t="shared" si="2"/>
        <v>60.635104166666672</v>
      </c>
      <c r="N108" s="67">
        <f t="shared" si="2"/>
        <v>178.67812499999999</v>
      </c>
      <c r="O108" s="67">
        <f t="shared" si="2"/>
        <v>0</v>
      </c>
      <c r="P108" s="67">
        <f t="shared" si="2"/>
        <v>0.99229166666666668</v>
      </c>
      <c r="Q108" s="67">
        <f t="shared" si="2"/>
        <v>6.6567708333333266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25.379369774769309</v>
      </c>
      <c r="C109" s="67">
        <f t="shared" ref="C109:Q109" si="3">STDEV(C9:C104)</f>
        <v>8.8707069651410304</v>
      </c>
      <c r="D109" s="67">
        <f t="shared" si="3"/>
        <v>21.49140978916639</v>
      </c>
      <c r="E109" s="67">
        <f t="shared" si="3"/>
        <v>0.6137861273177484</v>
      </c>
      <c r="F109" s="67">
        <f t="shared" si="3"/>
        <v>16.953655175677881</v>
      </c>
      <c r="G109" s="67">
        <f t="shared" si="3"/>
        <v>19.398169545359941</v>
      </c>
      <c r="H109" s="67">
        <f t="shared" si="3"/>
        <v>3.443040143192007</v>
      </c>
      <c r="I109" s="67">
        <f t="shared" si="3"/>
        <v>4.2664413660361715E-2</v>
      </c>
      <c r="J109" s="67">
        <f t="shared" si="3"/>
        <v>0.2158264155905544</v>
      </c>
      <c r="K109" s="67">
        <f t="shared" si="3"/>
        <v>93.966647967521993</v>
      </c>
      <c r="L109" s="67">
        <f t="shared" si="3"/>
        <v>4.3007374813829022</v>
      </c>
      <c r="M109" s="67">
        <f t="shared" si="3"/>
        <v>19.221216621485972</v>
      </c>
      <c r="N109" s="67">
        <f t="shared" si="3"/>
        <v>235.73101361425748</v>
      </c>
      <c r="O109" s="67">
        <f t="shared" si="3"/>
        <v>0</v>
      </c>
      <c r="P109" s="67">
        <f t="shared" si="3"/>
        <v>0.32360950856717374</v>
      </c>
      <c r="Q109" s="67">
        <f t="shared" si="3"/>
        <v>1.3684470605238011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1975</v>
      </c>
      <c r="B9" s="64">
        <v>86.72</v>
      </c>
      <c r="C9" s="64">
        <v>37.61</v>
      </c>
      <c r="D9" s="64">
        <v>90.94</v>
      </c>
      <c r="E9" s="64">
        <v>0.33</v>
      </c>
      <c r="F9" s="64">
        <v>3.19</v>
      </c>
      <c r="G9" s="64">
        <v>118.73</v>
      </c>
      <c r="H9" s="64">
        <v>37.86</v>
      </c>
      <c r="I9" s="64">
        <v>1.58</v>
      </c>
      <c r="J9" s="64">
        <v>0.34</v>
      </c>
      <c r="K9" s="64">
        <v>175.16</v>
      </c>
      <c r="L9" s="64">
        <v>19.57</v>
      </c>
      <c r="M9" s="64">
        <v>72.349999999999994</v>
      </c>
      <c r="N9" s="64">
        <v>19.7</v>
      </c>
      <c r="O9" s="64">
        <v>0</v>
      </c>
      <c r="P9" s="64">
        <v>1.67</v>
      </c>
      <c r="Q9" s="64">
        <v>9.14</v>
      </c>
      <c r="R9" s="198"/>
      <c r="S9" s="198"/>
      <c r="T9" s="198"/>
      <c r="U9" s="198"/>
    </row>
    <row r="10" spans="1:21" s="12" customFormat="1" x14ac:dyDescent="0.25">
      <c r="A10" s="213" t="s">
        <v>1976</v>
      </c>
      <c r="B10" s="64">
        <v>83.35</v>
      </c>
      <c r="C10" s="64">
        <v>37.81</v>
      </c>
      <c r="D10" s="64">
        <v>88.35</v>
      </c>
      <c r="E10" s="64">
        <v>0.24</v>
      </c>
      <c r="F10" s="64">
        <v>3</v>
      </c>
      <c r="G10" s="64">
        <v>118.73</v>
      </c>
      <c r="H10" s="64">
        <v>37.86</v>
      </c>
      <c r="I10" s="64">
        <v>1.53</v>
      </c>
      <c r="J10" s="64">
        <v>0.18</v>
      </c>
      <c r="K10" s="64">
        <v>204.22</v>
      </c>
      <c r="L10" s="64">
        <v>20.63</v>
      </c>
      <c r="M10" s="64">
        <v>60.71</v>
      </c>
      <c r="N10" s="64">
        <v>19.8</v>
      </c>
      <c r="O10" s="64">
        <v>0</v>
      </c>
      <c r="P10" s="64">
        <v>1.63</v>
      </c>
      <c r="Q10" s="64">
        <v>9.01</v>
      </c>
      <c r="R10" s="198"/>
      <c r="S10" s="198"/>
      <c r="T10" s="198"/>
      <c r="U10" s="198"/>
    </row>
    <row r="11" spans="1:21" s="12" customFormat="1" x14ac:dyDescent="0.25">
      <c r="A11" s="213" t="s">
        <v>1977</v>
      </c>
      <c r="B11" s="64">
        <v>78.52</v>
      </c>
      <c r="C11" s="64">
        <v>37.58</v>
      </c>
      <c r="D11" s="64">
        <v>84.35</v>
      </c>
      <c r="E11" s="64">
        <v>0.34</v>
      </c>
      <c r="F11" s="64">
        <v>2.78</v>
      </c>
      <c r="G11" s="64">
        <v>114.98</v>
      </c>
      <c r="H11" s="64">
        <v>35.92</v>
      </c>
      <c r="I11" s="64">
        <v>1.53</v>
      </c>
      <c r="J11" s="64">
        <v>0.1</v>
      </c>
      <c r="K11" s="64">
        <v>222.14</v>
      </c>
      <c r="L11" s="64">
        <v>20.16</v>
      </c>
      <c r="M11" s="64">
        <v>64.16</v>
      </c>
      <c r="N11" s="64">
        <v>20.8</v>
      </c>
      <c r="O11" s="64">
        <v>0</v>
      </c>
      <c r="P11" s="64">
        <v>1.56</v>
      </c>
      <c r="Q11" s="64">
        <v>8.76</v>
      </c>
      <c r="R11" s="198"/>
      <c r="S11" s="198"/>
      <c r="T11" s="198"/>
      <c r="U11" s="198"/>
    </row>
    <row r="12" spans="1:21" s="12" customFormat="1" x14ac:dyDescent="0.25">
      <c r="A12" s="213" t="s">
        <v>1978</v>
      </c>
      <c r="B12" s="64">
        <v>74.17</v>
      </c>
      <c r="C12" s="64">
        <v>36.700000000000003</v>
      </c>
      <c r="D12" s="64">
        <v>80.38</v>
      </c>
      <c r="E12" s="64">
        <v>0.28999999999999998</v>
      </c>
      <c r="F12" s="64">
        <v>2.85</v>
      </c>
      <c r="G12" s="64">
        <v>102.66</v>
      </c>
      <c r="H12" s="64">
        <v>31.47</v>
      </c>
      <c r="I12" s="64">
        <v>1.54</v>
      </c>
      <c r="J12" s="64">
        <v>0.34</v>
      </c>
      <c r="K12" s="64">
        <v>169.63</v>
      </c>
      <c r="L12" s="64">
        <v>19.96</v>
      </c>
      <c r="M12" s="64">
        <v>65.38</v>
      </c>
      <c r="N12" s="64">
        <v>20.100000000000001</v>
      </c>
      <c r="O12" s="64">
        <v>0</v>
      </c>
      <c r="P12" s="64">
        <v>1.5</v>
      </c>
      <c r="Q12" s="64">
        <v>8.5299999999999994</v>
      </c>
      <c r="R12" s="198"/>
      <c r="S12" s="198"/>
      <c r="T12" s="198"/>
      <c r="U12" s="198"/>
    </row>
    <row r="13" spans="1:21" s="12" customFormat="1" x14ac:dyDescent="0.25">
      <c r="A13" s="213" t="s">
        <v>1979</v>
      </c>
      <c r="B13" s="64">
        <v>69.680000000000007</v>
      </c>
      <c r="C13" s="64">
        <v>36.53</v>
      </c>
      <c r="D13" s="64">
        <v>76.680000000000007</v>
      </c>
      <c r="E13" s="64">
        <v>0.28999999999999998</v>
      </c>
      <c r="F13" s="64">
        <v>2.77</v>
      </c>
      <c r="G13" s="64">
        <v>102.66</v>
      </c>
      <c r="H13" s="64">
        <v>31.47</v>
      </c>
      <c r="I13" s="64">
        <v>1.54</v>
      </c>
      <c r="J13" s="64">
        <v>0.31</v>
      </c>
      <c r="K13" s="64">
        <v>145.13</v>
      </c>
      <c r="L13" s="64">
        <v>19.989999999999998</v>
      </c>
      <c r="M13" s="64">
        <v>65.739999999999995</v>
      </c>
      <c r="N13" s="64">
        <v>20.7</v>
      </c>
      <c r="O13" s="64">
        <v>0</v>
      </c>
      <c r="P13" s="64">
        <v>1.3</v>
      </c>
      <c r="Q13" s="64">
        <v>8.15</v>
      </c>
      <c r="R13" s="198"/>
      <c r="S13" s="198"/>
      <c r="T13" s="198"/>
      <c r="U13" s="198"/>
    </row>
    <row r="14" spans="1:21" s="12" customFormat="1" x14ac:dyDescent="0.25">
      <c r="A14" s="213" t="s">
        <v>1980</v>
      </c>
      <c r="B14" s="64">
        <v>65.02</v>
      </c>
      <c r="C14" s="64">
        <v>35.96</v>
      </c>
      <c r="D14" s="64">
        <v>72.63</v>
      </c>
      <c r="E14" s="64">
        <v>0.33</v>
      </c>
      <c r="F14" s="64">
        <v>2.6</v>
      </c>
      <c r="G14" s="64">
        <v>102.66</v>
      </c>
      <c r="H14" s="64">
        <v>31.47</v>
      </c>
      <c r="I14" s="64">
        <v>1.48</v>
      </c>
      <c r="J14" s="64">
        <v>0.52</v>
      </c>
      <c r="K14" s="64">
        <v>175.11</v>
      </c>
      <c r="L14" s="64">
        <v>19.88</v>
      </c>
      <c r="M14" s="64">
        <v>66.430000000000007</v>
      </c>
      <c r="N14" s="64">
        <v>20</v>
      </c>
      <c r="O14" s="64">
        <v>0</v>
      </c>
      <c r="P14" s="64">
        <v>1.29</v>
      </c>
      <c r="Q14" s="64">
        <v>7.89</v>
      </c>
      <c r="R14" s="198"/>
      <c r="S14" s="198"/>
      <c r="T14" s="198"/>
      <c r="U14" s="198"/>
    </row>
    <row r="15" spans="1:21" s="12" customFormat="1" x14ac:dyDescent="0.25">
      <c r="A15" s="213" t="s">
        <v>1981</v>
      </c>
      <c r="B15" s="64">
        <v>60.58</v>
      </c>
      <c r="C15" s="64">
        <v>37.119999999999997</v>
      </c>
      <c r="D15" s="64">
        <v>69.709999999999994</v>
      </c>
      <c r="E15" s="64">
        <v>0.31</v>
      </c>
      <c r="F15" s="64">
        <v>2.54</v>
      </c>
      <c r="G15" s="64">
        <v>96.57</v>
      </c>
      <c r="H15" s="64">
        <v>30.91</v>
      </c>
      <c r="I15" s="64">
        <v>1.5</v>
      </c>
      <c r="J15" s="64">
        <v>0.23</v>
      </c>
      <c r="K15" s="64">
        <v>145.27000000000001</v>
      </c>
      <c r="L15" s="64">
        <v>19.649999999999999</v>
      </c>
      <c r="M15" s="64">
        <v>68.099999999999994</v>
      </c>
      <c r="N15" s="64">
        <v>20.8</v>
      </c>
      <c r="O15" s="64">
        <v>0</v>
      </c>
      <c r="P15" s="64">
        <v>1.24</v>
      </c>
      <c r="Q15" s="64">
        <v>7.54</v>
      </c>
      <c r="R15" s="198"/>
      <c r="S15" s="198"/>
      <c r="T15" s="198"/>
      <c r="U15" s="198"/>
    </row>
    <row r="16" spans="1:21" s="12" customFormat="1" x14ac:dyDescent="0.25">
      <c r="A16" s="213" t="s">
        <v>1982</v>
      </c>
      <c r="B16" s="64">
        <v>57.5</v>
      </c>
      <c r="C16" s="64">
        <v>39.26</v>
      </c>
      <c r="D16" s="64">
        <v>68.42</v>
      </c>
      <c r="E16" s="64">
        <v>0.28000000000000003</v>
      </c>
      <c r="F16" s="64">
        <v>3.21</v>
      </c>
      <c r="G16" s="64">
        <v>75.260000000000005</v>
      </c>
      <c r="H16" s="64">
        <v>29.62</v>
      </c>
      <c r="I16" s="64">
        <v>1.48</v>
      </c>
      <c r="J16" s="64">
        <v>0.33</v>
      </c>
      <c r="K16" s="64">
        <v>148.88</v>
      </c>
      <c r="L16" s="64">
        <v>19.649999999999999</v>
      </c>
      <c r="M16" s="64">
        <v>68.63</v>
      </c>
      <c r="N16" s="64">
        <v>20.399999999999999</v>
      </c>
      <c r="O16" s="64">
        <v>0</v>
      </c>
      <c r="P16" s="64">
        <v>1.2</v>
      </c>
      <c r="Q16" s="64">
        <v>7.25</v>
      </c>
      <c r="R16" s="198"/>
      <c r="S16" s="198"/>
      <c r="T16" s="198"/>
      <c r="U16" s="198"/>
    </row>
    <row r="17" spans="1:21" s="12" customFormat="1" x14ac:dyDescent="0.25">
      <c r="A17" s="213" t="s">
        <v>1983</v>
      </c>
      <c r="B17" s="64">
        <v>54.63</v>
      </c>
      <c r="C17" s="64">
        <v>39.56</v>
      </c>
      <c r="D17" s="64">
        <v>66.28</v>
      </c>
      <c r="E17" s="64">
        <v>0.23</v>
      </c>
      <c r="F17" s="64">
        <v>3.14</v>
      </c>
      <c r="G17" s="64">
        <v>75.260000000000005</v>
      </c>
      <c r="H17" s="64">
        <v>29.62</v>
      </c>
      <c r="I17" s="64">
        <v>1.45</v>
      </c>
      <c r="J17" s="64">
        <v>0.28000000000000003</v>
      </c>
      <c r="K17" s="64">
        <v>149.83000000000001</v>
      </c>
      <c r="L17" s="64">
        <v>19.45</v>
      </c>
      <c r="M17" s="64">
        <v>71.62</v>
      </c>
      <c r="N17" s="64">
        <v>20.5</v>
      </c>
      <c r="O17" s="64">
        <v>0</v>
      </c>
      <c r="P17" s="64">
        <v>1.1599999999999999</v>
      </c>
      <c r="Q17" s="64">
        <v>7.08</v>
      </c>
      <c r="R17" s="198"/>
      <c r="S17" s="198"/>
      <c r="T17" s="198"/>
      <c r="U17" s="198"/>
    </row>
    <row r="18" spans="1:21" s="12" customFormat="1" x14ac:dyDescent="0.25">
      <c r="A18" s="213" t="s">
        <v>1984</v>
      </c>
      <c r="B18" s="64">
        <v>52.64</v>
      </c>
      <c r="C18" s="64">
        <v>39.01</v>
      </c>
      <c r="D18" s="64">
        <v>64.39</v>
      </c>
      <c r="E18" s="64">
        <v>0.28999999999999998</v>
      </c>
      <c r="F18" s="64">
        <v>3.09</v>
      </c>
      <c r="G18" s="64">
        <v>75.260000000000005</v>
      </c>
      <c r="H18" s="64">
        <v>29.62</v>
      </c>
      <c r="I18" s="64">
        <v>1.53</v>
      </c>
      <c r="J18" s="64">
        <v>0.15</v>
      </c>
      <c r="K18" s="64">
        <v>346.75</v>
      </c>
      <c r="L18" s="64">
        <v>18.82</v>
      </c>
      <c r="M18" s="64">
        <v>77.790000000000006</v>
      </c>
      <c r="N18" s="64">
        <v>21.3</v>
      </c>
      <c r="O18" s="64">
        <v>0</v>
      </c>
      <c r="P18" s="64">
        <v>1.1200000000000001</v>
      </c>
      <c r="Q18" s="64">
        <v>6.98</v>
      </c>
      <c r="R18" s="198"/>
      <c r="S18" s="198"/>
      <c r="T18" s="198"/>
      <c r="U18" s="198"/>
    </row>
    <row r="19" spans="1:21" s="12" customFormat="1" x14ac:dyDescent="0.25">
      <c r="A19" s="213" t="s">
        <v>1985</v>
      </c>
      <c r="B19" s="64">
        <v>51.03</v>
      </c>
      <c r="C19" s="64">
        <v>37.72</v>
      </c>
      <c r="D19" s="64">
        <v>62.39</v>
      </c>
      <c r="E19" s="64">
        <v>0.21</v>
      </c>
      <c r="F19" s="64">
        <v>3.37</v>
      </c>
      <c r="G19" s="64">
        <v>71.33</v>
      </c>
      <c r="H19" s="64">
        <v>28.78</v>
      </c>
      <c r="I19" s="64">
        <v>1.48</v>
      </c>
      <c r="J19" s="64">
        <v>0.12</v>
      </c>
      <c r="K19" s="64">
        <v>357.87</v>
      </c>
      <c r="L19" s="64">
        <v>18.34</v>
      </c>
      <c r="M19" s="64">
        <v>81.33</v>
      </c>
      <c r="N19" s="64">
        <v>21</v>
      </c>
      <c r="O19" s="64">
        <v>0</v>
      </c>
      <c r="P19" s="64">
        <v>1.0900000000000001</v>
      </c>
      <c r="Q19" s="64">
        <v>6.82</v>
      </c>
      <c r="R19" s="198"/>
      <c r="S19" s="198"/>
      <c r="T19" s="198"/>
      <c r="U19" s="198"/>
    </row>
    <row r="20" spans="1:21" s="12" customFormat="1" x14ac:dyDescent="0.25">
      <c r="A20" s="213" t="s">
        <v>1986</v>
      </c>
      <c r="B20" s="64">
        <v>49.56</v>
      </c>
      <c r="C20" s="64">
        <v>37.700000000000003</v>
      </c>
      <c r="D20" s="64">
        <v>61.19</v>
      </c>
      <c r="E20" s="64">
        <v>0.18</v>
      </c>
      <c r="F20" s="64">
        <v>4.03</v>
      </c>
      <c r="G20" s="64">
        <v>57.59</v>
      </c>
      <c r="H20" s="64">
        <v>26.8</v>
      </c>
      <c r="I20" s="64">
        <v>1.44</v>
      </c>
      <c r="J20" s="64">
        <v>0.28999999999999998</v>
      </c>
      <c r="K20" s="64">
        <v>347.23</v>
      </c>
      <c r="L20" s="64">
        <v>18.100000000000001</v>
      </c>
      <c r="M20" s="64">
        <v>85.94</v>
      </c>
      <c r="N20" s="64">
        <v>20.9</v>
      </c>
      <c r="O20" s="64">
        <v>0</v>
      </c>
      <c r="P20" s="64">
        <v>1.06</v>
      </c>
      <c r="Q20" s="64">
        <v>6.74</v>
      </c>
      <c r="R20" s="198"/>
      <c r="S20" s="198"/>
      <c r="T20" s="198"/>
      <c r="U20" s="198"/>
    </row>
    <row r="21" spans="1:21" s="12" customFormat="1" x14ac:dyDescent="0.25">
      <c r="A21" s="213" t="s">
        <v>1987</v>
      </c>
      <c r="B21" s="64">
        <v>47.98</v>
      </c>
      <c r="C21" s="64">
        <v>36.68</v>
      </c>
      <c r="D21" s="64">
        <v>59.36</v>
      </c>
      <c r="E21" s="64">
        <v>0.25</v>
      </c>
      <c r="F21" s="64">
        <v>3.34</v>
      </c>
      <c r="G21" s="64">
        <v>57.59</v>
      </c>
      <c r="H21" s="64">
        <v>26.8</v>
      </c>
      <c r="I21" s="64">
        <v>1.49</v>
      </c>
      <c r="J21" s="64">
        <v>0.18</v>
      </c>
      <c r="K21" s="64">
        <v>171.05</v>
      </c>
      <c r="L21" s="64">
        <v>18.7</v>
      </c>
      <c r="M21" s="64">
        <v>82.81</v>
      </c>
      <c r="N21" s="64">
        <v>20.100000000000001</v>
      </c>
      <c r="O21" s="64">
        <v>0</v>
      </c>
      <c r="P21" s="64">
        <v>1.02</v>
      </c>
      <c r="Q21" s="64">
        <v>6.65</v>
      </c>
      <c r="R21" s="198"/>
      <c r="S21" s="198"/>
      <c r="T21" s="198"/>
      <c r="U21" s="198"/>
    </row>
    <row r="22" spans="1:21" s="12" customFormat="1" x14ac:dyDescent="0.25">
      <c r="A22" s="213" t="s">
        <v>1988</v>
      </c>
      <c r="B22" s="64">
        <v>46.22</v>
      </c>
      <c r="C22" s="64">
        <v>36.04</v>
      </c>
      <c r="D22" s="64">
        <v>57.6</v>
      </c>
      <c r="E22" s="64">
        <v>0.22</v>
      </c>
      <c r="F22" s="64">
        <v>3.72</v>
      </c>
      <c r="G22" s="64">
        <v>57.59</v>
      </c>
      <c r="H22" s="64">
        <v>26.8</v>
      </c>
      <c r="I22" s="64">
        <v>1.43</v>
      </c>
      <c r="J22" s="64">
        <v>0.48</v>
      </c>
      <c r="K22" s="64">
        <v>127.33</v>
      </c>
      <c r="L22" s="64">
        <v>19.2</v>
      </c>
      <c r="M22" s="64">
        <v>79.2</v>
      </c>
      <c r="N22" s="64">
        <v>20.100000000000001</v>
      </c>
      <c r="O22" s="64">
        <v>0</v>
      </c>
      <c r="P22" s="64">
        <v>1</v>
      </c>
      <c r="Q22" s="64">
        <v>6.49</v>
      </c>
      <c r="R22" s="198"/>
      <c r="S22" s="198"/>
      <c r="T22" s="198"/>
      <c r="U22" s="198"/>
    </row>
    <row r="23" spans="1:21" s="12" customFormat="1" x14ac:dyDescent="0.25">
      <c r="A23" s="213" t="s">
        <v>1989</v>
      </c>
      <c r="B23" s="64">
        <v>44.42</v>
      </c>
      <c r="C23" s="64">
        <v>36.700000000000003</v>
      </c>
      <c r="D23" s="64">
        <v>56.52</v>
      </c>
      <c r="E23" s="64">
        <v>0.22</v>
      </c>
      <c r="F23" s="64">
        <v>3.22</v>
      </c>
      <c r="G23" s="64">
        <v>57.34</v>
      </c>
      <c r="H23" s="64">
        <v>26.5</v>
      </c>
      <c r="I23" s="64">
        <v>1.6</v>
      </c>
      <c r="J23" s="64">
        <v>0.2</v>
      </c>
      <c r="K23" s="64">
        <v>338.08</v>
      </c>
      <c r="L23" s="64">
        <v>19.25</v>
      </c>
      <c r="M23" s="64">
        <v>80.17</v>
      </c>
      <c r="N23" s="64">
        <v>20.9</v>
      </c>
      <c r="O23" s="64">
        <v>0</v>
      </c>
      <c r="P23" s="64">
        <v>0.98</v>
      </c>
      <c r="Q23" s="64">
        <v>6.46</v>
      </c>
      <c r="R23" s="198"/>
      <c r="S23" s="198"/>
      <c r="T23" s="198"/>
      <c r="U23" s="198"/>
    </row>
    <row r="24" spans="1:21" s="12" customFormat="1" x14ac:dyDescent="0.25">
      <c r="A24" s="213" t="s">
        <v>1990</v>
      </c>
      <c r="B24" s="64">
        <v>42.7</v>
      </c>
      <c r="C24" s="64">
        <v>34.590000000000003</v>
      </c>
      <c r="D24" s="64">
        <v>53.98</v>
      </c>
      <c r="E24" s="64">
        <v>0.11</v>
      </c>
      <c r="F24" s="64">
        <v>3.12</v>
      </c>
      <c r="G24" s="64">
        <v>56.45</v>
      </c>
      <c r="H24" s="64">
        <v>25.06</v>
      </c>
      <c r="I24" s="64">
        <v>1.51</v>
      </c>
      <c r="J24" s="64">
        <v>0.22</v>
      </c>
      <c r="K24" s="64">
        <v>162.38999999999999</v>
      </c>
      <c r="L24" s="64">
        <v>18.87</v>
      </c>
      <c r="M24" s="64">
        <v>82.83</v>
      </c>
      <c r="N24" s="64">
        <v>20.6</v>
      </c>
      <c r="O24" s="64">
        <v>0</v>
      </c>
      <c r="P24" s="64">
        <v>0.95</v>
      </c>
      <c r="Q24" s="64">
        <v>6.32</v>
      </c>
      <c r="R24" s="198"/>
      <c r="S24" s="198"/>
      <c r="T24" s="198"/>
      <c r="U24" s="198"/>
    </row>
    <row r="25" spans="1:21" s="12" customFormat="1" x14ac:dyDescent="0.25">
      <c r="A25" s="213" t="s">
        <v>1991</v>
      </c>
      <c r="B25" s="64">
        <v>41.14</v>
      </c>
      <c r="C25" s="64">
        <v>33.54</v>
      </c>
      <c r="D25" s="64">
        <v>52.15</v>
      </c>
      <c r="E25" s="64">
        <v>0.18</v>
      </c>
      <c r="F25" s="64">
        <v>2.72</v>
      </c>
      <c r="G25" s="64">
        <v>56.45</v>
      </c>
      <c r="H25" s="64">
        <v>25.06</v>
      </c>
      <c r="I25" s="64">
        <v>1.45</v>
      </c>
      <c r="J25" s="64">
        <v>0.2</v>
      </c>
      <c r="K25" s="64">
        <v>146.21</v>
      </c>
      <c r="L25" s="64">
        <v>18.78</v>
      </c>
      <c r="M25" s="64">
        <v>82.76</v>
      </c>
      <c r="N25" s="64">
        <v>20.3</v>
      </c>
      <c r="O25" s="64">
        <v>0</v>
      </c>
      <c r="P25" s="64">
        <v>0.93</v>
      </c>
      <c r="Q25" s="64">
        <v>6.1</v>
      </c>
      <c r="R25" s="198"/>
      <c r="S25" s="198"/>
      <c r="T25" s="198"/>
      <c r="U25" s="198"/>
    </row>
    <row r="26" spans="1:21" s="12" customFormat="1" x14ac:dyDescent="0.25">
      <c r="A26" s="213" t="s">
        <v>1992</v>
      </c>
      <c r="B26" s="64">
        <v>39.82</v>
      </c>
      <c r="C26" s="64">
        <v>33.21</v>
      </c>
      <c r="D26" s="64">
        <v>50.91</v>
      </c>
      <c r="E26" s="64">
        <v>0.22</v>
      </c>
      <c r="F26" s="64">
        <v>3.23</v>
      </c>
      <c r="G26" s="64">
        <v>56.45</v>
      </c>
      <c r="H26" s="64">
        <v>25.06</v>
      </c>
      <c r="I26" s="64">
        <v>1.41</v>
      </c>
      <c r="J26" s="64">
        <v>0.22</v>
      </c>
      <c r="K26" s="64">
        <v>39.94</v>
      </c>
      <c r="L26" s="64">
        <v>19.41</v>
      </c>
      <c r="M26" s="64">
        <v>78.989999999999995</v>
      </c>
      <c r="N26" s="64">
        <v>20.7</v>
      </c>
      <c r="O26" s="64">
        <v>0</v>
      </c>
      <c r="P26" s="64">
        <v>0.91</v>
      </c>
      <c r="Q26" s="64">
        <v>5.95</v>
      </c>
      <c r="R26" s="198"/>
      <c r="S26" s="198"/>
      <c r="T26" s="198"/>
      <c r="U26" s="198"/>
    </row>
    <row r="27" spans="1:21" s="12" customFormat="1" x14ac:dyDescent="0.25">
      <c r="A27" s="213" t="s">
        <v>1993</v>
      </c>
      <c r="B27" s="64">
        <v>38.68</v>
      </c>
      <c r="C27" s="64">
        <v>33.06</v>
      </c>
      <c r="D27" s="64">
        <v>49.91</v>
      </c>
      <c r="E27" s="64">
        <v>0.17</v>
      </c>
      <c r="F27" s="64">
        <v>2.46</v>
      </c>
      <c r="G27" s="64">
        <v>58.86</v>
      </c>
      <c r="H27" s="64">
        <v>25.38</v>
      </c>
      <c r="I27" s="64">
        <v>1.5</v>
      </c>
      <c r="J27" s="64">
        <v>0.48</v>
      </c>
      <c r="K27" s="64">
        <v>107.1</v>
      </c>
      <c r="L27" s="64">
        <v>19.239999999999998</v>
      </c>
      <c r="M27" s="64">
        <v>77.459999999999994</v>
      </c>
      <c r="N27" s="64">
        <v>20.7</v>
      </c>
      <c r="O27" s="64">
        <v>0</v>
      </c>
      <c r="P27" s="64">
        <v>0.9</v>
      </c>
      <c r="Q27" s="64">
        <v>5.84</v>
      </c>
      <c r="R27" s="198"/>
      <c r="S27" s="198"/>
      <c r="T27" s="198"/>
      <c r="U27" s="198"/>
    </row>
    <row r="28" spans="1:21" s="12" customFormat="1" x14ac:dyDescent="0.25">
      <c r="A28" s="213" t="s">
        <v>1994</v>
      </c>
      <c r="B28" s="64">
        <v>37.78</v>
      </c>
      <c r="C28" s="64">
        <v>32.71</v>
      </c>
      <c r="D28" s="64">
        <v>48.99</v>
      </c>
      <c r="E28" s="64">
        <v>0.22</v>
      </c>
      <c r="F28" s="64">
        <v>2.66</v>
      </c>
      <c r="G28" s="64">
        <v>67.290000000000006</v>
      </c>
      <c r="H28" s="64">
        <v>26.13</v>
      </c>
      <c r="I28" s="64">
        <v>1.5</v>
      </c>
      <c r="J28" s="64">
        <v>0.09</v>
      </c>
      <c r="K28" s="64">
        <v>21.86</v>
      </c>
      <c r="L28" s="64">
        <v>19.5</v>
      </c>
      <c r="M28" s="64">
        <v>76.56</v>
      </c>
      <c r="N28" s="64">
        <v>20.8</v>
      </c>
      <c r="O28" s="64">
        <v>0</v>
      </c>
      <c r="P28" s="64">
        <v>0.89</v>
      </c>
      <c r="Q28" s="64">
        <v>5.51</v>
      </c>
      <c r="R28" s="198"/>
      <c r="S28" s="198"/>
      <c r="T28" s="198"/>
      <c r="U28" s="198"/>
    </row>
    <row r="29" spans="1:21" s="12" customFormat="1" x14ac:dyDescent="0.25">
      <c r="A29" s="213" t="s">
        <v>1995</v>
      </c>
      <c r="B29" s="64">
        <v>37.26</v>
      </c>
      <c r="C29" s="64">
        <v>32.47</v>
      </c>
      <c r="D29" s="64">
        <v>48.44</v>
      </c>
      <c r="E29" s="64">
        <v>0.15</v>
      </c>
      <c r="F29" s="64">
        <v>2.93</v>
      </c>
      <c r="G29" s="64">
        <v>67.290000000000006</v>
      </c>
      <c r="H29" s="64">
        <v>26.13</v>
      </c>
      <c r="I29" s="64">
        <v>1.55</v>
      </c>
      <c r="J29" s="64">
        <v>0.52</v>
      </c>
      <c r="K29" s="64">
        <v>119.29</v>
      </c>
      <c r="L29" s="64">
        <v>19.579999999999998</v>
      </c>
      <c r="M29" s="64">
        <v>75.17</v>
      </c>
      <c r="N29" s="64">
        <v>20.7</v>
      </c>
      <c r="O29" s="64">
        <v>0</v>
      </c>
      <c r="P29" s="64">
        <v>0.89</v>
      </c>
      <c r="Q29" s="64">
        <v>5.3</v>
      </c>
      <c r="R29" s="198"/>
      <c r="S29" s="198"/>
      <c r="T29" s="198"/>
      <c r="U29" s="198"/>
    </row>
    <row r="30" spans="1:21" s="12" customFormat="1" x14ac:dyDescent="0.25">
      <c r="A30" s="213" t="s">
        <v>1996</v>
      </c>
      <c r="B30" s="64">
        <v>36.880000000000003</v>
      </c>
      <c r="C30" s="64">
        <v>32.99</v>
      </c>
      <c r="D30" s="64">
        <v>48.43</v>
      </c>
      <c r="E30" s="64">
        <v>0.12</v>
      </c>
      <c r="F30" s="64">
        <v>3.04</v>
      </c>
      <c r="G30" s="64">
        <v>67.290000000000006</v>
      </c>
      <c r="H30" s="64">
        <v>26.13</v>
      </c>
      <c r="I30" s="64">
        <v>1.46</v>
      </c>
      <c r="J30" s="64">
        <v>0.2</v>
      </c>
      <c r="K30" s="64">
        <v>345.98</v>
      </c>
      <c r="L30" s="64">
        <v>19.53</v>
      </c>
      <c r="M30" s="64">
        <v>78.25</v>
      </c>
      <c r="N30" s="64">
        <v>21.3</v>
      </c>
      <c r="O30" s="64">
        <v>0</v>
      </c>
      <c r="P30" s="64">
        <v>0.9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3" t="s">
        <v>1997</v>
      </c>
      <c r="B31" s="64">
        <v>36.85</v>
      </c>
      <c r="C31" s="64">
        <v>32.83</v>
      </c>
      <c r="D31" s="64">
        <v>48.32</v>
      </c>
      <c r="E31" s="64">
        <v>0.14000000000000001</v>
      </c>
      <c r="F31" s="64">
        <v>2.46</v>
      </c>
      <c r="G31" s="64">
        <v>74.77</v>
      </c>
      <c r="H31" s="64">
        <v>28.9</v>
      </c>
      <c r="I31" s="64">
        <v>1.5</v>
      </c>
      <c r="J31" s="64">
        <v>0.28999999999999998</v>
      </c>
      <c r="K31" s="64">
        <v>339.93</v>
      </c>
      <c r="L31" s="64">
        <v>19.3</v>
      </c>
      <c r="M31" s="64">
        <v>79.23</v>
      </c>
      <c r="N31" s="64">
        <v>21.1</v>
      </c>
      <c r="O31" s="64">
        <v>0</v>
      </c>
      <c r="P31" s="64">
        <v>0.91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3" t="s">
        <v>1998</v>
      </c>
      <c r="B32" s="64">
        <v>37.03</v>
      </c>
      <c r="C32" s="64">
        <v>32.979999999999997</v>
      </c>
      <c r="D32" s="64">
        <v>48.54</v>
      </c>
      <c r="E32" s="64">
        <v>0.13</v>
      </c>
      <c r="F32" s="64">
        <v>2.66</v>
      </c>
      <c r="G32" s="64">
        <v>100.95</v>
      </c>
      <c r="H32" s="64">
        <v>35.42</v>
      </c>
      <c r="I32" s="64">
        <v>1.57</v>
      </c>
      <c r="J32" s="64">
        <v>7.0000000000000007E-2</v>
      </c>
      <c r="K32" s="64">
        <v>292.88</v>
      </c>
      <c r="L32" s="64">
        <v>19.079999999999998</v>
      </c>
      <c r="M32" s="64">
        <v>80.41</v>
      </c>
      <c r="N32" s="64">
        <v>21.2</v>
      </c>
      <c r="O32" s="64">
        <v>0</v>
      </c>
      <c r="P32" s="64">
        <v>0.94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3" t="s">
        <v>1999</v>
      </c>
      <c r="B33" s="64">
        <v>37.450000000000003</v>
      </c>
      <c r="C33" s="64">
        <v>33.51</v>
      </c>
      <c r="D33" s="64">
        <v>49.17</v>
      </c>
      <c r="E33" s="64">
        <v>0.16</v>
      </c>
      <c r="F33" s="64">
        <v>2.73</v>
      </c>
      <c r="G33" s="64">
        <v>100.95</v>
      </c>
      <c r="H33" s="64">
        <v>35.42</v>
      </c>
      <c r="I33" s="64">
        <v>1.52</v>
      </c>
      <c r="J33" s="64">
        <v>0.31</v>
      </c>
      <c r="K33" s="64">
        <v>88.6</v>
      </c>
      <c r="L33" s="64">
        <v>19.23</v>
      </c>
      <c r="M33" s="64">
        <v>78.709999999999994</v>
      </c>
      <c r="N33" s="64">
        <v>21</v>
      </c>
      <c r="O33" s="64">
        <v>0</v>
      </c>
      <c r="P33" s="64">
        <v>0.95</v>
      </c>
      <c r="Q33" s="64">
        <v>5.24</v>
      </c>
      <c r="R33" s="198"/>
      <c r="S33" s="198"/>
      <c r="T33" s="198"/>
      <c r="U33" s="198"/>
    </row>
    <row r="34" spans="1:21" s="12" customFormat="1" x14ac:dyDescent="0.25">
      <c r="A34" s="213" t="s">
        <v>2000</v>
      </c>
      <c r="B34" s="64">
        <v>38.369999999999997</v>
      </c>
      <c r="C34" s="64">
        <v>32.340000000000003</v>
      </c>
      <c r="D34" s="64">
        <v>49.26</v>
      </c>
      <c r="E34" s="64">
        <v>0.09</v>
      </c>
      <c r="F34" s="64">
        <v>3.07</v>
      </c>
      <c r="G34" s="64">
        <v>100.95</v>
      </c>
      <c r="H34" s="64">
        <v>35.42</v>
      </c>
      <c r="I34" s="64">
        <v>1.44</v>
      </c>
      <c r="J34" s="64">
        <v>0.87</v>
      </c>
      <c r="K34" s="64">
        <v>112.23</v>
      </c>
      <c r="L34" s="64">
        <v>19.43</v>
      </c>
      <c r="M34" s="64">
        <v>77.5</v>
      </c>
      <c r="N34" s="64">
        <v>22.7</v>
      </c>
      <c r="O34" s="64">
        <v>0</v>
      </c>
      <c r="P34" s="64">
        <v>0.96</v>
      </c>
      <c r="Q34" s="64">
        <v>5.25</v>
      </c>
      <c r="R34" s="198"/>
      <c r="S34" s="198"/>
      <c r="T34" s="198"/>
      <c r="U34" s="198"/>
    </row>
    <row r="35" spans="1:21" s="12" customFormat="1" x14ac:dyDescent="0.25">
      <c r="A35" s="213" t="s">
        <v>2001</v>
      </c>
      <c r="B35" s="64">
        <v>38.61</v>
      </c>
      <c r="C35" s="64">
        <v>32.200000000000003</v>
      </c>
      <c r="D35" s="64">
        <v>49.38</v>
      </c>
      <c r="E35" s="64">
        <v>7.0000000000000007E-2</v>
      </c>
      <c r="F35" s="64">
        <v>3.19</v>
      </c>
      <c r="G35" s="64">
        <v>110.11</v>
      </c>
      <c r="H35" s="64">
        <v>38.26</v>
      </c>
      <c r="I35" s="64">
        <v>1.56</v>
      </c>
      <c r="J35" s="64">
        <v>0.09</v>
      </c>
      <c r="K35" s="64">
        <v>16.45</v>
      </c>
      <c r="L35" s="64">
        <v>19.53</v>
      </c>
      <c r="M35" s="64">
        <v>77.61</v>
      </c>
      <c r="N35" s="64">
        <v>30.8</v>
      </c>
      <c r="O35" s="64">
        <v>0</v>
      </c>
      <c r="P35" s="64">
        <v>0.96</v>
      </c>
      <c r="Q35" s="64">
        <v>5.28</v>
      </c>
      <c r="R35" s="198"/>
      <c r="S35" s="198"/>
      <c r="T35" s="198"/>
      <c r="U35" s="198"/>
    </row>
    <row r="36" spans="1:21" s="12" customFormat="1" x14ac:dyDescent="0.25">
      <c r="A36" s="213" t="s">
        <v>2002</v>
      </c>
      <c r="B36" s="64">
        <v>38.89</v>
      </c>
      <c r="C36" s="64">
        <v>32.94</v>
      </c>
      <c r="D36" s="64">
        <v>50.01</v>
      </c>
      <c r="E36" s="64">
        <v>0.11</v>
      </c>
      <c r="F36" s="64">
        <v>3.41</v>
      </c>
      <c r="G36" s="64">
        <v>142.15</v>
      </c>
      <c r="H36" s="64">
        <v>44.92</v>
      </c>
      <c r="I36" s="64">
        <v>1.43</v>
      </c>
      <c r="J36" s="64">
        <v>0.16</v>
      </c>
      <c r="K36" s="64">
        <v>92.25</v>
      </c>
      <c r="L36" s="64">
        <v>19.48</v>
      </c>
      <c r="M36" s="64">
        <v>77.38</v>
      </c>
      <c r="N36" s="64">
        <v>41.3</v>
      </c>
      <c r="O36" s="64">
        <v>0</v>
      </c>
      <c r="P36" s="64">
        <v>0.97</v>
      </c>
      <c r="Q36" s="64">
        <v>5.47</v>
      </c>
      <c r="R36" s="198"/>
      <c r="S36" s="198"/>
      <c r="T36" s="198"/>
      <c r="U36" s="198"/>
    </row>
    <row r="37" spans="1:21" s="12" customFormat="1" x14ac:dyDescent="0.25">
      <c r="A37" s="213" t="s">
        <v>2003</v>
      </c>
      <c r="B37" s="64">
        <v>39.36</v>
      </c>
      <c r="C37" s="64">
        <v>33.36</v>
      </c>
      <c r="D37" s="64">
        <v>50.62</v>
      </c>
      <c r="E37" s="64">
        <v>0.15</v>
      </c>
      <c r="F37" s="64">
        <v>3.27</v>
      </c>
      <c r="G37" s="64">
        <v>142.15</v>
      </c>
      <c r="H37" s="64">
        <v>44.92</v>
      </c>
      <c r="I37" s="64">
        <v>1.51</v>
      </c>
      <c r="J37" s="64">
        <v>7.0000000000000007E-2</v>
      </c>
      <c r="K37" s="64">
        <v>54.98</v>
      </c>
      <c r="L37" s="64">
        <v>19.739999999999998</v>
      </c>
      <c r="M37" s="64">
        <v>77.680000000000007</v>
      </c>
      <c r="N37" s="64">
        <v>53.2</v>
      </c>
      <c r="O37" s="64">
        <v>0</v>
      </c>
      <c r="P37" s="64">
        <v>0.99</v>
      </c>
      <c r="Q37" s="64">
        <v>5.68</v>
      </c>
      <c r="R37" s="198"/>
      <c r="S37" s="198"/>
      <c r="T37" s="198"/>
      <c r="U37" s="198"/>
    </row>
    <row r="38" spans="1:21" s="12" customFormat="1" x14ac:dyDescent="0.25">
      <c r="A38" s="213" t="s">
        <v>2004</v>
      </c>
      <c r="B38" s="64">
        <v>40.380000000000003</v>
      </c>
      <c r="C38" s="64">
        <v>33.25</v>
      </c>
      <c r="D38" s="64">
        <v>51.38</v>
      </c>
      <c r="E38" s="64">
        <v>0.14000000000000001</v>
      </c>
      <c r="F38" s="64">
        <v>3.25</v>
      </c>
      <c r="G38" s="64">
        <v>142.15</v>
      </c>
      <c r="H38" s="64">
        <v>44.92</v>
      </c>
      <c r="I38" s="64">
        <v>1.47</v>
      </c>
      <c r="J38" s="64">
        <v>0.2</v>
      </c>
      <c r="K38" s="64">
        <v>91.71</v>
      </c>
      <c r="L38" s="64">
        <v>20.02</v>
      </c>
      <c r="M38" s="64">
        <v>75.33</v>
      </c>
      <c r="N38" s="64">
        <v>70.900000000000006</v>
      </c>
      <c r="O38" s="64">
        <v>0</v>
      </c>
      <c r="P38" s="64">
        <v>1.06</v>
      </c>
      <c r="Q38" s="64">
        <v>5.96</v>
      </c>
      <c r="R38" s="198"/>
      <c r="S38" s="198"/>
      <c r="T38" s="198"/>
      <c r="U38" s="198"/>
    </row>
    <row r="39" spans="1:21" s="12" customFormat="1" x14ac:dyDescent="0.25">
      <c r="A39" s="213" t="s">
        <v>2005</v>
      </c>
      <c r="B39" s="64">
        <v>40.76</v>
      </c>
      <c r="C39" s="64">
        <v>33.76</v>
      </c>
      <c r="D39" s="64">
        <v>51.96</v>
      </c>
      <c r="E39" s="64">
        <v>0.08</v>
      </c>
      <c r="F39" s="64">
        <v>3.15</v>
      </c>
      <c r="G39" s="64">
        <v>140.71</v>
      </c>
      <c r="H39" s="64">
        <v>45.17</v>
      </c>
      <c r="I39" s="64">
        <v>1.49</v>
      </c>
      <c r="J39" s="64">
        <v>0.78</v>
      </c>
      <c r="K39" s="64">
        <v>110.35</v>
      </c>
      <c r="L39" s="64">
        <v>20.56</v>
      </c>
      <c r="M39" s="64">
        <v>70.650000000000006</v>
      </c>
      <c r="N39" s="64">
        <v>89.9</v>
      </c>
      <c r="O39" s="64">
        <v>0</v>
      </c>
      <c r="P39" s="64">
        <v>1.06</v>
      </c>
      <c r="Q39" s="64">
        <v>6.07</v>
      </c>
      <c r="R39" s="198"/>
      <c r="S39" s="198"/>
      <c r="T39" s="198"/>
      <c r="U39" s="198"/>
    </row>
    <row r="40" spans="1:21" s="12" customFormat="1" x14ac:dyDescent="0.25">
      <c r="A40" s="213" t="s">
        <v>2006</v>
      </c>
      <c r="B40" s="64">
        <v>40.65</v>
      </c>
      <c r="C40" s="64">
        <v>34.380000000000003</v>
      </c>
      <c r="D40" s="64">
        <v>52.21</v>
      </c>
      <c r="E40" s="64">
        <v>0.06</v>
      </c>
      <c r="F40" s="64">
        <v>3.01</v>
      </c>
      <c r="G40" s="64">
        <v>135.69999999999999</v>
      </c>
      <c r="H40" s="64">
        <v>46.35</v>
      </c>
      <c r="I40" s="64">
        <v>1.39</v>
      </c>
      <c r="J40" s="64">
        <v>0.64</v>
      </c>
      <c r="K40" s="64">
        <v>107.29</v>
      </c>
      <c r="L40" s="64">
        <v>21</v>
      </c>
      <c r="M40" s="64">
        <v>68.69</v>
      </c>
      <c r="N40" s="64">
        <v>117.1</v>
      </c>
      <c r="O40" s="64">
        <v>0</v>
      </c>
      <c r="P40" s="64">
        <v>1.06</v>
      </c>
      <c r="Q40" s="64">
        <v>6.12</v>
      </c>
      <c r="R40" s="198"/>
      <c r="S40" s="198"/>
      <c r="T40" s="198"/>
      <c r="U40" s="198"/>
    </row>
    <row r="41" spans="1:21" s="12" customFormat="1" x14ac:dyDescent="0.25">
      <c r="A41" s="213" t="s">
        <v>2007</v>
      </c>
      <c r="B41" s="64">
        <v>40.32</v>
      </c>
      <c r="C41" s="64">
        <v>34.24</v>
      </c>
      <c r="D41" s="64">
        <v>51.88</v>
      </c>
      <c r="E41" s="64">
        <v>0.21</v>
      </c>
      <c r="F41" s="64">
        <v>3.38</v>
      </c>
      <c r="G41" s="64">
        <v>135.69999999999999</v>
      </c>
      <c r="H41" s="64">
        <v>46.35</v>
      </c>
      <c r="I41" s="64">
        <v>1.56</v>
      </c>
      <c r="J41" s="64">
        <v>0.1</v>
      </c>
      <c r="K41" s="64">
        <v>51.56</v>
      </c>
      <c r="L41" s="64">
        <v>21.85</v>
      </c>
      <c r="M41" s="64">
        <v>66.5</v>
      </c>
      <c r="N41" s="64">
        <v>158.80000000000001</v>
      </c>
      <c r="O41" s="64">
        <v>0</v>
      </c>
      <c r="P41" s="64">
        <v>1.07</v>
      </c>
      <c r="Q41" s="64">
        <v>6.13</v>
      </c>
      <c r="R41" s="198"/>
      <c r="S41" s="198"/>
      <c r="T41" s="198"/>
      <c r="U41" s="198"/>
    </row>
    <row r="42" spans="1:21" s="12" customFormat="1" x14ac:dyDescent="0.25">
      <c r="A42" s="213" t="s">
        <v>2008</v>
      </c>
      <c r="B42" s="64">
        <v>41.04</v>
      </c>
      <c r="C42" s="64">
        <v>35.549999999999997</v>
      </c>
      <c r="D42" s="64">
        <v>53.18</v>
      </c>
      <c r="E42" s="64">
        <v>0.25</v>
      </c>
      <c r="F42" s="64">
        <v>2.96</v>
      </c>
      <c r="G42" s="64">
        <v>135.69999999999999</v>
      </c>
      <c r="H42" s="64">
        <v>46.35</v>
      </c>
      <c r="I42" s="64">
        <v>1.5</v>
      </c>
      <c r="J42" s="64">
        <v>0.24</v>
      </c>
      <c r="K42" s="64">
        <v>132.69999999999999</v>
      </c>
      <c r="L42" s="64">
        <v>22.78</v>
      </c>
      <c r="M42" s="64">
        <v>61.62</v>
      </c>
      <c r="N42" s="64">
        <v>181.6</v>
      </c>
      <c r="O42" s="64">
        <v>0</v>
      </c>
      <c r="P42" s="64">
        <v>1.1100000000000001</v>
      </c>
      <c r="Q42" s="64">
        <v>6.13</v>
      </c>
      <c r="R42" s="198"/>
      <c r="S42" s="198"/>
      <c r="T42" s="198"/>
      <c r="U42" s="198"/>
    </row>
    <row r="43" spans="1:21" s="12" customFormat="1" x14ac:dyDescent="0.25">
      <c r="A43" s="213" t="s">
        <v>2009</v>
      </c>
      <c r="B43" s="64">
        <v>42.39</v>
      </c>
      <c r="C43" s="64">
        <v>36.380000000000003</v>
      </c>
      <c r="D43" s="64">
        <v>54.72</v>
      </c>
      <c r="E43" s="64">
        <v>0.28000000000000003</v>
      </c>
      <c r="F43" s="64">
        <v>2.98</v>
      </c>
      <c r="G43" s="64">
        <v>137.6</v>
      </c>
      <c r="H43" s="64">
        <v>46.19</v>
      </c>
      <c r="I43" s="64">
        <v>1.54</v>
      </c>
      <c r="J43" s="64">
        <v>0.34</v>
      </c>
      <c r="K43" s="64">
        <v>341.68</v>
      </c>
      <c r="L43" s="64">
        <v>23.87</v>
      </c>
      <c r="M43" s="64">
        <v>59.4</v>
      </c>
      <c r="N43" s="64">
        <v>208.6</v>
      </c>
      <c r="O43" s="64">
        <v>0</v>
      </c>
      <c r="P43" s="64">
        <v>1.1399999999999999</v>
      </c>
      <c r="Q43" s="64">
        <v>6.21</v>
      </c>
      <c r="R43" s="198"/>
      <c r="S43" s="198"/>
      <c r="T43" s="198"/>
      <c r="U43" s="198"/>
    </row>
    <row r="44" spans="1:21" s="12" customFormat="1" x14ac:dyDescent="0.25">
      <c r="A44" s="213" t="s">
        <v>2010</v>
      </c>
      <c r="B44" s="64">
        <v>43.53</v>
      </c>
      <c r="C44" s="64">
        <v>38.450000000000003</v>
      </c>
      <c r="D44" s="64">
        <v>56.77</v>
      </c>
      <c r="E44" s="64">
        <v>0.3</v>
      </c>
      <c r="F44" s="64">
        <v>2.83</v>
      </c>
      <c r="G44" s="64">
        <v>143.84</v>
      </c>
      <c r="H44" s="64">
        <v>45.82</v>
      </c>
      <c r="I44" s="64">
        <v>1.5</v>
      </c>
      <c r="J44" s="64">
        <v>0.25</v>
      </c>
      <c r="K44" s="64">
        <v>342.98</v>
      </c>
      <c r="L44" s="64">
        <v>24.78</v>
      </c>
      <c r="M44" s="64">
        <v>54.43</v>
      </c>
      <c r="N44" s="64">
        <v>206.8</v>
      </c>
      <c r="O44" s="64">
        <v>0</v>
      </c>
      <c r="P44" s="64">
        <v>1.17</v>
      </c>
      <c r="Q44" s="64">
        <v>6.36</v>
      </c>
      <c r="R44" s="198"/>
      <c r="S44" s="198"/>
      <c r="T44" s="198"/>
      <c r="U44" s="198"/>
    </row>
    <row r="45" spans="1:21" s="12" customFormat="1" x14ac:dyDescent="0.25">
      <c r="A45" s="213" t="s">
        <v>2011</v>
      </c>
      <c r="B45" s="64">
        <v>43.34</v>
      </c>
      <c r="C45" s="64">
        <v>40.130000000000003</v>
      </c>
      <c r="D45" s="64">
        <v>57.55</v>
      </c>
      <c r="E45" s="64">
        <v>0.28999999999999998</v>
      </c>
      <c r="F45" s="64">
        <v>3.22</v>
      </c>
      <c r="G45" s="64">
        <v>143.84</v>
      </c>
      <c r="H45" s="64">
        <v>45.82</v>
      </c>
      <c r="I45" s="64">
        <v>1.52</v>
      </c>
      <c r="J45" s="64">
        <v>0.27</v>
      </c>
      <c r="K45" s="64">
        <v>348.2</v>
      </c>
      <c r="L45" s="64">
        <v>25.34</v>
      </c>
      <c r="M45" s="64">
        <v>52.38</v>
      </c>
      <c r="N45" s="64">
        <v>300</v>
      </c>
      <c r="O45" s="64">
        <v>0</v>
      </c>
      <c r="P45" s="64">
        <v>1.2</v>
      </c>
      <c r="Q45" s="64">
        <v>6.41</v>
      </c>
      <c r="R45" s="198"/>
      <c r="S45" s="198"/>
      <c r="T45" s="198"/>
      <c r="U45" s="198"/>
    </row>
    <row r="46" spans="1:21" s="12" customFormat="1" x14ac:dyDescent="0.25">
      <c r="A46" s="213" t="s">
        <v>2012</v>
      </c>
      <c r="B46" s="64">
        <v>41.9</v>
      </c>
      <c r="C46" s="64">
        <v>42.34</v>
      </c>
      <c r="D46" s="64">
        <v>57.61</v>
      </c>
      <c r="E46" s="64">
        <v>0.28999999999999998</v>
      </c>
      <c r="F46" s="64">
        <v>3.16</v>
      </c>
      <c r="G46" s="64">
        <v>143.84</v>
      </c>
      <c r="H46" s="64">
        <v>45.82</v>
      </c>
      <c r="I46" s="64">
        <v>1.49</v>
      </c>
      <c r="J46" s="64">
        <v>0.1</v>
      </c>
      <c r="K46" s="64">
        <v>327.96</v>
      </c>
      <c r="L46" s="64">
        <v>26.43</v>
      </c>
      <c r="M46" s="64">
        <v>48.4</v>
      </c>
      <c r="N46" s="64">
        <v>307.10000000000002</v>
      </c>
      <c r="O46" s="64">
        <v>0</v>
      </c>
      <c r="P46" s="64">
        <v>1.23</v>
      </c>
      <c r="Q46" s="64">
        <v>6.41</v>
      </c>
      <c r="R46" s="198"/>
      <c r="S46" s="198"/>
      <c r="T46" s="198"/>
      <c r="U46" s="198"/>
    </row>
    <row r="47" spans="1:21" s="12" customFormat="1" x14ac:dyDescent="0.25">
      <c r="A47" s="213" t="s">
        <v>2013</v>
      </c>
      <c r="B47" s="64">
        <v>39.869999999999997</v>
      </c>
      <c r="C47" s="64">
        <v>44.28</v>
      </c>
      <c r="D47" s="64">
        <v>57.06</v>
      </c>
      <c r="E47" s="64">
        <v>0.34</v>
      </c>
      <c r="F47" s="64">
        <v>2.85</v>
      </c>
      <c r="G47" s="64">
        <v>145.71</v>
      </c>
      <c r="H47" s="64">
        <v>48.91</v>
      </c>
      <c r="I47" s="64">
        <v>1.48</v>
      </c>
      <c r="J47" s="64">
        <v>0.32</v>
      </c>
      <c r="K47" s="64">
        <v>353.94</v>
      </c>
      <c r="L47" s="64">
        <v>26.73</v>
      </c>
      <c r="M47" s="64">
        <v>46.84</v>
      </c>
      <c r="N47" s="64">
        <v>399.4</v>
      </c>
      <c r="O47" s="64">
        <v>0</v>
      </c>
      <c r="P47" s="64">
        <v>1.26</v>
      </c>
      <c r="Q47" s="64">
        <v>6.36</v>
      </c>
      <c r="R47" s="198"/>
      <c r="S47" s="198"/>
      <c r="T47" s="198"/>
      <c r="U47" s="198"/>
    </row>
    <row r="48" spans="1:21" s="12" customFormat="1" x14ac:dyDescent="0.25">
      <c r="A48" s="213" t="s">
        <v>2014</v>
      </c>
      <c r="B48" s="64">
        <v>38.409999999999997</v>
      </c>
      <c r="C48" s="64">
        <v>46.27</v>
      </c>
      <c r="D48" s="64">
        <v>56.98</v>
      </c>
      <c r="E48" s="64">
        <v>0.28000000000000003</v>
      </c>
      <c r="F48" s="64">
        <v>3.03</v>
      </c>
      <c r="G48" s="64">
        <v>152.26</v>
      </c>
      <c r="H48" s="64">
        <v>56.19</v>
      </c>
      <c r="I48" s="64">
        <v>1.48</v>
      </c>
      <c r="J48" s="64">
        <v>0.37</v>
      </c>
      <c r="K48" s="64">
        <v>334.01</v>
      </c>
      <c r="L48" s="64">
        <v>29.11</v>
      </c>
      <c r="M48" s="64">
        <v>39.99</v>
      </c>
      <c r="N48" s="64">
        <v>448.7</v>
      </c>
      <c r="O48" s="64">
        <v>0</v>
      </c>
      <c r="P48" s="64">
        <v>1.29</v>
      </c>
      <c r="Q48" s="64">
        <v>6.3</v>
      </c>
      <c r="R48" s="198"/>
      <c r="S48" s="198"/>
      <c r="T48" s="198"/>
      <c r="U48" s="198"/>
    </row>
    <row r="49" spans="1:21" s="12" customFormat="1" x14ac:dyDescent="0.25">
      <c r="A49" s="213" t="s">
        <v>2015</v>
      </c>
      <c r="B49" s="64">
        <v>35.869999999999997</v>
      </c>
      <c r="C49" s="64">
        <v>48.49</v>
      </c>
      <c r="D49" s="64">
        <v>56.17</v>
      </c>
      <c r="E49" s="64">
        <v>0.24</v>
      </c>
      <c r="F49" s="64">
        <v>3.43</v>
      </c>
      <c r="G49" s="64">
        <v>152.26</v>
      </c>
      <c r="H49" s="64">
        <v>56.19</v>
      </c>
      <c r="I49" s="64">
        <v>1.43</v>
      </c>
      <c r="J49" s="64">
        <v>0.1</v>
      </c>
      <c r="K49" s="64">
        <v>326.33999999999997</v>
      </c>
      <c r="L49" s="64">
        <v>28.03</v>
      </c>
      <c r="M49" s="64">
        <v>39.79</v>
      </c>
      <c r="N49" s="64">
        <v>606.9</v>
      </c>
      <c r="O49" s="64">
        <v>0</v>
      </c>
      <c r="P49" s="64">
        <v>1.31</v>
      </c>
      <c r="Q49" s="64">
        <v>6.28</v>
      </c>
      <c r="R49" s="198"/>
      <c r="S49" s="198"/>
      <c r="T49" s="198"/>
      <c r="U49" s="198"/>
    </row>
    <row r="50" spans="1:21" s="12" customFormat="1" x14ac:dyDescent="0.25">
      <c r="A50" s="213" t="s">
        <v>2016</v>
      </c>
      <c r="B50" s="64">
        <v>31</v>
      </c>
      <c r="C50" s="64">
        <v>52.42</v>
      </c>
      <c r="D50" s="64">
        <v>54.44</v>
      </c>
      <c r="E50" s="64">
        <v>0.31</v>
      </c>
      <c r="F50" s="64">
        <v>3.31</v>
      </c>
      <c r="G50" s="64">
        <v>152.26</v>
      </c>
      <c r="H50" s="64">
        <v>56.19</v>
      </c>
      <c r="I50" s="64">
        <v>1.48</v>
      </c>
      <c r="J50" s="64">
        <v>0.33</v>
      </c>
      <c r="K50" s="64">
        <v>334.83</v>
      </c>
      <c r="L50" s="64">
        <v>29.16</v>
      </c>
      <c r="M50" s="64">
        <v>37.409999999999997</v>
      </c>
      <c r="N50" s="64">
        <v>645</v>
      </c>
      <c r="O50" s="64">
        <v>0</v>
      </c>
      <c r="P50" s="64">
        <v>1.32</v>
      </c>
      <c r="Q50" s="64">
        <v>6.14</v>
      </c>
      <c r="R50" s="198"/>
      <c r="S50" s="198"/>
      <c r="T50" s="198"/>
      <c r="U50" s="198"/>
    </row>
    <row r="51" spans="1:21" s="12" customFormat="1" x14ac:dyDescent="0.25">
      <c r="A51" s="213" t="s">
        <v>2017</v>
      </c>
      <c r="B51" s="64">
        <v>22.98</v>
      </c>
      <c r="C51" s="64">
        <v>56.44</v>
      </c>
      <c r="D51" s="64">
        <v>50.23</v>
      </c>
      <c r="E51" s="64">
        <v>0.2</v>
      </c>
      <c r="F51" s="64">
        <v>6.13</v>
      </c>
      <c r="G51" s="64">
        <v>147.81</v>
      </c>
      <c r="H51" s="64">
        <v>55.15</v>
      </c>
      <c r="I51" s="64">
        <v>1.5</v>
      </c>
      <c r="J51" s="64">
        <v>0.63</v>
      </c>
      <c r="K51" s="64">
        <v>323.19</v>
      </c>
      <c r="L51" s="64">
        <v>32.159999999999997</v>
      </c>
      <c r="M51" s="64">
        <v>31.35</v>
      </c>
      <c r="N51" s="64">
        <v>692.8</v>
      </c>
      <c r="O51" s="64">
        <v>0</v>
      </c>
      <c r="P51" s="64">
        <v>1.25</v>
      </c>
      <c r="Q51" s="64">
        <v>5.66</v>
      </c>
      <c r="R51" s="198"/>
      <c r="S51" s="198"/>
      <c r="T51" s="198"/>
      <c r="U51" s="198"/>
    </row>
    <row r="52" spans="1:21" s="12" customFormat="1" x14ac:dyDescent="0.25">
      <c r="A52" s="213" t="s">
        <v>2018</v>
      </c>
      <c r="B52" s="64">
        <v>7.37</v>
      </c>
      <c r="C52" s="64">
        <v>69.739999999999995</v>
      </c>
      <c r="D52" s="64">
        <v>45.04</v>
      </c>
      <c r="E52" s="64">
        <v>0.26</v>
      </c>
      <c r="F52" s="64">
        <v>9.36</v>
      </c>
      <c r="G52" s="64">
        <v>132.25</v>
      </c>
      <c r="H52" s="64">
        <v>52.73</v>
      </c>
      <c r="I52" s="64">
        <v>1.46</v>
      </c>
      <c r="J52" s="64">
        <v>0.64</v>
      </c>
      <c r="K52" s="64">
        <v>329.08</v>
      </c>
      <c r="L52" s="64">
        <v>32.119999999999997</v>
      </c>
      <c r="M52" s="64">
        <v>30.88</v>
      </c>
      <c r="N52" s="64">
        <v>706</v>
      </c>
      <c r="O52" s="64">
        <v>0</v>
      </c>
      <c r="P52" s="64">
        <v>1.0900000000000001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3" t="s">
        <v>2019</v>
      </c>
      <c r="B53" s="64">
        <v>4.75</v>
      </c>
      <c r="C53" s="64">
        <v>70.52</v>
      </c>
      <c r="D53" s="64">
        <v>43.37</v>
      </c>
      <c r="E53" s="64">
        <v>0.16</v>
      </c>
      <c r="F53" s="64">
        <v>6.63</v>
      </c>
      <c r="G53" s="64">
        <v>132.25</v>
      </c>
      <c r="H53" s="64">
        <v>52.73</v>
      </c>
      <c r="I53" s="64">
        <v>1.51</v>
      </c>
      <c r="J53" s="64">
        <v>0.22</v>
      </c>
      <c r="K53" s="64">
        <v>349.89</v>
      </c>
      <c r="L53" s="64">
        <v>30.17</v>
      </c>
      <c r="M53" s="64">
        <v>33.57</v>
      </c>
      <c r="N53" s="64">
        <v>726</v>
      </c>
      <c r="O53" s="64">
        <v>0</v>
      </c>
      <c r="P53" s="64">
        <v>1.05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3" t="s">
        <v>2020</v>
      </c>
      <c r="B54" s="64">
        <v>3.99</v>
      </c>
      <c r="C54" s="64">
        <v>65.91</v>
      </c>
      <c r="D54" s="64">
        <v>40.22</v>
      </c>
      <c r="E54" s="64">
        <v>0.12</v>
      </c>
      <c r="F54" s="64">
        <v>6.72</v>
      </c>
      <c r="G54" s="64">
        <v>132.25</v>
      </c>
      <c r="H54" s="64">
        <v>52.73</v>
      </c>
      <c r="I54" s="64">
        <v>1.56</v>
      </c>
      <c r="J54" s="64">
        <v>0.06</v>
      </c>
      <c r="K54" s="64">
        <v>304.55</v>
      </c>
      <c r="L54" s="64">
        <v>29.86</v>
      </c>
      <c r="M54" s="64">
        <v>33.86</v>
      </c>
      <c r="N54" s="64">
        <v>735.8</v>
      </c>
      <c r="O54" s="64">
        <v>0</v>
      </c>
      <c r="P54" s="64">
        <v>0.99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3" t="s">
        <v>2021</v>
      </c>
      <c r="B55" s="64">
        <v>3.61</v>
      </c>
      <c r="C55" s="64">
        <v>61.91</v>
      </c>
      <c r="D55" s="64">
        <v>37.700000000000003</v>
      </c>
      <c r="E55" s="64">
        <v>0.1</v>
      </c>
      <c r="F55" s="64">
        <v>8.11</v>
      </c>
      <c r="G55" s="64">
        <v>114.05</v>
      </c>
      <c r="H55" s="64">
        <v>51.45</v>
      </c>
      <c r="I55" s="64">
        <v>1.47</v>
      </c>
      <c r="J55" s="64">
        <v>0.05</v>
      </c>
      <c r="K55" s="64">
        <v>263.95999999999998</v>
      </c>
      <c r="L55" s="64">
        <v>29.42</v>
      </c>
      <c r="M55" s="64">
        <v>35.01</v>
      </c>
      <c r="N55" s="64">
        <v>704.2</v>
      </c>
      <c r="O55" s="64">
        <v>0</v>
      </c>
      <c r="P55" s="64">
        <v>0.95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3" t="s">
        <v>2022</v>
      </c>
      <c r="B56" s="64">
        <v>2.48</v>
      </c>
      <c r="C56" s="64">
        <v>56.78</v>
      </c>
      <c r="D56" s="64">
        <v>33.97</v>
      </c>
      <c r="E56" s="64">
        <v>0.2</v>
      </c>
      <c r="F56" s="64">
        <v>17.04</v>
      </c>
      <c r="G56" s="64">
        <v>50.38</v>
      </c>
      <c r="H56" s="64">
        <v>45.43</v>
      </c>
      <c r="I56" s="64">
        <v>1.48</v>
      </c>
      <c r="J56" s="64">
        <v>0.25</v>
      </c>
      <c r="K56" s="64">
        <v>344.93</v>
      </c>
      <c r="L56" s="64">
        <v>29.79</v>
      </c>
      <c r="M56" s="64">
        <v>34.659999999999997</v>
      </c>
      <c r="N56" s="64">
        <v>743.6</v>
      </c>
      <c r="O56" s="64">
        <v>0</v>
      </c>
      <c r="P56" s="64">
        <v>0.95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3" t="s">
        <v>2023</v>
      </c>
      <c r="B57" s="64">
        <v>1.92</v>
      </c>
      <c r="C57" s="64">
        <v>55.63</v>
      </c>
      <c r="D57" s="64">
        <v>32.89</v>
      </c>
      <c r="E57" s="64">
        <v>0.25</v>
      </c>
      <c r="F57" s="64">
        <v>10.5</v>
      </c>
      <c r="G57" s="64">
        <v>50.38</v>
      </c>
      <c r="H57" s="64">
        <v>45.43</v>
      </c>
      <c r="I57" s="64">
        <v>1.52</v>
      </c>
      <c r="J57" s="64">
        <v>0.72</v>
      </c>
      <c r="K57" s="64">
        <v>324.22000000000003</v>
      </c>
      <c r="L57" s="64">
        <v>32.450000000000003</v>
      </c>
      <c r="M57" s="64">
        <v>29.36</v>
      </c>
      <c r="N57" s="64">
        <v>769.7</v>
      </c>
      <c r="O57" s="64">
        <v>0</v>
      </c>
      <c r="P57" s="64">
        <v>0.97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3" t="s">
        <v>2024</v>
      </c>
      <c r="B58" s="64">
        <v>1.91</v>
      </c>
      <c r="C58" s="64">
        <v>51.24</v>
      </c>
      <c r="D58" s="64">
        <v>30.46</v>
      </c>
      <c r="E58" s="64">
        <v>0.27</v>
      </c>
      <c r="F58" s="64">
        <v>10.42</v>
      </c>
      <c r="G58" s="64">
        <v>50.38</v>
      </c>
      <c r="H58" s="64">
        <v>45.43</v>
      </c>
      <c r="I58" s="64">
        <v>1.54</v>
      </c>
      <c r="J58" s="64">
        <v>0.54</v>
      </c>
      <c r="K58" s="64">
        <v>321.45</v>
      </c>
      <c r="L58" s="64">
        <v>32.51</v>
      </c>
      <c r="M58" s="64">
        <v>29.56</v>
      </c>
      <c r="N58" s="64">
        <v>758.1</v>
      </c>
      <c r="O58" s="64">
        <v>0</v>
      </c>
      <c r="P58" s="64">
        <v>0.87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3" t="s">
        <v>2025</v>
      </c>
      <c r="B59" s="64">
        <v>2.0699999999999998</v>
      </c>
      <c r="C59" s="64">
        <v>48.07</v>
      </c>
      <c r="D59" s="64">
        <v>28.83</v>
      </c>
      <c r="E59" s="64">
        <v>0.31</v>
      </c>
      <c r="F59" s="64">
        <v>7.53</v>
      </c>
      <c r="G59" s="64">
        <v>41.96</v>
      </c>
      <c r="H59" s="64">
        <v>42.02</v>
      </c>
      <c r="I59" s="64">
        <v>1.52</v>
      </c>
      <c r="J59" s="64">
        <v>0.24</v>
      </c>
      <c r="K59" s="64">
        <v>12.56</v>
      </c>
      <c r="L59" s="64">
        <v>31.22</v>
      </c>
      <c r="M59" s="64">
        <v>30.52</v>
      </c>
      <c r="N59" s="64">
        <v>748.7</v>
      </c>
      <c r="O59" s="64">
        <v>0</v>
      </c>
      <c r="P59" s="64">
        <v>0.83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3" t="s">
        <v>2026</v>
      </c>
      <c r="B60" s="64">
        <v>2.1800000000000002</v>
      </c>
      <c r="C60" s="64">
        <v>45.87</v>
      </c>
      <c r="D60" s="64">
        <v>27.71</v>
      </c>
      <c r="E60" s="64">
        <v>0.31</v>
      </c>
      <c r="F60" s="64">
        <v>7.19</v>
      </c>
      <c r="G60" s="64">
        <v>12.48</v>
      </c>
      <c r="H60" s="64">
        <v>34.01</v>
      </c>
      <c r="I60" s="64">
        <v>1.44</v>
      </c>
      <c r="J60" s="64">
        <v>0.09</v>
      </c>
      <c r="K60" s="64">
        <v>165.63</v>
      </c>
      <c r="L60" s="64">
        <v>29.9</v>
      </c>
      <c r="M60" s="64">
        <v>31.51</v>
      </c>
      <c r="N60" s="64">
        <v>762.2</v>
      </c>
      <c r="O60" s="64">
        <v>0</v>
      </c>
      <c r="P60" s="64">
        <v>0.78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3" t="s">
        <v>2027</v>
      </c>
      <c r="B61" s="64">
        <v>1.92</v>
      </c>
      <c r="C61" s="64">
        <v>41.08</v>
      </c>
      <c r="D61" s="64">
        <v>24.85</v>
      </c>
      <c r="E61" s="64">
        <v>0.28000000000000003</v>
      </c>
      <c r="F61" s="64">
        <v>9.59</v>
      </c>
      <c r="G61" s="64">
        <v>12.48</v>
      </c>
      <c r="H61" s="64">
        <v>34.01</v>
      </c>
      <c r="I61" s="64">
        <v>1.48</v>
      </c>
      <c r="J61" s="64">
        <v>0.24</v>
      </c>
      <c r="K61" s="64">
        <v>306.29000000000002</v>
      </c>
      <c r="L61" s="64">
        <v>31.68</v>
      </c>
      <c r="M61" s="64">
        <v>29.05</v>
      </c>
      <c r="N61" s="64">
        <v>710.1</v>
      </c>
      <c r="O61" s="64">
        <v>0</v>
      </c>
      <c r="P61" s="64">
        <v>0.71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3" t="s">
        <v>2028</v>
      </c>
      <c r="B62" s="64">
        <v>1.58</v>
      </c>
      <c r="C62" s="64">
        <v>39.39</v>
      </c>
      <c r="D62" s="64">
        <v>23.65</v>
      </c>
      <c r="E62" s="64">
        <v>0.35</v>
      </c>
      <c r="F62" s="64">
        <v>13.16</v>
      </c>
      <c r="G62" s="64">
        <v>12.48</v>
      </c>
      <c r="H62" s="64">
        <v>34.01</v>
      </c>
      <c r="I62" s="64">
        <v>1.45</v>
      </c>
      <c r="J62" s="64">
        <v>0.05</v>
      </c>
      <c r="K62" s="64">
        <v>30.09</v>
      </c>
      <c r="L62" s="64">
        <v>30.32</v>
      </c>
      <c r="M62" s="64">
        <v>31.9</v>
      </c>
      <c r="N62" s="64">
        <v>695</v>
      </c>
      <c r="O62" s="64">
        <v>0</v>
      </c>
      <c r="P62" s="64">
        <v>0.7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2029</v>
      </c>
      <c r="B63" s="64">
        <v>1.57</v>
      </c>
      <c r="C63" s="64">
        <v>38.22</v>
      </c>
      <c r="D63" s="64">
        <v>22.99</v>
      </c>
      <c r="E63" s="64">
        <v>0.45</v>
      </c>
      <c r="F63" s="64">
        <v>8.61</v>
      </c>
      <c r="G63" s="64">
        <v>27.85</v>
      </c>
      <c r="H63" s="64">
        <v>32.51</v>
      </c>
      <c r="I63" s="64">
        <v>1.5</v>
      </c>
      <c r="J63" s="64">
        <v>0.4</v>
      </c>
      <c r="K63" s="64">
        <v>320.63</v>
      </c>
      <c r="L63" s="64">
        <v>31.88</v>
      </c>
      <c r="M63" s="64">
        <v>30.66</v>
      </c>
      <c r="N63" s="64">
        <v>651.20000000000005</v>
      </c>
      <c r="O63" s="64">
        <v>0</v>
      </c>
      <c r="P63" s="64">
        <v>0.7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3" t="s">
        <v>2030</v>
      </c>
      <c r="B64" s="64">
        <v>1.93</v>
      </c>
      <c r="C64" s="64">
        <v>38.630000000000003</v>
      </c>
      <c r="D64" s="64">
        <v>23.51</v>
      </c>
      <c r="E64" s="64">
        <v>0.28000000000000003</v>
      </c>
      <c r="F64" s="64">
        <v>7.55</v>
      </c>
      <c r="G64" s="64">
        <v>81.650000000000006</v>
      </c>
      <c r="H64" s="64">
        <v>29</v>
      </c>
      <c r="I64" s="64">
        <v>1.43</v>
      </c>
      <c r="J64" s="64">
        <v>0.85</v>
      </c>
      <c r="K64" s="64">
        <v>338.74</v>
      </c>
      <c r="L64" s="64">
        <v>32.81</v>
      </c>
      <c r="M64" s="64">
        <v>29.34</v>
      </c>
      <c r="N64" s="64">
        <v>607.29999999999995</v>
      </c>
      <c r="O64" s="64">
        <v>0</v>
      </c>
      <c r="P64" s="64">
        <v>0.74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3" t="s">
        <v>2031</v>
      </c>
      <c r="B65" s="64">
        <v>1.99</v>
      </c>
      <c r="C65" s="64">
        <v>41.61</v>
      </c>
      <c r="D65" s="64">
        <v>25.2</v>
      </c>
      <c r="E65" s="64">
        <v>0.34</v>
      </c>
      <c r="F65" s="64">
        <v>8.91</v>
      </c>
      <c r="G65" s="64">
        <v>81.650000000000006</v>
      </c>
      <c r="H65" s="64">
        <v>29</v>
      </c>
      <c r="I65" s="64">
        <v>1.43</v>
      </c>
      <c r="J65" s="64">
        <v>0.55000000000000004</v>
      </c>
      <c r="K65" s="64">
        <v>351.24</v>
      </c>
      <c r="L65" s="64">
        <v>32.049999999999997</v>
      </c>
      <c r="M65" s="64">
        <v>30.42</v>
      </c>
      <c r="N65" s="64">
        <v>552.29999999999995</v>
      </c>
      <c r="O65" s="64">
        <v>0</v>
      </c>
      <c r="P65" s="64">
        <v>0.8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3" t="s">
        <v>2032</v>
      </c>
      <c r="B66" s="64">
        <v>2.06</v>
      </c>
      <c r="C66" s="64">
        <v>43.61</v>
      </c>
      <c r="D66" s="64">
        <v>26.36</v>
      </c>
      <c r="E66" s="64">
        <v>0.25</v>
      </c>
      <c r="F66" s="64">
        <v>6.96</v>
      </c>
      <c r="G66" s="64">
        <v>81.650000000000006</v>
      </c>
      <c r="H66" s="64">
        <v>29</v>
      </c>
      <c r="I66" s="64">
        <v>1.51</v>
      </c>
      <c r="J66" s="64">
        <v>0.41</v>
      </c>
      <c r="K66" s="64">
        <v>325.27</v>
      </c>
      <c r="L66" s="64">
        <v>32.67</v>
      </c>
      <c r="M66" s="64">
        <v>30.21</v>
      </c>
      <c r="N66" s="64">
        <v>512.9</v>
      </c>
      <c r="O66" s="64">
        <v>0</v>
      </c>
      <c r="P66" s="64">
        <v>0.82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3" t="s">
        <v>2033</v>
      </c>
      <c r="B67" s="64">
        <v>2.09</v>
      </c>
      <c r="C67" s="64">
        <v>43.1</v>
      </c>
      <c r="D67" s="64">
        <v>26.11</v>
      </c>
      <c r="E67" s="64">
        <v>0.24</v>
      </c>
      <c r="F67" s="64">
        <v>6.51</v>
      </c>
      <c r="G67" s="64">
        <v>77.67</v>
      </c>
      <c r="H67" s="64">
        <v>28.33</v>
      </c>
      <c r="I67" s="64">
        <v>1.42</v>
      </c>
      <c r="J67" s="64">
        <v>0.09</v>
      </c>
      <c r="K67" s="64">
        <v>180.85</v>
      </c>
      <c r="L67" s="64">
        <v>31.04</v>
      </c>
      <c r="M67" s="64">
        <v>31.32</v>
      </c>
      <c r="N67" s="64">
        <v>465.1</v>
      </c>
      <c r="O67" s="64">
        <v>0</v>
      </c>
      <c r="P67" s="64">
        <v>0.81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3" t="s">
        <v>2034</v>
      </c>
      <c r="B68" s="64">
        <v>2.0499999999999998</v>
      </c>
      <c r="C68" s="64">
        <v>41.93</v>
      </c>
      <c r="D68" s="64">
        <v>25.43</v>
      </c>
      <c r="E68" s="64">
        <v>0.31</v>
      </c>
      <c r="F68" s="64">
        <v>5.95</v>
      </c>
      <c r="G68" s="64">
        <v>63.76</v>
      </c>
      <c r="H68" s="64">
        <v>26.77</v>
      </c>
      <c r="I68" s="64">
        <v>1.49</v>
      </c>
      <c r="J68" s="64">
        <v>0.27</v>
      </c>
      <c r="K68" s="64">
        <v>305.56</v>
      </c>
      <c r="L68" s="64">
        <v>30.08</v>
      </c>
      <c r="M68" s="64">
        <v>32.26</v>
      </c>
      <c r="N68" s="64">
        <v>424.6</v>
      </c>
      <c r="O68" s="64">
        <v>0</v>
      </c>
      <c r="P68" s="64">
        <v>0.8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3" t="s">
        <v>2035</v>
      </c>
      <c r="B69" s="64">
        <v>2.15</v>
      </c>
      <c r="C69" s="64">
        <v>41.37</v>
      </c>
      <c r="D69" s="64">
        <v>25.2</v>
      </c>
      <c r="E69" s="64">
        <v>0.31</v>
      </c>
      <c r="F69" s="64">
        <v>5.97</v>
      </c>
      <c r="G69" s="64">
        <v>63.76</v>
      </c>
      <c r="H69" s="64">
        <v>26.77</v>
      </c>
      <c r="I69" s="64">
        <v>1.46</v>
      </c>
      <c r="J69" s="64">
        <v>0.74</v>
      </c>
      <c r="K69" s="64">
        <v>324.24</v>
      </c>
      <c r="L69" s="64">
        <v>31.16</v>
      </c>
      <c r="M69" s="64">
        <v>31.61</v>
      </c>
      <c r="N69" s="64">
        <v>299</v>
      </c>
      <c r="O69" s="64">
        <v>0</v>
      </c>
      <c r="P69" s="64">
        <v>0.81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3" t="s">
        <v>2036</v>
      </c>
      <c r="B70" s="64">
        <v>2.35</v>
      </c>
      <c r="C70" s="64">
        <v>42.11</v>
      </c>
      <c r="D70" s="64">
        <v>25.77</v>
      </c>
      <c r="E70" s="64">
        <v>0.32</v>
      </c>
      <c r="F70" s="64">
        <v>5.34</v>
      </c>
      <c r="G70" s="64">
        <v>63.76</v>
      </c>
      <c r="H70" s="64">
        <v>26.77</v>
      </c>
      <c r="I70" s="64">
        <v>1.54</v>
      </c>
      <c r="J70" s="64">
        <v>0.37</v>
      </c>
      <c r="K70" s="64">
        <v>324.02</v>
      </c>
      <c r="L70" s="64">
        <v>31.25</v>
      </c>
      <c r="M70" s="64">
        <v>31.11</v>
      </c>
      <c r="N70" s="64">
        <v>230.1</v>
      </c>
      <c r="O70" s="64">
        <v>0</v>
      </c>
      <c r="P70" s="64">
        <v>0.82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3" t="s">
        <v>2037</v>
      </c>
      <c r="B71" s="64">
        <v>2.61</v>
      </c>
      <c r="C71" s="64">
        <v>41.53</v>
      </c>
      <c r="D71" s="64">
        <v>25.66</v>
      </c>
      <c r="E71" s="64">
        <v>0.28999999999999998</v>
      </c>
      <c r="F71" s="64">
        <v>4.72</v>
      </c>
      <c r="G71" s="64">
        <v>63.62</v>
      </c>
      <c r="H71" s="64">
        <v>26.7</v>
      </c>
      <c r="I71" s="64">
        <v>1.43</v>
      </c>
      <c r="J71" s="64">
        <v>0.67</v>
      </c>
      <c r="K71" s="64">
        <v>322.94</v>
      </c>
      <c r="L71" s="64">
        <v>31.21</v>
      </c>
      <c r="M71" s="64">
        <v>31.83</v>
      </c>
      <c r="N71" s="64">
        <v>170.8</v>
      </c>
      <c r="O71" s="64">
        <v>0</v>
      </c>
      <c r="P71" s="64">
        <v>0.84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3" t="s">
        <v>2038</v>
      </c>
      <c r="B72" s="64">
        <v>3.51</v>
      </c>
      <c r="C72" s="64">
        <v>47.85</v>
      </c>
      <c r="D72" s="64">
        <v>29.87</v>
      </c>
      <c r="E72" s="64">
        <v>0.1</v>
      </c>
      <c r="F72" s="64">
        <v>6.65</v>
      </c>
      <c r="G72" s="64">
        <v>63.15</v>
      </c>
      <c r="H72" s="64">
        <v>26.35</v>
      </c>
      <c r="I72" s="64">
        <v>1.51</v>
      </c>
      <c r="J72" s="64">
        <v>0.28999999999999998</v>
      </c>
      <c r="K72" s="64">
        <v>319.05</v>
      </c>
      <c r="L72" s="64">
        <v>30.67</v>
      </c>
      <c r="M72" s="64">
        <v>32.93</v>
      </c>
      <c r="N72" s="64">
        <v>168.3</v>
      </c>
      <c r="O72" s="64">
        <v>0</v>
      </c>
      <c r="P72" s="64">
        <v>0.87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3" t="s">
        <v>2039</v>
      </c>
      <c r="B73" s="64">
        <v>2.98</v>
      </c>
      <c r="C73" s="64">
        <v>55.49</v>
      </c>
      <c r="D73" s="64">
        <v>33.659999999999997</v>
      </c>
      <c r="E73" s="64">
        <v>0.08</v>
      </c>
      <c r="F73" s="64">
        <v>6.97</v>
      </c>
      <c r="G73" s="64">
        <v>63.15</v>
      </c>
      <c r="H73" s="64">
        <v>26.35</v>
      </c>
      <c r="I73" s="64">
        <v>1.52</v>
      </c>
      <c r="J73" s="64">
        <v>0.17</v>
      </c>
      <c r="K73" s="64">
        <v>311.52</v>
      </c>
      <c r="L73" s="64">
        <v>29.36</v>
      </c>
      <c r="M73" s="64">
        <v>34.43</v>
      </c>
      <c r="N73" s="64">
        <v>147.1</v>
      </c>
      <c r="O73" s="64">
        <v>0</v>
      </c>
      <c r="P73" s="64">
        <v>0.91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3" t="s">
        <v>2040</v>
      </c>
      <c r="B74" s="64">
        <v>2.67</v>
      </c>
      <c r="C74" s="64">
        <v>55.13</v>
      </c>
      <c r="D74" s="64">
        <v>33.21</v>
      </c>
      <c r="E74" s="64">
        <v>0.03</v>
      </c>
      <c r="F74" s="64">
        <v>5.25</v>
      </c>
      <c r="G74" s="64">
        <v>63.15</v>
      </c>
      <c r="H74" s="64">
        <v>26.35</v>
      </c>
      <c r="I74" s="64">
        <v>1.41</v>
      </c>
      <c r="J74" s="64">
        <v>0.33</v>
      </c>
      <c r="K74" s="64">
        <v>357.24</v>
      </c>
      <c r="L74" s="64">
        <v>29.07</v>
      </c>
      <c r="M74" s="64">
        <v>35.39</v>
      </c>
      <c r="N74" s="64">
        <v>107.4</v>
      </c>
      <c r="O74" s="64">
        <v>0</v>
      </c>
      <c r="P74" s="64">
        <v>0.92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3" t="s">
        <v>2041</v>
      </c>
      <c r="B75" s="64">
        <v>3.25</v>
      </c>
      <c r="C75" s="64">
        <v>52.93</v>
      </c>
      <c r="D75" s="64">
        <v>32.47</v>
      </c>
      <c r="E75" s="64">
        <v>0.08</v>
      </c>
      <c r="F75" s="64">
        <v>4.42</v>
      </c>
      <c r="G75" s="64">
        <v>60.26</v>
      </c>
      <c r="H75" s="64">
        <v>25.52</v>
      </c>
      <c r="I75" s="64">
        <v>1.52</v>
      </c>
      <c r="J75" s="64">
        <v>0.35</v>
      </c>
      <c r="K75" s="64">
        <v>353.42</v>
      </c>
      <c r="L75" s="64">
        <v>28.84</v>
      </c>
      <c r="M75" s="64">
        <v>35.69</v>
      </c>
      <c r="N75" s="64">
        <v>87.8</v>
      </c>
      <c r="O75" s="64">
        <v>0</v>
      </c>
      <c r="P75" s="64">
        <v>0.95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3" t="s">
        <v>2042</v>
      </c>
      <c r="B76" s="64">
        <v>3.84</v>
      </c>
      <c r="C76" s="64">
        <v>52.14</v>
      </c>
      <c r="D76" s="64">
        <v>32.49</v>
      </c>
      <c r="E76" s="64">
        <v>0.08</v>
      </c>
      <c r="F76" s="64">
        <v>4.26</v>
      </c>
      <c r="G76" s="64">
        <v>50.12</v>
      </c>
      <c r="H76" s="64">
        <v>23.59</v>
      </c>
      <c r="I76" s="64">
        <v>1.58</v>
      </c>
      <c r="J76" s="64">
        <v>1.03</v>
      </c>
      <c r="K76" s="64">
        <v>346.91</v>
      </c>
      <c r="L76" s="64">
        <v>28.49</v>
      </c>
      <c r="M76" s="64">
        <v>38.44</v>
      </c>
      <c r="N76" s="64">
        <v>75.400000000000006</v>
      </c>
      <c r="O76" s="64">
        <v>0</v>
      </c>
      <c r="P76" s="64">
        <v>0.95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3" t="s">
        <v>2043</v>
      </c>
      <c r="B77" s="64">
        <v>4.6100000000000003</v>
      </c>
      <c r="C77" s="64">
        <v>50.3</v>
      </c>
      <c r="D77" s="64">
        <v>32.1</v>
      </c>
      <c r="E77" s="64">
        <v>0.09</v>
      </c>
      <c r="F77" s="64">
        <v>4.12</v>
      </c>
      <c r="G77" s="64">
        <v>50.12</v>
      </c>
      <c r="H77" s="64">
        <v>23.59</v>
      </c>
      <c r="I77" s="64">
        <v>1.46</v>
      </c>
      <c r="J77" s="64">
        <v>0.9</v>
      </c>
      <c r="K77" s="64">
        <v>348.12</v>
      </c>
      <c r="L77" s="64">
        <v>28.03</v>
      </c>
      <c r="M77" s="64">
        <v>40</v>
      </c>
      <c r="N77" s="64">
        <v>57.8</v>
      </c>
      <c r="O77" s="64">
        <v>0</v>
      </c>
      <c r="P77" s="64">
        <v>0.93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3" t="s">
        <v>2044</v>
      </c>
      <c r="B78" s="64">
        <v>5.49</v>
      </c>
      <c r="C78" s="64">
        <v>50.49</v>
      </c>
      <c r="D78" s="64">
        <v>32.92</v>
      </c>
      <c r="E78" s="64">
        <v>0.08</v>
      </c>
      <c r="F78" s="64">
        <v>4.29</v>
      </c>
      <c r="G78" s="64">
        <v>50.12</v>
      </c>
      <c r="H78" s="64">
        <v>23.59</v>
      </c>
      <c r="I78" s="64">
        <v>1.47</v>
      </c>
      <c r="J78" s="64">
        <v>0.61</v>
      </c>
      <c r="K78" s="64">
        <v>346.71</v>
      </c>
      <c r="L78" s="64">
        <v>27.32</v>
      </c>
      <c r="M78" s="64">
        <v>46</v>
      </c>
      <c r="N78" s="64">
        <v>44.1</v>
      </c>
      <c r="O78" s="64">
        <v>0</v>
      </c>
      <c r="P78" s="64">
        <v>0.94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3" t="s">
        <v>2045</v>
      </c>
      <c r="B79" s="64">
        <v>6.26</v>
      </c>
      <c r="C79" s="64">
        <v>51.58</v>
      </c>
      <c r="D79" s="64">
        <v>34.14</v>
      </c>
      <c r="E79" s="64">
        <v>0.05</v>
      </c>
      <c r="F79" s="64">
        <v>3.97</v>
      </c>
      <c r="G79" s="64">
        <v>54.2</v>
      </c>
      <c r="H79" s="64">
        <v>23.5</v>
      </c>
      <c r="I79" s="64">
        <v>1.52</v>
      </c>
      <c r="J79" s="64">
        <v>0.27</v>
      </c>
      <c r="K79" s="64">
        <v>351.69</v>
      </c>
      <c r="L79" s="64">
        <v>26.21</v>
      </c>
      <c r="M79" s="64">
        <v>51.45</v>
      </c>
      <c r="N79" s="64">
        <v>33.5</v>
      </c>
      <c r="O79" s="64">
        <v>0</v>
      </c>
      <c r="P79" s="64">
        <v>0.97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3" t="s">
        <v>2046</v>
      </c>
      <c r="B80" s="64">
        <v>6.75</v>
      </c>
      <c r="C80" s="64">
        <v>53.29</v>
      </c>
      <c r="D80" s="64">
        <v>35.46</v>
      </c>
      <c r="E80" s="64">
        <v>0.12</v>
      </c>
      <c r="F80" s="64">
        <v>3.57</v>
      </c>
      <c r="G80" s="64">
        <v>67.599999999999994</v>
      </c>
      <c r="H80" s="64">
        <v>23.28</v>
      </c>
      <c r="I80" s="64">
        <v>1.48</v>
      </c>
      <c r="J80" s="64">
        <v>0.1</v>
      </c>
      <c r="K80" s="64">
        <v>53.49</v>
      </c>
      <c r="L80" s="64">
        <v>25.83</v>
      </c>
      <c r="M80" s="64">
        <v>46.36</v>
      </c>
      <c r="N80" s="64">
        <v>24.9</v>
      </c>
      <c r="O80" s="64">
        <v>0</v>
      </c>
      <c r="P80" s="64">
        <v>1</v>
      </c>
      <c r="Q80" s="64">
        <v>5.21</v>
      </c>
      <c r="R80" s="198"/>
      <c r="S80" s="198"/>
      <c r="T80" s="198"/>
      <c r="U80" s="198"/>
    </row>
    <row r="81" spans="1:26" s="12" customFormat="1" x14ac:dyDescent="0.25">
      <c r="A81" s="213" t="s">
        <v>2047</v>
      </c>
      <c r="B81" s="64">
        <v>7.9</v>
      </c>
      <c r="C81" s="64">
        <v>53.94</v>
      </c>
      <c r="D81" s="64">
        <v>36.75</v>
      </c>
      <c r="E81" s="64">
        <v>0.06</v>
      </c>
      <c r="F81" s="64">
        <v>3.6</v>
      </c>
      <c r="G81" s="64">
        <v>67.599999999999994</v>
      </c>
      <c r="H81" s="64">
        <v>23.28</v>
      </c>
      <c r="I81" s="64">
        <v>1.46</v>
      </c>
      <c r="J81" s="64">
        <v>0.02</v>
      </c>
      <c r="K81" s="64">
        <v>110.83</v>
      </c>
      <c r="L81" s="64">
        <v>25.3</v>
      </c>
      <c r="M81" s="64">
        <v>51.17</v>
      </c>
      <c r="N81" s="64">
        <v>22.1</v>
      </c>
      <c r="O81" s="64">
        <v>0</v>
      </c>
      <c r="P81" s="64">
        <v>1.04</v>
      </c>
      <c r="Q81" s="64">
        <v>5.21</v>
      </c>
      <c r="R81" s="198"/>
      <c r="S81" s="198"/>
      <c r="T81" s="198"/>
      <c r="U81" s="198"/>
    </row>
    <row r="82" spans="1:26" s="12" customFormat="1" x14ac:dyDescent="0.25">
      <c r="A82" s="213" t="s">
        <v>2048</v>
      </c>
      <c r="B82" s="64">
        <v>10.7</v>
      </c>
      <c r="C82" s="64">
        <v>55.04</v>
      </c>
      <c r="D82" s="64">
        <v>39.6</v>
      </c>
      <c r="E82" s="64">
        <v>0.09</v>
      </c>
      <c r="F82" s="64">
        <v>3.52</v>
      </c>
      <c r="G82" s="64">
        <v>67.599999999999994</v>
      </c>
      <c r="H82" s="64">
        <v>23.28</v>
      </c>
      <c r="I82" s="64">
        <v>1.46</v>
      </c>
      <c r="J82" s="64">
        <v>0.03</v>
      </c>
      <c r="K82" s="64">
        <v>4.32</v>
      </c>
      <c r="L82" s="64">
        <v>24.6</v>
      </c>
      <c r="M82" s="64">
        <v>62.21</v>
      </c>
      <c r="N82" s="64">
        <v>21.4</v>
      </c>
      <c r="O82" s="64">
        <v>0</v>
      </c>
      <c r="P82" s="64">
        <v>1.08</v>
      </c>
      <c r="Q82" s="64">
        <v>5.21</v>
      </c>
      <c r="R82" s="198"/>
      <c r="S82" s="198"/>
      <c r="T82" s="198"/>
      <c r="U82" s="198"/>
    </row>
    <row r="83" spans="1:26" s="12" customFormat="1" x14ac:dyDescent="0.25">
      <c r="A83" s="213" t="s">
        <v>2049</v>
      </c>
      <c r="B83" s="64">
        <v>13.36</v>
      </c>
      <c r="C83" s="64">
        <v>54.81</v>
      </c>
      <c r="D83" s="64">
        <v>41.61</v>
      </c>
      <c r="E83" s="64">
        <v>0.14000000000000001</v>
      </c>
      <c r="F83" s="64">
        <v>3.77</v>
      </c>
      <c r="G83" s="64">
        <v>68.150000000000006</v>
      </c>
      <c r="H83" s="64">
        <v>23.06</v>
      </c>
      <c r="I83" s="64">
        <v>1.36</v>
      </c>
      <c r="J83" s="64">
        <v>0.03</v>
      </c>
      <c r="K83" s="64">
        <v>187.43</v>
      </c>
      <c r="L83" s="64">
        <v>24.29</v>
      </c>
      <c r="M83" s="64">
        <v>57.27</v>
      </c>
      <c r="N83" s="64">
        <v>21.2</v>
      </c>
      <c r="O83" s="64">
        <v>0</v>
      </c>
      <c r="P83" s="64">
        <v>1.1200000000000001</v>
      </c>
      <c r="Q83" s="64">
        <v>5.21</v>
      </c>
      <c r="R83" s="198"/>
      <c r="S83" s="198"/>
      <c r="T83" s="198"/>
      <c r="U83" s="198"/>
    </row>
    <row r="84" spans="1:26" s="12" customFormat="1" x14ac:dyDescent="0.25">
      <c r="A84" s="213" t="s">
        <v>2050</v>
      </c>
      <c r="B84" s="64">
        <v>14.72</v>
      </c>
      <c r="C84" s="64">
        <v>55.08</v>
      </c>
      <c r="D84" s="64">
        <v>42.85</v>
      </c>
      <c r="E84" s="64">
        <v>0.1</v>
      </c>
      <c r="F84" s="64">
        <v>3.51</v>
      </c>
      <c r="G84" s="64">
        <v>70.06</v>
      </c>
      <c r="H84" s="64">
        <v>22.54</v>
      </c>
      <c r="I84" s="64">
        <v>1.47</v>
      </c>
      <c r="J84" s="64">
        <v>0.06</v>
      </c>
      <c r="K84" s="64">
        <v>127.46</v>
      </c>
      <c r="L84" s="64">
        <v>24.18</v>
      </c>
      <c r="M84" s="64">
        <v>56.39</v>
      </c>
      <c r="N84" s="64">
        <v>21.2</v>
      </c>
      <c r="O84" s="64">
        <v>0</v>
      </c>
      <c r="P84" s="64">
        <v>1.1200000000000001</v>
      </c>
      <c r="Q84" s="64">
        <v>5.21</v>
      </c>
      <c r="R84" s="198"/>
      <c r="S84" s="198"/>
      <c r="T84" s="198"/>
      <c r="U84" s="198"/>
    </row>
    <row r="85" spans="1:26" s="12" customFormat="1" x14ac:dyDescent="0.25">
      <c r="A85" s="213" t="s">
        <v>2051</v>
      </c>
      <c r="B85" s="64">
        <v>17.600000000000001</v>
      </c>
      <c r="C85" s="64">
        <v>55.3</v>
      </c>
      <c r="D85" s="64">
        <v>45.28</v>
      </c>
      <c r="E85" s="64">
        <v>0.1</v>
      </c>
      <c r="F85" s="64">
        <v>3.3</v>
      </c>
      <c r="G85" s="64">
        <v>70.06</v>
      </c>
      <c r="H85" s="64">
        <v>22.54</v>
      </c>
      <c r="I85" s="64">
        <v>1.44</v>
      </c>
      <c r="J85" s="64">
        <v>0.09</v>
      </c>
      <c r="K85" s="64">
        <v>50.73</v>
      </c>
      <c r="L85" s="64">
        <v>23.73</v>
      </c>
      <c r="M85" s="64">
        <v>59.26</v>
      </c>
      <c r="N85" s="64">
        <v>21.3</v>
      </c>
      <c r="O85" s="64">
        <v>0</v>
      </c>
      <c r="P85" s="64">
        <v>1.05</v>
      </c>
      <c r="Q85" s="64">
        <v>5.21</v>
      </c>
      <c r="R85" s="198"/>
      <c r="S85" s="198"/>
      <c r="T85" s="198"/>
      <c r="U85" s="198"/>
    </row>
    <row r="86" spans="1:26" s="12" customFormat="1" x14ac:dyDescent="0.25">
      <c r="A86" s="213" t="s">
        <v>2052</v>
      </c>
      <c r="B86" s="64">
        <v>21.58</v>
      </c>
      <c r="C86" s="64">
        <v>54.44</v>
      </c>
      <c r="D86" s="64">
        <v>48</v>
      </c>
      <c r="E86" s="64">
        <v>0.13</v>
      </c>
      <c r="F86" s="64">
        <v>3.32</v>
      </c>
      <c r="G86" s="64">
        <v>70.06</v>
      </c>
      <c r="H86" s="64">
        <v>22.54</v>
      </c>
      <c r="I86" s="64">
        <v>1.48</v>
      </c>
      <c r="J86" s="64">
        <v>0.02</v>
      </c>
      <c r="K86" s="64">
        <v>262.58</v>
      </c>
      <c r="L86" s="64">
        <v>23.29</v>
      </c>
      <c r="M86" s="64">
        <v>64.63</v>
      </c>
      <c r="N86" s="64">
        <v>21.3</v>
      </c>
      <c r="O86" s="64">
        <v>0</v>
      </c>
      <c r="P86" s="64">
        <v>1.1499999999999999</v>
      </c>
      <c r="Q86" s="64">
        <v>5.21</v>
      </c>
      <c r="R86" s="198"/>
      <c r="S86" s="198"/>
      <c r="T86" s="198"/>
      <c r="U86" s="198"/>
    </row>
    <row r="87" spans="1:26" s="12" customFormat="1" x14ac:dyDescent="0.25">
      <c r="A87" s="213" t="s">
        <v>2053</v>
      </c>
      <c r="B87" s="64">
        <v>25.6</v>
      </c>
      <c r="C87" s="64">
        <v>54.2</v>
      </c>
      <c r="D87" s="64">
        <v>51.09</v>
      </c>
      <c r="E87" s="64">
        <v>0.1</v>
      </c>
      <c r="F87" s="64">
        <v>3.37</v>
      </c>
      <c r="G87" s="64">
        <v>75.59</v>
      </c>
      <c r="H87" s="64">
        <v>23.16</v>
      </c>
      <c r="I87" s="64">
        <v>1.47</v>
      </c>
      <c r="J87" s="64">
        <v>0.11</v>
      </c>
      <c r="K87" s="64">
        <v>341.92</v>
      </c>
      <c r="L87" s="64">
        <v>23.23</v>
      </c>
      <c r="M87" s="64">
        <v>67.98</v>
      </c>
      <c r="N87" s="64">
        <v>21</v>
      </c>
      <c r="O87" s="64">
        <v>0</v>
      </c>
      <c r="P87" s="64">
        <v>1.22</v>
      </c>
      <c r="Q87" s="64">
        <v>5.21</v>
      </c>
      <c r="R87" s="198"/>
      <c r="S87" s="198"/>
      <c r="T87" s="198"/>
      <c r="U87" s="198"/>
    </row>
    <row r="88" spans="1:26" s="12" customFormat="1" x14ac:dyDescent="0.25">
      <c r="A88" s="213" t="s">
        <v>2054</v>
      </c>
      <c r="B88" s="64">
        <v>30.65</v>
      </c>
      <c r="C88" s="64">
        <v>54.24</v>
      </c>
      <c r="D88" s="64">
        <v>55.16</v>
      </c>
      <c r="E88" s="64">
        <v>0.18</v>
      </c>
      <c r="F88" s="64">
        <v>3.36</v>
      </c>
      <c r="G88" s="64">
        <v>93.76</v>
      </c>
      <c r="H88" s="64">
        <v>26</v>
      </c>
      <c r="I88" s="64">
        <v>1.48</v>
      </c>
      <c r="J88" s="64">
        <v>0.15</v>
      </c>
      <c r="K88" s="64">
        <v>343.98</v>
      </c>
      <c r="L88" s="64">
        <v>22.85</v>
      </c>
      <c r="M88" s="64">
        <v>71.06</v>
      </c>
      <c r="N88" s="64">
        <v>21</v>
      </c>
      <c r="O88" s="64">
        <v>0</v>
      </c>
      <c r="P88" s="64">
        <v>1.32</v>
      </c>
      <c r="Q88" s="64">
        <v>5.67</v>
      </c>
      <c r="R88" s="198"/>
      <c r="S88" s="198"/>
      <c r="T88" s="198"/>
      <c r="U88" s="198"/>
    </row>
    <row r="89" spans="1:26" s="12" customFormat="1" x14ac:dyDescent="0.25">
      <c r="A89" s="213" t="s">
        <v>2055</v>
      </c>
      <c r="B89" s="64">
        <v>34.83</v>
      </c>
      <c r="C89" s="64">
        <v>53.85</v>
      </c>
      <c r="D89" s="64">
        <v>58.3</v>
      </c>
      <c r="E89" s="64">
        <v>0.25</v>
      </c>
      <c r="F89" s="64">
        <v>3.23</v>
      </c>
      <c r="G89" s="64">
        <v>93.76</v>
      </c>
      <c r="H89" s="64">
        <v>26</v>
      </c>
      <c r="I89" s="64">
        <v>1.44</v>
      </c>
      <c r="J89" s="64">
        <v>0.05</v>
      </c>
      <c r="K89" s="64">
        <v>209.07</v>
      </c>
      <c r="L89" s="64">
        <v>22.47</v>
      </c>
      <c r="M89" s="64">
        <v>72.349999999999994</v>
      </c>
      <c r="N89" s="64">
        <v>21.1</v>
      </c>
      <c r="O89" s="64">
        <v>0</v>
      </c>
      <c r="P89" s="64">
        <v>1.64</v>
      </c>
      <c r="Q89" s="64">
        <v>6.17</v>
      </c>
      <c r="R89" s="198"/>
      <c r="S89" s="198"/>
      <c r="T89" s="198"/>
      <c r="U89" s="198"/>
    </row>
    <row r="90" spans="1:26" s="12" customFormat="1" x14ac:dyDescent="0.25">
      <c r="A90" s="213" t="s">
        <v>2056</v>
      </c>
      <c r="B90" s="64">
        <v>37</v>
      </c>
      <c r="C90" s="64">
        <v>51.97</v>
      </c>
      <c r="D90" s="64">
        <v>59</v>
      </c>
      <c r="E90" s="64">
        <v>0.31</v>
      </c>
      <c r="F90" s="64">
        <v>3.71</v>
      </c>
      <c r="G90" s="64">
        <v>93.76</v>
      </c>
      <c r="H90" s="64">
        <v>26</v>
      </c>
      <c r="I90" s="64">
        <v>1.51</v>
      </c>
      <c r="J90" s="64">
        <v>0.06</v>
      </c>
      <c r="K90" s="64">
        <v>275.22000000000003</v>
      </c>
      <c r="L90" s="64">
        <v>22.47</v>
      </c>
      <c r="M90" s="64">
        <v>70.760000000000005</v>
      </c>
      <c r="N90" s="64">
        <v>21.2</v>
      </c>
      <c r="O90" s="64">
        <v>0</v>
      </c>
      <c r="P90" s="64">
        <v>1.72</v>
      </c>
      <c r="Q90" s="64">
        <v>6.3</v>
      </c>
      <c r="R90" s="198"/>
      <c r="S90" s="198"/>
      <c r="T90" s="198"/>
      <c r="U90" s="198"/>
    </row>
    <row r="91" spans="1:26" s="12" customFormat="1" x14ac:dyDescent="0.25">
      <c r="A91" s="213" t="s">
        <v>2057</v>
      </c>
      <c r="B91" s="64">
        <v>40.44</v>
      </c>
      <c r="C91" s="64">
        <v>51.51</v>
      </c>
      <c r="D91" s="64">
        <v>61.5</v>
      </c>
      <c r="E91" s="64">
        <v>0.37</v>
      </c>
      <c r="F91" s="64">
        <v>3.35</v>
      </c>
      <c r="G91" s="64">
        <v>97.73</v>
      </c>
      <c r="H91" s="64">
        <v>26.61</v>
      </c>
      <c r="I91" s="64">
        <v>1.47</v>
      </c>
      <c r="J91" s="64">
        <v>0.04</v>
      </c>
      <c r="K91" s="64">
        <v>241.92</v>
      </c>
      <c r="L91" s="64">
        <v>21.95</v>
      </c>
      <c r="M91" s="64">
        <v>72.25</v>
      </c>
      <c r="N91" s="64">
        <v>21.1</v>
      </c>
      <c r="O91" s="64">
        <v>0</v>
      </c>
      <c r="P91" s="64">
        <v>1.73</v>
      </c>
      <c r="Q91" s="64">
        <v>6.52</v>
      </c>
      <c r="R91" s="198"/>
      <c r="S91" s="198"/>
      <c r="T91" s="198"/>
      <c r="U91" s="198"/>
    </row>
    <row r="92" spans="1:26" s="12" customFormat="1" x14ac:dyDescent="0.25">
      <c r="A92" s="213" t="s">
        <v>2058</v>
      </c>
      <c r="B92" s="64">
        <v>44.9</v>
      </c>
      <c r="C92" s="64">
        <v>50.79</v>
      </c>
      <c r="D92" s="64">
        <v>64.680000000000007</v>
      </c>
      <c r="E92" s="64">
        <v>0.28999999999999998</v>
      </c>
      <c r="F92" s="64">
        <v>3.53</v>
      </c>
      <c r="G92" s="64">
        <v>110.79</v>
      </c>
      <c r="H92" s="64">
        <v>28.01</v>
      </c>
      <c r="I92" s="64">
        <v>1.47</v>
      </c>
      <c r="J92" s="64">
        <v>0.02</v>
      </c>
      <c r="K92" s="64">
        <v>158.15</v>
      </c>
      <c r="L92" s="64">
        <v>21.76</v>
      </c>
      <c r="M92" s="64">
        <v>72.37</v>
      </c>
      <c r="N92" s="64">
        <v>21.1</v>
      </c>
      <c r="O92" s="64">
        <v>0</v>
      </c>
      <c r="P92" s="64">
        <v>1.77</v>
      </c>
      <c r="Q92" s="64">
        <v>6.8</v>
      </c>
      <c r="R92" s="198"/>
      <c r="S92" s="198"/>
      <c r="T92" s="198"/>
      <c r="U92" s="198"/>
    </row>
    <row r="93" spans="1:26" s="12" customFormat="1" x14ac:dyDescent="0.25">
      <c r="A93" s="213" t="s">
        <v>2059</v>
      </c>
      <c r="B93" s="64">
        <v>50.11</v>
      </c>
      <c r="C93" s="64">
        <v>50.85</v>
      </c>
      <c r="D93" s="64">
        <v>68.89</v>
      </c>
      <c r="E93" s="64">
        <v>0.32</v>
      </c>
      <c r="F93" s="64">
        <v>3.5</v>
      </c>
      <c r="G93" s="64">
        <v>110.79</v>
      </c>
      <c r="H93" s="64">
        <v>28.01</v>
      </c>
      <c r="I93" s="64">
        <v>1.55</v>
      </c>
      <c r="J93" s="64">
        <v>0.16</v>
      </c>
      <c r="K93" s="64">
        <v>358.17</v>
      </c>
      <c r="L93" s="64">
        <v>21.75</v>
      </c>
      <c r="M93" s="64">
        <v>75.209999999999994</v>
      </c>
      <c r="N93" s="64">
        <v>21</v>
      </c>
      <c r="O93" s="64">
        <v>0</v>
      </c>
      <c r="P93" s="64">
        <v>1.87</v>
      </c>
      <c r="Q93" s="64">
        <v>7.14</v>
      </c>
      <c r="R93" s="198"/>
      <c r="S93" s="198"/>
      <c r="T93" s="198"/>
      <c r="U93" s="198"/>
    </row>
    <row r="94" spans="1:26" s="12" customFormat="1" x14ac:dyDescent="0.25">
      <c r="A94" s="213" t="s">
        <v>2060</v>
      </c>
      <c r="B94" s="64">
        <v>56.37</v>
      </c>
      <c r="C94" s="64">
        <v>50.16</v>
      </c>
      <c r="D94" s="64">
        <v>73.540000000000006</v>
      </c>
      <c r="E94" s="64">
        <v>0.34</v>
      </c>
      <c r="F94" s="64">
        <v>3.52</v>
      </c>
      <c r="G94" s="64">
        <v>110.79</v>
      </c>
      <c r="H94" s="64">
        <v>28.01</v>
      </c>
      <c r="I94" s="64">
        <v>1.49</v>
      </c>
      <c r="J94" s="64">
        <v>0.1</v>
      </c>
      <c r="K94" s="64">
        <v>302.94</v>
      </c>
      <c r="L94" s="64">
        <v>21.49</v>
      </c>
      <c r="M94" s="64">
        <v>78.98</v>
      </c>
      <c r="N94" s="64">
        <v>20.9</v>
      </c>
      <c r="O94" s="64">
        <v>0</v>
      </c>
      <c r="P94" s="64">
        <v>1.99</v>
      </c>
      <c r="Q94" s="64">
        <v>7.53</v>
      </c>
      <c r="R94" s="198"/>
      <c r="S94" s="198"/>
      <c r="T94" s="198"/>
      <c r="U94" s="198"/>
    </row>
    <row r="95" spans="1:26" s="12" customFormat="1" x14ac:dyDescent="0.25">
      <c r="A95" s="213" t="s">
        <v>2061</v>
      </c>
      <c r="B95" s="64">
        <v>61.26</v>
      </c>
      <c r="C95" s="64">
        <v>50.58</v>
      </c>
      <c r="D95" s="64">
        <v>77.69</v>
      </c>
      <c r="E95" s="64">
        <v>0.34</v>
      </c>
      <c r="F95" s="64">
        <v>3.39</v>
      </c>
      <c r="G95" s="64">
        <v>120.14</v>
      </c>
      <c r="H95" s="64">
        <v>29.32</v>
      </c>
      <c r="I95" s="64">
        <v>1.51</v>
      </c>
      <c r="J95" s="64">
        <v>0.15</v>
      </c>
      <c r="K95" s="64">
        <v>247.57</v>
      </c>
      <c r="L95" s="64">
        <v>21.84</v>
      </c>
      <c r="M95" s="64">
        <v>73.760000000000005</v>
      </c>
      <c r="N95" s="64">
        <v>20.7</v>
      </c>
      <c r="O95" s="64">
        <v>0</v>
      </c>
      <c r="P95" s="64">
        <v>1.95</v>
      </c>
      <c r="Q95" s="64">
        <v>7.85</v>
      </c>
      <c r="R95" s="198"/>
      <c r="S95" s="198"/>
      <c r="T95" s="198"/>
      <c r="U95" s="198"/>
    </row>
    <row r="96" spans="1:26" s="12" customFormat="1" x14ac:dyDescent="0.25">
      <c r="A96" s="213" t="s">
        <v>2062</v>
      </c>
      <c r="B96" s="64">
        <v>65.55</v>
      </c>
      <c r="C96" s="64">
        <v>51.73</v>
      </c>
      <c r="D96" s="64">
        <v>81.760000000000005</v>
      </c>
      <c r="E96" s="64">
        <v>0.35</v>
      </c>
      <c r="F96" s="64">
        <v>3.63</v>
      </c>
      <c r="G96" s="64">
        <v>150.87</v>
      </c>
      <c r="H96" s="64">
        <v>32.340000000000003</v>
      </c>
      <c r="I96" s="64">
        <v>1.52</v>
      </c>
      <c r="J96" s="64">
        <v>0.08</v>
      </c>
      <c r="K96" s="64">
        <v>267.3</v>
      </c>
      <c r="L96" s="64">
        <v>21.41</v>
      </c>
      <c r="M96" s="64">
        <v>76.75</v>
      </c>
      <c r="N96" s="64">
        <v>21</v>
      </c>
      <c r="O96" s="64">
        <v>0</v>
      </c>
      <c r="P96" s="64">
        <v>1.88</v>
      </c>
      <c r="Q96" s="64">
        <v>8.2799999999999994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2063</v>
      </c>
      <c r="B97" s="64">
        <v>72.58</v>
      </c>
      <c r="C97" s="64">
        <v>50.85</v>
      </c>
      <c r="D97" s="64">
        <v>86.91</v>
      </c>
      <c r="E97" s="64">
        <v>0.4</v>
      </c>
      <c r="F97" s="64">
        <v>3.48</v>
      </c>
      <c r="G97" s="64">
        <v>150.87</v>
      </c>
      <c r="H97" s="64">
        <v>32.340000000000003</v>
      </c>
      <c r="I97" s="64">
        <v>1.47</v>
      </c>
      <c r="J97" s="64">
        <v>0.16</v>
      </c>
      <c r="K97" s="64">
        <v>305.3</v>
      </c>
      <c r="L97" s="64">
        <v>21.07</v>
      </c>
      <c r="M97" s="64">
        <v>82.03</v>
      </c>
      <c r="N97" s="64">
        <v>21.1</v>
      </c>
      <c r="O97" s="64">
        <v>0</v>
      </c>
      <c r="P97" s="64">
        <v>1.95</v>
      </c>
      <c r="Q97" s="64">
        <v>8.68</v>
      </c>
      <c r="R97" s="198"/>
      <c r="S97" s="198"/>
      <c r="T97" s="198"/>
      <c r="U97" s="198"/>
    </row>
    <row r="98" spans="1:33" s="12" customFormat="1" x14ac:dyDescent="0.25">
      <c r="A98" s="213" t="s">
        <v>2064</v>
      </c>
      <c r="B98" s="64">
        <v>78.489999999999995</v>
      </c>
      <c r="C98" s="64">
        <v>50.39</v>
      </c>
      <c r="D98" s="64">
        <v>91.4</v>
      </c>
      <c r="E98" s="64">
        <v>0.47</v>
      </c>
      <c r="F98" s="64">
        <v>3.2</v>
      </c>
      <c r="G98" s="64">
        <v>150.87</v>
      </c>
      <c r="H98" s="64">
        <v>32.340000000000003</v>
      </c>
      <c r="I98" s="64">
        <v>1.53</v>
      </c>
      <c r="J98" s="64">
        <v>0.31</v>
      </c>
      <c r="K98" s="64">
        <v>196.33</v>
      </c>
      <c r="L98" s="64">
        <v>21.39</v>
      </c>
      <c r="M98" s="64">
        <v>72.98</v>
      </c>
      <c r="N98" s="64">
        <v>19.8</v>
      </c>
      <c r="O98" s="64">
        <v>0</v>
      </c>
      <c r="P98" s="64">
        <v>2.0299999999999998</v>
      </c>
      <c r="Q98" s="64">
        <v>9.1300000000000008</v>
      </c>
      <c r="R98" s="198"/>
      <c r="S98" s="198"/>
      <c r="T98" s="198"/>
      <c r="U98" s="198"/>
    </row>
    <row r="99" spans="1:33" s="12" customFormat="1" x14ac:dyDescent="0.25">
      <c r="A99" s="213" t="s">
        <v>2065</v>
      </c>
      <c r="B99" s="64">
        <v>77.739999999999995</v>
      </c>
      <c r="C99" s="64">
        <v>49.65</v>
      </c>
      <c r="D99" s="64">
        <v>90.38</v>
      </c>
      <c r="E99" s="64">
        <v>0.46</v>
      </c>
      <c r="F99" s="64">
        <v>3.01</v>
      </c>
      <c r="G99" s="64">
        <v>148.19</v>
      </c>
      <c r="H99" s="64">
        <v>34.03</v>
      </c>
      <c r="I99" s="64">
        <v>1.51</v>
      </c>
      <c r="J99" s="64">
        <v>0.06</v>
      </c>
      <c r="K99" s="64">
        <v>237.63</v>
      </c>
      <c r="L99" s="64">
        <v>21.43</v>
      </c>
      <c r="M99" s="64">
        <v>70.56</v>
      </c>
      <c r="N99" s="64">
        <v>20.9</v>
      </c>
      <c r="O99" s="64">
        <v>0</v>
      </c>
      <c r="P99" s="64">
        <v>1.97</v>
      </c>
      <c r="Q99" s="64">
        <v>9.3699999999999992</v>
      </c>
      <c r="R99" s="198"/>
      <c r="S99" s="198"/>
      <c r="T99" s="198"/>
      <c r="U99" s="198"/>
    </row>
    <row r="100" spans="1:33" s="12" customFormat="1" x14ac:dyDescent="0.25">
      <c r="A100" s="213" t="s">
        <v>2066</v>
      </c>
      <c r="B100" s="64">
        <v>74.27</v>
      </c>
      <c r="C100" s="64">
        <v>49.23</v>
      </c>
      <c r="D100" s="64">
        <v>87.37</v>
      </c>
      <c r="E100" s="64">
        <v>0.46</v>
      </c>
      <c r="F100" s="64">
        <v>2.98</v>
      </c>
      <c r="G100" s="64">
        <v>139.4</v>
      </c>
      <c r="H100" s="64">
        <v>37.94</v>
      </c>
      <c r="I100" s="64">
        <v>1.51</v>
      </c>
      <c r="J100" s="64">
        <v>7.0000000000000007E-2</v>
      </c>
      <c r="K100" s="64">
        <v>189.43</v>
      </c>
      <c r="L100" s="64">
        <v>21.1</v>
      </c>
      <c r="M100" s="64">
        <v>71.08</v>
      </c>
      <c r="N100" s="64">
        <v>21</v>
      </c>
      <c r="O100" s="64">
        <v>0</v>
      </c>
      <c r="P100" s="64">
        <v>1.9</v>
      </c>
      <c r="Q100" s="64">
        <v>9.3000000000000007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2067</v>
      </c>
      <c r="B101" s="64">
        <v>70.56</v>
      </c>
      <c r="C101" s="64">
        <v>48.96</v>
      </c>
      <c r="D101" s="64">
        <v>84.25</v>
      </c>
      <c r="E101" s="64">
        <v>0.47</v>
      </c>
      <c r="F101" s="64">
        <v>3.07</v>
      </c>
      <c r="G101" s="64">
        <v>139.4</v>
      </c>
      <c r="H101" s="64">
        <v>37.94</v>
      </c>
      <c r="I101" s="64">
        <v>1.54</v>
      </c>
      <c r="J101" s="64">
        <v>7.0000000000000007E-2</v>
      </c>
      <c r="K101" s="64">
        <v>153.21</v>
      </c>
      <c r="L101" s="64">
        <v>20.95</v>
      </c>
      <c r="M101" s="64">
        <v>73.86</v>
      </c>
      <c r="N101" s="64">
        <v>20.7</v>
      </c>
      <c r="O101" s="64">
        <v>0</v>
      </c>
      <c r="P101" s="64">
        <v>1.83</v>
      </c>
      <c r="Q101" s="64">
        <v>9.0299999999999994</v>
      </c>
      <c r="R101" s="198"/>
      <c r="S101" s="198"/>
      <c r="T101" s="198"/>
      <c r="U101" s="198"/>
    </row>
    <row r="102" spans="1:33" s="12" customFormat="1" x14ac:dyDescent="0.25">
      <c r="A102" s="213" t="s">
        <v>2068</v>
      </c>
      <c r="B102" s="64">
        <v>66.8</v>
      </c>
      <c r="C102" s="64">
        <v>48.16</v>
      </c>
      <c r="D102" s="64">
        <v>80.790000000000006</v>
      </c>
      <c r="E102" s="64">
        <v>0.46</v>
      </c>
      <c r="F102" s="64">
        <v>3.47</v>
      </c>
      <c r="G102" s="64">
        <v>139.4</v>
      </c>
      <c r="H102" s="64">
        <v>37.94</v>
      </c>
      <c r="I102" s="64">
        <v>1.44</v>
      </c>
      <c r="J102" s="64">
        <v>0.14000000000000001</v>
      </c>
      <c r="K102" s="64">
        <v>295.27999999999997</v>
      </c>
      <c r="L102" s="64">
        <v>20.94</v>
      </c>
      <c r="M102" s="64">
        <v>76.739999999999995</v>
      </c>
      <c r="N102" s="64">
        <v>20.9</v>
      </c>
      <c r="O102" s="64">
        <v>0</v>
      </c>
      <c r="P102" s="64">
        <v>1.77</v>
      </c>
      <c r="Q102" s="64">
        <v>8.7899999999999991</v>
      </c>
      <c r="R102" s="198"/>
      <c r="S102" s="198"/>
      <c r="T102" s="198"/>
      <c r="U102" s="198"/>
    </row>
    <row r="103" spans="1:33" s="12" customFormat="1" x14ac:dyDescent="0.25">
      <c r="A103" s="213" t="s">
        <v>2069</v>
      </c>
      <c r="B103" s="64">
        <v>63.59</v>
      </c>
      <c r="C103" s="64">
        <v>48.42</v>
      </c>
      <c r="D103" s="64">
        <v>78.36</v>
      </c>
      <c r="E103" s="64">
        <v>0.37</v>
      </c>
      <c r="F103" s="64">
        <v>3.01</v>
      </c>
      <c r="G103" s="64">
        <v>129.11000000000001</v>
      </c>
      <c r="H103" s="64">
        <v>37.520000000000003</v>
      </c>
      <c r="I103" s="64">
        <v>1.46</v>
      </c>
      <c r="J103" s="64">
        <v>0.73</v>
      </c>
      <c r="K103" s="64">
        <v>157.47</v>
      </c>
      <c r="L103" s="64">
        <v>20.94</v>
      </c>
      <c r="M103" s="64">
        <v>79.790000000000006</v>
      </c>
      <c r="N103" s="64">
        <v>19.399999999999999</v>
      </c>
      <c r="O103" s="64">
        <v>0</v>
      </c>
      <c r="P103" s="64">
        <v>1.71</v>
      </c>
      <c r="Q103" s="64">
        <v>8.56</v>
      </c>
      <c r="R103" s="198"/>
      <c r="S103" s="198"/>
      <c r="T103" s="198"/>
      <c r="U103" s="198"/>
    </row>
    <row r="104" spans="1:33" s="12" customFormat="1" x14ac:dyDescent="0.25">
      <c r="A104" s="213" t="s">
        <v>2070</v>
      </c>
      <c r="B104" s="64">
        <v>59.85</v>
      </c>
      <c r="C104" s="64">
        <v>48.36</v>
      </c>
      <c r="D104" s="64">
        <v>75.33</v>
      </c>
      <c r="E104" s="64">
        <v>0.19</v>
      </c>
      <c r="F104" s="64">
        <v>3.18</v>
      </c>
      <c r="G104" s="64">
        <v>95.28</v>
      </c>
      <c r="H104" s="64">
        <v>35.58</v>
      </c>
      <c r="I104" s="64">
        <v>1.46</v>
      </c>
      <c r="J104" s="64">
        <v>0.98</v>
      </c>
      <c r="K104" s="64">
        <v>157.47</v>
      </c>
      <c r="L104" s="64">
        <v>21.24</v>
      </c>
      <c r="M104" s="64">
        <v>76.849999999999994</v>
      </c>
      <c r="N104" s="64">
        <v>19.8</v>
      </c>
      <c r="O104" s="64">
        <v>0</v>
      </c>
      <c r="P104" s="64">
        <v>1.64</v>
      </c>
      <c r="Q104" s="64">
        <v>8.3800000000000008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1.57</v>
      </c>
      <c r="C106" s="67">
        <f>MIN(C9:C104)</f>
        <v>32.200000000000003</v>
      </c>
      <c r="D106" s="67">
        <f t="shared" ref="D106:Q106" si="0">MIN(D9:D104)</f>
        <v>22.99</v>
      </c>
      <c r="E106" s="67">
        <f t="shared" si="0"/>
        <v>0.03</v>
      </c>
      <c r="F106" s="67">
        <f t="shared" si="0"/>
        <v>2.46</v>
      </c>
      <c r="G106" s="67">
        <f t="shared" si="0"/>
        <v>12.48</v>
      </c>
      <c r="H106" s="67">
        <f t="shared" si="0"/>
        <v>22.54</v>
      </c>
      <c r="I106" s="67">
        <f t="shared" si="0"/>
        <v>1.36</v>
      </c>
      <c r="J106" s="67">
        <f t="shared" si="0"/>
        <v>0.02</v>
      </c>
      <c r="K106" s="67">
        <f t="shared" si="0"/>
        <v>4.32</v>
      </c>
      <c r="L106" s="67">
        <f t="shared" si="0"/>
        <v>18.100000000000001</v>
      </c>
      <c r="M106" s="67">
        <f t="shared" si="0"/>
        <v>29.05</v>
      </c>
      <c r="N106" s="67">
        <f t="shared" si="0"/>
        <v>19.399999999999999</v>
      </c>
      <c r="O106" s="67">
        <f t="shared" si="0"/>
        <v>0</v>
      </c>
      <c r="P106" s="67">
        <f t="shared" si="0"/>
        <v>0.7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86.72</v>
      </c>
      <c r="C107" s="66">
        <f t="shared" ref="C107:Q107" si="1">MAX(C9:C104)</f>
        <v>70.52</v>
      </c>
      <c r="D107" s="66">
        <f t="shared" si="1"/>
        <v>91.4</v>
      </c>
      <c r="E107" s="66">
        <f t="shared" si="1"/>
        <v>0.47</v>
      </c>
      <c r="F107" s="66">
        <f t="shared" si="1"/>
        <v>17.04</v>
      </c>
      <c r="G107" s="66">
        <f t="shared" si="1"/>
        <v>152.26</v>
      </c>
      <c r="H107" s="66">
        <f t="shared" si="1"/>
        <v>56.19</v>
      </c>
      <c r="I107" s="66">
        <f t="shared" si="1"/>
        <v>1.6</v>
      </c>
      <c r="J107" s="66">
        <f t="shared" si="1"/>
        <v>1.03</v>
      </c>
      <c r="K107" s="66">
        <f t="shared" si="1"/>
        <v>358.17</v>
      </c>
      <c r="L107" s="66">
        <f t="shared" si="1"/>
        <v>32.81</v>
      </c>
      <c r="M107" s="66">
        <f t="shared" si="1"/>
        <v>85.94</v>
      </c>
      <c r="N107" s="66">
        <f t="shared" si="1"/>
        <v>769.7</v>
      </c>
      <c r="O107" s="66">
        <f t="shared" si="1"/>
        <v>0</v>
      </c>
      <c r="P107" s="66">
        <f t="shared" si="1"/>
        <v>2.0299999999999998</v>
      </c>
      <c r="Q107" s="66">
        <f t="shared" si="1"/>
        <v>9.3699999999999992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33.267395833333339</v>
      </c>
      <c r="C108" s="67">
        <f t="shared" ref="C108:Q108" si="2">AVERAGE(C9:C104)</f>
        <v>44.698437499999983</v>
      </c>
      <c r="D108" s="67">
        <f t="shared" si="2"/>
        <v>51.991354166666646</v>
      </c>
      <c r="E108" s="67">
        <f t="shared" si="2"/>
        <v>0.23083333333333333</v>
      </c>
      <c r="F108" s="67">
        <f t="shared" si="2"/>
        <v>4.4351041666666662</v>
      </c>
      <c r="G108" s="67">
        <f t="shared" si="2"/>
        <v>93.003229166666685</v>
      </c>
      <c r="H108" s="67">
        <f t="shared" si="2"/>
        <v>33.879270833333358</v>
      </c>
      <c r="I108" s="67">
        <f t="shared" si="2"/>
        <v>1.4890625</v>
      </c>
      <c r="J108" s="67">
        <f t="shared" si="2"/>
        <v>0.28854166666666664</v>
      </c>
      <c r="K108" s="67">
        <f t="shared" si="2"/>
        <v>231.31781249999997</v>
      </c>
      <c r="L108" s="67">
        <f t="shared" si="2"/>
        <v>24.239062499999989</v>
      </c>
      <c r="M108" s="67">
        <f t="shared" si="2"/>
        <v>58.534375000000018</v>
      </c>
      <c r="N108" s="67">
        <f t="shared" si="2"/>
        <v>190.81562499999998</v>
      </c>
      <c r="O108" s="67">
        <f t="shared" si="2"/>
        <v>0</v>
      </c>
      <c r="P108" s="67">
        <f t="shared" si="2"/>
        <v>1.1700000000000004</v>
      </c>
      <c r="Q108" s="67">
        <f t="shared" si="2"/>
        <v>6.2360416666666572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24.891065750577273</v>
      </c>
      <c r="C109" s="67">
        <f t="shared" ref="C109:Q109" si="3">STDEV(C9:C104)</f>
        <v>9.1851851344406139</v>
      </c>
      <c r="D109" s="67">
        <f t="shared" si="3"/>
        <v>18.696227349235453</v>
      </c>
      <c r="E109" s="67">
        <f t="shared" si="3"/>
        <v>0.11084998555816598</v>
      </c>
      <c r="F109" s="67">
        <f t="shared" si="3"/>
        <v>2.4936960498495178</v>
      </c>
      <c r="G109" s="67">
        <f t="shared" si="3"/>
        <v>37.865146937792346</v>
      </c>
      <c r="H109" s="67">
        <f t="shared" si="3"/>
        <v>9.6242320535517436</v>
      </c>
      <c r="I109" s="67">
        <f t="shared" si="3"/>
        <v>4.436874492608274E-2</v>
      </c>
      <c r="J109" s="67">
        <f t="shared" si="3"/>
        <v>0.24255646837566969</v>
      </c>
      <c r="K109" s="67">
        <f t="shared" si="3"/>
        <v>109.75579235838593</v>
      </c>
      <c r="L109" s="67">
        <f t="shared" si="3"/>
        <v>4.7611666146959228</v>
      </c>
      <c r="M109" s="67">
        <f t="shared" si="3"/>
        <v>19.265765208756839</v>
      </c>
      <c r="N109" s="67">
        <f t="shared" si="3"/>
        <v>260.26725831976927</v>
      </c>
      <c r="O109" s="67">
        <f t="shared" si="3"/>
        <v>0</v>
      </c>
      <c r="P109" s="67">
        <f t="shared" si="3"/>
        <v>0.35452265906352604</v>
      </c>
      <c r="Q109" s="67">
        <f t="shared" si="3"/>
        <v>1.2731977802837311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3" sqref="G13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2071</v>
      </c>
      <c r="B9" s="64">
        <v>55.17</v>
      </c>
      <c r="C9" s="64">
        <v>48.29</v>
      </c>
      <c r="D9" s="64">
        <v>71.540000000000006</v>
      </c>
      <c r="E9" s="64">
        <v>0.24</v>
      </c>
      <c r="F9" s="64">
        <v>3.2</v>
      </c>
      <c r="G9" s="64">
        <v>95.28</v>
      </c>
      <c r="H9" s="64">
        <v>35.58</v>
      </c>
      <c r="I9" s="64">
        <v>1.49</v>
      </c>
      <c r="J9" s="64">
        <v>0.55000000000000004</v>
      </c>
      <c r="K9" s="64">
        <v>160.22</v>
      </c>
      <c r="L9" s="64">
        <v>21.23</v>
      </c>
      <c r="M9" s="64">
        <v>74.2</v>
      </c>
      <c r="N9" s="64">
        <v>20.6</v>
      </c>
      <c r="O9" s="64">
        <v>0</v>
      </c>
      <c r="P9" s="64">
        <v>1.56</v>
      </c>
      <c r="Q9" s="64">
        <v>8.09</v>
      </c>
      <c r="R9" s="198"/>
      <c r="S9" s="198"/>
      <c r="T9" s="198"/>
      <c r="U9" s="198"/>
    </row>
    <row r="10" spans="1:21" s="12" customFormat="1" x14ac:dyDescent="0.25">
      <c r="A10" s="213" t="s">
        <v>2072</v>
      </c>
      <c r="B10" s="64">
        <v>50.9</v>
      </c>
      <c r="C10" s="64">
        <v>47.73</v>
      </c>
      <c r="D10" s="64">
        <v>67.81</v>
      </c>
      <c r="E10" s="64">
        <v>0.24</v>
      </c>
      <c r="F10" s="64">
        <v>3.24</v>
      </c>
      <c r="G10" s="64">
        <v>95.28</v>
      </c>
      <c r="H10" s="64">
        <v>35.58</v>
      </c>
      <c r="I10" s="64">
        <v>1.44</v>
      </c>
      <c r="J10" s="64">
        <v>0.02</v>
      </c>
      <c r="K10" s="64">
        <v>294.74</v>
      </c>
      <c r="L10" s="64">
        <v>20.92</v>
      </c>
      <c r="M10" s="64">
        <v>75.14</v>
      </c>
      <c r="N10" s="64">
        <v>21.2</v>
      </c>
      <c r="O10" s="64">
        <v>0</v>
      </c>
      <c r="P10" s="64">
        <v>1.5</v>
      </c>
      <c r="Q10" s="64">
        <v>7.82</v>
      </c>
      <c r="R10" s="198"/>
      <c r="S10" s="198"/>
      <c r="T10" s="198"/>
      <c r="U10" s="198"/>
    </row>
    <row r="11" spans="1:21" s="12" customFormat="1" x14ac:dyDescent="0.25">
      <c r="A11" s="213" t="s">
        <v>2073</v>
      </c>
      <c r="B11" s="64">
        <v>47.03</v>
      </c>
      <c r="C11" s="64">
        <v>46.6</v>
      </c>
      <c r="D11" s="64">
        <v>64.08</v>
      </c>
      <c r="E11" s="64">
        <v>0.21</v>
      </c>
      <c r="F11" s="64">
        <v>3.38</v>
      </c>
      <c r="G11" s="64">
        <v>87.88</v>
      </c>
      <c r="H11" s="64">
        <v>33.58</v>
      </c>
      <c r="I11" s="64">
        <v>1.52</v>
      </c>
      <c r="J11" s="64">
        <v>0.16</v>
      </c>
      <c r="K11" s="64">
        <v>165.78</v>
      </c>
      <c r="L11" s="64">
        <v>20.54</v>
      </c>
      <c r="M11" s="64">
        <v>77.59</v>
      </c>
      <c r="N11" s="64">
        <v>21.1</v>
      </c>
      <c r="O11" s="64">
        <v>0</v>
      </c>
      <c r="P11" s="64">
        <v>1.44</v>
      </c>
      <c r="Q11" s="64">
        <v>7.49</v>
      </c>
      <c r="R11" s="198"/>
      <c r="S11" s="198"/>
      <c r="T11" s="198"/>
      <c r="U11" s="198"/>
    </row>
    <row r="12" spans="1:21" s="12" customFormat="1" x14ac:dyDescent="0.25">
      <c r="A12" s="213" t="s">
        <v>2074</v>
      </c>
      <c r="B12" s="64">
        <v>45.2</v>
      </c>
      <c r="C12" s="64">
        <v>44.23</v>
      </c>
      <c r="D12" s="64">
        <v>61.3</v>
      </c>
      <c r="E12" s="64">
        <v>0.27</v>
      </c>
      <c r="F12" s="64">
        <v>3.85</v>
      </c>
      <c r="G12" s="64">
        <v>63.57</v>
      </c>
      <c r="H12" s="64">
        <v>28.98</v>
      </c>
      <c r="I12" s="64">
        <v>1.49</v>
      </c>
      <c r="J12" s="64">
        <v>0.08</v>
      </c>
      <c r="K12" s="64">
        <v>326.20999999999998</v>
      </c>
      <c r="L12" s="64">
        <v>20.07</v>
      </c>
      <c r="M12" s="64">
        <v>81.96</v>
      </c>
      <c r="N12" s="64">
        <v>21.2</v>
      </c>
      <c r="O12" s="64">
        <v>0</v>
      </c>
      <c r="P12" s="64">
        <v>1.41</v>
      </c>
      <c r="Q12" s="64">
        <v>7.17</v>
      </c>
      <c r="R12" s="198"/>
      <c r="S12" s="198"/>
      <c r="T12" s="198"/>
      <c r="U12" s="198"/>
    </row>
    <row r="13" spans="1:21" s="12" customFormat="1" x14ac:dyDescent="0.25">
      <c r="A13" s="213" t="s">
        <v>2075</v>
      </c>
      <c r="B13" s="64">
        <v>43.97</v>
      </c>
      <c r="C13" s="64">
        <v>43.87</v>
      </c>
      <c r="D13" s="64">
        <v>60.12</v>
      </c>
      <c r="E13" s="64">
        <v>0.24</v>
      </c>
      <c r="F13" s="64">
        <v>3.55</v>
      </c>
      <c r="G13" s="64">
        <v>63.57</v>
      </c>
      <c r="H13" s="64">
        <v>28.98</v>
      </c>
      <c r="I13" s="64">
        <v>1.54</v>
      </c>
      <c r="J13" s="64">
        <v>0.26</v>
      </c>
      <c r="K13" s="64">
        <v>156.83000000000001</v>
      </c>
      <c r="L13" s="64">
        <v>19.809999999999999</v>
      </c>
      <c r="M13" s="64">
        <v>84.76</v>
      </c>
      <c r="N13" s="64">
        <v>20.6</v>
      </c>
      <c r="O13" s="64">
        <v>0</v>
      </c>
      <c r="P13" s="64">
        <v>1.33</v>
      </c>
      <c r="Q13" s="64">
        <v>7.03</v>
      </c>
      <c r="R13" s="198"/>
      <c r="S13" s="198"/>
      <c r="T13" s="198"/>
      <c r="U13" s="198"/>
    </row>
    <row r="14" spans="1:21" s="12" customFormat="1" x14ac:dyDescent="0.25">
      <c r="A14" s="213" t="s">
        <v>2076</v>
      </c>
      <c r="B14" s="64">
        <v>42.87</v>
      </c>
      <c r="C14" s="64">
        <v>42.8</v>
      </c>
      <c r="D14" s="64">
        <v>58.65</v>
      </c>
      <c r="E14" s="64">
        <v>0.28000000000000003</v>
      </c>
      <c r="F14" s="64">
        <v>3.32</v>
      </c>
      <c r="G14" s="64">
        <v>63.57</v>
      </c>
      <c r="H14" s="64">
        <v>28.98</v>
      </c>
      <c r="I14" s="64">
        <v>1.53</v>
      </c>
      <c r="J14" s="64">
        <v>0.11</v>
      </c>
      <c r="K14" s="64">
        <v>314.51</v>
      </c>
      <c r="L14" s="64">
        <v>19.77</v>
      </c>
      <c r="M14" s="64">
        <v>85.27</v>
      </c>
      <c r="N14" s="64">
        <v>21.1</v>
      </c>
      <c r="O14" s="64">
        <v>0</v>
      </c>
      <c r="P14" s="64">
        <v>1.34</v>
      </c>
      <c r="Q14" s="64">
        <v>6.88</v>
      </c>
      <c r="R14" s="198"/>
      <c r="S14" s="198"/>
      <c r="T14" s="198"/>
      <c r="U14" s="198"/>
    </row>
    <row r="15" spans="1:21" s="12" customFormat="1" x14ac:dyDescent="0.25">
      <c r="A15" s="213" t="s">
        <v>2077</v>
      </c>
      <c r="B15" s="64">
        <v>41.79</v>
      </c>
      <c r="C15" s="64">
        <v>42.94</v>
      </c>
      <c r="D15" s="64">
        <v>57.86</v>
      </c>
      <c r="E15" s="64">
        <v>0.27</v>
      </c>
      <c r="F15" s="64">
        <v>3.56</v>
      </c>
      <c r="G15" s="64">
        <v>63.87</v>
      </c>
      <c r="H15" s="64">
        <v>29.29</v>
      </c>
      <c r="I15" s="64">
        <v>1.45</v>
      </c>
      <c r="J15" s="64">
        <v>0.28000000000000003</v>
      </c>
      <c r="K15" s="64">
        <v>178.3</v>
      </c>
      <c r="L15" s="64">
        <v>19.989999999999998</v>
      </c>
      <c r="M15" s="64">
        <v>82.82</v>
      </c>
      <c r="N15" s="64">
        <v>20</v>
      </c>
      <c r="O15" s="64">
        <v>0</v>
      </c>
      <c r="P15" s="64">
        <v>1.31</v>
      </c>
      <c r="Q15" s="64">
        <v>6.79</v>
      </c>
      <c r="R15" s="198"/>
      <c r="S15" s="198"/>
      <c r="T15" s="198"/>
      <c r="U15" s="198"/>
    </row>
    <row r="16" spans="1:21" s="12" customFormat="1" x14ac:dyDescent="0.25">
      <c r="A16" s="213" t="s">
        <v>2078</v>
      </c>
      <c r="B16" s="64">
        <v>40.700000000000003</v>
      </c>
      <c r="C16" s="64">
        <v>42.75</v>
      </c>
      <c r="D16" s="64">
        <v>56.87</v>
      </c>
      <c r="E16" s="64">
        <v>0.28000000000000003</v>
      </c>
      <c r="F16" s="64">
        <v>3.5</v>
      </c>
      <c r="G16" s="64">
        <v>64.92</v>
      </c>
      <c r="H16" s="64">
        <v>30.03</v>
      </c>
      <c r="I16" s="64">
        <v>1.52</v>
      </c>
      <c r="J16" s="64">
        <v>0.2</v>
      </c>
      <c r="K16" s="64">
        <v>148.27000000000001</v>
      </c>
      <c r="L16" s="64">
        <v>20.52</v>
      </c>
      <c r="M16" s="64">
        <v>79.92</v>
      </c>
      <c r="N16" s="64">
        <v>20.7</v>
      </c>
      <c r="O16" s="64">
        <v>0</v>
      </c>
      <c r="P16" s="64">
        <v>1.27</v>
      </c>
      <c r="Q16" s="64">
        <v>6.75</v>
      </c>
      <c r="R16" s="198"/>
      <c r="S16" s="198"/>
      <c r="T16" s="198"/>
      <c r="U16" s="198"/>
    </row>
    <row r="17" spans="1:21" s="12" customFormat="1" x14ac:dyDescent="0.25">
      <c r="A17" s="213" t="s">
        <v>2079</v>
      </c>
      <c r="B17" s="64">
        <v>39.47</v>
      </c>
      <c r="C17" s="64">
        <v>41.51</v>
      </c>
      <c r="D17" s="64">
        <v>55.21</v>
      </c>
      <c r="E17" s="64">
        <v>0.28000000000000003</v>
      </c>
      <c r="F17" s="64">
        <v>3.6</v>
      </c>
      <c r="G17" s="64">
        <v>64.92</v>
      </c>
      <c r="H17" s="64">
        <v>30.03</v>
      </c>
      <c r="I17" s="64">
        <v>1.51</v>
      </c>
      <c r="J17" s="64">
        <v>0.22</v>
      </c>
      <c r="K17" s="64">
        <v>180.89</v>
      </c>
      <c r="L17" s="64">
        <v>20.57</v>
      </c>
      <c r="M17" s="64">
        <v>78.59</v>
      </c>
      <c r="N17" s="64">
        <v>20.9</v>
      </c>
      <c r="O17" s="64">
        <v>0</v>
      </c>
      <c r="P17" s="64">
        <v>1.26</v>
      </c>
      <c r="Q17" s="64">
        <v>6.63</v>
      </c>
      <c r="R17" s="198"/>
      <c r="S17" s="198"/>
      <c r="T17" s="198"/>
      <c r="U17" s="198"/>
    </row>
    <row r="18" spans="1:21" s="12" customFormat="1" x14ac:dyDescent="0.25">
      <c r="A18" s="213" t="s">
        <v>2080</v>
      </c>
      <c r="B18" s="64">
        <v>38.11</v>
      </c>
      <c r="C18" s="64">
        <v>41.65</v>
      </c>
      <c r="D18" s="64">
        <v>54.19</v>
      </c>
      <c r="E18" s="64">
        <v>0.25</v>
      </c>
      <c r="F18" s="64">
        <v>3.52</v>
      </c>
      <c r="G18" s="64">
        <v>64.92</v>
      </c>
      <c r="H18" s="64">
        <v>30.03</v>
      </c>
      <c r="I18" s="64">
        <v>1.49</v>
      </c>
      <c r="J18" s="64">
        <v>0.22</v>
      </c>
      <c r="K18" s="64">
        <v>148.5</v>
      </c>
      <c r="L18" s="64">
        <v>20.74</v>
      </c>
      <c r="M18" s="64">
        <v>74.84</v>
      </c>
      <c r="N18" s="64">
        <v>21</v>
      </c>
      <c r="O18" s="64">
        <v>0</v>
      </c>
      <c r="P18" s="64">
        <v>1.23</v>
      </c>
      <c r="Q18" s="64">
        <v>6.53</v>
      </c>
      <c r="R18" s="198"/>
      <c r="S18" s="198"/>
      <c r="T18" s="198"/>
      <c r="U18" s="198"/>
    </row>
    <row r="19" spans="1:21" s="12" customFormat="1" x14ac:dyDescent="0.25">
      <c r="A19" s="213" t="s">
        <v>2081</v>
      </c>
      <c r="B19" s="64">
        <v>36.35</v>
      </c>
      <c r="C19" s="64">
        <v>41.6</v>
      </c>
      <c r="D19" s="64">
        <v>52.75</v>
      </c>
      <c r="E19" s="64">
        <v>0.25</v>
      </c>
      <c r="F19" s="64">
        <v>3.06</v>
      </c>
      <c r="G19" s="64">
        <v>60.61</v>
      </c>
      <c r="H19" s="64">
        <v>29.03</v>
      </c>
      <c r="I19" s="64">
        <v>1.52</v>
      </c>
      <c r="J19" s="64">
        <v>0.22</v>
      </c>
      <c r="K19" s="64">
        <v>157.88</v>
      </c>
      <c r="L19" s="64">
        <v>20.59</v>
      </c>
      <c r="M19" s="64">
        <v>75.569999999999993</v>
      </c>
      <c r="N19" s="64">
        <v>21.3</v>
      </c>
      <c r="O19" s="64">
        <v>0</v>
      </c>
      <c r="P19" s="64">
        <v>1.2</v>
      </c>
      <c r="Q19" s="64">
        <v>6.29</v>
      </c>
      <c r="R19" s="198"/>
      <c r="S19" s="198"/>
      <c r="T19" s="198"/>
      <c r="U19" s="198"/>
    </row>
    <row r="20" spans="1:21" s="12" customFormat="1" x14ac:dyDescent="0.25">
      <c r="A20" s="213" t="s">
        <v>2082</v>
      </c>
      <c r="B20" s="64">
        <v>33.96</v>
      </c>
      <c r="C20" s="64">
        <v>41.23</v>
      </c>
      <c r="D20" s="64">
        <v>50.63</v>
      </c>
      <c r="E20" s="64">
        <v>0.22</v>
      </c>
      <c r="F20" s="64">
        <v>3.57</v>
      </c>
      <c r="G20" s="64">
        <v>45.52</v>
      </c>
      <c r="H20" s="64">
        <v>26.69</v>
      </c>
      <c r="I20" s="64">
        <v>1.52</v>
      </c>
      <c r="J20" s="64">
        <v>0.12</v>
      </c>
      <c r="K20" s="64">
        <v>132.83000000000001</v>
      </c>
      <c r="L20" s="64">
        <v>20.37</v>
      </c>
      <c r="M20" s="64">
        <v>77.180000000000007</v>
      </c>
      <c r="N20" s="64">
        <v>21.4</v>
      </c>
      <c r="O20" s="64">
        <v>0</v>
      </c>
      <c r="P20" s="64">
        <v>1.1599999999999999</v>
      </c>
      <c r="Q20" s="64">
        <v>5.67</v>
      </c>
      <c r="R20" s="198"/>
      <c r="S20" s="198"/>
      <c r="T20" s="198"/>
      <c r="U20" s="198"/>
    </row>
    <row r="21" spans="1:21" s="12" customFormat="1" x14ac:dyDescent="0.25">
      <c r="A21" s="213" t="s">
        <v>2083</v>
      </c>
      <c r="B21" s="64">
        <v>31.67</v>
      </c>
      <c r="C21" s="64">
        <v>41.85</v>
      </c>
      <c r="D21" s="64">
        <v>49.14</v>
      </c>
      <c r="E21" s="64">
        <v>0.22</v>
      </c>
      <c r="F21" s="64">
        <v>3.44</v>
      </c>
      <c r="G21" s="64">
        <v>45.52</v>
      </c>
      <c r="H21" s="64">
        <v>26.69</v>
      </c>
      <c r="I21" s="64">
        <v>1.49</v>
      </c>
      <c r="J21" s="64">
        <v>0.13</v>
      </c>
      <c r="K21" s="64">
        <v>158.57</v>
      </c>
      <c r="L21" s="64">
        <v>20.27</v>
      </c>
      <c r="M21" s="64">
        <v>77.95</v>
      </c>
      <c r="N21" s="64">
        <v>21.3</v>
      </c>
      <c r="O21" s="64">
        <v>0</v>
      </c>
      <c r="P21" s="64">
        <v>1.1100000000000001</v>
      </c>
      <c r="Q21" s="64">
        <v>5.23</v>
      </c>
      <c r="R21" s="198"/>
      <c r="S21" s="198"/>
      <c r="T21" s="198"/>
      <c r="U21" s="198"/>
    </row>
    <row r="22" spans="1:21" s="12" customFormat="1" x14ac:dyDescent="0.25">
      <c r="A22" s="213" t="s">
        <v>2084</v>
      </c>
      <c r="B22" s="64">
        <v>29.41</v>
      </c>
      <c r="C22" s="64">
        <v>41.95</v>
      </c>
      <c r="D22" s="64">
        <v>47.38</v>
      </c>
      <c r="E22" s="64">
        <v>0.27</v>
      </c>
      <c r="F22" s="64">
        <v>3.03</v>
      </c>
      <c r="G22" s="64">
        <v>45.52</v>
      </c>
      <c r="H22" s="64">
        <v>26.69</v>
      </c>
      <c r="I22" s="64">
        <v>1.42</v>
      </c>
      <c r="J22" s="64">
        <v>0.13</v>
      </c>
      <c r="K22" s="64">
        <v>158.13</v>
      </c>
      <c r="L22" s="64">
        <v>20.149999999999999</v>
      </c>
      <c r="M22" s="64">
        <v>77.58</v>
      </c>
      <c r="N22" s="64">
        <v>21.2</v>
      </c>
      <c r="O22" s="64">
        <v>0</v>
      </c>
      <c r="P22" s="64">
        <v>1.06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3" t="s">
        <v>2085</v>
      </c>
      <c r="B23" s="64">
        <v>27.33</v>
      </c>
      <c r="C23" s="64">
        <v>41.65</v>
      </c>
      <c r="D23" s="64">
        <v>45.55</v>
      </c>
      <c r="E23" s="64">
        <v>0.26</v>
      </c>
      <c r="F23" s="64">
        <v>3.17</v>
      </c>
      <c r="G23" s="64">
        <v>45.21</v>
      </c>
      <c r="H23" s="64">
        <v>26.3</v>
      </c>
      <c r="I23" s="64">
        <v>1.52</v>
      </c>
      <c r="J23" s="64">
        <v>0.14000000000000001</v>
      </c>
      <c r="K23" s="64">
        <v>152.47</v>
      </c>
      <c r="L23" s="64">
        <v>20.07</v>
      </c>
      <c r="M23" s="64">
        <v>74.59</v>
      </c>
      <c r="N23" s="64">
        <v>21.2</v>
      </c>
      <c r="O23" s="64">
        <v>0</v>
      </c>
      <c r="P23" s="64">
        <v>1.03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3" t="s">
        <v>2086</v>
      </c>
      <c r="B24" s="64">
        <v>25.68</v>
      </c>
      <c r="C24" s="64">
        <v>42.38</v>
      </c>
      <c r="D24" s="64">
        <v>44.62</v>
      </c>
      <c r="E24" s="64">
        <v>0.11</v>
      </c>
      <c r="F24" s="64">
        <v>2.72</v>
      </c>
      <c r="G24" s="64">
        <v>44.13</v>
      </c>
      <c r="H24" s="64">
        <v>24.66</v>
      </c>
      <c r="I24" s="64">
        <v>1.5</v>
      </c>
      <c r="J24" s="64">
        <v>0.26</v>
      </c>
      <c r="K24" s="64">
        <v>164.6</v>
      </c>
      <c r="L24" s="64">
        <v>19.72</v>
      </c>
      <c r="M24" s="64">
        <v>73.5</v>
      </c>
      <c r="N24" s="64">
        <v>21.1</v>
      </c>
      <c r="O24" s="64">
        <v>0</v>
      </c>
      <c r="P24" s="64">
        <v>0.99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3" t="s">
        <v>2087</v>
      </c>
      <c r="B25" s="64">
        <v>24.18</v>
      </c>
      <c r="C25" s="64">
        <v>42.72</v>
      </c>
      <c r="D25" s="64">
        <v>43.61</v>
      </c>
      <c r="E25" s="64">
        <v>0.2</v>
      </c>
      <c r="F25" s="64">
        <v>3.24</v>
      </c>
      <c r="G25" s="64">
        <v>44.13</v>
      </c>
      <c r="H25" s="64">
        <v>24.66</v>
      </c>
      <c r="I25" s="64">
        <v>1.42</v>
      </c>
      <c r="J25" s="64">
        <v>0.11</v>
      </c>
      <c r="K25" s="64">
        <v>255.58</v>
      </c>
      <c r="L25" s="64">
        <v>19.66</v>
      </c>
      <c r="M25" s="64">
        <v>72.38</v>
      </c>
      <c r="N25" s="64">
        <v>20.7</v>
      </c>
      <c r="O25" s="64">
        <v>0</v>
      </c>
      <c r="P25" s="64">
        <v>0.95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3" t="s">
        <v>2088</v>
      </c>
      <c r="B26" s="64">
        <v>22.51</v>
      </c>
      <c r="C26" s="64">
        <v>43.24</v>
      </c>
      <c r="D26" s="64">
        <v>42.56</v>
      </c>
      <c r="E26" s="64">
        <v>0.23</v>
      </c>
      <c r="F26" s="64">
        <v>3.33</v>
      </c>
      <c r="G26" s="64">
        <v>44.13</v>
      </c>
      <c r="H26" s="64">
        <v>24.66</v>
      </c>
      <c r="I26" s="64">
        <v>1.45</v>
      </c>
      <c r="J26" s="64">
        <v>0.06</v>
      </c>
      <c r="K26" s="64">
        <v>286.35000000000002</v>
      </c>
      <c r="L26" s="64">
        <v>19.39</v>
      </c>
      <c r="M26" s="64">
        <v>69.010000000000005</v>
      </c>
      <c r="N26" s="64">
        <v>21.2</v>
      </c>
      <c r="O26" s="64">
        <v>0</v>
      </c>
      <c r="P26" s="64">
        <v>0.91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3" t="s">
        <v>2089</v>
      </c>
      <c r="B27" s="64">
        <v>21.17</v>
      </c>
      <c r="C27" s="64">
        <v>43.53</v>
      </c>
      <c r="D27" s="64">
        <v>41.64</v>
      </c>
      <c r="E27" s="64">
        <v>0.19</v>
      </c>
      <c r="F27" s="64">
        <v>2.89</v>
      </c>
      <c r="G27" s="64">
        <v>40.24</v>
      </c>
      <c r="H27" s="64">
        <v>22.75</v>
      </c>
      <c r="I27" s="64">
        <v>1.52</v>
      </c>
      <c r="J27" s="64">
        <v>0.35</v>
      </c>
      <c r="K27" s="64">
        <v>327.74</v>
      </c>
      <c r="L27" s="64">
        <v>19.170000000000002</v>
      </c>
      <c r="M27" s="64">
        <v>69.86</v>
      </c>
      <c r="N27" s="64">
        <v>20.9</v>
      </c>
      <c r="O27" s="64">
        <v>0</v>
      </c>
      <c r="P27" s="64">
        <v>0.87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3" t="s">
        <v>2090</v>
      </c>
      <c r="B28" s="64">
        <v>20.440000000000001</v>
      </c>
      <c r="C28" s="64">
        <v>43.79</v>
      </c>
      <c r="D28" s="64">
        <v>41.2</v>
      </c>
      <c r="E28" s="64">
        <v>0.23</v>
      </c>
      <c r="F28" s="64">
        <v>3.62</v>
      </c>
      <c r="G28" s="64">
        <v>26.59</v>
      </c>
      <c r="H28" s="64">
        <v>18.27</v>
      </c>
      <c r="I28" s="64">
        <v>1.5</v>
      </c>
      <c r="J28" s="64">
        <v>0.18</v>
      </c>
      <c r="K28" s="64">
        <v>300.06</v>
      </c>
      <c r="L28" s="64">
        <v>19.21</v>
      </c>
      <c r="M28" s="64">
        <v>66.45</v>
      </c>
      <c r="N28" s="64">
        <v>21.1</v>
      </c>
      <c r="O28" s="64">
        <v>0</v>
      </c>
      <c r="P28" s="64">
        <v>0.84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3" t="s">
        <v>2091</v>
      </c>
      <c r="B29" s="64">
        <v>19.46</v>
      </c>
      <c r="C29" s="64">
        <v>43.65</v>
      </c>
      <c r="D29" s="64">
        <v>40.340000000000003</v>
      </c>
      <c r="E29" s="64">
        <v>0.23</v>
      </c>
      <c r="F29" s="64">
        <v>3.31</v>
      </c>
      <c r="G29" s="64">
        <v>26.59</v>
      </c>
      <c r="H29" s="64">
        <v>18.27</v>
      </c>
      <c r="I29" s="64">
        <v>1.48</v>
      </c>
      <c r="J29" s="64">
        <v>0.1</v>
      </c>
      <c r="K29" s="64">
        <v>284.45</v>
      </c>
      <c r="L29" s="64">
        <v>19.399999999999999</v>
      </c>
      <c r="M29" s="64">
        <v>64.69</v>
      </c>
      <c r="N29" s="64">
        <v>21.2</v>
      </c>
      <c r="O29" s="64">
        <v>0</v>
      </c>
      <c r="P29" s="64">
        <v>0.8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3" t="s">
        <v>2092</v>
      </c>
      <c r="B30" s="64">
        <v>19.309999999999999</v>
      </c>
      <c r="C30" s="64">
        <v>40</v>
      </c>
      <c r="D30" s="64">
        <v>38.21</v>
      </c>
      <c r="E30" s="64">
        <v>0.19</v>
      </c>
      <c r="F30" s="64">
        <v>3.73</v>
      </c>
      <c r="G30" s="64">
        <v>26.59</v>
      </c>
      <c r="H30" s="64">
        <v>18.27</v>
      </c>
      <c r="I30" s="64">
        <v>1.55</v>
      </c>
      <c r="J30" s="64">
        <v>0.03</v>
      </c>
      <c r="K30" s="64">
        <v>315.74</v>
      </c>
      <c r="L30" s="64">
        <v>19.52</v>
      </c>
      <c r="M30" s="64">
        <v>61.84</v>
      </c>
      <c r="N30" s="64">
        <v>21.2</v>
      </c>
      <c r="O30" s="64">
        <v>0</v>
      </c>
      <c r="P30" s="64">
        <v>0.77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3" t="s">
        <v>2093</v>
      </c>
      <c r="B31" s="64">
        <v>19.63</v>
      </c>
      <c r="C31" s="64">
        <v>40.659999999999997</v>
      </c>
      <c r="D31" s="64">
        <v>38.82</v>
      </c>
      <c r="E31" s="64">
        <v>0.26</v>
      </c>
      <c r="F31" s="64">
        <v>3.49</v>
      </c>
      <c r="G31" s="64">
        <v>27.61</v>
      </c>
      <c r="H31" s="64">
        <v>18.149999999999999</v>
      </c>
      <c r="I31" s="64">
        <v>1.54</v>
      </c>
      <c r="J31" s="64">
        <v>0.09</v>
      </c>
      <c r="K31" s="64">
        <v>22.53</v>
      </c>
      <c r="L31" s="64">
        <v>19.53</v>
      </c>
      <c r="M31" s="64">
        <v>63.51</v>
      </c>
      <c r="N31" s="64">
        <v>21.3</v>
      </c>
      <c r="O31" s="64">
        <v>0</v>
      </c>
      <c r="P31" s="64">
        <v>0.76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3" t="s">
        <v>2094</v>
      </c>
      <c r="B32" s="64">
        <v>20.07</v>
      </c>
      <c r="C32" s="64">
        <v>41.08</v>
      </c>
      <c r="D32" s="64">
        <v>39.409999999999997</v>
      </c>
      <c r="E32" s="64">
        <v>0.21</v>
      </c>
      <c r="F32" s="64">
        <v>3.43</v>
      </c>
      <c r="G32" s="64">
        <v>31.16</v>
      </c>
      <c r="H32" s="64">
        <v>17.89</v>
      </c>
      <c r="I32" s="64">
        <v>1.51</v>
      </c>
      <c r="J32" s="64">
        <v>0.06</v>
      </c>
      <c r="K32" s="64">
        <v>333.69</v>
      </c>
      <c r="L32" s="64">
        <v>19.43</v>
      </c>
      <c r="M32" s="64">
        <v>65.38</v>
      </c>
      <c r="N32" s="64">
        <v>21.4</v>
      </c>
      <c r="O32" s="64">
        <v>0</v>
      </c>
      <c r="P32" s="64">
        <v>0.74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3" t="s">
        <v>2095</v>
      </c>
      <c r="B33" s="64">
        <v>21.58</v>
      </c>
      <c r="C33" s="64">
        <v>40.869999999999997</v>
      </c>
      <c r="D33" s="64">
        <v>40.51</v>
      </c>
      <c r="E33" s="64">
        <v>0.18</v>
      </c>
      <c r="F33" s="64">
        <v>3.42</v>
      </c>
      <c r="G33" s="64">
        <v>31.16</v>
      </c>
      <c r="H33" s="64">
        <v>17.89</v>
      </c>
      <c r="I33" s="64">
        <v>1.45</v>
      </c>
      <c r="J33" s="64">
        <v>0.08</v>
      </c>
      <c r="K33" s="64">
        <v>116.68</v>
      </c>
      <c r="L33" s="64">
        <v>18.82</v>
      </c>
      <c r="M33" s="64">
        <v>69.75</v>
      </c>
      <c r="N33" s="64">
        <v>21.9</v>
      </c>
      <c r="O33" s="64">
        <v>0</v>
      </c>
      <c r="P33" s="64">
        <v>0.73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3" t="s">
        <v>2096</v>
      </c>
      <c r="B34" s="64">
        <v>22.71</v>
      </c>
      <c r="C34" s="64">
        <v>41.53</v>
      </c>
      <c r="D34" s="64">
        <v>41.78</v>
      </c>
      <c r="E34" s="64">
        <v>0.19</v>
      </c>
      <c r="F34" s="64">
        <v>3.48</v>
      </c>
      <c r="G34" s="64">
        <v>31.16</v>
      </c>
      <c r="H34" s="64">
        <v>17.89</v>
      </c>
      <c r="I34" s="64">
        <v>1.48</v>
      </c>
      <c r="J34" s="64">
        <v>0.09</v>
      </c>
      <c r="K34" s="64">
        <v>215.98</v>
      </c>
      <c r="L34" s="64">
        <v>18.71</v>
      </c>
      <c r="M34" s="64">
        <v>69.39</v>
      </c>
      <c r="N34" s="64">
        <v>24.4</v>
      </c>
      <c r="O34" s="64">
        <v>0</v>
      </c>
      <c r="P34" s="64">
        <v>0.72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3" t="s">
        <v>2097</v>
      </c>
      <c r="B35" s="64">
        <v>25.32</v>
      </c>
      <c r="C35" s="64">
        <v>41.83</v>
      </c>
      <c r="D35" s="64">
        <v>44.03</v>
      </c>
      <c r="E35" s="64">
        <v>0.28999999999999998</v>
      </c>
      <c r="F35" s="64">
        <v>3.32</v>
      </c>
      <c r="G35" s="64">
        <v>37</v>
      </c>
      <c r="H35" s="64">
        <v>17.88</v>
      </c>
      <c r="I35" s="64">
        <v>1.48</v>
      </c>
      <c r="J35" s="64">
        <v>0.01</v>
      </c>
      <c r="K35" s="64">
        <v>237.24</v>
      </c>
      <c r="L35" s="64">
        <v>18.7</v>
      </c>
      <c r="M35" s="64">
        <v>71.12</v>
      </c>
      <c r="N35" s="64">
        <v>34.299999999999997</v>
      </c>
      <c r="O35" s="64">
        <v>0</v>
      </c>
      <c r="P35" s="64">
        <v>0.72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3" t="s">
        <v>2098</v>
      </c>
      <c r="B36" s="64">
        <v>29.8</v>
      </c>
      <c r="C36" s="64">
        <v>42.36</v>
      </c>
      <c r="D36" s="64">
        <v>47.92</v>
      </c>
      <c r="E36" s="64">
        <v>0.21</v>
      </c>
      <c r="F36" s="64">
        <v>3.38</v>
      </c>
      <c r="G36" s="64">
        <v>57.45</v>
      </c>
      <c r="H36" s="64">
        <v>17.87</v>
      </c>
      <c r="I36" s="64">
        <v>1.49</v>
      </c>
      <c r="J36" s="64">
        <v>0.08</v>
      </c>
      <c r="K36" s="64">
        <v>260.44</v>
      </c>
      <c r="L36" s="64">
        <v>18.829999999999998</v>
      </c>
      <c r="M36" s="64">
        <v>73.64</v>
      </c>
      <c r="N36" s="64">
        <v>53.5</v>
      </c>
      <c r="O36" s="64">
        <v>0</v>
      </c>
      <c r="P36" s="64">
        <v>0.73</v>
      </c>
      <c r="Q36" s="64">
        <v>5.21</v>
      </c>
      <c r="R36" s="198"/>
      <c r="S36" s="198"/>
      <c r="T36" s="198"/>
      <c r="U36" s="198"/>
    </row>
    <row r="37" spans="1:21" s="12" customFormat="1" x14ac:dyDescent="0.25">
      <c r="A37" s="213" t="s">
        <v>2099</v>
      </c>
      <c r="B37" s="64">
        <v>34.840000000000003</v>
      </c>
      <c r="C37" s="64">
        <v>45.4</v>
      </c>
      <c r="D37" s="64">
        <v>53.64</v>
      </c>
      <c r="E37" s="64">
        <v>0.22</v>
      </c>
      <c r="F37" s="64">
        <v>3.33</v>
      </c>
      <c r="G37" s="64">
        <v>57.45</v>
      </c>
      <c r="H37" s="64">
        <v>17.87</v>
      </c>
      <c r="I37" s="64">
        <v>1.61</v>
      </c>
      <c r="J37" s="64">
        <v>7.0000000000000007E-2</v>
      </c>
      <c r="K37" s="64">
        <v>22.48</v>
      </c>
      <c r="L37" s="64">
        <v>19.55</v>
      </c>
      <c r="M37" s="64">
        <v>70.180000000000007</v>
      </c>
      <c r="N37" s="64">
        <v>86.4</v>
      </c>
      <c r="O37" s="64">
        <v>0</v>
      </c>
      <c r="P37" s="64">
        <v>0.7</v>
      </c>
      <c r="Q37" s="64">
        <v>5.32</v>
      </c>
      <c r="R37" s="198"/>
      <c r="S37" s="198"/>
      <c r="T37" s="198"/>
      <c r="U37" s="198"/>
    </row>
    <row r="38" spans="1:21" s="12" customFormat="1" x14ac:dyDescent="0.25">
      <c r="A38" s="213" t="s">
        <v>2100</v>
      </c>
      <c r="B38" s="64">
        <v>38.700000000000003</v>
      </c>
      <c r="C38" s="64">
        <v>47.29</v>
      </c>
      <c r="D38" s="64">
        <v>57.77</v>
      </c>
      <c r="E38" s="64">
        <v>0.23</v>
      </c>
      <c r="F38" s="64">
        <v>3.43</v>
      </c>
      <c r="G38" s="64">
        <v>57.45</v>
      </c>
      <c r="H38" s="64">
        <v>17.87</v>
      </c>
      <c r="I38" s="64">
        <v>1.5</v>
      </c>
      <c r="J38" s="64">
        <v>0.08</v>
      </c>
      <c r="K38" s="64">
        <v>10.5</v>
      </c>
      <c r="L38" s="64">
        <v>21.05</v>
      </c>
      <c r="M38" s="64">
        <v>62.59</v>
      </c>
      <c r="N38" s="64">
        <v>127.9</v>
      </c>
      <c r="O38" s="64">
        <v>0</v>
      </c>
      <c r="P38" s="64">
        <v>0.76</v>
      </c>
      <c r="Q38" s="64">
        <v>6.3</v>
      </c>
      <c r="R38" s="198"/>
      <c r="S38" s="198"/>
      <c r="T38" s="198"/>
      <c r="U38" s="198"/>
    </row>
    <row r="39" spans="1:21" s="12" customFormat="1" x14ac:dyDescent="0.25">
      <c r="A39" s="213" t="s">
        <v>2101</v>
      </c>
      <c r="B39" s="64">
        <v>39.49</v>
      </c>
      <c r="C39" s="64">
        <v>48.25</v>
      </c>
      <c r="D39" s="64">
        <v>58.95</v>
      </c>
      <c r="E39" s="64">
        <v>0.3</v>
      </c>
      <c r="F39" s="64">
        <v>3.4</v>
      </c>
      <c r="G39" s="64">
        <v>62.62</v>
      </c>
      <c r="H39" s="64">
        <v>19.27</v>
      </c>
      <c r="I39" s="64">
        <v>1.48</v>
      </c>
      <c r="J39" s="64">
        <v>0.14000000000000001</v>
      </c>
      <c r="K39" s="64">
        <v>336.21</v>
      </c>
      <c r="L39" s="64">
        <v>22.5</v>
      </c>
      <c r="M39" s="64">
        <v>54.75</v>
      </c>
      <c r="N39" s="64">
        <v>168.8</v>
      </c>
      <c r="O39" s="64">
        <v>0</v>
      </c>
      <c r="P39" s="64">
        <v>0.76</v>
      </c>
      <c r="Q39" s="64">
        <v>6.64</v>
      </c>
      <c r="R39" s="198"/>
      <c r="S39" s="198"/>
      <c r="T39" s="198"/>
      <c r="U39" s="198"/>
    </row>
    <row r="40" spans="1:21" s="12" customFormat="1" x14ac:dyDescent="0.25">
      <c r="A40" s="213" t="s">
        <v>2102</v>
      </c>
      <c r="B40" s="64">
        <v>38.950000000000003</v>
      </c>
      <c r="C40" s="64">
        <v>50.49</v>
      </c>
      <c r="D40" s="64">
        <v>59.74</v>
      </c>
      <c r="E40" s="64">
        <v>0.02</v>
      </c>
      <c r="F40" s="64">
        <v>3.49</v>
      </c>
      <c r="G40" s="64">
        <v>80.7</v>
      </c>
      <c r="H40" s="64">
        <v>25.82</v>
      </c>
      <c r="I40" s="64">
        <v>1.5</v>
      </c>
      <c r="J40" s="64">
        <v>0.15</v>
      </c>
      <c r="K40" s="64">
        <v>339.81</v>
      </c>
      <c r="L40" s="64">
        <v>24.1</v>
      </c>
      <c r="M40" s="64">
        <v>49.67</v>
      </c>
      <c r="N40" s="64">
        <v>232</v>
      </c>
      <c r="O40" s="64">
        <v>0</v>
      </c>
      <c r="P40" s="64">
        <v>0.76</v>
      </c>
      <c r="Q40" s="64">
        <v>6.77</v>
      </c>
      <c r="R40" s="198"/>
      <c r="S40" s="198"/>
      <c r="T40" s="198"/>
      <c r="U40" s="198"/>
    </row>
    <row r="41" spans="1:21" s="12" customFormat="1" x14ac:dyDescent="0.25">
      <c r="A41" s="213" t="s">
        <v>2103</v>
      </c>
      <c r="B41" s="64">
        <v>37.909999999999997</v>
      </c>
      <c r="C41" s="64">
        <v>53.43</v>
      </c>
      <c r="D41" s="64">
        <v>60.54</v>
      </c>
      <c r="E41" s="64">
        <v>0.04</v>
      </c>
      <c r="F41" s="64">
        <v>3.33</v>
      </c>
      <c r="G41" s="64">
        <v>80.7</v>
      </c>
      <c r="H41" s="64">
        <v>25.82</v>
      </c>
      <c r="I41" s="64">
        <v>1.56</v>
      </c>
      <c r="J41" s="64">
        <v>0.13</v>
      </c>
      <c r="K41" s="64">
        <v>10.29</v>
      </c>
      <c r="L41" s="64">
        <v>24.58</v>
      </c>
      <c r="M41" s="64">
        <v>47.36</v>
      </c>
      <c r="N41" s="64">
        <v>282.3</v>
      </c>
      <c r="O41" s="64">
        <v>0</v>
      </c>
      <c r="P41" s="64">
        <v>0.76</v>
      </c>
      <c r="Q41" s="64">
        <v>6.81</v>
      </c>
      <c r="R41" s="198"/>
      <c r="S41" s="198"/>
      <c r="T41" s="198"/>
      <c r="U41" s="198"/>
    </row>
    <row r="42" spans="1:21" s="12" customFormat="1" x14ac:dyDescent="0.25">
      <c r="A42" s="213" t="s">
        <v>2104</v>
      </c>
      <c r="B42" s="64">
        <v>35.43</v>
      </c>
      <c r="C42" s="64">
        <v>54.65</v>
      </c>
      <c r="D42" s="64">
        <v>59.22</v>
      </c>
      <c r="E42" s="64">
        <v>0.1</v>
      </c>
      <c r="F42" s="64">
        <v>3.33</v>
      </c>
      <c r="G42" s="64">
        <v>80.7</v>
      </c>
      <c r="H42" s="64">
        <v>25.82</v>
      </c>
      <c r="I42" s="64">
        <v>1.57</v>
      </c>
      <c r="J42" s="64">
        <v>0.16</v>
      </c>
      <c r="K42" s="64">
        <v>12.66</v>
      </c>
      <c r="L42" s="64">
        <v>24.43</v>
      </c>
      <c r="M42" s="64">
        <v>49.06</v>
      </c>
      <c r="N42" s="64">
        <v>360.7</v>
      </c>
      <c r="O42" s="64">
        <v>0</v>
      </c>
      <c r="P42" s="64">
        <v>0.74</v>
      </c>
      <c r="Q42" s="64">
        <v>6.75</v>
      </c>
      <c r="R42" s="198"/>
      <c r="S42" s="198"/>
      <c r="T42" s="198"/>
      <c r="U42" s="198"/>
    </row>
    <row r="43" spans="1:21" s="12" customFormat="1" x14ac:dyDescent="0.25">
      <c r="A43" s="213" t="s">
        <v>2105</v>
      </c>
      <c r="B43" s="64">
        <v>31.88</v>
      </c>
      <c r="C43" s="64">
        <v>56.48</v>
      </c>
      <c r="D43" s="64">
        <v>57.38</v>
      </c>
      <c r="E43" s="64">
        <v>0.06</v>
      </c>
      <c r="F43" s="64">
        <v>3.49</v>
      </c>
      <c r="G43" s="64">
        <v>79.38</v>
      </c>
      <c r="H43" s="64">
        <v>25.8</v>
      </c>
      <c r="I43" s="64">
        <v>1.47</v>
      </c>
      <c r="J43" s="64">
        <v>0.25</v>
      </c>
      <c r="K43" s="64">
        <v>20.53</v>
      </c>
      <c r="L43" s="64">
        <v>25.39</v>
      </c>
      <c r="M43" s="64">
        <v>45.82</v>
      </c>
      <c r="N43" s="64">
        <v>410.3</v>
      </c>
      <c r="O43" s="64">
        <v>0</v>
      </c>
      <c r="P43" s="64">
        <v>0.73</v>
      </c>
      <c r="Q43" s="64">
        <v>6.35</v>
      </c>
      <c r="R43" s="198"/>
      <c r="S43" s="198"/>
      <c r="T43" s="198"/>
      <c r="U43" s="198"/>
    </row>
    <row r="44" spans="1:21" s="12" customFormat="1" x14ac:dyDescent="0.25">
      <c r="A44" s="213" t="s">
        <v>2106</v>
      </c>
      <c r="B44" s="64">
        <v>26.47</v>
      </c>
      <c r="C44" s="64">
        <v>60.18</v>
      </c>
      <c r="D44" s="64">
        <v>55.09</v>
      </c>
      <c r="E44" s="64">
        <v>0.03</v>
      </c>
      <c r="F44" s="64">
        <v>3.12</v>
      </c>
      <c r="G44" s="64">
        <v>74.739999999999995</v>
      </c>
      <c r="H44" s="64">
        <v>25.76</v>
      </c>
      <c r="I44" s="64">
        <v>1.48</v>
      </c>
      <c r="J44" s="64">
        <v>0.1</v>
      </c>
      <c r="K44" s="64">
        <v>25.93</v>
      </c>
      <c r="L44" s="64">
        <v>24.14</v>
      </c>
      <c r="M44" s="64">
        <v>48.39</v>
      </c>
      <c r="N44" s="64">
        <v>314.89999999999998</v>
      </c>
      <c r="O44" s="64">
        <v>0</v>
      </c>
      <c r="P44" s="64">
        <v>0.71</v>
      </c>
      <c r="Q44" s="64">
        <v>5.42</v>
      </c>
      <c r="R44" s="198"/>
      <c r="S44" s="198"/>
      <c r="T44" s="198"/>
      <c r="U44" s="198"/>
    </row>
    <row r="45" spans="1:21" s="12" customFormat="1" x14ac:dyDescent="0.25">
      <c r="A45" s="213" t="s">
        <v>2107</v>
      </c>
      <c r="B45" s="64">
        <v>21.33</v>
      </c>
      <c r="C45" s="64">
        <v>61.33</v>
      </c>
      <c r="D45" s="64">
        <v>51.6</v>
      </c>
      <c r="E45" s="64">
        <v>0.02</v>
      </c>
      <c r="F45" s="64">
        <v>3.65</v>
      </c>
      <c r="G45" s="64">
        <v>74.739999999999995</v>
      </c>
      <c r="H45" s="64">
        <v>25.76</v>
      </c>
      <c r="I45" s="64">
        <v>1.5</v>
      </c>
      <c r="J45" s="64">
        <v>0.2</v>
      </c>
      <c r="K45" s="64">
        <v>28.73</v>
      </c>
      <c r="L45" s="64">
        <v>24.79</v>
      </c>
      <c r="M45" s="64">
        <v>41.9</v>
      </c>
      <c r="N45" s="64">
        <v>459.5</v>
      </c>
      <c r="O45" s="64">
        <v>0</v>
      </c>
      <c r="P45" s="64">
        <v>0.67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3" t="s">
        <v>2108</v>
      </c>
      <c r="B46" s="64">
        <v>14.59</v>
      </c>
      <c r="C46" s="64">
        <v>63.64</v>
      </c>
      <c r="D46" s="64">
        <v>47.46</v>
      </c>
      <c r="E46" s="64">
        <v>0.04</v>
      </c>
      <c r="F46" s="64">
        <v>3.9</v>
      </c>
      <c r="G46" s="64">
        <v>74.739999999999995</v>
      </c>
      <c r="H46" s="64">
        <v>25.76</v>
      </c>
      <c r="I46" s="64">
        <v>1.54</v>
      </c>
      <c r="J46" s="64">
        <v>0.31</v>
      </c>
      <c r="K46" s="64">
        <v>33.9</v>
      </c>
      <c r="L46" s="64">
        <v>25.51</v>
      </c>
      <c r="M46" s="64">
        <v>39.78</v>
      </c>
      <c r="N46" s="64">
        <v>471.4</v>
      </c>
      <c r="O46" s="64">
        <v>0</v>
      </c>
      <c r="P46" s="64">
        <v>0.61</v>
      </c>
      <c r="Q46" s="64">
        <v>5.21</v>
      </c>
      <c r="R46" s="198"/>
      <c r="S46" s="198"/>
      <c r="T46" s="198"/>
      <c r="U46" s="198"/>
    </row>
    <row r="47" spans="1:21" s="12" customFormat="1" x14ac:dyDescent="0.25">
      <c r="A47" s="213" t="s">
        <v>2109</v>
      </c>
      <c r="B47" s="64">
        <v>9.76</v>
      </c>
      <c r="C47" s="64">
        <v>63.53</v>
      </c>
      <c r="D47" s="64">
        <v>43.54</v>
      </c>
      <c r="E47" s="64">
        <v>0.03</v>
      </c>
      <c r="F47" s="64">
        <v>4.0199999999999996</v>
      </c>
      <c r="G47" s="64">
        <v>71.760000000000005</v>
      </c>
      <c r="H47" s="64">
        <v>28.71</v>
      </c>
      <c r="I47" s="64">
        <v>1.52</v>
      </c>
      <c r="J47" s="64">
        <v>0.27</v>
      </c>
      <c r="K47" s="64">
        <v>32.99</v>
      </c>
      <c r="L47" s="64">
        <v>25.66</v>
      </c>
      <c r="M47" s="64">
        <v>38.6</v>
      </c>
      <c r="N47" s="64">
        <v>404.8</v>
      </c>
      <c r="O47" s="64">
        <v>0</v>
      </c>
      <c r="P47" s="64">
        <v>0.55000000000000004</v>
      </c>
      <c r="Q47" s="64">
        <v>5.21</v>
      </c>
      <c r="R47" s="198"/>
      <c r="S47" s="198"/>
      <c r="T47" s="198"/>
      <c r="U47" s="198"/>
    </row>
    <row r="48" spans="1:21" s="12" customFormat="1" x14ac:dyDescent="0.25">
      <c r="A48" s="213" t="s">
        <v>2110</v>
      </c>
      <c r="B48" s="64">
        <v>6.48</v>
      </c>
      <c r="C48" s="64">
        <v>61.2</v>
      </c>
      <c r="D48" s="64">
        <v>39.619999999999997</v>
      </c>
      <c r="E48" s="64">
        <v>0.02</v>
      </c>
      <c r="F48" s="64">
        <v>4.46</v>
      </c>
      <c r="G48" s="64">
        <v>61.33</v>
      </c>
      <c r="H48" s="64">
        <v>35.65</v>
      </c>
      <c r="I48" s="64">
        <v>1.45</v>
      </c>
      <c r="J48" s="64">
        <v>0.23</v>
      </c>
      <c r="K48" s="64">
        <v>18.13</v>
      </c>
      <c r="L48" s="64">
        <v>25.53</v>
      </c>
      <c r="M48" s="64">
        <v>39.31</v>
      </c>
      <c r="N48" s="64">
        <v>286</v>
      </c>
      <c r="O48" s="64">
        <v>0</v>
      </c>
      <c r="P48" s="64">
        <v>0.52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3" t="s">
        <v>2111</v>
      </c>
      <c r="B49" s="64">
        <v>4.76</v>
      </c>
      <c r="C49" s="64">
        <v>58.4</v>
      </c>
      <c r="D49" s="64">
        <v>36.69</v>
      </c>
      <c r="E49" s="64">
        <v>0.01</v>
      </c>
      <c r="F49" s="64">
        <v>4.7</v>
      </c>
      <c r="G49" s="64">
        <v>61.33</v>
      </c>
      <c r="H49" s="64">
        <v>35.65</v>
      </c>
      <c r="I49" s="64">
        <v>1.49</v>
      </c>
      <c r="J49" s="64">
        <v>0.14000000000000001</v>
      </c>
      <c r="K49" s="64">
        <v>32.97</v>
      </c>
      <c r="L49" s="64">
        <v>26.7</v>
      </c>
      <c r="M49" s="64">
        <v>36.020000000000003</v>
      </c>
      <c r="N49" s="64">
        <v>591.9</v>
      </c>
      <c r="O49" s="64">
        <v>0</v>
      </c>
      <c r="P49" s="64">
        <v>0.5</v>
      </c>
      <c r="Q49" s="64">
        <v>5.21</v>
      </c>
      <c r="R49" s="198"/>
      <c r="S49" s="198"/>
      <c r="T49" s="198"/>
      <c r="U49" s="198"/>
    </row>
    <row r="50" spans="1:21" s="12" customFormat="1" x14ac:dyDescent="0.25">
      <c r="A50" s="213" t="s">
        <v>2112</v>
      </c>
      <c r="B50" s="64">
        <v>3.49</v>
      </c>
      <c r="C50" s="64">
        <v>56.44</v>
      </c>
      <c r="D50" s="64">
        <v>34.590000000000003</v>
      </c>
      <c r="E50" s="64">
        <v>0.01</v>
      </c>
      <c r="F50" s="64">
        <v>5.31</v>
      </c>
      <c r="G50" s="64">
        <v>61.33</v>
      </c>
      <c r="H50" s="64">
        <v>35.65</v>
      </c>
      <c r="I50" s="64">
        <v>1.4</v>
      </c>
      <c r="J50" s="64">
        <v>0.35</v>
      </c>
      <c r="K50" s="64">
        <v>23.96</v>
      </c>
      <c r="L50" s="64">
        <v>28.14</v>
      </c>
      <c r="M50" s="64">
        <v>32.65</v>
      </c>
      <c r="N50" s="64">
        <v>685</v>
      </c>
      <c r="O50" s="64">
        <v>0</v>
      </c>
      <c r="P50" s="64">
        <v>0.46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3" t="s">
        <v>2113</v>
      </c>
      <c r="B51" s="64">
        <v>2.66</v>
      </c>
      <c r="C51" s="64">
        <v>54.89</v>
      </c>
      <c r="D51" s="64">
        <v>33.07</v>
      </c>
      <c r="E51" s="64">
        <v>0.01</v>
      </c>
      <c r="F51" s="64">
        <v>6.26</v>
      </c>
      <c r="G51" s="64">
        <v>60.55</v>
      </c>
      <c r="H51" s="64">
        <v>35.630000000000003</v>
      </c>
      <c r="I51" s="64">
        <v>1.45</v>
      </c>
      <c r="J51" s="64">
        <v>0.33</v>
      </c>
      <c r="K51" s="64">
        <v>31.92</v>
      </c>
      <c r="L51" s="64">
        <v>28.58</v>
      </c>
      <c r="M51" s="64">
        <v>31.01</v>
      </c>
      <c r="N51" s="64">
        <v>717.8</v>
      </c>
      <c r="O51" s="64">
        <v>0</v>
      </c>
      <c r="P51" s="64">
        <v>0.43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3" t="s">
        <v>2114</v>
      </c>
      <c r="B52" s="64">
        <v>2.12</v>
      </c>
      <c r="C52" s="64">
        <v>54.17</v>
      </c>
      <c r="D52" s="64">
        <v>32.24</v>
      </c>
      <c r="E52" s="64">
        <v>0.02</v>
      </c>
      <c r="F52" s="64">
        <v>6.26</v>
      </c>
      <c r="G52" s="64">
        <v>57.81</v>
      </c>
      <c r="H52" s="64">
        <v>35.57</v>
      </c>
      <c r="I52" s="64">
        <v>1.56</v>
      </c>
      <c r="J52" s="64">
        <v>0.28999999999999998</v>
      </c>
      <c r="K52" s="64">
        <v>13.08</v>
      </c>
      <c r="L52" s="64">
        <v>29.96</v>
      </c>
      <c r="M52" s="64">
        <v>29.76</v>
      </c>
      <c r="N52" s="64">
        <v>753.6</v>
      </c>
      <c r="O52" s="64">
        <v>0</v>
      </c>
      <c r="P52" s="64">
        <v>0.41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3" t="s">
        <v>2115</v>
      </c>
      <c r="B53" s="64">
        <v>1.91</v>
      </c>
      <c r="C53" s="64">
        <v>52.73</v>
      </c>
      <c r="D53" s="64">
        <v>31.28</v>
      </c>
      <c r="E53" s="212" t="s">
        <v>42</v>
      </c>
      <c r="F53" s="64">
        <v>6.45</v>
      </c>
      <c r="G53" s="64">
        <v>57.81</v>
      </c>
      <c r="H53" s="64">
        <v>35.57</v>
      </c>
      <c r="I53" s="64">
        <v>1.55</v>
      </c>
      <c r="J53" s="64">
        <v>0.34</v>
      </c>
      <c r="K53" s="64">
        <v>8.58</v>
      </c>
      <c r="L53" s="64">
        <v>29.73</v>
      </c>
      <c r="M53" s="64">
        <v>30.17</v>
      </c>
      <c r="N53" s="64">
        <v>775.1</v>
      </c>
      <c r="O53" s="64">
        <v>0</v>
      </c>
      <c r="P53" s="64">
        <v>0.39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3" t="s">
        <v>2116</v>
      </c>
      <c r="B54" s="64">
        <v>1.85</v>
      </c>
      <c r="C54" s="64">
        <v>51.84</v>
      </c>
      <c r="D54" s="64">
        <v>30.74</v>
      </c>
      <c r="E54" s="212" t="s">
        <v>42</v>
      </c>
      <c r="F54" s="64">
        <v>6.9</v>
      </c>
      <c r="G54" s="64">
        <v>57.81</v>
      </c>
      <c r="H54" s="64">
        <v>35.57</v>
      </c>
      <c r="I54" s="64">
        <v>1.56</v>
      </c>
      <c r="J54" s="64">
        <v>0.37</v>
      </c>
      <c r="K54" s="64">
        <v>24.57</v>
      </c>
      <c r="L54" s="64">
        <v>30.53</v>
      </c>
      <c r="M54" s="64">
        <v>28.14</v>
      </c>
      <c r="N54" s="64">
        <v>790.7</v>
      </c>
      <c r="O54" s="64">
        <v>0</v>
      </c>
      <c r="P54" s="64">
        <v>0.38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3" t="s">
        <v>2117</v>
      </c>
      <c r="B55" s="64">
        <v>1.81</v>
      </c>
      <c r="C55" s="64">
        <v>51.58</v>
      </c>
      <c r="D55" s="64">
        <v>30.57</v>
      </c>
      <c r="E55" s="64">
        <v>0.01</v>
      </c>
      <c r="F55" s="64">
        <v>7.83</v>
      </c>
      <c r="G55" s="64">
        <v>56.33</v>
      </c>
      <c r="H55" s="64">
        <v>50.54</v>
      </c>
      <c r="I55" s="64">
        <v>1.48</v>
      </c>
      <c r="J55" s="64">
        <v>0.35</v>
      </c>
      <c r="K55" s="64">
        <v>9.1</v>
      </c>
      <c r="L55" s="64">
        <v>30.32</v>
      </c>
      <c r="M55" s="64">
        <v>29.59</v>
      </c>
      <c r="N55" s="64">
        <v>785.5</v>
      </c>
      <c r="O55" s="64">
        <v>0</v>
      </c>
      <c r="P55" s="64">
        <v>0.35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3" t="s">
        <v>2118</v>
      </c>
      <c r="B56" s="64">
        <v>1.75</v>
      </c>
      <c r="C56" s="64">
        <v>51.45</v>
      </c>
      <c r="D56" s="64">
        <v>30.44</v>
      </c>
      <c r="E56" s="64">
        <v>0.06</v>
      </c>
      <c r="F56" s="64">
        <v>8.01</v>
      </c>
      <c r="G56" s="64">
        <v>51.14</v>
      </c>
      <c r="H56" s="64">
        <v>120.92</v>
      </c>
      <c r="I56" s="64">
        <v>1.58</v>
      </c>
      <c r="J56" s="64">
        <v>0.42</v>
      </c>
      <c r="K56" s="64">
        <v>8.81</v>
      </c>
      <c r="L56" s="64">
        <v>30.81</v>
      </c>
      <c r="M56" s="64">
        <v>28.57</v>
      </c>
      <c r="N56" s="64">
        <v>784.5</v>
      </c>
      <c r="O56" s="64">
        <v>0</v>
      </c>
      <c r="P56" s="64">
        <v>0.36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3" t="s">
        <v>2119</v>
      </c>
      <c r="B57" s="64">
        <v>1.75</v>
      </c>
      <c r="C57" s="64">
        <v>53.39</v>
      </c>
      <c r="D57" s="64">
        <v>31.51</v>
      </c>
      <c r="E57" s="64">
        <v>0.12</v>
      </c>
      <c r="F57" s="64">
        <v>7.8</v>
      </c>
      <c r="G57" s="64">
        <v>51.14</v>
      </c>
      <c r="H57" s="64">
        <v>120.92</v>
      </c>
      <c r="I57" s="64">
        <v>1.57</v>
      </c>
      <c r="J57" s="64">
        <v>0.24</v>
      </c>
      <c r="K57" s="64">
        <v>12.87</v>
      </c>
      <c r="L57" s="64">
        <v>30.33</v>
      </c>
      <c r="M57" s="64">
        <v>30.12</v>
      </c>
      <c r="N57" s="64">
        <v>796.5</v>
      </c>
      <c r="O57" s="64">
        <v>0</v>
      </c>
      <c r="P57" s="64">
        <v>0.41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3" t="s">
        <v>2120</v>
      </c>
      <c r="B58" s="64">
        <v>1.66</v>
      </c>
      <c r="C58" s="64">
        <v>54.6</v>
      </c>
      <c r="D58" s="64">
        <v>32.11</v>
      </c>
      <c r="E58" s="64">
        <v>0.13</v>
      </c>
      <c r="F58" s="64">
        <v>7.2</v>
      </c>
      <c r="G58" s="64">
        <v>51.14</v>
      </c>
      <c r="H58" s="64">
        <v>120.92</v>
      </c>
      <c r="I58" s="64">
        <v>1.4</v>
      </c>
      <c r="J58" s="64">
        <v>0.45</v>
      </c>
      <c r="K58" s="64">
        <v>346.54</v>
      </c>
      <c r="L58" s="64">
        <v>30.92</v>
      </c>
      <c r="M58" s="64">
        <v>30.24</v>
      </c>
      <c r="N58" s="64">
        <v>785.8</v>
      </c>
      <c r="O58" s="64">
        <v>0</v>
      </c>
      <c r="P58" s="64">
        <v>0.45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3" t="s">
        <v>2121</v>
      </c>
      <c r="B59" s="64">
        <v>1.65</v>
      </c>
      <c r="C59" s="64">
        <v>54.94</v>
      </c>
      <c r="D59" s="64">
        <v>32.29</v>
      </c>
      <c r="E59" s="64">
        <v>0.12</v>
      </c>
      <c r="F59" s="64">
        <v>6.83</v>
      </c>
      <c r="G59" s="64">
        <v>52.83</v>
      </c>
      <c r="H59" s="64">
        <v>90.31</v>
      </c>
      <c r="I59" s="64">
        <v>1.44</v>
      </c>
      <c r="J59" s="64">
        <v>0.97</v>
      </c>
      <c r="K59" s="64">
        <v>323.72000000000003</v>
      </c>
      <c r="L59" s="64">
        <v>31.84</v>
      </c>
      <c r="M59" s="64">
        <v>27.68</v>
      </c>
      <c r="N59" s="64">
        <v>799.9</v>
      </c>
      <c r="O59" s="64">
        <v>0</v>
      </c>
      <c r="P59" s="64">
        <v>0.45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3" t="s">
        <v>2122</v>
      </c>
      <c r="B60" s="64">
        <v>1.9</v>
      </c>
      <c r="C60" s="64">
        <v>55.15</v>
      </c>
      <c r="D60" s="64">
        <v>32.6</v>
      </c>
      <c r="E60" s="64">
        <v>0.08</v>
      </c>
      <c r="F60" s="64">
        <v>6.41</v>
      </c>
      <c r="G60" s="64">
        <v>58.73</v>
      </c>
      <c r="H60" s="64">
        <v>18.37</v>
      </c>
      <c r="I60" s="64">
        <v>1.54</v>
      </c>
      <c r="J60" s="64">
        <v>1.04</v>
      </c>
      <c r="K60" s="64">
        <v>316.51</v>
      </c>
      <c r="L60" s="64">
        <v>33.409999999999997</v>
      </c>
      <c r="M60" s="64">
        <v>24.5</v>
      </c>
      <c r="N60" s="64">
        <v>798.1</v>
      </c>
      <c r="O60" s="64">
        <v>0</v>
      </c>
      <c r="P60" s="64">
        <v>0.44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3" t="s">
        <v>2123</v>
      </c>
      <c r="B61" s="64">
        <v>2.1800000000000002</v>
      </c>
      <c r="C61" s="64">
        <v>55.53</v>
      </c>
      <c r="D61" s="64">
        <v>33.04</v>
      </c>
      <c r="E61" s="64">
        <v>0.09</v>
      </c>
      <c r="F61" s="64">
        <v>5.97</v>
      </c>
      <c r="G61" s="64">
        <v>58.73</v>
      </c>
      <c r="H61" s="64">
        <v>18.37</v>
      </c>
      <c r="I61" s="64">
        <v>1.46</v>
      </c>
      <c r="J61" s="64">
        <v>0.57999999999999996</v>
      </c>
      <c r="K61" s="64">
        <v>329.12</v>
      </c>
      <c r="L61" s="64">
        <v>34</v>
      </c>
      <c r="M61" s="64">
        <v>21.89</v>
      </c>
      <c r="N61" s="64">
        <v>785.7</v>
      </c>
      <c r="O61" s="64">
        <v>0</v>
      </c>
      <c r="P61" s="64">
        <v>0.48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3" t="s">
        <v>2124</v>
      </c>
      <c r="B62" s="64">
        <v>2.21</v>
      </c>
      <c r="C62" s="64">
        <v>54.79</v>
      </c>
      <c r="D62" s="64">
        <v>32.659999999999997</v>
      </c>
      <c r="E62" s="64">
        <v>7.0000000000000007E-2</v>
      </c>
      <c r="F62" s="64">
        <v>5.92</v>
      </c>
      <c r="G62" s="64">
        <v>58.73</v>
      </c>
      <c r="H62" s="64">
        <v>18.37</v>
      </c>
      <c r="I62" s="64">
        <v>1.48</v>
      </c>
      <c r="J62" s="64">
        <v>1.17</v>
      </c>
      <c r="K62" s="64">
        <v>316.04000000000002</v>
      </c>
      <c r="L62" s="64">
        <v>33.99</v>
      </c>
      <c r="M62" s="64">
        <v>20.8</v>
      </c>
      <c r="N62" s="64">
        <v>766.8</v>
      </c>
      <c r="O62" s="64">
        <v>0</v>
      </c>
      <c r="P62" s="64">
        <v>0.5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2125</v>
      </c>
      <c r="B63" s="64">
        <v>2.35</v>
      </c>
      <c r="C63" s="64">
        <v>54.41</v>
      </c>
      <c r="D63" s="64">
        <v>32.56</v>
      </c>
      <c r="E63" s="64">
        <v>0.16</v>
      </c>
      <c r="F63" s="64">
        <v>5.57</v>
      </c>
      <c r="G63" s="64">
        <v>55.61</v>
      </c>
      <c r="H63" s="64">
        <v>53.57</v>
      </c>
      <c r="I63" s="64">
        <v>1.43</v>
      </c>
      <c r="J63" s="64">
        <v>0.9</v>
      </c>
      <c r="K63" s="64">
        <v>310.23</v>
      </c>
      <c r="L63" s="64">
        <v>34.25</v>
      </c>
      <c r="M63" s="64">
        <v>17.7</v>
      </c>
      <c r="N63" s="64">
        <v>743.7</v>
      </c>
      <c r="O63" s="64">
        <v>0</v>
      </c>
      <c r="P63" s="64">
        <v>0.48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3" t="s">
        <v>2126</v>
      </c>
      <c r="B64" s="64">
        <v>2.39</v>
      </c>
      <c r="C64" s="64">
        <v>53.75</v>
      </c>
      <c r="D64" s="64">
        <v>32.22</v>
      </c>
      <c r="E64" s="64">
        <v>0.03</v>
      </c>
      <c r="F64" s="64">
        <v>5.63</v>
      </c>
      <c r="G64" s="64">
        <v>45.33</v>
      </c>
      <c r="H64" s="64">
        <v>136.30000000000001</v>
      </c>
      <c r="I64" s="64">
        <v>1.46</v>
      </c>
      <c r="J64" s="64">
        <v>0.59</v>
      </c>
      <c r="K64" s="64">
        <v>320.55</v>
      </c>
      <c r="L64" s="64">
        <v>33.83</v>
      </c>
      <c r="M64" s="64">
        <v>18.07</v>
      </c>
      <c r="N64" s="64">
        <v>706.5</v>
      </c>
      <c r="O64" s="64">
        <v>0</v>
      </c>
      <c r="P64" s="64">
        <v>0.47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3" t="s">
        <v>2127</v>
      </c>
      <c r="B65" s="64">
        <v>2.37</v>
      </c>
      <c r="C65" s="64">
        <v>52.84</v>
      </c>
      <c r="D65" s="64">
        <v>31.71</v>
      </c>
      <c r="E65" s="64">
        <v>7.0000000000000007E-2</v>
      </c>
      <c r="F65" s="64">
        <v>5.62</v>
      </c>
      <c r="G65" s="64">
        <v>45.33</v>
      </c>
      <c r="H65" s="64">
        <v>136.30000000000001</v>
      </c>
      <c r="I65" s="64">
        <v>1.53</v>
      </c>
      <c r="J65" s="64">
        <v>1.1499999999999999</v>
      </c>
      <c r="K65" s="64">
        <v>318.64999999999998</v>
      </c>
      <c r="L65" s="64">
        <v>33.72</v>
      </c>
      <c r="M65" s="64">
        <v>19.52</v>
      </c>
      <c r="N65" s="64">
        <v>636.79999999999995</v>
      </c>
      <c r="O65" s="64">
        <v>0</v>
      </c>
      <c r="P65" s="64">
        <v>0.45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3" t="s">
        <v>2128</v>
      </c>
      <c r="B66" s="64">
        <v>2.4900000000000002</v>
      </c>
      <c r="C66" s="64">
        <v>51.84</v>
      </c>
      <c r="D66" s="64">
        <v>31.25</v>
      </c>
      <c r="E66" s="64">
        <v>0.04</v>
      </c>
      <c r="F66" s="64">
        <v>5.19</v>
      </c>
      <c r="G66" s="64">
        <v>45.33</v>
      </c>
      <c r="H66" s="64">
        <v>136.30000000000001</v>
      </c>
      <c r="I66" s="64">
        <v>1.46</v>
      </c>
      <c r="J66" s="64">
        <v>0.92</v>
      </c>
      <c r="K66" s="64">
        <v>324.97000000000003</v>
      </c>
      <c r="L66" s="64">
        <v>34.01</v>
      </c>
      <c r="M66" s="64">
        <v>19.899999999999999</v>
      </c>
      <c r="N66" s="64">
        <v>612.1</v>
      </c>
      <c r="O66" s="64">
        <v>0</v>
      </c>
      <c r="P66" s="64">
        <v>0.44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3" t="s">
        <v>2129</v>
      </c>
      <c r="B67" s="64">
        <v>2.5</v>
      </c>
      <c r="C67" s="64">
        <v>49.27</v>
      </c>
      <c r="D67" s="64">
        <v>29.84</v>
      </c>
      <c r="E67" s="64">
        <v>0.1</v>
      </c>
      <c r="F67" s="64">
        <v>6.02</v>
      </c>
      <c r="G67" s="64">
        <v>43.35</v>
      </c>
      <c r="H67" s="64">
        <v>101.33</v>
      </c>
      <c r="I67" s="64">
        <v>1.49</v>
      </c>
      <c r="J67" s="64">
        <v>0.56999999999999995</v>
      </c>
      <c r="K67" s="64">
        <v>323.33999999999997</v>
      </c>
      <c r="L67" s="64">
        <v>32.9</v>
      </c>
      <c r="M67" s="64">
        <v>21.02</v>
      </c>
      <c r="N67" s="64">
        <v>546</v>
      </c>
      <c r="O67" s="64">
        <v>0</v>
      </c>
      <c r="P67" s="64">
        <v>0.43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3" t="s">
        <v>2130</v>
      </c>
      <c r="B68" s="64">
        <v>2.44</v>
      </c>
      <c r="C68" s="64">
        <v>49.71</v>
      </c>
      <c r="D68" s="64">
        <v>30.03</v>
      </c>
      <c r="E68" s="64">
        <v>0.03</v>
      </c>
      <c r="F68" s="64">
        <v>5.62</v>
      </c>
      <c r="G68" s="64">
        <v>36.43</v>
      </c>
      <c r="H68" s="64">
        <v>19.149999999999999</v>
      </c>
      <c r="I68" s="64">
        <v>1.45</v>
      </c>
      <c r="J68" s="64">
        <v>0.6</v>
      </c>
      <c r="K68" s="64">
        <v>331.74</v>
      </c>
      <c r="L68" s="64">
        <v>32.51</v>
      </c>
      <c r="M68" s="64">
        <v>21.64</v>
      </c>
      <c r="N68" s="64">
        <v>361.5</v>
      </c>
      <c r="O68" s="64">
        <v>0</v>
      </c>
      <c r="P68" s="64">
        <v>0.42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3" t="s">
        <v>2131</v>
      </c>
      <c r="B69" s="64">
        <v>2.37</v>
      </c>
      <c r="C69" s="64">
        <v>49.99</v>
      </c>
      <c r="D69" s="64">
        <v>30.13</v>
      </c>
      <c r="E69" s="64">
        <v>0.05</v>
      </c>
      <c r="F69" s="64">
        <v>5.66</v>
      </c>
      <c r="G69" s="64">
        <v>36.43</v>
      </c>
      <c r="H69" s="64">
        <v>19.149999999999999</v>
      </c>
      <c r="I69" s="64">
        <v>1.47</v>
      </c>
      <c r="J69" s="64">
        <v>0.71</v>
      </c>
      <c r="K69" s="64">
        <v>313.25</v>
      </c>
      <c r="L69" s="64">
        <v>32.07</v>
      </c>
      <c r="M69" s="64">
        <v>21.05</v>
      </c>
      <c r="N69" s="64">
        <v>310.8</v>
      </c>
      <c r="O69" s="64">
        <v>0</v>
      </c>
      <c r="P69" s="64">
        <v>0.41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3" t="s">
        <v>2132</v>
      </c>
      <c r="B70" s="64">
        <v>2.35</v>
      </c>
      <c r="C70" s="64">
        <v>49.94</v>
      </c>
      <c r="D70" s="64">
        <v>30.09</v>
      </c>
      <c r="E70" s="64">
        <v>0.03</v>
      </c>
      <c r="F70" s="64">
        <v>5.17</v>
      </c>
      <c r="G70" s="64">
        <v>36.43</v>
      </c>
      <c r="H70" s="64">
        <v>19.149999999999999</v>
      </c>
      <c r="I70" s="64">
        <v>1.48</v>
      </c>
      <c r="J70" s="64">
        <v>0.51</v>
      </c>
      <c r="K70" s="64">
        <v>322.11</v>
      </c>
      <c r="L70" s="64">
        <v>31.71</v>
      </c>
      <c r="M70" s="64">
        <v>20.82</v>
      </c>
      <c r="N70" s="64">
        <v>246.7</v>
      </c>
      <c r="O70" s="64">
        <v>0</v>
      </c>
      <c r="P70" s="64">
        <v>0.41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3" t="s">
        <v>2133</v>
      </c>
      <c r="B71" s="64">
        <v>2.46</v>
      </c>
      <c r="C71" s="64">
        <v>49.88</v>
      </c>
      <c r="D71" s="64">
        <v>30.15</v>
      </c>
      <c r="E71" s="64">
        <v>7.0000000000000007E-2</v>
      </c>
      <c r="F71" s="64">
        <v>5.31</v>
      </c>
      <c r="G71" s="64">
        <v>35.979999999999997</v>
      </c>
      <c r="H71" s="64">
        <v>18.12</v>
      </c>
      <c r="I71" s="64">
        <v>1.55</v>
      </c>
      <c r="J71" s="64">
        <v>0.46</v>
      </c>
      <c r="K71" s="64">
        <v>333.93</v>
      </c>
      <c r="L71" s="64">
        <v>31.06</v>
      </c>
      <c r="M71" s="64">
        <v>21.67</v>
      </c>
      <c r="N71" s="64">
        <v>171.4</v>
      </c>
      <c r="O71" s="64">
        <v>0</v>
      </c>
      <c r="P71" s="64">
        <v>0.4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3" t="s">
        <v>2134</v>
      </c>
      <c r="B72" s="64">
        <v>2.38</v>
      </c>
      <c r="C72" s="64">
        <v>49.84</v>
      </c>
      <c r="D72" s="64">
        <v>30.06</v>
      </c>
      <c r="E72" s="64">
        <v>0.09</v>
      </c>
      <c r="F72" s="64">
        <v>5.0999999999999996</v>
      </c>
      <c r="G72" s="64">
        <v>34.4</v>
      </c>
      <c r="H72" s="64">
        <v>13.3</v>
      </c>
      <c r="I72" s="64">
        <v>1.47</v>
      </c>
      <c r="J72" s="64">
        <v>0.38</v>
      </c>
      <c r="K72" s="64">
        <v>332.16</v>
      </c>
      <c r="L72" s="64">
        <v>30.45</v>
      </c>
      <c r="M72" s="64">
        <v>22.87</v>
      </c>
      <c r="N72" s="64">
        <v>160.19999999999999</v>
      </c>
      <c r="O72" s="64">
        <v>0</v>
      </c>
      <c r="P72" s="64">
        <v>0.39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3" t="s">
        <v>2135</v>
      </c>
      <c r="B73" s="64">
        <v>2.21</v>
      </c>
      <c r="C73" s="64">
        <v>49.54</v>
      </c>
      <c r="D73" s="64">
        <v>29.76</v>
      </c>
      <c r="E73" s="64">
        <v>0.16</v>
      </c>
      <c r="F73" s="64">
        <v>5.55</v>
      </c>
      <c r="G73" s="64">
        <v>34.4</v>
      </c>
      <c r="H73" s="64">
        <v>13.3</v>
      </c>
      <c r="I73" s="64">
        <v>1.44</v>
      </c>
      <c r="J73" s="64">
        <v>0.75</v>
      </c>
      <c r="K73" s="64">
        <v>319.07</v>
      </c>
      <c r="L73" s="64">
        <v>29.95</v>
      </c>
      <c r="M73" s="64">
        <v>23.59</v>
      </c>
      <c r="N73" s="64">
        <v>152.4</v>
      </c>
      <c r="O73" s="64">
        <v>0</v>
      </c>
      <c r="P73" s="64">
        <v>0.39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3" t="s">
        <v>2136</v>
      </c>
      <c r="B74" s="64">
        <v>2.64</v>
      </c>
      <c r="C74" s="64">
        <v>48.51</v>
      </c>
      <c r="D74" s="64">
        <v>29.54</v>
      </c>
      <c r="E74" s="64">
        <v>0.05</v>
      </c>
      <c r="F74" s="64">
        <v>5.24</v>
      </c>
      <c r="G74" s="64">
        <v>34.4</v>
      </c>
      <c r="H74" s="64">
        <v>13.3</v>
      </c>
      <c r="I74" s="64">
        <v>1.48</v>
      </c>
      <c r="J74" s="64">
        <v>0.52</v>
      </c>
      <c r="K74" s="64">
        <v>320.52999999999997</v>
      </c>
      <c r="L74" s="64">
        <v>29.54</v>
      </c>
      <c r="M74" s="64">
        <v>23.36</v>
      </c>
      <c r="N74" s="64">
        <v>99.7</v>
      </c>
      <c r="O74" s="64">
        <v>0</v>
      </c>
      <c r="P74" s="64">
        <v>0.39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3" t="s">
        <v>2137</v>
      </c>
      <c r="B75" s="64">
        <v>3.04</v>
      </c>
      <c r="C75" s="64">
        <v>48.9</v>
      </c>
      <c r="D75" s="64">
        <v>30.07</v>
      </c>
      <c r="E75" s="64">
        <v>0.08</v>
      </c>
      <c r="F75" s="64">
        <v>4.88</v>
      </c>
      <c r="G75" s="64">
        <v>33.07</v>
      </c>
      <c r="H75" s="64">
        <v>9.9</v>
      </c>
      <c r="I75" s="64">
        <v>1.46</v>
      </c>
      <c r="J75" s="64">
        <v>1.1599999999999999</v>
      </c>
      <c r="K75" s="64">
        <v>320.7</v>
      </c>
      <c r="L75" s="64">
        <v>29.22</v>
      </c>
      <c r="M75" s="64">
        <v>24.19</v>
      </c>
      <c r="N75" s="64">
        <v>86</v>
      </c>
      <c r="O75" s="64">
        <v>0</v>
      </c>
      <c r="P75" s="64">
        <v>0.4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3" t="s">
        <v>2138</v>
      </c>
      <c r="B76" s="64">
        <v>3.16</v>
      </c>
      <c r="C76" s="64">
        <v>49.44</v>
      </c>
      <c r="D76" s="64">
        <v>30.46</v>
      </c>
      <c r="E76" s="64">
        <v>0.12</v>
      </c>
      <c r="F76" s="64">
        <v>4.6100000000000003</v>
      </c>
      <c r="G76" s="64">
        <v>28.39</v>
      </c>
      <c r="H76" s="64">
        <v>1.91</v>
      </c>
      <c r="I76" s="64">
        <v>1.48</v>
      </c>
      <c r="J76" s="64">
        <v>0.97</v>
      </c>
      <c r="K76" s="64">
        <v>313.13</v>
      </c>
      <c r="L76" s="64">
        <v>28.73</v>
      </c>
      <c r="M76" s="64">
        <v>24.47</v>
      </c>
      <c r="N76" s="64">
        <v>73.3</v>
      </c>
      <c r="O76" s="64">
        <v>0</v>
      </c>
      <c r="P76" s="64">
        <v>0.4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3" t="s">
        <v>2139</v>
      </c>
      <c r="B77" s="64">
        <v>3.31</v>
      </c>
      <c r="C77" s="64">
        <v>49.52</v>
      </c>
      <c r="D77" s="64">
        <v>30.62</v>
      </c>
      <c r="E77" s="64">
        <v>0.1</v>
      </c>
      <c r="F77" s="64">
        <v>4.34</v>
      </c>
      <c r="G77" s="64">
        <v>28.39</v>
      </c>
      <c r="H77" s="64">
        <v>1.91</v>
      </c>
      <c r="I77" s="64">
        <v>1.49</v>
      </c>
      <c r="J77" s="64">
        <v>0.86</v>
      </c>
      <c r="K77" s="64">
        <v>313.63</v>
      </c>
      <c r="L77" s="64">
        <v>28.31</v>
      </c>
      <c r="M77" s="64">
        <v>24.38</v>
      </c>
      <c r="N77" s="64">
        <v>59.6</v>
      </c>
      <c r="O77" s="64">
        <v>0</v>
      </c>
      <c r="P77" s="64">
        <v>0.4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3" t="s">
        <v>2140</v>
      </c>
      <c r="B78" s="64">
        <v>3.89</v>
      </c>
      <c r="C78" s="64">
        <v>49.99</v>
      </c>
      <c r="D78" s="64">
        <v>31.35</v>
      </c>
      <c r="E78" s="64">
        <v>0.08</v>
      </c>
      <c r="F78" s="64">
        <v>4.1100000000000003</v>
      </c>
      <c r="G78" s="64">
        <v>28.39</v>
      </c>
      <c r="H78" s="64">
        <v>1.91</v>
      </c>
      <c r="I78" s="64">
        <v>1.51</v>
      </c>
      <c r="J78" s="64">
        <v>0.5</v>
      </c>
      <c r="K78" s="64">
        <v>317.3</v>
      </c>
      <c r="L78" s="64">
        <v>27.26</v>
      </c>
      <c r="M78" s="64">
        <v>33.76</v>
      </c>
      <c r="N78" s="64">
        <v>48.3</v>
      </c>
      <c r="O78" s="64">
        <v>0</v>
      </c>
      <c r="P78" s="64">
        <v>0.41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3" t="s">
        <v>2141</v>
      </c>
      <c r="B79" s="64">
        <v>4.55</v>
      </c>
      <c r="C79" s="64">
        <v>50.88</v>
      </c>
      <c r="D79" s="64">
        <v>32.369999999999997</v>
      </c>
      <c r="E79" s="64">
        <v>0.1</v>
      </c>
      <c r="F79" s="64">
        <v>3.59</v>
      </c>
      <c r="G79" s="64">
        <v>28.91</v>
      </c>
      <c r="H79" s="64">
        <v>5.59</v>
      </c>
      <c r="I79" s="64">
        <v>1.5</v>
      </c>
      <c r="J79" s="64">
        <v>0.38</v>
      </c>
      <c r="K79" s="64">
        <v>324.79000000000002</v>
      </c>
      <c r="L79" s="64">
        <v>26.4</v>
      </c>
      <c r="M79" s="64">
        <v>36.33</v>
      </c>
      <c r="N79" s="64">
        <v>36.4</v>
      </c>
      <c r="O79" s="64">
        <v>0</v>
      </c>
      <c r="P79" s="64">
        <v>0.43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3" t="s">
        <v>2142</v>
      </c>
      <c r="B80" s="64">
        <v>4.92</v>
      </c>
      <c r="C80" s="64">
        <v>51.35</v>
      </c>
      <c r="D80" s="64">
        <v>32.93</v>
      </c>
      <c r="E80" s="64">
        <v>7.0000000000000007E-2</v>
      </c>
      <c r="F80" s="64">
        <v>3.43</v>
      </c>
      <c r="G80" s="64">
        <v>30.63</v>
      </c>
      <c r="H80" s="64">
        <v>14.23</v>
      </c>
      <c r="I80" s="64">
        <v>1.5</v>
      </c>
      <c r="J80" s="64">
        <v>0.33</v>
      </c>
      <c r="K80" s="64">
        <v>342.86</v>
      </c>
      <c r="L80" s="64">
        <v>25.93</v>
      </c>
      <c r="M80" s="64">
        <v>37.74</v>
      </c>
      <c r="N80" s="64">
        <v>26.8</v>
      </c>
      <c r="O80" s="64">
        <v>0</v>
      </c>
      <c r="P80" s="64">
        <v>0.45</v>
      </c>
      <c r="Q80" s="64">
        <v>5.21</v>
      </c>
      <c r="R80" s="198"/>
      <c r="S80" s="198"/>
      <c r="T80" s="198"/>
      <c r="U80" s="198"/>
    </row>
    <row r="81" spans="1:26" s="12" customFormat="1" x14ac:dyDescent="0.25">
      <c r="A81" s="213" t="s">
        <v>2143</v>
      </c>
      <c r="B81" s="64">
        <v>5.53</v>
      </c>
      <c r="C81" s="64">
        <v>52.2</v>
      </c>
      <c r="D81" s="64">
        <v>33.89</v>
      </c>
      <c r="E81" s="64">
        <v>0.05</v>
      </c>
      <c r="F81" s="64">
        <v>3.54</v>
      </c>
      <c r="G81" s="64">
        <v>30.63</v>
      </c>
      <c r="H81" s="64">
        <v>14.23</v>
      </c>
      <c r="I81" s="64">
        <v>1.47</v>
      </c>
      <c r="J81" s="64">
        <v>0.35</v>
      </c>
      <c r="K81" s="64">
        <v>344.75</v>
      </c>
      <c r="L81" s="64">
        <v>25.53</v>
      </c>
      <c r="M81" s="64">
        <v>38.61</v>
      </c>
      <c r="N81" s="64">
        <v>23.4</v>
      </c>
      <c r="O81" s="64">
        <v>0</v>
      </c>
      <c r="P81" s="64">
        <v>0.48</v>
      </c>
      <c r="Q81" s="64">
        <v>5.21</v>
      </c>
      <c r="R81" s="198"/>
      <c r="S81" s="198"/>
      <c r="T81" s="198"/>
      <c r="U81" s="198"/>
    </row>
    <row r="82" spans="1:26" s="12" customFormat="1" x14ac:dyDescent="0.25">
      <c r="A82" s="213" t="s">
        <v>2144</v>
      </c>
      <c r="B82" s="64">
        <v>6.24</v>
      </c>
      <c r="C82" s="64">
        <v>52.84</v>
      </c>
      <c r="D82" s="64">
        <v>34.81</v>
      </c>
      <c r="E82" s="64">
        <v>0.08</v>
      </c>
      <c r="F82" s="64">
        <v>3.4</v>
      </c>
      <c r="G82" s="64">
        <v>30.63</v>
      </c>
      <c r="H82" s="64">
        <v>14.23</v>
      </c>
      <c r="I82" s="64">
        <v>1.51</v>
      </c>
      <c r="J82" s="64">
        <v>0.28999999999999998</v>
      </c>
      <c r="K82" s="64">
        <v>327.38</v>
      </c>
      <c r="L82" s="64">
        <v>25.21</v>
      </c>
      <c r="M82" s="64">
        <v>37.479999999999997</v>
      </c>
      <c r="N82" s="64">
        <v>23</v>
      </c>
      <c r="O82" s="64">
        <v>0</v>
      </c>
      <c r="P82" s="64">
        <v>0.51</v>
      </c>
      <c r="Q82" s="64">
        <v>5.21</v>
      </c>
      <c r="R82" s="198"/>
      <c r="S82" s="198"/>
      <c r="T82" s="198"/>
      <c r="U82" s="198"/>
    </row>
    <row r="83" spans="1:26" s="12" customFormat="1" x14ac:dyDescent="0.25">
      <c r="A83" s="213" t="s">
        <v>2145</v>
      </c>
      <c r="B83" s="64">
        <v>7.47</v>
      </c>
      <c r="C83" s="64">
        <v>53.53</v>
      </c>
      <c r="D83" s="64">
        <v>36.18</v>
      </c>
      <c r="E83" s="64">
        <v>0.14000000000000001</v>
      </c>
      <c r="F83" s="64">
        <v>3.27</v>
      </c>
      <c r="G83" s="64">
        <v>32.020000000000003</v>
      </c>
      <c r="H83" s="64">
        <v>15.19</v>
      </c>
      <c r="I83" s="64">
        <v>1.56</v>
      </c>
      <c r="J83" s="64">
        <v>0.23</v>
      </c>
      <c r="K83" s="64">
        <v>322.52999999999997</v>
      </c>
      <c r="L83" s="64">
        <v>25.14</v>
      </c>
      <c r="M83" s="64">
        <v>31.31</v>
      </c>
      <c r="N83" s="64">
        <v>23.2</v>
      </c>
      <c r="O83" s="64">
        <v>0</v>
      </c>
      <c r="P83" s="64">
        <v>0.54</v>
      </c>
      <c r="Q83" s="64">
        <v>5.21</v>
      </c>
      <c r="R83" s="198"/>
      <c r="S83" s="198"/>
      <c r="T83" s="198"/>
      <c r="U83" s="198"/>
    </row>
    <row r="84" spans="1:26" s="12" customFormat="1" x14ac:dyDescent="0.25">
      <c r="A84" s="213" t="s">
        <v>2146</v>
      </c>
      <c r="B84" s="64">
        <v>8.18</v>
      </c>
      <c r="C84" s="64">
        <v>54.01</v>
      </c>
      <c r="D84" s="64">
        <v>37.01</v>
      </c>
      <c r="E84" s="64">
        <v>7.0000000000000007E-2</v>
      </c>
      <c r="F84" s="64">
        <v>3.55</v>
      </c>
      <c r="G84" s="64">
        <v>36.56</v>
      </c>
      <c r="H84" s="64">
        <v>17.440000000000001</v>
      </c>
      <c r="I84" s="64">
        <v>1.51</v>
      </c>
      <c r="J84" s="64">
        <v>0.23</v>
      </c>
      <c r="K84" s="64">
        <v>325.93</v>
      </c>
      <c r="L84" s="64">
        <v>25.06</v>
      </c>
      <c r="M84" s="64">
        <v>31.8</v>
      </c>
      <c r="N84" s="64">
        <v>23.1</v>
      </c>
      <c r="O84" s="64">
        <v>0</v>
      </c>
      <c r="P84" s="64">
        <v>0.56999999999999995</v>
      </c>
      <c r="Q84" s="64">
        <v>5.21</v>
      </c>
      <c r="R84" s="198"/>
      <c r="S84" s="198"/>
      <c r="T84" s="198"/>
      <c r="U84" s="198"/>
    </row>
    <row r="85" spans="1:26" s="12" customFormat="1" x14ac:dyDescent="0.25">
      <c r="A85" s="213" t="s">
        <v>2147</v>
      </c>
      <c r="B85" s="64">
        <v>8.49</v>
      </c>
      <c r="C85" s="64">
        <v>53.12</v>
      </c>
      <c r="D85" s="64">
        <v>36.770000000000003</v>
      </c>
      <c r="E85" s="64">
        <v>0.1</v>
      </c>
      <c r="F85" s="64">
        <v>3.39</v>
      </c>
      <c r="G85" s="64">
        <v>36.56</v>
      </c>
      <c r="H85" s="64">
        <v>17.440000000000001</v>
      </c>
      <c r="I85" s="64">
        <v>1.45</v>
      </c>
      <c r="J85" s="64">
        <v>0.22</v>
      </c>
      <c r="K85" s="64">
        <v>313.16000000000003</v>
      </c>
      <c r="L85" s="64">
        <v>24.77</v>
      </c>
      <c r="M85" s="64">
        <v>33.11</v>
      </c>
      <c r="N85" s="64">
        <v>23.1</v>
      </c>
      <c r="O85" s="64">
        <v>0</v>
      </c>
      <c r="P85" s="64">
        <v>0.62</v>
      </c>
      <c r="Q85" s="64">
        <v>5.21</v>
      </c>
      <c r="R85" s="198"/>
      <c r="S85" s="198"/>
      <c r="T85" s="198"/>
      <c r="U85" s="198"/>
    </row>
    <row r="86" spans="1:26" s="12" customFormat="1" x14ac:dyDescent="0.25">
      <c r="A86" s="213" t="s">
        <v>2148</v>
      </c>
      <c r="B86" s="64">
        <v>9.42</v>
      </c>
      <c r="C86" s="64">
        <v>52.42</v>
      </c>
      <c r="D86" s="64">
        <v>37.130000000000003</v>
      </c>
      <c r="E86" s="64">
        <v>7.0000000000000007E-2</v>
      </c>
      <c r="F86" s="64">
        <v>3.67</v>
      </c>
      <c r="G86" s="64">
        <v>36.56</v>
      </c>
      <c r="H86" s="64">
        <v>17.440000000000001</v>
      </c>
      <c r="I86" s="64">
        <v>1.54</v>
      </c>
      <c r="J86" s="64">
        <v>0.14000000000000001</v>
      </c>
      <c r="K86" s="64">
        <v>319</v>
      </c>
      <c r="L86" s="64">
        <v>24.52</v>
      </c>
      <c r="M86" s="64">
        <v>33.6</v>
      </c>
      <c r="N86" s="64">
        <v>23.5</v>
      </c>
      <c r="O86" s="64">
        <v>0</v>
      </c>
      <c r="P86" s="64">
        <v>0.68</v>
      </c>
      <c r="Q86" s="64">
        <v>5.21</v>
      </c>
      <c r="R86" s="198"/>
      <c r="S86" s="198"/>
      <c r="T86" s="198"/>
      <c r="U86" s="198"/>
    </row>
    <row r="87" spans="1:26" s="12" customFormat="1" x14ac:dyDescent="0.25">
      <c r="A87" s="213" t="s">
        <v>2149</v>
      </c>
      <c r="B87" s="64">
        <v>11.41</v>
      </c>
      <c r="C87" s="64">
        <v>52.18</v>
      </c>
      <c r="D87" s="64">
        <v>38.590000000000003</v>
      </c>
      <c r="E87" s="64">
        <v>0.03</v>
      </c>
      <c r="F87" s="64">
        <v>3.3</v>
      </c>
      <c r="G87" s="64">
        <v>38.29</v>
      </c>
      <c r="H87" s="64">
        <v>16.559999999999999</v>
      </c>
      <c r="I87" s="64">
        <v>1.49</v>
      </c>
      <c r="J87" s="64">
        <v>0.16</v>
      </c>
      <c r="K87" s="64">
        <v>284.31</v>
      </c>
      <c r="L87" s="64">
        <v>24.13</v>
      </c>
      <c r="M87" s="64">
        <v>35.03</v>
      </c>
      <c r="N87" s="64">
        <v>23.6</v>
      </c>
      <c r="O87" s="64">
        <v>0</v>
      </c>
      <c r="P87" s="64">
        <v>0.78</v>
      </c>
      <c r="Q87" s="64">
        <v>5.21</v>
      </c>
      <c r="R87" s="198"/>
      <c r="S87" s="198"/>
      <c r="T87" s="198"/>
      <c r="U87" s="198"/>
    </row>
    <row r="88" spans="1:26" s="12" customFormat="1" x14ac:dyDescent="0.25">
      <c r="A88" s="213" t="s">
        <v>2150</v>
      </c>
      <c r="B88" s="64">
        <v>14.37</v>
      </c>
      <c r="C88" s="64">
        <v>52.59</v>
      </c>
      <c r="D88" s="64">
        <v>41.19</v>
      </c>
      <c r="E88" s="64">
        <v>7.0000000000000007E-2</v>
      </c>
      <c r="F88" s="64">
        <v>3.01</v>
      </c>
      <c r="G88" s="64">
        <v>44.35</v>
      </c>
      <c r="H88" s="64">
        <v>12.43</v>
      </c>
      <c r="I88" s="64">
        <v>1.53</v>
      </c>
      <c r="J88" s="64">
        <v>0.14000000000000001</v>
      </c>
      <c r="K88" s="64">
        <v>276.89</v>
      </c>
      <c r="L88" s="64">
        <v>23.75</v>
      </c>
      <c r="M88" s="64">
        <v>36.229999999999997</v>
      </c>
      <c r="N88" s="64">
        <v>23.5</v>
      </c>
      <c r="O88" s="64">
        <v>0</v>
      </c>
      <c r="P88" s="64">
        <v>0.84</v>
      </c>
      <c r="Q88" s="64">
        <v>5.21</v>
      </c>
      <c r="R88" s="198"/>
      <c r="S88" s="198"/>
      <c r="T88" s="198"/>
      <c r="U88" s="198"/>
    </row>
    <row r="89" spans="1:26" s="12" customFormat="1" x14ac:dyDescent="0.25">
      <c r="A89" s="213" t="s">
        <v>2151</v>
      </c>
      <c r="B89" s="64">
        <v>16.690000000000001</v>
      </c>
      <c r="C89" s="64">
        <v>52.12</v>
      </c>
      <c r="D89" s="64">
        <v>42.79</v>
      </c>
      <c r="E89" s="64">
        <v>0.03</v>
      </c>
      <c r="F89" s="64">
        <v>3.49</v>
      </c>
      <c r="G89" s="64">
        <v>44.35</v>
      </c>
      <c r="H89" s="64">
        <v>12.43</v>
      </c>
      <c r="I89" s="64">
        <v>1.51</v>
      </c>
      <c r="J89" s="64">
        <v>0.16</v>
      </c>
      <c r="K89" s="64">
        <v>281.62</v>
      </c>
      <c r="L89" s="64">
        <v>23.47</v>
      </c>
      <c r="M89" s="64">
        <v>37.049999999999997</v>
      </c>
      <c r="N89" s="64">
        <v>23.4</v>
      </c>
      <c r="O89" s="64">
        <v>0</v>
      </c>
      <c r="P89" s="64">
        <v>0.9</v>
      </c>
      <c r="Q89" s="64">
        <v>5.21</v>
      </c>
      <c r="R89" s="198"/>
      <c r="S89" s="198"/>
      <c r="T89" s="198"/>
      <c r="U89" s="198"/>
    </row>
    <row r="90" spans="1:26" s="12" customFormat="1" x14ac:dyDescent="0.25">
      <c r="A90" s="213" t="s">
        <v>2152</v>
      </c>
      <c r="B90" s="64">
        <v>18.84</v>
      </c>
      <c r="C90" s="64">
        <v>52.03</v>
      </c>
      <c r="D90" s="64">
        <v>44.47</v>
      </c>
      <c r="E90" s="64">
        <v>0.09</v>
      </c>
      <c r="F90" s="64">
        <v>3.09</v>
      </c>
      <c r="G90" s="64">
        <v>44.35</v>
      </c>
      <c r="H90" s="64">
        <v>12.43</v>
      </c>
      <c r="I90" s="64">
        <v>1.43</v>
      </c>
      <c r="J90" s="64">
        <v>0.1</v>
      </c>
      <c r="K90" s="64">
        <v>258.95</v>
      </c>
      <c r="L90" s="64">
        <v>23.28</v>
      </c>
      <c r="M90" s="64">
        <v>36.729999999999997</v>
      </c>
      <c r="N90" s="64">
        <v>23.6</v>
      </c>
      <c r="O90" s="64">
        <v>0</v>
      </c>
      <c r="P90" s="64">
        <v>0.93</v>
      </c>
      <c r="Q90" s="64">
        <v>5.21</v>
      </c>
      <c r="R90" s="198"/>
      <c r="S90" s="198"/>
      <c r="T90" s="198"/>
      <c r="U90" s="198"/>
    </row>
    <row r="91" spans="1:26" s="12" customFormat="1" x14ac:dyDescent="0.25">
      <c r="A91" s="213" t="s">
        <v>2153</v>
      </c>
      <c r="B91" s="64">
        <v>20.73</v>
      </c>
      <c r="C91" s="64">
        <v>52.24</v>
      </c>
      <c r="D91" s="64">
        <v>46.1</v>
      </c>
      <c r="E91" s="64">
        <v>0.14000000000000001</v>
      </c>
      <c r="F91" s="64">
        <v>3.08</v>
      </c>
      <c r="G91" s="64">
        <v>48.54</v>
      </c>
      <c r="H91" s="64">
        <v>15.25</v>
      </c>
      <c r="I91" s="64">
        <v>1.44</v>
      </c>
      <c r="J91" s="64">
        <v>0.09</v>
      </c>
      <c r="K91" s="64">
        <v>236.78</v>
      </c>
      <c r="L91" s="64">
        <v>23.11</v>
      </c>
      <c r="M91" s="64">
        <v>37.22</v>
      </c>
      <c r="N91" s="64">
        <v>23.4</v>
      </c>
      <c r="O91" s="64">
        <v>0</v>
      </c>
      <c r="P91" s="64">
        <v>0.93</v>
      </c>
      <c r="Q91" s="64">
        <v>5.21</v>
      </c>
      <c r="R91" s="198"/>
      <c r="S91" s="198"/>
      <c r="T91" s="198"/>
      <c r="U91" s="198"/>
    </row>
    <row r="92" spans="1:26" s="12" customFormat="1" x14ac:dyDescent="0.25">
      <c r="A92" s="213" t="s">
        <v>2154</v>
      </c>
      <c r="B92" s="64">
        <v>22.37</v>
      </c>
      <c r="C92" s="64">
        <v>52.04</v>
      </c>
      <c r="D92" s="64">
        <v>47.3</v>
      </c>
      <c r="E92" s="64">
        <v>0.15</v>
      </c>
      <c r="F92" s="64">
        <v>3.15</v>
      </c>
      <c r="G92" s="64">
        <v>62.31</v>
      </c>
      <c r="H92" s="64">
        <v>21.88</v>
      </c>
      <c r="I92" s="64">
        <v>1.52</v>
      </c>
      <c r="J92" s="64">
        <v>0.06</v>
      </c>
      <c r="K92" s="64">
        <v>256.64999999999998</v>
      </c>
      <c r="L92" s="64">
        <v>22.87</v>
      </c>
      <c r="M92" s="64">
        <v>38.22</v>
      </c>
      <c r="N92" s="64">
        <v>23.5</v>
      </c>
      <c r="O92" s="64">
        <v>0</v>
      </c>
      <c r="P92" s="64">
        <v>0.89</v>
      </c>
      <c r="Q92" s="64">
        <v>5.21</v>
      </c>
      <c r="R92" s="198"/>
      <c r="S92" s="198"/>
      <c r="T92" s="198"/>
      <c r="U92" s="198"/>
    </row>
    <row r="93" spans="1:26" s="12" customFormat="1" x14ac:dyDescent="0.25">
      <c r="A93" s="213" t="s">
        <v>2155</v>
      </c>
      <c r="B93" s="64">
        <v>25.78</v>
      </c>
      <c r="C93" s="64">
        <v>52.47</v>
      </c>
      <c r="D93" s="64">
        <v>50.28</v>
      </c>
      <c r="E93" s="64">
        <v>0.2</v>
      </c>
      <c r="F93" s="64">
        <v>2.99</v>
      </c>
      <c r="G93" s="64">
        <v>62.31</v>
      </c>
      <c r="H93" s="64">
        <v>21.88</v>
      </c>
      <c r="I93" s="64">
        <v>1.45</v>
      </c>
      <c r="J93" s="64">
        <v>0.21</v>
      </c>
      <c r="K93" s="64">
        <v>216</v>
      </c>
      <c r="L93" s="64">
        <v>22.49</v>
      </c>
      <c r="M93" s="64">
        <v>43.27</v>
      </c>
      <c r="N93" s="64">
        <v>23.1</v>
      </c>
      <c r="O93" s="64">
        <v>0</v>
      </c>
      <c r="P93" s="64">
        <v>0.94</v>
      </c>
      <c r="Q93" s="64">
        <v>5.21</v>
      </c>
      <c r="R93" s="198"/>
      <c r="S93" s="198"/>
      <c r="T93" s="198"/>
      <c r="U93" s="198"/>
    </row>
    <row r="94" spans="1:26" s="12" customFormat="1" x14ac:dyDescent="0.25">
      <c r="A94" s="213" t="s">
        <v>2156</v>
      </c>
      <c r="B94" s="64">
        <v>34.69</v>
      </c>
      <c r="C94" s="64">
        <v>54.74</v>
      </c>
      <c r="D94" s="64">
        <v>58.67</v>
      </c>
      <c r="E94" s="64">
        <v>0.17</v>
      </c>
      <c r="F94" s="64">
        <v>2.86</v>
      </c>
      <c r="G94" s="64">
        <v>62.31</v>
      </c>
      <c r="H94" s="64">
        <v>21.88</v>
      </c>
      <c r="I94" s="64">
        <v>1.57</v>
      </c>
      <c r="J94" s="64">
        <v>0.14000000000000001</v>
      </c>
      <c r="K94" s="64">
        <v>296.12</v>
      </c>
      <c r="L94" s="64">
        <v>21.89</v>
      </c>
      <c r="M94" s="64">
        <v>46.83</v>
      </c>
      <c r="N94" s="64">
        <v>23.7</v>
      </c>
      <c r="O94" s="64">
        <v>0</v>
      </c>
      <c r="P94" s="64">
        <v>1.01</v>
      </c>
      <c r="Q94" s="64">
        <v>5.86</v>
      </c>
      <c r="R94" s="198"/>
      <c r="S94" s="198"/>
      <c r="T94" s="198"/>
      <c r="U94" s="198"/>
    </row>
    <row r="95" spans="1:26" s="12" customFormat="1" x14ac:dyDescent="0.25">
      <c r="A95" s="213" t="s">
        <v>2157</v>
      </c>
      <c r="B95" s="64">
        <v>43.87</v>
      </c>
      <c r="C95" s="64">
        <v>56.65</v>
      </c>
      <c r="D95" s="64">
        <v>67.09</v>
      </c>
      <c r="E95" s="64">
        <v>0.21</v>
      </c>
      <c r="F95" s="64">
        <v>3.14</v>
      </c>
      <c r="G95" s="64">
        <v>66.8</v>
      </c>
      <c r="H95" s="64">
        <v>24.98</v>
      </c>
      <c r="I95" s="64">
        <v>1.42</v>
      </c>
      <c r="J95" s="64">
        <v>0.05</v>
      </c>
      <c r="K95" s="64">
        <v>236.12</v>
      </c>
      <c r="L95" s="64">
        <v>21.11</v>
      </c>
      <c r="M95" s="64">
        <v>49.42</v>
      </c>
      <c r="N95" s="64">
        <v>23.9</v>
      </c>
      <c r="O95" s="64">
        <v>0</v>
      </c>
      <c r="P95" s="64">
        <v>1.08</v>
      </c>
      <c r="Q95" s="64">
        <v>6.89</v>
      </c>
      <c r="R95" s="198"/>
      <c r="S95" s="198"/>
      <c r="T95" s="198"/>
      <c r="U95" s="198"/>
    </row>
    <row r="96" spans="1:26" s="12" customFormat="1" x14ac:dyDescent="0.25">
      <c r="A96" s="213" t="s">
        <v>2158</v>
      </c>
      <c r="B96" s="64">
        <v>51.05</v>
      </c>
      <c r="C96" s="64">
        <v>57.77</v>
      </c>
      <c r="D96" s="64">
        <v>73.459999999999994</v>
      </c>
      <c r="E96" s="64">
        <v>0.19</v>
      </c>
      <c r="F96" s="64">
        <v>3.38</v>
      </c>
      <c r="G96" s="64">
        <v>81.569999999999993</v>
      </c>
      <c r="H96" s="64">
        <v>32.28</v>
      </c>
      <c r="I96" s="64">
        <v>1.55</v>
      </c>
      <c r="J96" s="64">
        <v>0.12</v>
      </c>
      <c r="K96" s="64">
        <v>229.66</v>
      </c>
      <c r="L96" s="64">
        <v>21.42</v>
      </c>
      <c r="M96" s="64">
        <v>51.86</v>
      </c>
      <c r="N96" s="64">
        <v>22.9</v>
      </c>
      <c r="O96" s="64">
        <v>0</v>
      </c>
      <c r="P96" s="64">
        <v>1.1100000000000001</v>
      </c>
      <c r="Q96" s="64">
        <v>7.49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2159</v>
      </c>
      <c r="B97" s="64">
        <v>57.74</v>
      </c>
      <c r="C97" s="64">
        <v>58.22</v>
      </c>
      <c r="D97" s="64">
        <v>79.08</v>
      </c>
      <c r="E97" s="64">
        <v>0.22</v>
      </c>
      <c r="F97" s="64">
        <v>2.99</v>
      </c>
      <c r="G97" s="64">
        <v>81.569999999999993</v>
      </c>
      <c r="H97" s="64">
        <v>32.28</v>
      </c>
      <c r="I97" s="64">
        <v>1.51</v>
      </c>
      <c r="J97" s="64">
        <v>0.17</v>
      </c>
      <c r="K97" s="64">
        <v>349.49</v>
      </c>
      <c r="L97" s="64">
        <v>21.1</v>
      </c>
      <c r="M97" s="64">
        <v>56.18</v>
      </c>
      <c r="N97" s="64">
        <v>23.6</v>
      </c>
      <c r="O97" s="64">
        <v>0</v>
      </c>
      <c r="P97" s="64">
        <v>1.18</v>
      </c>
      <c r="Q97" s="64">
        <v>7.98</v>
      </c>
      <c r="R97" s="198"/>
      <c r="S97" s="198"/>
      <c r="T97" s="198"/>
      <c r="U97" s="198"/>
    </row>
    <row r="98" spans="1:33" s="12" customFormat="1" x14ac:dyDescent="0.25">
      <c r="A98" s="213" t="s">
        <v>2160</v>
      </c>
      <c r="B98" s="64">
        <v>64.540000000000006</v>
      </c>
      <c r="C98" s="64">
        <v>59.15</v>
      </c>
      <c r="D98" s="64">
        <v>85.05</v>
      </c>
      <c r="E98" s="64">
        <v>0.21</v>
      </c>
      <c r="F98" s="64">
        <v>3.06</v>
      </c>
      <c r="G98" s="64">
        <v>81.569999999999993</v>
      </c>
      <c r="H98" s="64">
        <v>32.28</v>
      </c>
      <c r="I98" s="64">
        <v>1.53</v>
      </c>
      <c r="J98" s="64">
        <v>0.17</v>
      </c>
      <c r="K98" s="64">
        <v>271.33</v>
      </c>
      <c r="L98" s="64">
        <v>20.64</v>
      </c>
      <c r="M98" s="64">
        <v>53.94</v>
      </c>
      <c r="N98" s="64">
        <v>23.1</v>
      </c>
      <c r="O98" s="64">
        <v>0</v>
      </c>
      <c r="P98" s="64">
        <v>1.24</v>
      </c>
      <c r="Q98" s="64">
        <v>8.5</v>
      </c>
      <c r="R98" s="198"/>
      <c r="S98" s="198"/>
      <c r="T98" s="198"/>
      <c r="U98" s="198"/>
    </row>
    <row r="99" spans="1:33" s="12" customFormat="1" x14ac:dyDescent="0.25">
      <c r="A99" s="213" t="s">
        <v>2161</v>
      </c>
      <c r="B99" s="64">
        <v>67.040000000000006</v>
      </c>
      <c r="C99" s="64">
        <v>58.44</v>
      </c>
      <c r="D99" s="64">
        <v>86.66</v>
      </c>
      <c r="E99" s="64">
        <v>0.21</v>
      </c>
      <c r="F99" s="64">
        <v>3.04</v>
      </c>
      <c r="G99" s="64">
        <v>84.49</v>
      </c>
      <c r="H99" s="64">
        <v>32.340000000000003</v>
      </c>
      <c r="I99" s="64">
        <v>1.51</v>
      </c>
      <c r="J99" s="64">
        <v>0.09</v>
      </c>
      <c r="K99" s="64">
        <v>288.19</v>
      </c>
      <c r="L99" s="64">
        <v>20.350000000000001</v>
      </c>
      <c r="M99" s="64">
        <v>58.09</v>
      </c>
      <c r="N99" s="64">
        <v>23.4</v>
      </c>
      <c r="O99" s="64">
        <v>0</v>
      </c>
      <c r="P99" s="64">
        <v>1.27</v>
      </c>
      <c r="Q99" s="64">
        <v>8.86</v>
      </c>
      <c r="R99" s="198"/>
      <c r="S99" s="198"/>
      <c r="T99" s="198"/>
      <c r="U99" s="198"/>
    </row>
    <row r="100" spans="1:33" s="12" customFormat="1" x14ac:dyDescent="0.25">
      <c r="A100" s="213" t="s">
        <v>2162</v>
      </c>
      <c r="B100" s="64">
        <v>68.75</v>
      </c>
      <c r="C100" s="64">
        <v>58.39</v>
      </c>
      <c r="D100" s="64">
        <v>88</v>
      </c>
      <c r="E100" s="64">
        <v>0.19</v>
      </c>
      <c r="F100" s="64">
        <v>3.21</v>
      </c>
      <c r="G100" s="64">
        <v>94.09</v>
      </c>
      <c r="H100" s="64">
        <v>32.5</v>
      </c>
      <c r="I100" s="64">
        <v>1.51</v>
      </c>
      <c r="J100" s="64">
        <v>0.42</v>
      </c>
      <c r="K100" s="64">
        <v>162.72</v>
      </c>
      <c r="L100" s="64">
        <v>20.84</v>
      </c>
      <c r="M100" s="64">
        <v>51.95</v>
      </c>
      <c r="N100" s="64">
        <v>21.9</v>
      </c>
      <c r="O100" s="64">
        <v>0</v>
      </c>
      <c r="P100" s="64">
        <v>1.29</v>
      </c>
      <c r="Q100" s="64">
        <v>9.1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2163</v>
      </c>
      <c r="B101" s="64">
        <v>66.03</v>
      </c>
      <c r="C101" s="64">
        <v>57.43</v>
      </c>
      <c r="D101" s="64">
        <v>85.29</v>
      </c>
      <c r="E101" s="64">
        <v>0.26</v>
      </c>
      <c r="F101" s="64">
        <v>3.04</v>
      </c>
      <c r="G101" s="64">
        <v>94.09</v>
      </c>
      <c r="H101" s="64">
        <v>32.5</v>
      </c>
      <c r="I101" s="64">
        <v>1.5</v>
      </c>
      <c r="J101" s="64">
        <v>0.88</v>
      </c>
      <c r="K101" s="64">
        <v>154.44999999999999</v>
      </c>
      <c r="L101" s="64">
        <v>21.36</v>
      </c>
      <c r="M101" s="64">
        <v>48.94</v>
      </c>
      <c r="N101" s="64">
        <v>22.1</v>
      </c>
      <c r="O101" s="64">
        <v>0</v>
      </c>
      <c r="P101" s="64">
        <v>1.24</v>
      </c>
      <c r="Q101" s="64">
        <v>9.16</v>
      </c>
      <c r="R101" s="198"/>
      <c r="S101" s="198"/>
      <c r="T101" s="198"/>
      <c r="U101" s="198"/>
    </row>
    <row r="102" spans="1:33" s="12" customFormat="1" x14ac:dyDescent="0.25">
      <c r="A102" s="213" t="s">
        <v>2164</v>
      </c>
      <c r="B102" s="64">
        <v>61.54</v>
      </c>
      <c r="C102" s="64">
        <v>56.61</v>
      </c>
      <c r="D102" s="64">
        <v>81.23</v>
      </c>
      <c r="E102" s="64">
        <v>0.22</v>
      </c>
      <c r="F102" s="64">
        <v>3.08</v>
      </c>
      <c r="G102" s="64">
        <v>94.09</v>
      </c>
      <c r="H102" s="64">
        <v>32.5</v>
      </c>
      <c r="I102" s="64">
        <v>1.55</v>
      </c>
      <c r="J102" s="64">
        <v>0.28999999999999998</v>
      </c>
      <c r="K102" s="64">
        <v>160.09</v>
      </c>
      <c r="L102" s="64">
        <v>21.12</v>
      </c>
      <c r="M102" s="64">
        <v>49.69</v>
      </c>
      <c r="N102" s="64">
        <v>23.3</v>
      </c>
      <c r="O102" s="64">
        <v>0</v>
      </c>
      <c r="P102" s="64">
        <v>1.19</v>
      </c>
      <c r="Q102" s="64">
        <v>8.93</v>
      </c>
      <c r="R102" s="198"/>
      <c r="S102" s="198"/>
      <c r="T102" s="198"/>
      <c r="U102" s="198"/>
    </row>
    <row r="103" spans="1:33" s="12" customFormat="1" x14ac:dyDescent="0.25">
      <c r="A103" s="213" t="s">
        <v>2165</v>
      </c>
      <c r="B103" s="64">
        <v>58.39</v>
      </c>
      <c r="C103" s="64">
        <v>53.82</v>
      </c>
      <c r="D103" s="64">
        <v>77.17</v>
      </c>
      <c r="E103" s="64">
        <v>0.2</v>
      </c>
      <c r="F103" s="64">
        <v>3.11</v>
      </c>
      <c r="G103" s="64">
        <v>89.3</v>
      </c>
      <c r="H103" s="64">
        <v>31.5</v>
      </c>
      <c r="I103" s="64">
        <v>1.51</v>
      </c>
      <c r="J103" s="64">
        <v>0.26</v>
      </c>
      <c r="K103" s="64">
        <v>344.21</v>
      </c>
      <c r="L103" s="64">
        <v>20.350000000000001</v>
      </c>
      <c r="M103" s="64">
        <v>57.01</v>
      </c>
      <c r="N103" s="64">
        <v>24</v>
      </c>
      <c r="O103" s="64">
        <v>0</v>
      </c>
      <c r="P103" s="64">
        <v>1.1499999999999999</v>
      </c>
      <c r="Q103" s="64">
        <v>8.4600000000000009</v>
      </c>
      <c r="R103" s="198"/>
      <c r="S103" s="198"/>
      <c r="T103" s="198"/>
      <c r="U103" s="198"/>
    </row>
    <row r="104" spans="1:33" s="12" customFormat="1" x14ac:dyDescent="0.25">
      <c r="A104" s="213" t="s">
        <v>2166</v>
      </c>
      <c r="B104" s="64">
        <v>57.22</v>
      </c>
      <c r="C104" s="64">
        <v>52.32</v>
      </c>
      <c r="D104" s="64">
        <v>75.41</v>
      </c>
      <c r="E104" s="64">
        <v>0.03</v>
      </c>
      <c r="F104" s="64">
        <v>3.11</v>
      </c>
      <c r="G104" s="64">
        <v>73.56</v>
      </c>
      <c r="H104" s="64">
        <v>26.82</v>
      </c>
      <c r="I104" s="64">
        <v>1.44</v>
      </c>
      <c r="J104" s="64">
        <v>0.08</v>
      </c>
      <c r="K104" s="64">
        <v>299.89999999999998</v>
      </c>
      <c r="L104" s="64">
        <v>19.75</v>
      </c>
      <c r="M104" s="64">
        <v>57.19</v>
      </c>
      <c r="N104" s="64">
        <v>23.5</v>
      </c>
      <c r="O104" s="64">
        <v>0</v>
      </c>
      <c r="P104" s="64">
        <v>1.1399999999999999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1.65</v>
      </c>
      <c r="C106" s="67">
        <f>MIN(C9:C104)</f>
        <v>40</v>
      </c>
      <c r="D106" s="67">
        <f t="shared" ref="D106:Q106" si="0">MIN(D9:D104)</f>
        <v>29.54</v>
      </c>
      <c r="E106" s="67">
        <f t="shared" si="0"/>
        <v>0.01</v>
      </c>
      <c r="F106" s="67">
        <f t="shared" si="0"/>
        <v>2.72</v>
      </c>
      <c r="G106" s="67">
        <f t="shared" si="0"/>
        <v>26.59</v>
      </c>
      <c r="H106" s="67">
        <f t="shared" si="0"/>
        <v>1.91</v>
      </c>
      <c r="I106" s="67">
        <f t="shared" si="0"/>
        <v>1.4</v>
      </c>
      <c r="J106" s="67">
        <f t="shared" si="0"/>
        <v>0.01</v>
      </c>
      <c r="K106" s="67">
        <f t="shared" si="0"/>
        <v>8.58</v>
      </c>
      <c r="L106" s="67">
        <f t="shared" si="0"/>
        <v>18.7</v>
      </c>
      <c r="M106" s="67">
        <f t="shared" si="0"/>
        <v>17.7</v>
      </c>
      <c r="N106" s="67">
        <f t="shared" si="0"/>
        <v>20</v>
      </c>
      <c r="O106" s="67">
        <f t="shared" si="0"/>
        <v>0</v>
      </c>
      <c r="P106" s="67">
        <f t="shared" si="0"/>
        <v>0.35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68.75</v>
      </c>
      <c r="C107" s="66">
        <f t="shared" ref="C107:Q107" si="1">MAX(C9:C104)</f>
        <v>63.64</v>
      </c>
      <c r="D107" s="66">
        <f t="shared" si="1"/>
        <v>88</v>
      </c>
      <c r="E107" s="66">
        <f t="shared" si="1"/>
        <v>0.3</v>
      </c>
      <c r="F107" s="66">
        <f t="shared" si="1"/>
        <v>8.01</v>
      </c>
      <c r="G107" s="66">
        <f t="shared" si="1"/>
        <v>95.28</v>
      </c>
      <c r="H107" s="66">
        <f t="shared" si="1"/>
        <v>136.30000000000001</v>
      </c>
      <c r="I107" s="66">
        <f t="shared" si="1"/>
        <v>1.61</v>
      </c>
      <c r="J107" s="66">
        <f t="shared" si="1"/>
        <v>1.17</v>
      </c>
      <c r="K107" s="66">
        <f t="shared" si="1"/>
        <v>349.49</v>
      </c>
      <c r="L107" s="66">
        <f t="shared" si="1"/>
        <v>34.25</v>
      </c>
      <c r="M107" s="66">
        <f t="shared" si="1"/>
        <v>85.27</v>
      </c>
      <c r="N107" s="66">
        <f t="shared" si="1"/>
        <v>799.9</v>
      </c>
      <c r="O107" s="66">
        <f t="shared" si="1"/>
        <v>0</v>
      </c>
      <c r="P107" s="66">
        <f t="shared" si="1"/>
        <v>1.56</v>
      </c>
      <c r="Q107" s="66">
        <f t="shared" si="1"/>
        <v>9.16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22.099166666666672</v>
      </c>
      <c r="C108" s="67">
        <f t="shared" ref="C108:Q108" si="2">AVERAGE(C9:C104)</f>
        <v>50.426979166666662</v>
      </c>
      <c r="D108" s="67">
        <f t="shared" si="2"/>
        <v>46.196562500000006</v>
      </c>
      <c r="E108" s="67">
        <f t="shared" si="2"/>
        <v>0.13936170212765958</v>
      </c>
      <c r="F108" s="67">
        <f t="shared" si="2"/>
        <v>4.1327083333333343</v>
      </c>
      <c r="G108" s="67">
        <f t="shared" si="2"/>
        <v>54.186666666666667</v>
      </c>
      <c r="H108" s="67">
        <f t="shared" si="2"/>
        <v>31.596354166666682</v>
      </c>
      <c r="I108" s="67">
        <f t="shared" si="2"/>
        <v>1.4960416666666665</v>
      </c>
      <c r="J108" s="67">
        <f t="shared" si="2"/>
        <v>0.3206250000000001</v>
      </c>
      <c r="K108" s="67">
        <f t="shared" si="2"/>
        <v>218.79510416666668</v>
      </c>
      <c r="L108" s="67">
        <f t="shared" si="2"/>
        <v>24.659375000000001</v>
      </c>
      <c r="M108" s="67">
        <f t="shared" si="2"/>
        <v>47.290312499999999</v>
      </c>
      <c r="N108" s="67">
        <f t="shared" si="2"/>
        <v>213.51979166666669</v>
      </c>
      <c r="O108" s="67">
        <f t="shared" si="2"/>
        <v>0</v>
      </c>
      <c r="P108" s="67">
        <f t="shared" si="2"/>
        <v>0.77187499999999976</v>
      </c>
      <c r="Q108" s="67">
        <f t="shared" si="2"/>
        <v>5.8501041666666582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19.572765593611347</v>
      </c>
      <c r="C109" s="67">
        <f t="shared" ref="C109:Q109" si="3">STDEV(C9:C104)</f>
        <v>5.9517901985858357</v>
      </c>
      <c r="D109" s="67">
        <f t="shared" si="3"/>
        <v>15.75729517452486</v>
      </c>
      <c r="E109" s="67">
        <f t="shared" si="3"/>
        <v>8.8655531404896015E-2</v>
      </c>
      <c r="F109" s="67">
        <f t="shared" si="3"/>
        <v>1.3105920551749526</v>
      </c>
      <c r="G109" s="67">
        <f t="shared" si="3"/>
        <v>19.235722561321712</v>
      </c>
      <c r="H109" s="67">
        <f t="shared" si="3"/>
        <v>28.765019330678331</v>
      </c>
      <c r="I109" s="67">
        <f t="shared" si="3"/>
        <v>4.3078365962917996E-2</v>
      </c>
      <c r="J109" s="67">
        <f t="shared" si="3"/>
        <v>0.28444521255835598</v>
      </c>
      <c r="K109" s="67">
        <f t="shared" si="3"/>
        <v>119.58036489055152</v>
      </c>
      <c r="L109" s="67">
        <f t="shared" si="3"/>
        <v>4.8295676634445632</v>
      </c>
      <c r="M109" s="67">
        <f t="shared" si="3"/>
        <v>20.405846915096831</v>
      </c>
      <c r="N109" s="67">
        <f t="shared" si="3"/>
        <v>281.67255293665181</v>
      </c>
      <c r="O109" s="67">
        <f t="shared" si="3"/>
        <v>0</v>
      </c>
      <c r="P109" s="67">
        <f t="shared" si="3"/>
        <v>0.33482222305670212</v>
      </c>
      <c r="Q109" s="67">
        <f t="shared" si="3"/>
        <v>1.1110492857434224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>COUNT(E9:E104)+2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1" sqref="P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2167</v>
      </c>
      <c r="B9" s="64">
        <v>55.71</v>
      </c>
      <c r="C9" s="64">
        <v>51.94</v>
      </c>
      <c r="D9" s="64">
        <v>73.989999999999995</v>
      </c>
      <c r="E9" s="64">
        <v>0.12</v>
      </c>
      <c r="F9" s="64">
        <v>3.27</v>
      </c>
      <c r="G9" s="64">
        <v>73.56</v>
      </c>
      <c r="H9" s="64">
        <v>26.82</v>
      </c>
      <c r="I9" s="64">
        <v>1.54</v>
      </c>
      <c r="J9" s="64">
        <v>0.09</v>
      </c>
      <c r="K9" s="64">
        <v>227.68</v>
      </c>
      <c r="L9" s="64">
        <v>20.36</v>
      </c>
      <c r="M9" s="64">
        <v>54.23</v>
      </c>
      <c r="N9" s="64">
        <v>22.8</v>
      </c>
      <c r="O9" s="64">
        <v>0</v>
      </c>
      <c r="P9" s="64">
        <v>1.1200000000000001</v>
      </c>
      <c r="Q9" s="64">
        <v>8.17</v>
      </c>
      <c r="R9" s="198"/>
      <c r="S9" s="198"/>
      <c r="T9" s="198"/>
      <c r="U9" s="198"/>
    </row>
    <row r="10" spans="1:21" s="12" customFormat="1" x14ac:dyDescent="0.25">
      <c r="A10" s="213" t="s">
        <v>2168</v>
      </c>
      <c r="B10" s="64">
        <v>53.53</v>
      </c>
      <c r="C10" s="64">
        <v>51.37</v>
      </c>
      <c r="D10" s="64">
        <v>71.930000000000007</v>
      </c>
      <c r="E10" s="64">
        <v>0.11</v>
      </c>
      <c r="F10" s="64">
        <v>3.3</v>
      </c>
      <c r="G10" s="64">
        <v>73.56</v>
      </c>
      <c r="H10" s="64">
        <v>26.82</v>
      </c>
      <c r="I10" s="64">
        <v>1.47</v>
      </c>
      <c r="J10" s="64">
        <v>7.0000000000000007E-2</v>
      </c>
      <c r="K10" s="64">
        <v>301.39</v>
      </c>
      <c r="L10" s="64">
        <v>20.37</v>
      </c>
      <c r="M10" s="64">
        <v>56.05</v>
      </c>
      <c r="N10" s="64">
        <v>23.2</v>
      </c>
      <c r="O10" s="64">
        <v>0</v>
      </c>
      <c r="P10" s="64">
        <v>1.0900000000000001</v>
      </c>
      <c r="Q10" s="64">
        <v>8.14</v>
      </c>
      <c r="R10" s="198"/>
      <c r="S10" s="198"/>
      <c r="T10" s="198"/>
      <c r="U10" s="198"/>
    </row>
    <row r="11" spans="1:21" s="12" customFormat="1" x14ac:dyDescent="0.25">
      <c r="A11" s="213" t="s">
        <v>2169</v>
      </c>
      <c r="B11" s="64">
        <v>51.65</v>
      </c>
      <c r="C11" s="64">
        <v>51.16</v>
      </c>
      <c r="D11" s="64">
        <v>70.3</v>
      </c>
      <c r="E11" s="64">
        <v>0.09</v>
      </c>
      <c r="F11" s="64">
        <v>3.31</v>
      </c>
      <c r="G11" s="64">
        <v>70.459999999999994</v>
      </c>
      <c r="H11" s="64">
        <v>24.98</v>
      </c>
      <c r="I11" s="64">
        <v>1.54</v>
      </c>
      <c r="J11" s="64">
        <v>0.1</v>
      </c>
      <c r="K11" s="64">
        <v>288.49</v>
      </c>
      <c r="L11" s="64">
        <v>19.93</v>
      </c>
      <c r="M11" s="64">
        <v>59.95</v>
      </c>
      <c r="N11" s="64">
        <v>23.4</v>
      </c>
      <c r="O11" s="64">
        <v>0</v>
      </c>
      <c r="P11" s="64">
        <v>1.07</v>
      </c>
      <c r="Q11" s="64">
        <v>8.0299999999999994</v>
      </c>
      <c r="R11" s="198"/>
      <c r="S11" s="198"/>
      <c r="T11" s="198"/>
      <c r="U11" s="198"/>
    </row>
    <row r="12" spans="1:21" s="12" customFormat="1" x14ac:dyDescent="0.25">
      <c r="A12" s="213" t="s">
        <v>2170</v>
      </c>
      <c r="B12" s="64">
        <v>50.29</v>
      </c>
      <c r="C12" s="64">
        <v>50.72</v>
      </c>
      <c r="D12" s="64">
        <v>68.97</v>
      </c>
      <c r="E12" s="64">
        <v>0.1</v>
      </c>
      <c r="F12" s="64">
        <v>3.21</v>
      </c>
      <c r="G12" s="64">
        <v>60.26</v>
      </c>
      <c r="H12" s="64">
        <v>20.66</v>
      </c>
      <c r="I12" s="64">
        <v>1.52</v>
      </c>
      <c r="J12" s="64">
        <v>0.05</v>
      </c>
      <c r="K12" s="64">
        <v>291.93</v>
      </c>
      <c r="L12" s="64">
        <v>19.899999999999999</v>
      </c>
      <c r="M12" s="64">
        <v>60.45</v>
      </c>
      <c r="N12" s="64">
        <v>23.2</v>
      </c>
      <c r="O12" s="64">
        <v>0</v>
      </c>
      <c r="P12" s="64">
        <v>1.04</v>
      </c>
      <c r="Q12" s="64">
        <v>7.93</v>
      </c>
      <c r="R12" s="198"/>
      <c r="S12" s="198"/>
      <c r="T12" s="198"/>
      <c r="U12" s="198"/>
    </row>
    <row r="13" spans="1:21" s="12" customFormat="1" x14ac:dyDescent="0.25">
      <c r="A13" s="213" t="s">
        <v>2171</v>
      </c>
      <c r="B13" s="64">
        <v>48.82</v>
      </c>
      <c r="C13" s="64">
        <v>49.73</v>
      </c>
      <c r="D13" s="64">
        <v>67.239999999999995</v>
      </c>
      <c r="E13" s="64">
        <v>0.11</v>
      </c>
      <c r="F13" s="64">
        <v>3.44</v>
      </c>
      <c r="G13" s="64">
        <v>60.26</v>
      </c>
      <c r="H13" s="64">
        <v>20.66</v>
      </c>
      <c r="I13" s="64">
        <v>1.57</v>
      </c>
      <c r="J13" s="64">
        <v>0.15</v>
      </c>
      <c r="K13" s="64">
        <v>311.25</v>
      </c>
      <c r="L13" s="64">
        <v>19.63</v>
      </c>
      <c r="M13" s="64">
        <v>61.88</v>
      </c>
      <c r="N13" s="64">
        <v>23.4</v>
      </c>
      <c r="O13" s="64">
        <v>0</v>
      </c>
      <c r="P13" s="64">
        <v>0.87</v>
      </c>
      <c r="Q13" s="64">
        <v>7.84</v>
      </c>
      <c r="R13" s="198"/>
      <c r="S13" s="198"/>
      <c r="T13" s="198"/>
      <c r="U13" s="198"/>
    </row>
    <row r="14" spans="1:21" s="12" customFormat="1" x14ac:dyDescent="0.25">
      <c r="A14" s="213" t="s">
        <v>2172</v>
      </c>
      <c r="B14" s="64">
        <v>47.26</v>
      </c>
      <c r="C14" s="64">
        <v>47.78</v>
      </c>
      <c r="D14" s="64">
        <v>64.91</v>
      </c>
      <c r="E14" s="64">
        <v>0.08</v>
      </c>
      <c r="F14" s="64">
        <v>3.32</v>
      </c>
      <c r="G14" s="64">
        <v>60.26</v>
      </c>
      <c r="H14" s="64">
        <v>20.66</v>
      </c>
      <c r="I14" s="64">
        <v>1.49</v>
      </c>
      <c r="J14" s="64">
        <v>0.09</v>
      </c>
      <c r="K14" s="64">
        <v>284.51</v>
      </c>
      <c r="L14" s="64">
        <v>19.21</v>
      </c>
      <c r="M14" s="64">
        <v>64.31</v>
      </c>
      <c r="N14" s="64">
        <v>23.6</v>
      </c>
      <c r="O14" s="64">
        <v>0</v>
      </c>
      <c r="P14" s="64">
        <v>0.9</v>
      </c>
      <c r="Q14" s="64">
        <v>7.7</v>
      </c>
      <c r="R14" s="198"/>
      <c r="S14" s="198"/>
      <c r="T14" s="198"/>
      <c r="U14" s="198"/>
    </row>
    <row r="15" spans="1:21" s="12" customFormat="1" x14ac:dyDescent="0.25">
      <c r="A15" s="213" t="s">
        <v>2173</v>
      </c>
      <c r="B15" s="64">
        <v>44.74</v>
      </c>
      <c r="C15" s="64">
        <v>46.13</v>
      </c>
      <c r="D15" s="64">
        <v>61.98</v>
      </c>
      <c r="E15" s="64">
        <v>0.1</v>
      </c>
      <c r="F15" s="64">
        <v>3.09</v>
      </c>
      <c r="G15" s="64">
        <v>56.98</v>
      </c>
      <c r="H15" s="64">
        <v>19.22</v>
      </c>
      <c r="I15" s="64">
        <v>1.51</v>
      </c>
      <c r="J15" s="64">
        <v>0.08</v>
      </c>
      <c r="K15" s="64">
        <v>294.89</v>
      </c>
      <c r="L15" s="64">
        <v>18.920000000000002</v>
      </c>
      <c r="M15" s="64">
        <v>65.819999999999993</v>
      </c>
      <c r="N15" s="64">
        <v>23.7</v>
      </c>
      <c r="O15" s="64">
        <v>0</v>
      </c>
      <c r="P15" s="64">
        <v>0.88</v>
      </c>
      <c r="Q15" s="64">
        <v>7.51</v>
      </c>
      <c r="R15" s="198"/>
      <c r="S15" s="198"/>
      <c r="T15" s="198"/>
      <c r="U15" s="198"/>
    </row>
    <row r="16" spans="1:21" s="12" customFormat="1" x14ac:dyDescent="0.25">
      <c r="A16" s="213" t="s">
        <v>2174</v>
      </c>
      <c r="B16" s="64">
        <v>41.87</v>
      </c>
      <c r="C16" s="64">
        <v>47.03</v>
      </c>
      <c r="D16" s="64">
        <v>60.18</v>
      </c>
      <c r="E16" s="64">
        <v>0.17</v>
      </c>
      <c r="F16" s="64">
        <v>2.99</v>
      </c>
      <c r="G16" s="64">
        <v>45.5</v>
      </c>
      <c r="H16" s="64">
        <v>15.82</v>
      </c>
      <c r="I16" s="64">
        <v>1.48</v>
      </c>
      <c r="J16" s="64">
        <v>0.1</v>
      </c>
      <c r="K16" s="64">
        <v>286.17</v>
      </c>
      <c r="L16" s="64">
        <v>18.66</v>
      </c>
      <c r="M16" s="64">
        <v>67.209999999999994</v>
      </c>
      <c r="N16" s="64">
        <v>23.7</v>
      </c>
      <c r="O16" s="64">
        <v>0</v>
      </c>
      <c r="P16" s="64">
        <v>0.85</v>
      </c>
      <c r="Q16" s="64">
        <v>7.31</v>
      </c>
      <c r="R16" s="198"/>
      <c r="S16" s="198"/>
      <c r="T16" s="198"/>
      <c r="U16" s="198"/>
    </row>
    <row r="17" spans="1:21" s="12" customFormat="1" x14ac:dyDescent="0.25">
      <c r="A17" s="213" t="s">
        <v>2175</v>
      </c>
      <c r="B17" s="64">
        <v>39.15</v>
      </c>
      <c r="C17" s="64">
        <v>47.35</v>
      </c>
      <c r="D17" s="64">
        <v>58.18</v>
      </c>
      <c r="E17" s="64">
        <v>0.13</v>
      </c>
      <c r="F17" s="64">
        <v>3.17</v>
      </c>
      <c r="G17" s="64">
        <v>45.5</v>
      </c>
      <c r="H17" s="64">
        <v>15.82</v>
      </c>
      <c r="I17" s="64">
        <v>1.5</v>
      </c>
      <c r="J17" s="64">
        <v>0.08</v>
      </c>
      <c r="K17" s="64">
        <v>295.48</v>
      </c>
      <c r="L17" s="64">
        <v>18.440000000000001</v>
      </c>
      <c r="M17" s="64">
        <v>69.2</v>
      </c>
      <c r="N17" s="64">
        <v>23.5</v>
      </c>
      <c r="O17" s="64">
        <v>0</v>
      </c>
      <c r="P17" s="64">
        <v>0.83</v>
      </c>
      <c r="Q17" s="64">
        <v>7.16</v>
      </c>
      <c r="R17" s="198"/>
      <c r="S17" s="198"/>
      <c r="T17" s="198"/>
      <c r="U17" s="198"/>
    </row>
    <row r="18" spans="1:21" s="12" customFormat="1" x14ac:dyDescent="0.25">
      <c r="A18" s="213" t="s">
        <v>2176</v>
      </c>
      <c r="B18" s="64">
        <v>36.880000000000003</v>
      </c>
      <c r="C18" s="64">
        <v>47.65</v>
      </c>
      <c r="D18" s="64">
        <v>56.52</v>
      </c>
      <c r="E18" s="64">
        <v>0.1</v>
      </c>
      <c r="F18" s="64">
        <v>3.07</v>
      </c>
      <c r="G18" s="64">
        <v>45.5</v>
      </c>
      <c r="H18" s="64">
        <v>15.82</v>
      </c>
      <c r="I18" s="64">
        <v>1.42</v>
      </c>
      <c r="J18" s="64">
        <v>0.13</v>
      </c>
      <c r="K18" s="64">
        <v>304.92</v>
      </c>
      <c r="L18" s="64">
        <v>18.48</v>
      </c>
      <c r="M18" s="64">
        <v>70.849999999999994</v>
      </c>
      <c r="N18" s="64">
        <v>23.5</v>
      </c>
      <c r="O18" s="64">
        <v>0</v>
      </c>
      <c r="P18" s="64">
        <v>0.81</v>
      </c>
      <c r="Q18" s="64">
        <v>7</v>
      </c>
      <c r="R18" s="198"/>
      <c r="S18" s="198"/>
      <c r="T18" s="198"/>
      <c r="U18" s="198"/>
    </row>
    <row r="19" spans="1:21" s="12" customFormat="1" x14ac:dyDescent="0.25">
      <c r="A19" s="213" t="s">
        <v>2177</v>
      </c>
      <c r="B19" s="64">
        <v>35.299999999999997</v>
      </c>
      <c r="C19" s="64">
        <v>47.68</v>
      </c>
      <c r="D19" s="64">
        <v>55.27</v>
      </c>
      <c r="E19" s="64">
        <v>0.09</v>
      </c>
      <c r="F19" s="64">
        <v>3.13</v>
      </c>
      <c r="G19" s="64">
        <v>44.52</v>
      </c>
      <c r="H19" s="64">
        <v>18.440000000000001</v>
      </c>
      <c r="I19" s="64">
        <v>1.48</v>
      </c>
      <c r="J19" s="64">
        <v>0.03</v>
      </c>
      <c r="K19" s="64">
        <v>210.12</v>
      </c>
      <c r="L19" s="64">
        <v>18.66</v>
      </c>
      <c r="M19" s="64">
        <v>64.73</v>
      </c>
      <c r="N19" s="64">
        <v>23.6</v>
      </c>
      <c r="O19" s="64">
        <v>0</v>
      </c>
      <c r="P19" s="64">
        <v>0.79</v>
      </c>
      <c r="Q19" s="64">
        <v>6.8</v>
      </c>
      <c r="R19" s="198"/>
      <c r="S19" s="198"/>
      <c r="T19" s="198"/>
      <c r="U19" s="198"/>
    </row>
    <row r="20" spans="1:21" s="12" customFormat="1" x14ac:dyDescent="0.25">
      <c r="A20" s="213" t="s">
        <v>2178</v>
      </c>
      <c r="B20" s="64">
        <v>33.200000000000003</v>
      </c>
      <c r="C20" s="64">
        <v>48.45</v>
      </c>
      <c r="D20" s="64">
        <v>54.01</v>
      </c>
      <c r="E20" s="64">
        <v>0.1</v>
      </c>
      <c r="F20" s="64">
        <v>3.23</v>
      </c>
      <c r="G20" s="64">
        <v>41.1</v>
      </c>
      <c r="H20" s="64">
        <v>24.61</v>
      </c>
      <c r="I20" s="64">
        <v>1.47</v>
      </c>
      <c r="J20" s="64">
        <v>0.04</v>
      </c>
      <c r="K20" s="64">
        <v>229.96</v>
      </c>
      <c r="L20" s="64">
        <v>18.95</v>
      </c>
      <c r="M20" s="64">
        <v>62.34</v>
      </c>
      <c r="N20" s="64">
        <v>23.6</v>
      </c>
      <c r="O20" s="64">
        <v>0</v>
      </c>
      <c r="P20" s="64">
        <v>0.76</v>
      </c>
      <c r="Q20" s="64">
        <v>6.31</v>
      </c>
      <c r="R20" s="198"/>
      <c r="S20" s="198"/>
      <c r="T20" s="198"/>
      <c r="U20" s="198"/>
    </row>
    <row r="21" spans="1:21" s="12" customFormat="1" x14ac:dyDescent="0.25">
      <c r="A21" s="213" t="s">
        <v>2179</v>
      </c>
      <c r="B21" s="64">
        <v>30.87</v>
      </c>
      <c r="C21" s="64">
        <v>48.04</v>
      </c>
      <c r="D21" s="64">
        <v>51.91</v>
      </c>
      <c r="E21" s="64">
        <v>0.05</v>
      </c>
      <c r="F21" s="64">
        <v>3.21</v>
      </c>
      <c r="G21" s="64">
        <v>41.1</v>
      </c>
      <c r="H21" s="64">
        <v>24.61</v>
      </c>
      <c r="I21" s="64">
        <v>1.49</v>
      </c>
      <c r="J21" s="64">
        <v>0.18</v>
      </c>
      <c r="K21" s="64">
        <v>207.79</v>
      </c>
      <c r="L21" s="64">
        <v>19.52</v>
      </c>
      <c r="M21" s="64">
        <v>58.78</v>
      </c>
      <c r="N21" s="64">
        <v>22.7</v>
      </c>
      <c r="O21" s="64">
        <v>0</v>
      </c>
      <c r="P21" s="64">
        <v>0.73</v>
      </c>
      <c r="Q21" s="64">
        <v>5.6</v>
      </c>
      <c r="R21" s="198"/>
      <c r="S21" s="198"/>
      <c r="T21" s="198"/>
      <c r="U21" s="198"/>
    </row>
    <row r="22" spans="1:21" s="12" customFormat="1" x14ac:dyDescent="0.25">
      <c r="A22" s="213" t="s">
        <v>2180</v>
      </c>
      <c r="B22" s="64">
        <v>28.91</v>
      </c>
      <c r="C22" s="64">
        <v>48.3</v>
      </c>
      <c r="D22" s="64">
        <v>50.48</v>
      </c>
      <c r="E22" s="64">
        <v>0.1</v>
      </c>
      <c r="F22" s="64">
        <v>3.24</v>
      </c>
      <c r="G22" s="64">
        <v>41.1</v>
      </c>
      <c r="H22" s="64">
        <v>24.61</v>
      </c>
      <c r="I22" s="64">
        <v>1.47</v>
      </c>
      <c r="J22" s="64">
        <v>0.11</v>
      </c>
      <c r="K22" s="64">
        <v>308.45</v>
      </c>
      <c r="L22" s="64">
        <v>19.2</v>
      </c>
      <c r="M22" s="64">
        <v>62.42</v>
      </c>
      <c r="N22" s="64">
        <v>23.7</v>
      </c>
      <c r="O22" s="64">
        <v>0</v>
      </c>
      <c r="P22" s="64">
        <v>0.71</v>
      </c>
      <c r="Q22" s="64">
        <v>5.22</v>
      </c>
      <c r="R22" s="198"/>
      <c r="S22" s="198"/>
      <c r="T22" s="198"/>
      <c r="U22" s="198"/>
    </row>
    <row r="23" spans="1:21" s="12" customFormat="1" x14ac:dyDescent="0.25">
      <c r="A23" s="213" t="s">
        <v>2181</v>
      </c>
      <c r="B23" s="64">
        <v>27.32</v>
      </c>
      <c r="C23" s="64">
        <v>48.17</v>
      </c>
      <c r="D23" s="64">
        <v>49.14</v>
      </c>
      <c r="E23" s="64">
        <v>0.13</v>
      </c>
      <c r="F23" s="64">
        <v>3.1</v>
      </c>
      <c r="G23" s="64">
        <v>41.46</v>
      </c>
      <c r="H23" s="64">
        <v>22.89</v>
      </c>
      <c r="I23" s="64">
        <v>1.52</v>
      </c>
      <c r="J23" s="64">
        <v>0.03</v>
      </c>
      <c r="K23" s="64">
        <v>297.41000000000003</v>
      </c>
      <c r="L23" s="64">
        <v>18.940000000000001</v>
      </c>
      <c r="M23" s="64">
        <v>61.35</v>
      </c>
      <c r="N23" s="64">
        <v>23</v>
      </c>
      <c r="O23" s="64">
        <v>0</v>
      </c>
      <c r="P23" s="64">
        <v>0.68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3" t="s">
        <v>2182</v>
      </c>
      <c r="B24" s="64">
        <v>25.32</v>
      </c>
      <c r="C24" s="64">
        <v>48.88</v>
      </c>
      <c r="D24" s="64">
        <v>47.93</v>
      </c>
      <c r="E24" s="64">
        <v>0.06</v>
      </c>
      <c r="F24" s="64">
        <v>3.09</v>
      </c>
      <c r="G24" s="64">
        <v>42.75</v>
      </c>
      <c r="H24" s="64">
        <v>14.79</v>
      </c>
      <c r="I24" s="64">
        <v>1.54</v>
      </c>
      <c r="J24" s="64">
        <v>7.0000000000000007E-2</v>
      </c>
      <c r="K24" s="64">
        <v>212.13</v>
      </c>
      <c r="L24" s="64">
        <v>19.78</v>
      </c>
      <c r="M24" s="64">
        <v>56.63</v>
      </c>
      <c r="N24" s="64">
        <v>22.5</v>
      </c>
      <c r="O24" s="64">
        <v>0</v>
      </c>
      <c r="P24" s="64">
        <v>0.65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3" t="s">
        <v>2183</v>
      </c>
      <c r="B25" s="64">
        <v>23.06</v>
      </c>
      <c r="C25" s="64">
        <v>46.66</v>
      </c>
      <c r="D25" s="64">
        <v>44.89</v>
      </c>
      <c r="E25" s="64">
        <v>0.18</v>
      </c>
      <c r="F25" s="64">
        <v>3.07</v>
      </c>
      <c r="G25" s="64">
        <v>42.75</v>
      </c>
      <c r="H25" s="64">
        <v>14.79</v>
      </c>
      <c r="I25" s="64">
        <v>1.45</v>
      </c>
      <c r="J25" s="64">
        <v>0.09</v>
      </c>
      <c r="K25" s="64">
        <v>191.56</v>
      </c>
      <c r="L25" s="64">
        <v>19.36</v>
      </c>
      <c r="M25" s="64">
        <v>59.75</v>
      </c>
      <c r="N25" s="64">
        <v>23.5</v>
      </c>
      <c r="O25" s="64">
        <v>0</v>
      </c>
      <c r="P25" s="64">
        <v>0.62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3" t="s">
        <v>2184</v>
      </c>
      <c r="B26" s="64">
        <v>22.04</v>
      </c>
      <c r="C26" s="64">
        <v>46.46</v>
      </c>
      <c r="D26" s="64">
        <v>43.96</v>
      </c>
      <c r="E26" s="64">
        <v>0.2</v>
      </c>
      <c r="F26" s="64">
        <v>3.29</v>
      </c>
      <c r="G26" s="64">
        <v>42.75</v>
      </c>
      <c r="H26" s="64">
        <v>14.79</v>
      </c>
      <c r="I26" s="64">
        <v>1.52</v>
      </c>
      <c r="J26" s="64">
        <v>0.08</v>
      </c>
      <c r="K26" s="64">
        <v>271.74</v>
      </c>
      <c r="L26" s="64">
        <v>18.78</v>
      </c>
      <c r="M26" s="64">
        <v>61.5</v>
      </c>
      <c r="N26" s="64">
        <v>23.6</v>
      </c>
      <c r="O26" s="64">
        <v>0</v>
      </c>
      <c r="P26" s="64">
        <v>0.61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3" t="s">
        <v>2185</v>
      </c>
      <c r="B27" s="64">
        <v>22.08</v>
      </c>
      <c r="C27" s="64">
        <v>47.32</v>
      </c>
      <c r="D27" s="64">
        <v>44.46</v>
      </c>
      <c r="E27" s="64">
        <v>0.21</v>
      </c>
      <c r="F27" s="64">
        <v>3.12</v>
      </c>
      <c r="G27" s="64">
        <v>41.55</v>
      </c>
      <c r="H27" s="64">
        <v>15.6</v>
      </c>
      <c r="I27" s="64">
        <v>1.52</v>
      </c>
      <c r="J27" s="64">
        <v>0.14000000000000001</v>
      </c>
      <c r="K27" s="64">
        <v>328.78</v>
      </c>
      <c r="L27" s="64">
        <v>18.3</v>
      </c>
      <c r="M27" s="64">
        <v>66.900000000000006</v>
      </c>
      <c r="N27" s="64">
        <v>23.6</v>
      </c>
      <c r="O27" s="64">
        <v>0</v>
      </c>
      <c r="P27" s="64">
        <v>0.6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3" t="s">
        <v>2186</v>
      </c>
      <c r="B28" s="64">
        <v>22.15</v>
      </c>
      <c r="C28" s="64">
        <v>47.15</v>
      </c>
      <c r="D28" s="64">
        <v>44.43</v>
      </c>
      <c r="E28" s="64">
        <v>0.2</v>
      </c>
      <c r="F28" s="64">
        <v>3.26</v>
      </c>
      <c r="G28" s="64">
        <v>37.35</v>
      </c>
      <c r="H28" s="64">
        <v>17.5</v>
      </c>
      <c r="I28" s="64">
        <v>1.57</v>
      </c>
      <c r="J28" s="64">
        <v>0.02</v>
      </c>
      <c r="K28" s="64">
        <v>177.89</v>
      </c>
      <c r="L28" s="64">
        <v>18.170000000000002</v>
      </c>
      <c r="M28" s="64">
        <v>67.72</v>
      </c>
      <c r="N28" s="64">
        <v>23.6</v>
      </c>
      <c r="O28" s="64">
        <v>0</v>
      </c>
      <c r="P28" s="64">
        <v>0.59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3" t="s">
        <v>2187</v>
      </c>
      <c r="B29" s="64">
        <v>22.22</v>
      </c>
      <c r="C29" s="64">
        <v>47.59</v>
      </c>
      <c r="D29" s="64">
        <v>44.73</v>
      </c>
      <c r="E29" s="64">
        <v>0.15</v>
      </c>
      <c r="F29" s="64">
        <v>3.18</v>
      </c>
      <c r="G29" s="64">
        <v>37.35</v>
      </c>
      <c r="H29" s="64">
        <v>17.5</v>
      </c>
      <c r="I29" s="64">
        <v>1.41</v>
      </c>
      <c r="J29" s="64">
        <v>0.02</v>
      </c>
      <c r="K29" s="64">
        <v>148.18</v>
      </c>
      <c r="L29" s="64">
        <v>18.079999999999998</v>
      </c>
      <c r="M29" s="64">
        <v>68.88</v>
      </c>
      <c r="N29" s="64">
        <v>23.4</v>
      </c>
      <c r="O29" s="64">
        <v>0</v>
      </c>
      <c r="P29" s="64">
        <v>0.57999999999999996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3" t="s">
        <v>2188</v>
      </c>
      <c r="B30" s="64">
        <v>22.94</v>
      </c>
      <c r="C30" s="64">
        <v>47.7</v>
      </c>
      <c r="D30" s="64">
        <v>45.37</v>
      </c>
      <c r="E30" s="64">
        <v>0.16</v>
      </c>
      <c r="F30" s="64">
        <v>3.16</v>
      </c>
      <c r="G30" s="64">
        <v>37.35</v>
      </c>
      <c r="H30" s="64">
        <v>17.5</v>
      </c>
      <c r="I30" s="64">
        <v>1.54</v>
      </c>
      <c r="J30" s="64">
        <v>0.1</v>
      </c>
      <c r="K30" s="64">
        <v>154.43</v>
      </c>
      <c r="L30" s="64">
        <v>17.899999999999999</v>
      </c>
      <c r="M30" s="64">
        <v>70.81</v>
      </c>
      <c r="N30" s="64">
        <v>23.3</v>
      </c>
      <c r="O30" s="64">
        <v>0</v>
      </c>
      <c r="P30" s="64">
        <v>0.57999999999999996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3" t="s">
        <v>2189</v>
      </c>
      <c r="B31" s="64">
        <v>24.07</v>
      </c>
      <c r="C31" s="64">
        <v>47.89</v>
      </c>
      <c r="D31" s="64">
        <v>46.37</v>
      </c>
      <c r="E31" s="64">
        <v>0.17</v>
      </c>
      <c r="F31" s="64">
        <v>3.35</v>
      </c>
      <c r="G31" s="64">
        <v>40.71</v>
      </c>
      <c r="H31" s="64">
        <v>18.25</v>
      </c>
      <c r="I31" s="64">
        <v>1.48</v>
      </c>
      <c r="J31" s="64">
        <v>0.23</v>
      </c>
      <c r="K31" s="64">
        <v>210.38</v>
      </c>
      <c r="L31" s="64">
        <v>18.170000000000002</v>
      </c>
      <c r="M31" s="64">
        <v>69.709999999999994</v>
      </c>
      <c r="N31" s="64">
        <v>22.8</v>
      </c>
      <c r="O31" s="64">
        <v>0</v>
      </c>
      <c r="P31" s="64">
        <v>0.56999999999999995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3" t="s">
        <v>2190</v>
      </c>
      <c r="B32" s="64">
        <v>24.96</v>
      </c>
      <c r="C32" s="64">
        <v>48.52</v>
      </c>
      <c r="D32" s="64">
        <v>47.44</v>
      </c>
      <c r="E32" s="64">
        <v>0.25</v>
      </c>
      <c r="F32" s="64">
        <v>3.29</v>
      </c>
      <c r="G32" s="64">
        <v>52.49</v>
      </c>
      <c r="H32" s="64">
        <v>20</v>
      </c>
      <c r="I32" s="64">
        <v>1.52</v>
      </c>
      <c r="J32" s="64">
        <v>0.19</v>
      </c>
      <c r="K32" s="64">
        <v>209.32</v>
      </c>
      <c r="L32" s="64">
        <v>18.38</v>
      </c>
      <c r="M32" s="64">
        <v>67.63</v>
      </c>
      <c r="N32" s="64">
        <v>23.2</v>
      </c>
      <c r="O32" s="64">
        <v>0</v>
      </c>
      <c r="P32" s="64">
        <v>0.56999999999999995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3" t="s">
        <v>2191</v>
      </c>
      <c r="B33" s="64">
        <v>25.3</v>
      </c>
      <c r="C33" s="64">
        <v>47.5</v>
      </c>
      <c r="D33" s="64">
        <v>47.15</v>
      </c>
      <c r="E33" s="64">
        <v>0.19</v>
      </c>
      <c r="F33" s="64">
        <v>3.19</v>
      </c>
      <c r="G33" s="64">
        <v>52.49</v>
      </c>
      <c r="H33" s="64">
        <v>20</v>
      </c>
      <c r="I33" s="64">
        <v>1.52</v>
      </c>
      <c r="J33" s="64">
        <v>0.11</v>
      </c>
      <c r="K33" s="64">
        <v>248.06</v>
      </c>
      <c r="L33" s="64">
        <v>18.12</v>
      </c>
      <c r="M33" s="64">
        <v>70.05</v>
      </c>
      <c r="N33" s="64">
        <v>23.9</v>
      </c>
      <c r="O33" s="64">
        <v>0</v>
      </c>
      <c r="P33" s="64">
        <v>0.56000000000000005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3" t="s">
        <v>2192</v>
      </c>
      <c r="B34" s="64">
        <v>25.78</v>
      </c>
      <c r="C34" s="64">
        <v>48.16</v>
      </c>
      <c r="D34" s="64">
        <v>47.9</v>
      </c>
      <c r="E34" s="64">
        <v>0.23</v>
      </c>
      <c r="F34" s="64">
        <v>3.19</v>
      </c>
      <c r="G34" s="64">
        <v>52.49</v>
      </c>
      <c r="H34" s="64">
        <v>20</v>
      </c>
      <c r="I34" s="64">
        <v>1.51</v>
      </c>
      <c r="J34" s="64">
        <v>0.28000000000000003</v>
      </c>
      <c r="K34" s="64">
        <v>178.42</v>
      </c>
      <c r="L34" s="64">
        <v>18.170000000000002</v>
      </c>
      <c r="M34" s="64">
        <v>69.84</v>
      </c>
      <c r="N34" s="64">
        <v>27</v>
      </c>
      <c r="O34" s="64">
        <v>0</v>
      </c>
      <c r="P34" s="64">
        <v>0.56000000000000005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3" t="s">
        <v>2193</v>
      </c>
      <c r="B35" s="64">
        <v>25.65</v>
      </c>
      <c r="C35" s="64">
        <v>48.19</v>
      </c>
      <c r="D35" s="64">
        <v>47.81</v>
      </c>
      <c r="E35" s="64">
        <v>0.21</v>
      </c>
      <c r="F35" s="64">
        <v>3.45</v>
      </c>
      <c r="G35" s="64">
        <v>53.09</v>
      </c>
      <c r="H35" s="64">
        <v>20.170000000000002</v>
      </c>
      <c r="I35" s="64">
        <v>1.46</v>
      </c>
      <c r="J35" s="64">
        <v>0.05</v>
      </c>
      <c r="K35" s="64">
        <v>175.2</v>
      </c>
      <c r="L35" s="64">
        <v>18.100000000000001</v>
      </c>
      <c r="M35" s="64">
        <v>72.84</v>
      </c>
      <c r="N35" s="64">
        <v>39.700000000000003</v>
      </c>
      <c r="O35" s="64">
        <v>0</v>
      </c>
      <c r="P35" s="64">
        <v>0.55000000000000004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3" t="s">
        <v>2194</v>
      </c>
      <c r="B36" s="64">
        <v>25.1</v>
      </c>
      <c r="C36" s="64">
        <v>48.42</v>
      </c>
      <c r="D36" s="64">
        <v>47.5</v>
      </c>
      <c r="E36" s="64">
        <v>0.16</v>
      </c>
      <c r="F36" s="64">
        <v>3.27</v>
      </c>
      <c r="G36" s="64">
        <v>55.19</v>
      </c>
      <c r="H36" s="64">
        <v>20.59</v>
      </c>
      <c r="I36" s="64">
        <v>1.54</v>
      </c>
      <c r="J36" s="64">
        <v>0.1</v>
      </c>
      <c r="K36" s="64">
        <v>225.2</v>
      </c>
      <c r="L36" s="64">
        <v>18.22</v>
      </c>
      <c r="M36" s="64">
        <v>72.680000000000007</v>
      </c>
      <c r="N36" s="64">
        <v>59.1</v>
      </c>
      <c r="O36" s="64">
        <v>0</v>
      </c>
      <c r="P36" s="64">
        <v>0.55000000000000004</v>
      </c>
      <c r="Q36" s="64">
        <v>5.21</v>
      </c>
      <c r="R36" s="198"/>
      <c r="S36" s="198"/>
      <c r="T36" s="198"/>
      <c r="U36" s="198"/>
    </row>
    <row r="37" spans="1:21" s="12" customFormat="1" x14ac:dyDescent="0.25">
      <c r="A37" s="213" t="s">
        <v>2195</v>
      </c>
      <c r="B37" s="64">
        <v>24.73</v>
      </c>
      <c r="C37" s="64">
        <v>48.48</v>
      </c>
      <c r="D37" s="64">
        <v>47.23</v>
      </c>
      <c r="E37" s="64">
        <v>0.18</v>
      </c>
      <c r="F37" s="64">
        <v>3.14</v>
      </c>
      <c r="G37" s="64">
        <v>55.19</v>
      </c>
      <c r="H37" s="64">
        <v>20.59</v>
      </c>
      <c r="I37" s="64">
        <v>1.57</v>
      </c>
      <c r="J37" s="64">
        <v>0.31</v>
      </c>
      <c r="K37" s="64">
        <v>180.42</v>
      </c>
      <c r="L37" s="64">
        <v>18.97</v>
      </c>
      <c r="M37" s="64">
        <v>67.19</v>
      </c>
      <c r="N37" s="64">
        <v>110.2</v>
      </c>
      <c r="O37" s="64">
        <v>0</v>
      </c>
      <c r="P37" s="64">
        <v>0.59</v>
      </c>
      <c r="Q37" s="64">
        <v>5.21</v>
      </c>
      <c r="R37" s="198"/>
      <c r="S37" s="198"/>
      <c r="T37" s="198"/>
      <c r="U37" s="198"/>
    </row>
    <row r="38" spans="1:21" s="12" customFormat="1" x14ac:dyDescent="0.25">
      <c r="A38" s="213" t="s">
        <v>2196</v>
      </c>
      <c r="B38" s="64">
        <v>23.64</v>
      </c>
      <c r="C38" s="64">
        <v>48.85</v>
      </c>
      <c r="D38" s="64">
        <v>46.56</v>
      </c>
      <c r="E38" s="64">
        <v>0.27</v>
      </c>
      <c r="F38" s="64">
        <v>3.28</v>
      </c>
      <c r="G38" s="64">
        <v>55.19</v>
      </c>
      <c r="H38" s="64">
        <v>20.59</v>
      </c>
      <c r="I38" s="64">
        <v>1.51</v>
      </c>
      <c r="J38" s="64">
        <v>0.05</v>
      </c>
      <c r="K38" s="64">
        <v>68.36</v>
      </c>
      <c r="L38" s="64">
        <v>20.059999999999999</v>
      </c>
      <c r="M38" s="64">
        <v>61.05</v>
      </c>
      <c r="N38" s="64">
        <v>157.1</v>
      </c>
      <c r="O38" s="64">
        <v>0</v>
      </c>
      <c r="P38" s="64">
        <v>0.62</v>
      </c>
      <c r="Q38" s="64">
        <v>5.21</v>
      </c>
      <c r="R38" s="198"/>
      <c r="S38" s="198"/>
      <c r="T38" s="198"/>
      <c r="U38" s="198"/>
    </row>
    <row r="39" spans="1:21" s="12" customFormat="1" x14ac:dyDescent="0.25">
      <c r="A39" s="213" t="s">
        <v>2197</v>
      </c>
      <c r="B39" s="64">
        <v>21.54</v>
      </c>
      <c r="C39" s="64">
        <v>48.97</v>
      </c>
      <c r="D39" s="64">
        <v>44.95</v>
      </c>
      <c r="E39" s="64">
        <v>0.22</v>
      </c>
      <c r="F39" s="64">
        <v>3.14</v>
      </c>
      <c r="G39" s="64">
        <v>55.36</v>
      </c>
      <c r="H39" s="64">
        <v>20.25</v>
      </c>
      <c r="I39" s="64">
        <v>1.51</v>
      </c>
      <c r="J39" s="64">
        <v>7.0000000000000007E-2</v>
      </c>
      <c r="K39" s="64">
        <v>64.97</v>
      </c>
      <c r="L39" s="64">
        <v>21.35</v>
      </c>
      <c r="M39" s="64">
        <v>56.87</v>
      </c>
      <c r="N39" s="64">
        <v>204.3</v>
      </c>
      <c r="O39" s="64">
        <v>0</v>
      </c>
      <c r="P39" s="64">
        <v>0.61</v>
      </c>
      <c r="Q39" s="64">
        <v>5.21</v>
      </c>
      <c r="R39" s="198"/>
      <c r="S39" s="198"/>
      <c r="T39" s="198"/>
      <c r="U39" s="198"/>
    </row>
    <row r="40" spans="1:21" s="12" customFormat="1" x14ac:dyDescent="0.25">
      <c r="A40" s="213" t="s">
        <v>2198</v>
      </c>
      <c r="B40" s="64">
        <v>19.82</v>
      </c>
      <c r="C40" s="64">
        <v>49.72</v>
      </c>
      <c r="D40" s="64">
        <v>43.98</v>
      </c>
      <c r="E40" s="64">
        <v>0.05</v>
      </c>
      <c r="F40" s="64">
        <v>3.07</v>
      </c>
      <c r="G40" s="64">
        <v>55.97</v>
      </c>
      <c r="H40" s="64">
        <v>18.63</v>
      </c>
      <c r="I40" s="64">
        <v>1.48</v>
      </c>
      <c r="J40" s="64">
        <v>0.06</v>
      </c>
      <c r="K40" s="64">
        <v>349.01</v>
      </c>
      <c r="L40" s="64">
        <v>22.2</v>
      </c>
      <c r="M40" s="64">
        <v>55.16</v>
      </c>
      <c r="N40" s="64">
        <v>256.60000000000002</v>
      </c>
      <c r="O40" s="64">
        <v>0</v>
      </c>
      <c r="P40" s="64">
        <v>0.6</v>
      </c>
      <c r="Q40" s="64">
        <v>5.21</v>
      </c>
      <c r="R40" s="198"/>
      <c r="S40" s="198"/>
      <c r="T40" s="198"/>
      <c r="U40" s="198"/>
    </row>
    <row r="41" spans="1:21" s="12" customFormat="1" x14ac:dyDescent="0.25">
      <c r="A41" s="213" t="s">
        <v>2199</v>
      </c>
      <c r="B41" s="64">
        <v>18.11</v>
      </c>
      <c r="C41" s="64">
        <v>50.14</v>
      </c>
      <c r="D41" s="64">
        <v>42.84</v>
      </c>
      <c r="E41" s="64">
        <v>0.03</v>
      </c>
      <c r="F41" s="64">
        <v>3.24</v>
      </c>
      <c r="G41" s="64">
        <v>55.97</v>
      </c>
      <c r="H41" s="64">
        <v>18.63</v>
      </c>
      <c r="I41" s="64">
        <v>1.47</v>
      </c>
      <c r="J41" s="64">
        <v>0.03</v>
      </c>
      <c r="K41" s="64">
        <v>51.28</v>
      </c>
      <c r="L41" s="64">
        <v>22.45</v>
      </c>
      <c r="M41" s="64">
        <v>54.29</v>
      </c>
      <c r="N41" s="64">
        <v>308.39999999999998</v>
      </c>
      <c r="O41" s="64">
        <v>0</v>
      </c>
      <c r="P41" s="64">
        <v>0.6</v>
      </c>
      <c r="Q41" s="64">
        <v>5.21</v>
      </c>
      <c r="R41" s="198"/>
      <c r="S41" s="198"/>
      <c r="T41" s="198"/>
      <c r="U41" s="198"/>
    </row>
    <row r="42" spans="1:21" s="12" customFormat="1" x14ac:dyDescent="0.25">
      <c r="A42" s="213" t="s">
        <v>2200</v>
      </c>
      <c r="B42" s="64">
        <v>15.83</v>
      </c>
      <c r="C42" s="64">
        <v>50.51</v>
      </c>
      <c r="D42" s="64">
        <v>41.22</v>
      </c>
      <c r="E42" s="64">
        <v>0.03</v>
      </c>
      <c r="F42" s="64">
        <v>3.2</v>
      </c>
      <c r="G42" s="64">
        <v>55.97</v>
      </c>
      <c r="H42" s="64">
        <v>18.63</v>
      </c>
      <c r="I42" s="64">
        <v>1.57</v>
      </c>
      <c r="J42" s="64">
        <v>0.03</v>
      </c>
      <c r="K42" s="64">
        <v>251.15</v>
      </c>
      <c r="L42" s="64">
        <v>23.02</v>
      </c>
      <c r="M42" s="64">
        <v>53.66</v>
      </c>
      <c r="N42" s="64">
        <v>359.9</v>
      </c>
      <c r="O42" s="64">
        <v>0</v>
      </c>
      <c r="P42" s="64">
        <v>0.59</v>
      </c>
      <c r="Q42" s="64">
        <v>5.21</v>
      </c>
      <c r="R42" s="198"/>
      <c r="S42" s="198"/>
      <c r="T42" s="198"/>
      <c r="U42" s="198"/>
    </row>
    <row r="43" spans="1:21" s="12" customFormat="1" x14ac:dyDescent="0.25">
      <c r="A43" s="213" t="s">
        <v>2201</v>
      </c>
      <c r="B43" s="64">
        <v>13.66</v>
      </c>
      <c r="C43" s="64">
        <v>50.84</v>
      </c>
      <c r="D43" s="64">
        <v>39.659999999999997</v>
      </c>
      <c r="E43" s="64">
        <v>7.0000000000000007E-2</v>
      </c>
      <c r="F43" s="64">
        <v>3.54</v>
      </c>
      <c r="G43" s="64">
        <v>54.26</v>
      </c>
      <c r="H43" s="64">
        <v>17.399999999999999</v>
      </c>
      <c r="I43" s="64">
        <v>1.5</v>
      </c>
      <c r="J43" s="64">
        <v>0.04</v>
      </c>
      <c r="K43" s="64">
        <v>42</v>
      </c>
      <c r="L43" s="64">
        <v>23.79</v>
      </c>
      <c r="M43" s="64">
        <v>51.15</v>
      </c>
      <c r="N43" s="64">
        <v>417.3</v>
      </c>
      <c r="O43" s="64">
        <v>0</v>
      </c>
      <c r="P43" s="64">
        <v>0.57999999999999996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3" t="s">
        <v>2202</v>
      </c>
      <c r="B44" s="64">
        <v>10.77</v>
      </c>
      <c r="C44" s="64">
        <v>52.13</v>
      </c>
      <c r="D44" s="64">
        <v>38.049999999999997</v>
      </c>
      <c r="E44" s="64">
        <v>0.05</v>
      </c>
      <c r="F44" s="64">
        <v>3.65</v>
      </c>
      <c r="G44" s="64">
        <v>48.62</v>
      </c>
      <c r="H44" s="64">
        <v>14.51</v>
      </c>
      <c r="I44" s="64">
        <v>1.49</v>
      </c>
      <c r="J44" s="64">
        <v>0.03</v>
      </c>
      <c r="K44" s="64">
        <v>208.13</v>
      </c>
      <c r="L44" s="64">
        <v>24.33</v>
      </c>
      <c r="M44" s="64">
        <v>50.27</v>
      </c>
      <c r="N44" s="64">
        <v>474.6</v>
      </c>
      <c r="O44" s="64">
        <v>0</v>
      </c>
      <c r="P44" s="64">
        <v>0.56999999999999995</v>
      </c>
      <c r="Q44" s="64">
        <v>5.21</v>
      </c>
      <c r="R44" s="198"/>
      <c r="S44" s="198"/>
      <c r="T44" s="198"/>
      <c r="U44" s="198"/>
    </row>
    <row r="45" spans="1:21" s="12" customFormat="1" x14ac:dyDescent="0.25">
      <c r="A45" s="213" t="s">
        <v>2203</v>
      </c>
      <c r="B45" s="64">
        <v>7.76</v>
      </c>
      <c r="C45" s="64">
        <v>52.72</v>
      </c>
      <c r="D45" s="64">
        <v>35.96</v>
      </c>
      <c r="E45" s="64">
        <v>0.06</v>
      </c>
      <c r="F45" s="64">
        <v>4.3</v>
      </c>
      <c r="G45" s="64">
        <v>48.62</v>
      </c>
      <c r="H45" s="64">
        <v>14.51</v>
      </c>
      <c r="I45" s="64">
        <v>1.53</v>
      </c>
      <c r="J45" s="64">
        <v>7.0000000000000007E-2</v>
      </c>
      <c r="K45" s="64">
        <v>17.940000000000001</v>
      </c>
      <c r="L45" s="64">
        <v>25.68</v>
      </c>
      <c r="M45" s="64">
        <v>44.73</v>
      </c>
      <c r="N45" s="64">
        <v>521.1</v>
      </c>
      <c r="O45" s="64">
        <v>0</v>
      </c>
      <c r="P45" s="64">
        <v>0.53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3" t="s">
        <v>2204</v>
      </c>
      <c r="B46" s="64">
        <v>4.88</v>
      </c>
      <c r="C46" s="64">
        <v>53.49</v>
      </c>
      <c r="D46" s="64">
        <v>34.08</v>
      </c>
      <c r="E46" s="64">
        <v>0.08</v>
      </c>
      <c r="F46" s="64">
        <v>5.32</v>
      </c>
      <c r="G46" s="64">
        <v>48.62</v>
      </c>
      <c r="H46" s="64">
        <v>14.51</v>
      </c>
      <c r="I46" s="64">
        <v>1.54</v>
      </c>
      <c r="J46" s="64">
        <v>0.25</v>
      </c>
      <c r="K46" s="64">
        <v>27.21</v>
      </c>
      <c r="L46" s="64">
        <v>26.29</v>
      </c>
      <c r="M46" s="64">
        <v>38.25</v>
      </c>
      <c r="N46" s="64">
        <v>573.20000000000005</v>
      </c>
      <c r="O46" s="64">
        <v>0</v>
      </c>
      <c r="P46" s="64">
        <v>0.5</v>
      </c>
      <c r="Q46" s="64">
        <v>5.21</v>
      </c>
      <c r="R46" s="198"/>
      <c r="S46" s="198"/>
      <c r="T46" s="198"/>
      <c r="U46" s="198"/>
    </row>
    <row r="47" spans="1:21" s="12" customFormat="1" x14ac:dyDescent="0.25">
      <c r="A47" s="213" t="s">
        <v>2205</v>
      </c>
      <c r="B47" s="64">
        <v>2.73</v>
      </c>
      <c r="C47" s="64">
        <v>53.5</v>
      </c>
      <c r="D47" s="64">
        <v>32.36</v>
      </c>
      <c r="E47" s="64">
        <v>7.0000000000000007E-2</v>
      </c>
      <c r="F47" s="64">
        <v>6.08</v>
      </c>
      <c r="G47" s="64">
        <v>49.39</v>
      </c>
      <c r="H47" s="64">
        <v>14.76</v>
      </c>
      <c r="I47" s="64">
        <v>1.51</v>
      </c>
      <c r="J47" s="64">
        <v>0.28000000000000003</v>
      </c>
      <c r="K47" s="64">
        <v>27.88</v>
      </c>
      <c r="L47" s="64">
        <v>27.46</v>
      </c>
      <c r="M47" s="64">
        <v>36.28</v>
      </c>
      <c r="N47" s="64">
        <v>616.79999999999995</v>
      </c>
      <c r="O47" s="64">
        <v>0</v>
      </c>
      <c r="P47" s="64">
        <v>0.46</v>
      </c>
      <c r="Q47" s="64">
        <v>5.21</v>
      </c>
      <c r="R47" s="198"/>
      <c r="S47" s="198"/>
      <c r="T47" s="198"/>
      <c r="U47" s="198"/>
    </row>
    <row r="48" spans="1:21" s="12" customFormat="1" x14ac:dyDescent="0.25">
      <c r="A48" s="213" t="s">
        <v>2206</v>
      </c>
      <c r="B48" s="64">
        <v>1.99</v>
      </c>
      <c r="C48" s="64">
        <v>52.79</v>
      </c>
      <c r="D48" s="64">
        <v>31.37</v>
      </c>
      <c r="E48" s="64">
        <v>0.14000000000000001</v>
      </c>
      <c r="F48" s="64">
        <v>6.88</v>
      </c>
      <c r="G48" s="64">
        <v>51.9</v>
      </c>
      <c r="H48" s="64">
        <v>15.35</v>
      </c>
      <c r="I48" s="64">
        <v>1.52</v>
      </c>
      <c r="J48" s="64">
        <v>0.35</v>
      </c>
      <c r="K48" s="64">
        <v>30.25</v>
      </c>
      <c r="L48" s="64">
        <v>28.15</v>
      </c>
      <c r="M48" s="64">
        <v>34.61</v>
      </c>
      <c r="N48" s="64">
        <v>666.9</v>
      </c>
      <c r="O48" s="64">
        <v>0</v>
      </c>
      <c r="P48" s="64">
        <v>0.45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3" t="s">
        <v>2207</v>
      </c>
      <c r="B49" s="64">
        <v>1.57</v>
      </c>
      <c r="C49" s="64">
        <v>51.39</v>
      </c>
      <c r="D49" s="64">
        <v>30.27</v>
      </c>
      <c r="E49" s="64">
        <v>0.06</v>
      </c>
      <c r="F49" s="64">
        <v>8.5500000000000007</v>
      </c>
      <c r="G49" s="64">
        <v>51.9</v>
      </c>
      <c r="H49" s="64">
        <v>15.35</v>
      </c>
      <c r="I49" s="64">
        <v>1.48</v>
      </c>
      <c r="J49" s="64">
        <v>0.41</v>
      </c>
      <c r="K49" s="64">
        <v>40.090000000000003</v>
      </c>
      <c r="L49" s="64">
        <v>28.06</v>
      </c>
      <c r="M49" s="64">
        <v>34.54</v>
      </c>
      <c r="N49" s="64">
        <v>711.4</v>
      </c>
      <c r="O49" s="64">
        <v>0</v>
      </c>
      <c r="P49" s="64">
        <v>0.42</v>
      </c>
      <c r="Q49" s="64">
        <v>5.21</v>
      </c>
      <c r="R49" s="198"/>
      <c r="S49" s="198"/>
      <c r="T49" s="198"/>
      <c r="U49" s="198"/>
    </row>
    <row r="50" spans="1:21" s="12" customFormat="1" x14ac:dyDescent="0.25">
      <c r="A50" s="213" t="s">
        <v>2208</v>
      </c>
      <c r="B50" s="64">
        <v>1.29</v>
      </c>
      <c r="C50" s="64">
        <v>50.29</v>
      </c>
      <c r="D50" s="64">
        <v>29.43</v>
      </c>
      <c r="E50" s="64">
        <v>0.09</v>
      </c>
      <c r="F50" s="64">
        <v>9.51</v>
      </c>
      <c r="G50" s="64">
        <v>51.9</v>
      </c>
      <c r="H50" s="64">
        <v>15.35</v>
      </c>
      <c r="I50" s="64">
        <v>1.48</v>
      </c>
      <c r="J50" s="64">
        <v>0.28999999999999998</v>
      </c>
      <c r="K50" s="64">
        <v>23.49</v>
      </c>
      <c r="L50" s="64">
        <v>29.16</v>
      </c>
      <c r="M50" s="64">
        <v>32.14</v>
      </c>
      <c r="N50" s="64">
        <v>736.9</v>
      </c>
      <c r="O50" s="64">
        <v>0</v>
      </c>
      <c r="P50" s="64">
        <v>0.39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3" t="s">
        <v>2209</v>
      </c>
      <c r="B51" s="64">
        <v>1.27</v>
      </c>
      <c r="C51" s="64">
        <v>48.5</v>
      </c>
      <c r="D51" s="64">
        <v>28.43</v>
      </c>
      <c r="E51" s="64">
        <v>0.19</v>
      </c>
      <c r="F51" s="64">
        <v>12.42</v>
      </c>
      <c r="G51" s="64">
        <v>51.9</v>
      </c>
      <c r="H51" s="64">
        <v>15.35</v>
      </c>
      <c r="I51" s="64">
        <v>1.52</v>
      </c>
      <c r="J51" s="64">
        <v>0.48</v>
      </c>
      <c r="K51" s="64">
        <v>17.260000000000002</v>
      </c>
      <c r="L51" s="64">
        <v>29.35</v>
      </c>
      <c r="M51" s="64">
        <v>30.03</v>
      </c>
      <c r="N51" s="64">
        <v>770.3</v>
      </c>
      <c r="O51" s="64">
        <v>0</v>
      </c>
      <c r="P51" s="64">
        <v>0.37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3" t="s">
        <v>2210</v>
      </c>
      <c r="B52" s="64">
        <v>1.7</v>
      </c>
      <c r="C52" s="64">
        <v>47.12</v>
      </c>
      <c r="D52" s="64">
        <v>28.01</v>
      </c>
      <c r="E52" s="64">
        <v>0.23</v>
      </c>
      <c r="F52" s="64">
        <v>14.47</v>
      </c>
      <c r="G52" s="64">
        <v>51.9</v>
      </c>
      <c r="H52" s="64">
        <v>15.35</v>
      </c>
      <c r="I52" s="64">
        <v>1.5</v>
      </c>
      <c r="J52" s="64">
        <v>0.42</v>
      </c>
      <c r="K52" s="64">
        <v>3.76</v>
      </c>
      <c r="L52" s="64">
        <v>30.57</v>
      </c>
      <c r="M52" s="64">
        <v>28.62</v>
      </c>
      <c r="N52" s="64">
        <v>784.5</v>
      </c>
      <c r="O52" s="64">
        <v>0</v>
      </c>
      <c r="P52" s="211" t="s">
        <v>40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3" t="s">
        <v>2211</v>
      </c>
      <c r="B53" s="64">
        <v>1.8</v>
      </c>
      <c r="C53" s="64">
        <v>48.14</v>
      </c>
      <c r="D53" s="64">
        <v>28.66</v>
      </c>
      <c r="E53" s="64">
        <v>0.15</v>
      </c>
      <c r="F53" s="64">
        <v>12.65</v>
      </c>
      <c r="G53" s="64">
        <v>51.9</v>
      </c>
      <c r="H53" s="64">
        <v>15.35</v>
      </c>
      <c r="I53" s="64">
        <v>1.55</v>
      </c>
      <c r="J53" s="64">
        <v>0.46</v>
      </c>
      <c r="K53" s="64">
        <v>342.64</v>
      </c>
      <c r="L53" s="64">
        <v>31.08</v>
      </c>
      <c r="M53" s="64">
        <v>28.59</v>
      </c>
      <c r="N53" s="64">
        <v>791.5</v>
      </c>
      <c r="O53" s="64">
        <v>0</v>
      </c>
      <c r="P53" s="211" t="s">
        <v>40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3" t="s">
        <v>2212</v>
      </c>
      <c r="B54" s="64">
        <v>1.94</v>
      </c>
      <c r="C54" s="64">
        <v>49.11</v>
      </c>
      <c r="D54" s="64">
        <v>29.31</v>
      </c>
      <c r="E54" s="64">
        <v>0.11</v>
      </c>
      <c r="F54" s="64">
        <v>10.57</v>
      </c>
      <c r="G54" s="64">
        <v>51.9</v>
      </c>
      <c r="H54" s="64">
        <v>15.35</v>
      </c>
      <c r="I54" s="64">
        <v>1.45</v>
      </c>
      <c r="J54" s="64">
        <v>0.98</v>
      </c>
      <c r="K54" s="64">
        <v>311.70999999999998</v>
      </c>
      <c r="L54" s="64">
        <v>32.19</v>
      </c>
      <c r="M54" s="64">
        <v>27.28</v>
      </c>
      <c r="N54" s="64">
        <v>787</v>
      </c>
      <c r="O54" s="64">
        <v>0</v>
      </c>
      <c r="P54" s="211" t="s">
        <v>40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3" t="s">
        <v>2213</v>
      </c>
      <c r="B55" s="64">
        <v>1.88</v>
      </c>
      <c r="C55" s="64">
        <v>50.05</v>
      </c>
      <c r="D55" s="64">
        <v>29.78</v>
      </c>
      <c r="E55" s="64">
        <v>7.0000000000000007E-2</v>
      </c>
      <c r="F55" s="64">
        <v>8.66</v>
      </c>
      <c r="G55" s="64">
        <v>51.9</v>
      </c>
      <c r="H55" s="64">
        <v>15.35</v>
      </c>
      <c r="I55" s="64">
        <v>1.62</v>
      </c>
      <c r="J55" s="64">
        <v>0.53</v>
      </c>
      <c r="K55" s="64">
        <v>346.59</v>
      </c>
      <c r="L55" s="64">
        <v>31.63</v>
      </c>
      <c r="M55" s="64">
        <v>26.79</v>
      </c>
      <c r="N55" s="64">
        <v>818.9</v>
      </c>
      <c r="O55" s="64">
        <v>0</v>
      </c>
      <c r="P55" s="211" t="s">
        <v>40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3" t="s">
        <v>2214</v>
      </c>
      <c r="B56" s="64">
        <v>1.7</v>
      </c>
      <c r="C56" s="64">
        <v>49.58</v>
      </c>
      <c r="D56" s="64">
        <v>29.37</v>
      </c>
      <c r="E56" s="64">
        <v>0</v>
      </c>
      <c r="F56" s="64">
        <v>8.7799999999999994</v>
      </c>
      <c r="G56" s="64">
        <v>51.9</v>
      </c>
      <c r="H56" s="64">
        <v>15.35</v>
      </c>
      <c r="I56" s="64">
        <v>1.48</v>
      </c>
      <c r="J56" s="64">
        <v>1.31</v>
      </c>
      <c r="K56" s="64">
        <v>317.45999999999998</v>
      </c>
      <c r="L56" s="64">
        <v>32.590000000000003</v>
      </c>
      <c r="M56" s="64">
        <v>26.92</v>
      </c>
      <c r="N56" s="64">
        <v>841.5</v>
      </c>
      <c r="O56" s="64">
        <v>0</v>
      </c>
      <c r="P56" s="211" t="s">
        <v>40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3" t="s">
        <v>2215</v>
      </c>
      <c r="B57" s="64">
        <v>1.62</v>
      </c>
      <c r="C57" s="64">
        <v>48.89</v>
      </c>
      <c r="D57" s="64">
        <v>28.93</v>
      </c>
      <c r="E57" s="64">
        <v>0.06</v>
      </c>
      <c r="F57" s="64">
        <v>9.06</v>
      </c>
      <c r="G57" s="64">
        <v>51.9</v>
      </c>
      <c r="H57" s="64">
        <v>15.35</v>
      </c>
      <c r="I57" s="64">
        <v>1.5</v>
      </c>
      <c r="J57" s="64">
        <v>0.85</v>
      </c>
      <c r="K57" s="64">
        <v>320.93</v>
      </c>
      <c r="L57" s="64">
        <v>32.85</v>
      </c>
      <c r="M57" s="64">
        <v>26.74</v>
      </c>
      <c r="N57" s="64">
        <v>843.3</v>
      </c>
      <c r="O57" s="64">
        <v>0</v>
      </c>
      <c r="P57" s="211" t="s">
        <v>40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3" t="s">
        <v>2216</v>
      </c>
      <c r="B58" s="64">
        <v>1.69</v>
      </c>
      <c r="C58" s="64">
        <v>47.84</v>
      </c>
      <c r="D58" s="64">
        <v>28.4</v>
      </c>
      <c r="E58" s="64">
        <v>0.13</v>
      </c>
      <c r="F58" s="64">
        <v>8.52</v>
      </c>
      <c r="G58" s="211" t="s">
        <v>40</v>
      </c>
      <c r="H58" s="211" t="s">
        <v>40</v>
      </c>
      <c r="I58" s="64">
        <v>1.55</v>
      </c>
      <c r="J58" s="64">
        <v>0.79</v>
      </c>
      <c r="K58" s="64">
        <v>320.76</v>
      </c>
      <c r="L58" s="64">
        <v>33.25</v>
      </c>
      <c r="M58" s="64">
        <v>25.14</v>
      </c>
      <c r="N58" s="64">
        <v>841</v>
      </c>
      <c r="O58" s="64">
        <v>0</v>
      </c>
      <c r="P58" s="64">
        <v>0.4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3" t="s">
        <v>2217</v>
      </c>
      <c r="B59" s="64">
        <v>1.68</v>
      </c>
      <c r="C59" s="64">
        <v>46.72</v>
      </c>
      <c r="D59" s="64">
        <v>27.78</v>
      </c>
      <c r="E59" s="64">
        <v>0.12</v>
      </c>
      <c r="F59" s="64">
        <v>8.8000000000000007</v>
      </c>
      <c r="G59" s="211" t="s">
        <v>40</v>
      </c>
      <c r="H59" s="211" t="s">
        <v>40</v>
      </c>
      <c r="I59" s="64">
        <v>1.44</v>
      </c>
      <c r="J59" s="64">
        <v>1.24</v>
      </c>
      <c r="K59" s="64">
        <v>316.48</v>
      </c>
      <c r="L59" s="64">
        <v>33.25</v>
      </c>
      <c r="M59" s="64">
        <v>24.77</v>
      </c>
      <c r="N59" s="64">
        <v>829.8</v>
      </c>
      <c r="O59" s="64">
        <v>0</v>
      </c>
      <c r="P59" s="64">
        <v>0.39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3" t="s">
        <v>2218</v>
      </c>
      <c r="B60" s="64">
        <v>1.69</v>
      </c>
      <c r="C60" s="64">
        <v>46.89</v>
      </c>
      <c r="D60" s="64">
        <v>27.88</v>
      </c>
      <c r="E60" s="64">
        <v>0.16</v>
      </c>
      <c r="F60" s="64">
        <v>8.92</v>
      </c>
      <c r="G60" s="211" t="s">
        <v>40</v>
      </c>
      <c r="H60" s="211" t="s">
        <v>40</v>
      </c>
      <c r="I60" s="64">
        <v>1.55</v>
      </c>
      <c r="J60" s="64">
        <v>0.7</v>
      </c>
      <c r="K60" s="64">
        <v>320.24</v>
      </c>
      <c r="L60" s="64">
        <v>33.85</v>
      </c>
      <c r="M60" s="64">
        <v>23.97</v>
      </c>
      <c r="N60" s="64">
        <v>817.1</v>
      </c>
      <c r="O60" s="64">
        <v>0</v>
      </c>
      <c r="P60" s="64">
        <v>0.38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3" t="s">
        <v>2219</v>
      </c>
      <c r="B61" s="64">
        <v>1.77</v>
      </c>
      <c r="C61" s="64">
        <v>48.7</v>
      </c>
      <c r="D61" s="64">
        <v>28.94</v>
      </c>
      <c r="E61" s="64">
        <v>0.12</v>
      </c>
      <c r="F61" s="64">
        <v>8.5</v>
      </c>
      <c r="G61" s="211" t="s">
        <v>40</v>
      </c>
      <c r="H61" s="211" t="s">
        <v>40</v>
      </c>
      <c r="I61" s="64">
        <v>1.49</v>
      </c>
      <c r="J61" s="64">
        <v>0.57999999999999996</v>
      </c>
      <c r="K61" s="64">
        <v>311.97000000000003</v>
      </c>
      <c r="L61" s="64">
        <v>33.880000000000003</v>
      </c>
      <c r="M61" s="64">
        <v>22.66</v>
      </c>
      <c r="N61" s="64">
        <v>784.5</v>
      </c>
      <c r="O61" s="64">
        <v>0</v>
      </c>
      <c r="P61" s="64">
        <v>0.36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3" t="s">
        <v>2220</v>
      </c>
      <c r="B62" s="64">
        <v>1.7</v>
      </c>
      <c r="C62" s="64">
        <v>46.81</v>
      </c>
      <c r="D62" s="64">
        <v>27.84</v>
      </c>
      <c r="E62" s="64">
        <v>0.13</v>
      </c>
      <c r="F62" s="64">
        <v>7.37</v>
      </c>
      <c r="G62" s="64">
        <v>52.47</v>
      </c>
      <c r="H62" s="64">
        <v>19.54</v>
      </c>
      <c r="I62" s="64">
        <v>1.49</v>
      </c>
      <c r="J62" s="64">
        <v>0.43</v>
      </c>
      <c r="K62" s="64">
        <v>324.77999999999997</v>
      </c>
      <c r="L62" s="64">
        <v>32.86</v>
      </c>
      <c r="M62" s="64">
        <v>22.29</v>
      </c>
      <c r="N62" s="64">
        <v>762.9</v>
      </c>
      <c r="O62" s="64">
        <v>0</v>
      </c>
      <c r="P62" s="64">
        <v>0.38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2221</v>
      </c>
      <c r="B63" s="64">
        <v>1.76</v>
      </c>
      <c r="C63" s="64">
        <v>46.34</v>
      </c>
      <c r="D63" s="64">
        <v>27.63</v>
      </c>
      <c r="E63" s="64">
        <v>0.19</v>
      </c>
      <c r="F63" s="64">
        <v>6.32</v>
      </c>
      <c r="G63" s="64">
        <v>62.97</v>
      </c>
      <c r="H63" s="64">
        <v>23.45</v>
      </c>
      <c r="I63" s="64">
        <v>1.55</v>
      </c>
      <c r="J63" s="64">
        <v>0.82</v>
      </c>
      <c r="K63" s="64">
        <v>316.92</v>
      </c>
      <c r="L63" s="64">
        <v>33.92</v>
      </c>
      <c r="M63" s="64">
        <v>22.82</v>
      </c>
      <c r="N63" s="64">
        <v>735.2</v>
      </c>
      <c r="O63" s="64">
        <v>0</v>
      </c>
      <c r="P63" s="64">
        <v>0.38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3" t="s">
        <v>2222</v>
      </c>
      <c r="B64" s="64">
        <v>2.17</v>
      </c>
      <c r="C64" s="64">
        <v>46.69</v>
      </c>
      <c r="D64" s="64">
        <v>28.15</v>
      </c>
      <c r="E64" s="64">
        <v>7.0000000000000007E-2</v>
      </c>
      <c r="F64" s="64">
        <v>6.48</v>
      </c>
      <c r="G64" s="64">
        <v>62.97</v>
      </c>
      <c r="H64" s="64">
        <v>23.45</v>
      </c>
      <c r="I64" s="64">
        <v>1.5</v>
      </c>
      <c r="J64" s="64">
        <v>0.33</v>
      </c>
      <c r="K64" s="64">
        <v>311.76</v>
      </c>
      <c r="L64" s="64">
        <v>32.950000000000003</v>
      </c>
      <c r="M64" s="64">
        <v>22.38</v>
      </c>
      <c r="N64" s="64">
        <v>703.9</v>
      </c>
      <c r="O64" s="64">
        <v>0</v>
      </c>
      <c r="P64" s="64">
        <v>0.39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3" t="s">
        <v>2223</v>
      </c>
      <c r="B65" s="64">
        <v>1.8</v>
      </c>
      <c r="C65" s="64">
        <v>47.29</v>
      </c>
      <c r="D65" s="64">
        <v>28.19</v>
      </c>
      <c r="E65" s="64">
        <v>0.16</v>
      </c>
      <c r="F65" s="64">
        <v>8.8800000000000008</v>
      </c>
      <c r="G65" s="64">
        <v>62.97</v>
      </c>
      <c r="H65" s="64">
        <v>23.45</v>
      </c>
      <c r="I65" s="64">
        <v>1.51</v>
      </c>
      <c r="J65" s="64">
        <v>0.2</v>
      </c>
      <c r="K65" s="64">
        <v>336.84</v>
      </c>
      <c r="L65" s="64">
        <v>31.64</v>
      </c>
      <c r="M65" s="64">
        <v>23.14</v>
      </c>
      <c r="N65" s="64">
        <v>679</v>
      </c>
      <c r="O65" s="64">
        <v>0</v>
      </c>
      <c r="P65" s="64">
        <v>0.41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3" t="s">
        <v>2224</v>
      </c>
      <c r="B66" s="64">
        <v>1.65</v>
      </c>
      <c r="C66" s="64">
        <v>47.64</v>
      </c>
      <c r="D66" s="64">
        <v>28.26</v>
      </c>
      <c r="E66" s="64">
        <v>0.14000000000000001</v>
      </c>
      <c r="F66" s="64">
        <v>7.83</v>
      </c>
      <c r="G66" s="64">
        <v>45.03</v>
      </c>
      <c r="H66" s="64">
        <v>17.41</v>
      </c>
      <c r="I66" s="64">
        <v>1.46</v>
      </c>
      <c r="J66" s="64">
        <v>0.23</v>
      </c>
      <c r="K66" s="64">
        <v>14.19</v>
      </c>
      <c r="L66" s="64">
        <v>31.55</v>
      </c>
      <c r="M66" s="64">
        <v>21.72</v>
      </c>
      <c r="N66" s="64">
        <v>629</v>
      </c>
      <c r="O66" s="64">
        <v>0</v>
      </c>
      <c r="P66" s="64">
        <v>0.41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3" t="s">
        <v>2225</v>
      </c>
      <c r="B67" s="64">
        <v>1.62</v>
      </c>
      <c r="C67" s="64">
        <v>48.42</v>
      </c>
      <c r="D67" s="64">
        <v>28.67</v>
      </c>
      <c r="E67" s="64">
        <v>0.12</v>
      </c>
      <c r="F67" s="64">
        <v>9.8699999999999992</v>
      </c>
      <c r="G67" s="64">
        <v>41.44</v>
      </c>
      <c r="H67" s="64">
        <v>17.41</v>
      </c>
      <c r="I67" s="64">
        <v>1.54</v>
      </c>
      <c r="J67" s="64">
        <v>0.21</v>
      </c>
      <c r="K67" s="64">
        <v>42.4</v>
      </c>
      <c r="L67" s="64">
        <v>30.6</v>
      </c>
      <c r="M67" s="64">
        <v>21.29</v>
      </c>
      <c r="N67" s="64">
        <v>579.29999999999995</v>
      </c>
      <c r="O67" s="64">
        <v>0</v>
      </c>
      <c r="P67" s="64">
        <v>0.38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3" t="s">
        <v>2226</v>
      </c>
      <c r="B68" s="64">
        <v>1.18</v>
      </c>
      <c r="C68" s="64">
        <v>47.24</v>
      </c>
      <c r="D68" s="64">
        <v>27.67</v>
      </c>
      <c r="E68" s="64">
        <v>0.14000000000000001</v>
      </c>
      <c r="F68" s="64">
        <v>10.45</v>
      </c>
      <c r="G68" s="64">
        <v>41.44</v>
      </c>
      <c r="H68" s="64">
        <v>17.41</v>
      </c>
      <c r="I68" s="64">
        <v>1.5</v>
      </c>
      <c r="J68" s="64">
        <v>0.32</v>
      </c>
      <c r="K68" s="64">
        <v>351.93</v>
      </c>
      <c r="L68" s="64">
        <v>31.03</v>
      </c>
      <c r="M68" s="64">
        <v>21.83</v>
      </c>
      <c r="N68" s="64">
        <v>390.8</v>
      </c>
      <c r="O68" s="64">
        <v>0</v>
      </c>
      <c r="P68" s="64">
        <v>0.35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3" t="s">
        <v>2227</v>
      </c>
      <c r="B69" s="64">
        <v>1.21</v>
      </c>
      <c r="C69" s="64">
        <v>46.65</v>
      </c>
      <c r="D69" s="64">
        <v>27.36</v>
      </c>
      <c r="E69" s="64">
        <v>0.09</v>
      </c>
      <c r="F69" s="64">
        <v>8.15</v>
      </c>
      <c r="G69" s="64">
        <v>41.44</v>
      </c>
      <c r="H69" s="64">
        <v>17.41</v>
      </c>
      <c r="I69" s="64">
        <v>1.53</v>
      </c>
      <c r="J69" s="64">
        <v>0.2</v>
      </c>
      <c r="K69" s="64">
        <v>19.47</v>
      </c>
      <c r="L69" s="64">
        <v>30.96</v>
      </c>
      <c r="M69" s="64">
        <v>21.47</v>
      </c>
      <c r="N69" s="64">
        <v>300.2</v>
      </c>
      <c r="O69" s="64">
        <v>0</v>
      </c>
      <c r="P69" s="64">
        <v>0.35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3" t="s">
        <v>2228</v>
      </c>
      <c r="B70" s="64">
        <v>1.55</v>
      </c>
      <c r="C70" s="64">
        <v>46.24</v>
      </c>
      <c r="D70" s="64">
        <v>27.41</v>
      </c>
      <c r="E70" s="64">
        <v>0.15</v>
      </c>
      <c r="F70" s="64">
        <v>7.44</v>
      </c>
      <c r="G70" s="64">
        <v>50.12</v>
      </c>
      <c r="H70" s="64">
        <v>18.77</v>
      </c>
      <c r="I70" s="64">
        <v>1.51</v>
      </c>
      <c r="J70" s="64">
        <v>0.2</v>
      </c>
      <c r="K70" s="64">
        <v>33.61</v>
      </c>
      <c r="L70" s="64">
        <v>30.19</v>
      </c>
      <c r="M70" s="64">
        <v>22.21</v>
      </c>
      <c r="N70" s="64">
        <v>260.7</v>
      </c>
      <c r="O70" s="64">
        <v>0</v>
      </c>
      <c r="P70" s="64">
        <v>0.35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3" t="s">
        <v>2229</v>
      </c>
      <c r="B71" s="64">
        <v>1.33</v>
      </c>
      <c r="C71" s="64">
        <v>45.97</v>
      </c>
      <c r="D71" s="64">
        <v>27.09</v>
      </c>
      <c r="E71" s="64">
        <v>0.2</v>
      </c>
      <c r="F71" s="64">
        <v>10.92</v>
      </c>
      <c r="G71" s="64">
        <v>51.86</v>
      </c>
      <c r="H71" s="64">
        <v>18.77</v>
      </c>
      <c r="I71" s="64">
        <v>1.48</v>
      </c>
      <c r="J71" s="64">
        <v>0.3</v>
      </c>
      <c r="K71" s="64">
        <v>0.37</v>
      </c>
      <c r="L71" s="64">
        <v>29.76</v>
      </c>
      <c r="M71" s="64">
        <v>22.92</v>
      </c>
      <c r="N71" s="64">
        <v>168</v>
      </c>
      <c r="O71" s="64">
        <v>0</v>
      </c>
      <c r="P71" s="64">
        <v>0.32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3" t="s">
        <v>2230</v>
      </c>
      <c r="B72" s="64">
        <v>1.1499999999999999</v>
      </c>
      <c r="C72" s="64">
        <v>45.71</v>
      </c>
      <c r="D72" s="64">
        <v>26.79</v>
      </c>
      <c r="E72" s="64">
        <v>0.19</v>
      </c>
      <c r="F72" s="64">
        <v>12.6</v>
      </c>
      <c r="G72" s="64">
        <v>51.86</v>
      </c>
      <c r="H72" s="64">
        <v>18.77</v>
      </c>
      <c r="I72" s="64">
        <v>1.57</v>
      </c>
      <c r="J72" s="64">
        <v>0.26</v>
      </c>
      <c r="K72" s="64">
        <v>23.01</v>
      </c>
      <c r="L72" s="64">
        <v>29.72</v>
      </c>
      <c r="M72" s="64">
        <v>23.52</v>
      </c>
      <c r="N72" s="64">
        <v>164.7</v>
      </c>
      <c r="O72" s="64">
        <v>0</v>
      </c>
      <c r="P72" s="64">
        <v>0.31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3" t="s">
        <v>2231</v>
      </c>
      <c r="B73" s="64">
        <v>1.19</v>
      </c>
      <c r="C73" s="64">
        <v>45.89</v>
      </c>
      <c r="D73" s="64">
        <v>26.92</v>
      </c>
      <c r="E73" s="64">
        <v>0.16</v>
      </c>
      <c r="F73" s="64">
        <v>8.4600000000000009</v>
      </c>
      <c r="G73" s="64">
        <v>51.86</v>
      </c>
      <c r="H73" s="64">
        <v>18.77</v>
      </c>
      <c r="I73" s="64">
        <v>1.44</v>
      </c>
      <c r="J73" s="64">
        <v>0.34</v>
      </c>
      <c r="K73" s="64">
        <v>351.03</v>
      </c>
      <c r="L73" s="64">
        <v>29.61</v>
      </c>
      <c r="M73" s="64">
        <v>24.33</v>
      </c>
      <c r="N73" s="64">
        <v>137</v>
      </c>
      <c r="O73" s="64">
        <v>0</v>
      </c>
      <c r="P73" s="64">
        <v>0.31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3" t="s">
        <v>2232</v>
      </c>
      <c r="B74" s="64">
        <v>1.33</v>
      </c>
      <c r="C74" s="64">
        <v>45.53</v>
      </c>
      <c r="D74" s="64">
        <v>26.84</v>
      </c>
      <c r="E74" s="64">
        <v>0.15</v>
      </c>
      <c r="F74" s="64">
        <v>7.65</v>
      </c>
      <c r="G74" s="64">
        <v>40.64</v>
      </c>
      <c r="H74" s="64">
        <v>16.46</v>
      </c>
      <c r="I74" s="64">
        <v>1.47</v>
      </c>
      <c r="J74" s="64">
        <v>0.16</v>
      </c>
      <c r="K74" s="64">
        <v>353.8</v>
      </c>
      <c r="L74" s="64">
        <v>29.21</v>
      </c>
      <c r="M74" s="64">
        <v>24.25</v>
      </c>
      <c r="N74" s="64">
        <v>90.5</v>
      </c>
      <c r="O74" s="64">
        <v>0</v>
      </c>
      <c r="P74" s="64">
        <v>0.32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3" t="s">
        <v>2233</v>
      </c>
      <c r="B75" s="64">
        <v>1.32</v>
      </c>
      <c r="C75" s="64">
        <v>44.66</v>
      </c>
      <c r="D75" s="64">
        <v>26.35</v>
      </c>
      <c r="E75" s="64">
        <v>0.19</v>
      </c>
      <c r="F75" s="64">
        <v>7.9</v>
      </c>
      <c r="G75" s="64">
        <v>38.4</v>
      </c>
      <c r="H75" s="64">
        <v>16.46</v>
      </c>
      <c r="I75" s="64">
        <v>1.42</v>
      </c>
      <c r="J75" s="64">
        <v>0.18</v>
      </c>
      <c r="K75" s="64">
        <v>1.1100000000000001</v>
      </c>
      <c r="L75" s="64">
        <v>29</v>
      </c>
      <c r="M75" s="64">
        <v>25.5</v>
      </c>
      <c r="N75" s="64">
        <v>80.900000000000006</v>
      </c>
      <c r="O75" s="64">
        <v>0</v>
      </c>
      <c r="P75" s="64">
        <v>0.32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3" t="s">
        <v>2234</v>
      </c>
      <c r="B76" s="64">
        <v>1.37</v>
      </c>
      <c r="C76" s="64">
        <v>44.2</v>
      </c>
      <c r="D76" s="64">
        <v>26.14</v>
      </c>
      <c r="E76" s="64">
        <v>0.11</v>
      </c>
      <c r="F76" s="64">
        <v>7.36</v>
      </c>
      <c r="G76" s="64">
        <v>38.4</v>
      </c>
      <c r="H76" s="64">
        <v>16.46</v>
      </c>
      <c r="I76" s="64">
        <v>1.43</v>
      </c>
      <c r="J76" s="64">
        <v>0.52</v>
      </c>
      <c r="K76" s="64">
        <v>315.89</v>
      </c>
      <c r="L76" s="64">
        <v>28.67</v>
      </c>
      <c r="M76" s="64">
        <v>26.42</v>
      </c>
      <c r="N76" s="64">
        <v>71.099999999999994</v>
      </c>
      <c r="O76" s="64">
        <v>0</v>
      </c>
      <c r="P76" s="64">
        <v>0.32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3" t="s">
        <v>2235</v>
      </c>
      <c r="B77" s="64">
        <v>1.69</v>
      </c>
      <c r="C77" s="64">
        <v>44.35</v>
      </c>
      <c r="D77" s="64">
        <v>26.47</v>
      </c>
      <c r="E77" s="64">
        <v>0.09</v>
      </c>
      <c r="F77" s="64">
        <v>6.09</v>
      </c>
      <c r="G77" s="64">
        <v>38.4</v>
      </c>
      <c r="H77" s="64">
        <v>16.46</v>
      </c>
      <c r="I77" s="64">
        <v>1.56</v>
      </c>
      <c r="J77" s="64">
        <v>0.17</v>
      </c>
      <c r="K77" s="64">
        <v>3.14</v>
      </c>
      <c r="L77" s="64">
        <v>28.4</v>
      </c>
      <c r="M77" s="64">
        <v>26.7</v>
      </c>
      <c r="N77" s="64">
        <v>59.5</v>
      </c>
      <c r="O77" s="64">
        <v>0</v>
      </c>
      <c r="P77" s="64">
        <v>0.34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3" t="s">
        <v>2236</v>
      </c>
      <c r="B78" s="64">
        <v>2.7</v>
      </c>
      <c r="C78" s="64">
        <v>48.98</v>
      </c>
      <c r="D78" s="64">
        <v>29.84</v>
      </c>
      <c r="E78" s="64">
        <v>0.14000000000000001</v>
      </c>
      <c r="F78" s="64">
        <v>5.64</v>
      </c>
      <c r="G78" s="64">
        <v>31.95</v>
      </c>
      <c r="H78" s="64">
        <v>12.65</v>
      </c>
      <c r="I78" s="64">
        <v>1.54</v>
      </c>
      <c r="J78" s="64">
        <v>0.19</v>
      </c>
      <c r="K78" s="64">
        <v>14.1</v>
      </c>
      <c r="L78" s="64">
        <v>28.07</v>
      </c>
      <c r="M78" s="64">
        <v>27.51</v>
      </c>
      <c r="N78" s="64">
        <v>47.8</v>
      </c>
      <c r="O78" s="64">
        <v>0</v>
      </c>
      <c r="P78" s="64">
        <v>0.4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3" t="s">
        <v>2237</v>
      </c>
      <c r="B79" s="64">
        <v>3.18</v>
      </c>
      <c r="C79" s="64">
        <v>59.21</v>
      </c>
      <c r="D79" s="64">
        <v>35.869999999999997</v>
      </c>
      <c r="E79" s="64">
        <v>0.2</v>
      </c>
      <c r="F79" s="64">
        <v>8.5</v>
      </c>
      <c r="G79" s="64">
        <v>30.67</v>
      </c>
      <c r="H79" s="64">
        <v>12.65</v>
      </c>
      <c r="I79" s="64">
        <v>1.56</v>
      </c>
      <c r="J79" s="64">
        <v>0.08</v>
      </c>
      <c r="K79" s="64">
        <v>9.9700000000000006</v>
      </c>
      <c r="L79" s="64">
        <v>27.59</v>
      </c>
      <c r="M79" s="64">
        <v>28.29</v>
      </c>
      <c r="N79" s="64">
        <v>37</v>
      </c>
      <c r="O79" s="64">
        <v>0</v>
      </c>
      <c r="P79" s="64">
        <v>0.55000000000000004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3" t="s">
        <v>2238</v>
      </c>
      <c r="B80" s="64">
        <v>2.4</v>
      </c>
      <c r="C80" s="64">
        <v>64.11</v>
      </c>
      <c r="D80" s="64">
        <v>37.950000000000003</v>
      </c>
      <c r="E80" s="64">
        <v>0.12</v>
      </c>
      <c r="F80" s="64">
        <v>5.65</v>
      </c>
      <c r="G80" s="64">
        <v>30.67</v>
      </c>
      <c r="H80" s="64">
        <v>12.65</v>
      </c>
      <c r="I80" s="64">
        <v>1.5</v>
      </c>
      <c r="J80" s="64">
        <v>0.09</v>
      </c>
      <c r="K80" s="64">
        <v>8.17</v>
      </c>
      <c r="L80" s="64">
        <v>27.3</v>
      </c>
      <c r="M80" s="64">
        <v>28.74</v>
      </c>
      <c r="N80" s="64">
        <v>27.3</v>
      </c>
      <c r="O80" s="64">
        <v>0</v>
      </c>
      <c r="P80" s="64">
        <v>0.62</v>
      </c>
      <c r="Q80" s="64">
        <v>5.21</v>
      </c>
      <c r="R80" s="198"/>
      <c r="S80" s="198"/>
      <c r="T80" s="198"/>
      <c r="U80" s="198"/>
    </row>
    <row r="81" spans="1:26" s="12" customFormat="1" x14ac:dyDescent="0.25">
      <c r="A81" s="213" t="s">
        <v>2239</v>
      </c>
      <c r="B81" s="64">
        <v>3.18</v>
      </c>
      <c r="C81" s="64">
        <v>63.65</v>
      </c>
      <c r="D81" s="64">
        <v>38.32</v>
      </c>
      <c r="E81" s="64">
        <v>0.11</v>
      </c>
      <c r="F81" s="64">
        <v>4.26</v>
      </c>
      <c r="G81" s="64">
        <v>30.67</v>
      </c>
      <c r="H81" s="64">
        <v>12.65</v>
      </c>
      <c r="I81" s="64">
        <v>1.47</v>
      </c>
      <c r="J81" s="64">
        <v>0.12</v>
      </c>
      <c r="K81" s="64">
        <v>296.42</v>
      </c>
      <c r="L81" s="64">
        <v>26.39</v>
      </c>
      <c r="M81" s="64">
        <v>32.53</v>
      </c>
      <c r="N81" s="64">
        <v>24.4</v>
      </c>
      <c r="O81" s="64">
        <v>0</v>
      </c>
      <c r="P81" s="64">
        <v>0.72</v>
      </c>
      <c r="Q81" s="64">
        <v>5.21</v>
      </c>
      <c r="R81" s="198"/>
      <c r="S81" s="198"/>
      <c r="T81" s="198"/>
      <c r="U81" s="198"/>
    </row>
    <row r="82" spans="1:26" s="12" customFormat="1" x14ac:dyDescent="0.25">
      <c r="A82" s="213" t="s">
        <v>2240</v>
      </c>
      <c r="B82" s="64">
        <v>4.8</v>
      </c>
      <c r="C82" s="64">
        <v>62.56</v>
      </c>
      <c r="D82" s="64">
        <v>39.020000000000003</v>
      </c>
      <c r="E82" s="64">
        <v>0.14000000000000001</v>
      </c>
      <c r="F82" s="64">
        <v>3.63</v>
      </c>
      <c r="G82" s="64">
        <v>35.590000000000003</v>
      </c>
      <c r="H82" s="64">
        <v>13.4</v>
      </c>
      <c r="I82" s="64">
        <v>1.45</v>
      </c>
      <c r="J82" s="64">
        <v>7.0000000000000007E-2</v>
      </c>
      <c r="K82" s="64">
        <v>271.06</v>
      </c>
      <c r="L82" s="64">
        <v>25.56</v>
      </c>
      <c r="M82" s="64">
        <v>34.299999999999997</v>
      </c>
      <c r="N82" s="64">
        <v>23.7</v>
      </c>
      <c r="O82" s="64">
        <v>0</v>
      </c>
      <c r="P82" s="64">
        <v>0.76</v>
      </c>
      <c r="Q82" s="64">
        <v>5.21</v>
      </c>
      <c r="R82" s="198"/>
      <c r="S82" s="198"/>
      <c r="T82" s="198"/>
      <c r="U82" s="198"/>
    </row>
    <row r="83" spans="1:26" s="12" customFormat="1" x14ac:dyDescent="0.25">
      <c r="A83" s="213" t="s">
        <v>2241</v>
      </c>
      <c r="B83" s="64">
        <v>6.32</v>
      </c>
      <c r="C83" s="64">
        <v>60.84</v>
      </c>
      <c r="D83" s="64">
        <v>39.29</v>
      </c>
      <c r="E83" s="64">
        <v>0.1</v>
      </c>
      <c r="F83" s="64">
        <v>3.66</v>
      </c>
      <c r="G83" s="64">
        <v>36.57</v>
      </c>
      <c r="H83" s="64">
        <v>13.4</v>
      </c>
      <c r="I83" s="64">
        <v>1.47</v>
      </c>
      <c r="J83" s="64">
        <v>7.0000000000000007E-2</v>
      </c>
      <c r="K83" s="64">
        <v>329.24</v>
      </c>
      <c r="L83" s="64">
        <v>25.17</v>
      </c>
      <c r="M83" s="64">
        <v>36.46</v>
      </c>
      <c r="N83" s="64">
        <v>23.8</v>
      </c>
      <c r="O83" s="64">
        <v>0</v>
      </c>
      <c r="P83" s="64">
        <v>0.86</v>
      </c>
      <c r="Q83" s="64">
        <v>5.21</v>
      </c>
      <c r="R83" s="198"/>
      <c r="S83" s="198"/>
      <c r="T83" s="198"/>
      <c r="U83" s="198"/>
    </row>
    <row r="84" spans="1:26" s="12" customFormat="1" x14ac:dyDescent="0.25">
      <c r="A84" s="213" t="s">
        <v>2242</v>
      </c>
      <c r="B84" s="64">
        <v>9.27</v>
      </c>
      <c r="C84" s="64">
        <v>59.66</v>
      </c>
      <c r="D84" s="64">
        <v>41</v>
      </c>
      <c r="E84" s="64">
        <v>7.0000000000000007E-2</v>
      </c>
      <c r="F84" s="64">
        <v>3.49</v>
      </c>
      <c r="G84" s="64">
        <v>36.57</v>
      </c>
      <c r="H84" s="64">
        <v>13.4</v>
      </c>
      <c r="I84" s="64">
        <v>1.49</v>
      </c>
      <c r="J84" s="64">
        <v>0.06</v>
      </c>
      <c r="K84" s="64">
        <v>52.85</v>
      </c>
      <c r="L84" s="64">
        <v>24.58</v>
      </c>
      <c r="M84" s="64">
        <v>38.119999999999997</v>
      </c>
      <c r="N84" s="64">
        <v>23.7</v>
      </c>
      <c r="O84" s="64">
        <v>0</v>
      </c>
      <c r="P84" s="64">
        <v>0.97</v>
      </c>
      <c r="Q84" s="64">
        <v>5.21</v>
      </c>
      <c r="R84" s="198"/>
      <c r="S84" s="198"/>
      <c r="T84" s="198"/>
      <c r="U84" s="198"/>
    </row>
    <row r="85" spans="1:26" s="12" customFormat="1" x14ac:dyDescent="0.25">
      <c r="A85" s="213" t="s">
        <v>2243</v>
      </c>
      <c r="B85" s="64">
        <v>12.28</v>
      </c>
      <c r="C85" s="64">
        <v>58.91</v>
      </c>
      <c r="D85" s="64">
        <v>43.01</v>
      </c>
      <c r="E85" s="64">
        <v>0.11</v>
      </c>
      <c r="F85" s="64">
        <v>3.08</v>
      </c>
      <c r="G85" s="64">
        <v>36.57</v>
      </c>
      <c r="H85" s="64">
        <v>13.4</v>
      </c>
      <c r="I85" s="64">
        <v>1.53</v>
      </c>
      <c r="J85" s="64">
        <v>0.1</v>
      </c>
      <c r="K85" s="64">
        <v>13.72</v>
      </c>
      <c r="L85" s="64">
        <v>24.33</v>
      </c>
      <c r="M85" s="64">
        <v>39.65</v>
      </c>
      <c r="N85" s="64">
        <v>23.4</v>
      </c>
      <c r="O85" s="64">
        <v>0</v>
      </c>
      <c r="P85" s="64">
        <v>0.88</v>
      </c>
      <c r="Q85" s="64">
        <v>5.21</v>
      </c>
      <c r="R85" s="198"/>
      <c r="S85" s="198"/>
      <c r="T85" s="198"/>
      <c r="U85" s="198"/>
    </row>
    <row r="86" spans="1:26" s="12" customFormat="1" x14ac:dyDescent="0.25">
      <c r="A86" s="213" t="s">
        <v>2244</v>
      </c>
      <c r="B86" s="64">
        <v>14.43</v>
      </c>
      <c r="C86" s="64">
        <v>58</v>
      </c>
      <c r="D86" s="64">
        <v>44.22</v>
      </c>
      <c r="E86" s="64">
        <v>0.14000000000000001</v>
      </c>
      <c r="F86" s="64">
        <v>3.17</v>
      </c>
      <c r="G86" s="64">
        <v>50.06</v>
      </c>
      <c r="H86" s="64">
        <v>20.28</v>
      </c>
      <c r="I86" s="64">
        <v>1.47</v>
      </c>
      <c r="J86" s="64">
        <v>0.03</v>
      </c>
      <c r="K86" s="64">
        <v>217.83</v>
      </c>
      <c r="L86" s="64">
        <v>24.3</v>
      </c>
      <c r="M86" s="64">
        <v>37.729999999999997</v>
      </c>
      <c r="N86" s="64">
        <v>23.3</v>
      </c>
      <c r="O86" s="64">
        <v>0</v>
      </c>
      <c r="P86" s="64">
        <v>0.94</v>
      </c>
      <c r="Q86" s="64">
        <v>5.21</v>
      </c>
      <c r="R86" s="198"/>
      <c r="S86" s="198"/>
      <c r="T86" s="198"/>
      <c r="U86" s="198"/>
    </row>
    <row r="87" spans="1:26" s="12" customFormat="1" x14ac:dyDescent="0.25">
      <c r="A87" s="213" t="s">
        <v>2245</v>
      </c>
      <c r="B87" s="64">
        <v>16.12</v>
      </c>
      <c r="C87" s="64">
        <v>57.38</v>
      </c>
      <c r="D87" s="64">
        <v>45.24</v>
      </c>
      <c r="E87" s="64">
        <v>0.1</v>
      </c>
      <c r="F87" s="64">
        <v>3.31</v>
      </c>
      <c r="G87" s="64">
        <v>52.75</v>
      </c>
      <c r="H87" s="64">
        <v>20.28</v>
      </c>
      <c r="I87" s="64">
        <v>1.5</v>
      </c>
      <c r="J87" s="64">
        <v>0.15</v>
      </c>
      <c r="K87" s="64">
        <v>206.17</v>
      </c>
      <c r="L87" s="64">
        <v>24.41</v>
      </c>
      <c r="M87" s="64">
        <v>38.51</v>
      </c>
      <c r="N87" s="64">
        <v>23.1</v>
      </c>
      <c r="O87" s="64">
        <v>0</v>
      </c>
      <c r="P87" s="64">
        <v>0.88</v>
      </c>
      <c r="Q87" s="64">
        <v>5.21</v>
      </c>
      <c r="R87" s="198"/>
      <c r="S87" s="198"/>
      <c r="T87" s="198"/>
      <c r="U87" s="198"/>
    </row>
    <row r="88" spans="1:26" s="12" customFormat="1" x14ac:dyDescent="0.25">
      <c r="A88" s="213" t="s">
        <v>2246</v>
      </c>
      <c r="B88" s="64">
        <v>17.010000000000002</v>
      </c>
      <c r="C88" s="64">
        <v>56.26</v>
      </c>
      <c r="D88" s="64">
        <v>45.33</v>
      </c>
      <c r="E88" s="64">
        <v>0.05</v>
      </c>
      <c r="F88" s="64">
        <v>3.34</v>
      </c>
      <c r="G88" s="64">
        <v>52.75</v>
      </c>
      <c r="H88" s="64">
        <v>20.28</v>
      </c>
      <c r="I88" s="64">
        <v>1.56</v>
      </c>
      <c r="J88" s="64">
        <v>0.49</v>
      </c>
      <c r="K88" s="64">
        <v>198.12</v>
      </c>
      <c r="L88" s="64">
        <v>24.92</v>
      </c>
      <c r="M88" s="64">
        <v>37.94</v>
      </c>
      <c r="N88" s="64">
        <v>22.3</v>
      </c>
      <c r="O88" s="64">
        <v>0</v>
      </c>
      <c r="P88" s="64">
        <v>0.85</v>
      </c>
      <c r="Q88" s="64">
        <v>5.21</v>
      </c>
      <c r="R88" s="198"/>
      <c r="S88" s="198"/>
      <c r="T88" s="198"/>
      <c r="U88" s="198"/>
    </row>
    <row r="89" spans="1:26" s="12" customFormat="1" x14ac:dyDescent="0.25">
      <c r="A89" s="213" t="s">
        <v>2247</v>
      </c>
      <c r="B89" s="64">
        <v>17.12</v>
      </c>
      <c r="C89" s="64">
        <v>57.02</v>
      </c>
      <c r="D89" s="64">
        <v>45.84</v>
      </c>
      <c r="E89" s="64">
        <v>0.12</v>
      </c>
      <c r="F89" s="64">
        <v>3.27</v>
      </c>
      <c r="G89" s="64">
        <v>52.75</v>
      </c>
      <c r="H89" s="64">
        <v>20.28</v>
      </c>
      <c r="I89" s="64">
        <v>1.42</v>
      </c>
      <c r="J89" s="64">
        <v>0.3</v>
      </c>
      <c r="K89" s="64">
        <v>201.12</v>
      </c>
      <c r="L89" s="64">
        <v>24.48</v>
      </c>
      <c r="M89" s="64">
        <v>39.5</v>
      </c>
      <c r="N89" s="64">
        <v>23.3</v>
      </c>
      <c r="O89" s="64">
        <v>0</v>
      </c>
      <c r="P89" s="64">
        <v>0.85</v>
      </c>
      <c r="Q89" s="64">
        <v>5.21</v>
      </c>
      <c r="R89" s="198"/>
      <c r="S89" s="198"/>
      <c r="T89" s="198"/>
      <c r="U89" s="198"/>
    </row>
    <row r="90" spans="1:26" s="12" customFormat="1" x14ac:dyDescent="0.25">
      <c r="A90" s="213" t="s">
        <v>2248</v>
      </c>
      <c r="B90" s="64">
        <v>16.48</v>
      </c>
      <c r="C90" s="64">
        <v>57.29</v>
      </c>
      <c r="D90" s="64">
        <v>45.47</v>
      </c>
      <c r="E90" s="64">
        <v>0.09</v>
      </c>
      <c r="F90" s="64">
        <v>3.15</v>
      </c>
      <c r="G90" s="64">
        <v>55.69</v>
      </c>
      <c r="H90" s="64">
        <v>18.32</v>
      </c>
      <c r="I90" s="64">
        <v>1.51</v>
      </c>
      <c r="J90" s="64">
        <v>0.11</v>
      </c>
      <c r="K90" s="64">
        <v>224.03</v>
      </c>
      <c r="L90" s="64">
        <v>24.27</v>
      </c>
      <c r="M90" s="64">
        <v>41.15</v>
      </c>
      <c r="N90" s="64">
        <v>23.5</v>
      </c>
      <c r="O90" s="64">
        <v>0</v>
      </c>
      <c r="P90" s="64">
        <v>0.84</v>
      </c>
      <c r="Q90" s="64">
        <v>5.21</v>
      </c>
      <c r="R90" s="198"/>
      <c r="S90" s="198"/>
      <c r="T90" s="198"/>
      <c r="U90" s="198"/>
    </row>
    <row r="91" spans="1:26" s="12" customFormat="1" x14ac:dyDescent="0.25">
      <c r="A91" s="213" t="s">
        <v>2249</v>
      </c>
      <c r="B91" s="64">
        <v>17.059999999999999</v>
      </c>
      <c r="C91" s="64">
        <v>57.39</v>
      </c>
      <c r="D91" s="64">
        <v>46</v>
      </c>
      <c r="E91" s="64">
        <v>0.12</v>
      </c>
      <c r="F91" s="64">
        <v>3.18</v>
      </c>
      <c r="G91" s="64">
        <v>56.28</v>
      </c>
      <c r="H91" s="64">
        <v>18.32</v>
      </c>
      <c r="I91" s="64">
        <v>1.48</v>
      </c>
      <c r="J91" s="64">
        <v>0.17</v>
      </c>
      <c r="K91" s="64">
        <v>114.7</v>
      </c>
      <c r="L91" s="64">
        <v>23.75</v>
      </c>
      <c r="M91" s="64">
        <v>45.06</v>
      </c>
      <c r="N91" s="64">
        <v>23.6</v>
      </c>
      <c r="O91" s="64">
        <v>0</v>
      </c>
      <c r="P91" s="64">
        <v>0.87</v>
      </c>
      <c r="Q91" s="64">
        <v>5.21</v>
      </c>
      <c r="R91" s="198"/>
      <c r="S91" s="198"/>
      <c r="T91" s="198"/>
      <c r="U91" s="198"/>
    </row>
    <row r="92" spans="1:26" s="12" customFormat="1" x14ac:dyDescent="0.25">
      <c r="A92" s="213" t="s">
        <v>2250</v>
      </c>
      <c r="B92" s="64">
        <v>19.89</v>
      </c>
      <c r="C92" s="64">
        <v>57.64</v>
      </c>
      <c r="D92" s="64">
        <v>48.41</v>
      </c>
      <c r="E92" s="64">
        <v>0.17</v>
      </c>
      <c r="F92" s="64">
        <v>3.04</v>
      </c>
      <c r="G92" s="64">
        <v>56.28</v>
      </c>
      <c r="H92" s="64">
        <v>18.32</v>
      </c>
      <c r="I92" s="64">
        <v>1.55</v>
      </c>
      <c r="J92" s="64">
        <v>0.23</v>
      </c>
      <c r="K92" s="64">
        <v>172.73</v>
      </c>
      <c r="L92" s="64">
        <v>23.97</v>
      </c>
      <c r="M92" s="64">
        <v>43.53</v>
      </c>
      <c r="N92" s="64">
        <v>23.1</v>
      </c>
      <c r="O92" s="64">
        <v>0</v>
      </c>
      <c r="P92" s="64">
        <v>0.89</v>
      </c>
      <c r="Q92" s="64">
        <v>5.21</v>
      </c>
      <c r="R92" s="198"/>
      <c r="S92" s="198"/>
      <c r="T92" s="198"/>
      <c r="U92" s="198"/>
    </row>
    <row r="93" spans="1:26" s="12" customFormat="1" x14ac:dyDescent="0.25">
      <c r="A93" s="213" t="s">
        <v>2251</v>
      </c>
      <c r="B93" s="64">
        <v>23.89</v>
      </c>
      <c r="C93" s="64">
        <v>58.25</v>
      </c>
      <c r="D93" s="64">
        <v>51.95</v>
      </c>
      <c r="E93" s="64">
        <v>0.13</v>
      </c>
      <c r="F93" s="64">
        <v>3.13</v>
      </c>
      <c r="G93" s="64">
        <v>56.28</v>
      </c>
      <c r="H93" s="64">
        <v>18.32</v>
      </c>
      <c r="I93" s="64">
        <v>1.5</v>
      </c>
      <c r="J93" s="64">
        <v>0.12</v>
      </c>
      <c r="K93" s="64">
        <v>351.84</v>
      </c>
      <c r="L93" s="64">
        <v>23.54</v>
      </c>
      <c r="M93" s="64">
        <v>50.71</v>
      </c>
      <c r="N93" s="64">
        <v>24</v>
      </c>
      <c r="O93" s="64">
        <v>0</v>
      </c>
      <c r="P93" s="64">
        <v>0.93</v>
      </c>
      <c r="Q93" s="64">
        <v>5.21</v>
      </c>
      <c r="R93" s="198"/>
      <c r="S93" s="198"/>
      <c r="T93" s="198"/>
      <c r="U93" s="198"/>
    </row>
    <row r="94" spans="1:26" s="12" customFormat="1" x14ac:dyDescent="0.25">
      <c r="A94" s="213" t="s">
        <v>2252</v>
      </c>
      <c r="B94" s="64">
        <v>30.12</v>
      </c>
      <c r="C94" s="64">
        <v>58.85</v>
      </c>
      <c r="D94" s="64">
        <v>57.28</v>
      </c>
      <c r="E94" s="64">
        <v>0.15</v>
      </c>
      <c r="F94" s="64">
        <v>3.01</v>
      </c>
      <c r="G94" s="64">
        <v>67.25</v>
      </c>
      <c r="H94" s="64">
        <v>19.55</v>
      </c>
      <c r="I94" s="64">
        <v>1.5</v>
      </c>
      <c r="J94" s="64">
        <v>0.13</v>
      </c>
      <c r="K94" s="64">
        <v>309.61</v>
      </c>
      <c r="L94" s="64">
        <v>23.06</v>
      </c>
      <c r="M94" s="64">
        <v>52.8</v>
      </c>
      <c r="N94" s="64">
        <v>23.6</v>
      </c>
      <c r="O94" s="64">
        <v>0</v>
      </c>
      <c r="P94" s="64">
        <v>1.01</v>
      </c>
      <c r="Q94" s="64">
        <v>5.94</v>
      </c>
      <c r="R94" s="198"/>
      <c r="S94" s="198"/>
      <c r="T94" s="198"/>
      <c r="U94" s="198"/>
    </row>
    <row r="95" spans="1:26" s="12" customFormat="1" x14ac:dyDescent="0.25">
      <c r="A95" s="213" t="s">
        <v>2253</v>
      </c>
      <c r="B95" s="64">
        <v>35.03</v>
      </c>
      <c r="C95" s="64">
        <v>59.24</v>
      </c>
      <c r="D95" s="64">
        <v>61.44</v>
      </c>
      <c r="E95" s="64">
        <v>0.13</v>
      </c>
      <c r="F95" s="64">
        <v>3.15</v>
      </c>
      <c r="G95" s="64">
        <v>69.44</v>
      </c>
      <c r="H95" s="64">
        <v>19.55</v>
      </c>
      <c r="I95" s="64">
        <v>1.54</v>
      </c>
      <c r="J95" s="64">
        <v>0.05</v>
      </c>
      <c r="K95" s="64">
        <v>351.33</v>
      </c>
      <c r="L95" s="64">
        <v>22.61</v>
      </c>
      <c r="M95" s="64">
        <v>53.67</v>
      </c>
      <c r="N95" s="64">
        <v>23.7</v>
      </c>
      <c r="O95" s="64">
        <v>0</v>
      </c>
      <c r="P95" s="64">
        <v>1.08</v>
      </c>
      <c r="Q95" s="64">
        <v>6.57</v>
      </c>
      <c r="R95" s="198"/>
      <c r="S95" s="198"/>
      <c r="T95" s="198"/>
      <c r="U95" s="198"/>
    </row>
    <row r="96" spans="1:26" s="12" customFormat="1" x14ac:dyDescent="0.25">
      <c r="A96" s="213" t="s">
        <v>2254</v>
      </c>
      <c r="B96" s="64">
        <v>37.9</v>
      </c>
      <c r="C96" s="64">
        <v>60.2</v>
      </c>
      <c r="D96" s="64">
        <v>64.27</v>
      </c>
      <c r="E96" s="64">
        <v>0.13</v>
      </c>
      <c r="F96" s="64">
        <v>3.22</v>
      </c>
      <c r="G96" s="64">
        <v>69.44</v>
      </c>
      <c r="H96" s="64">
        <v>19.55</v>
      </c>
      <c r="I96" s="64">
        <v>1.51</v>
      </c>
      <c r="J96" s="64">
        <v>0.06</v>
      </c>
      <c r="K96" s="64">
        <v>344.86</v>
      </c>
      <c r="L96" s="64">
        <v>22.47</v>
      </c>
      <c r="M96" s="64">
        <v>52.14</v>
      </c>
      <c r="N96" s="64">
        <v>23.5</v>
      </c>
      <c r="O96" s="64">
        <v>0</v>
      </c>
      <c r="P96" s="64">
        <v>1.1299999999999999</v>
      </c>
      <c r="Q96" s="64">
        <v>6.87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2255</v>
      </c>
      <c r="B97" s="64">
        <v>41.87</v>
      </c>
      <c r="C97" s="64">
        <v>60.25</v>
      </c>
      <c r="D97" s="64">
        <v>67.47</v>
      </c>
      <c r="E97" s="64">
        <v>0.22</v>
      </c>
      <c r="F97" s="64">
        <v>3.18</v>
      </c>
      <c r="G97" s="64">
        <v>69.44</v>
      </c>
      <c r="H97" s="64">
        <v>19.55</v>
      </c>
      <c r="I97" s="64">
        <v>1.52</v>
      </c>
      <c r="J97" s="64">
        <v>0.24</v>
      </c>
      <c r="K97" s="64">
        <v>353.45</v>
      </c>
      <c r="L97" s="64">
        <v>22.14</v>
      </c>
      <c r="M97" s="64">
        <v>58.21</v>
      </c>
      <c r="N97" s="64">
        <v>23.7</v>
      </c>
      <c r="O97" s="64">
        <v>0</v>
      </c>
      <c r="P97" s="64">
        <v>1.17</v>
      </c>
      <c r="Q97" s="64">
        <v>7.13</v>
      </c>
      <c r="R97" s="198"/>
      <c r="S97" s="198"/>
      <c r="T97" s="198"/>
      <c r="U97" s="198"/>
    </row>
    <row r="98" spans="1:33" s="12" customFormat="1" x14ac:dyDescent="0.25">
      <c r="A98" s="213" t="s">
        <v>2256</v>
      </c>
      <c r="B98" s="64">
        <v>45.99</v>
      </c>
      <c r="C98" s="64">
        <v>60.74</v>
      </c>
      <c r="D98" s="64">
        <v>71.05</v>
      </c>
      <c r="E98" s="64">
        <v>0.19</v>
      </c>
      <c r="F98" s="64">
        <v>3.09</v>
      </c>
      <c r="G98" s="64">
        <v>76.33</v>
      </c>
      <c r="H98" s="64">
        <v>23.13</v>
      </c>
      <c r="I98" s="64">
        <v>1.47</v>
      </c>
      <c r="J98" s="64">
        <v>0.11</v>
      </c>
      <c r="K98" s="64">
        <v>232.42</v>
      </c>
      <c r="L98" s="64">
        <v>22.02</v>
      </c>
      <c r="M98" s="64">
        <v>52.17</v>
      </c>
      <c r="N98" s="64">
        <v>23.3</v>
      </c>
      <c r="O98" s="64">
        <v>0</v>
      </c>
      <c r="P98" s="64">
        <v>1.19</v>
      </c>
      <c r="Q98" s="64">
        <v>7.46</v>
      </c>
      <c r="R98" s="198"/>
      <c r="S98" s="198"/>
      <c r="T98" s="198"/>
      <c r="U98" s="198"/>
    </row>
    <row r="99" spans="1:33" s="12" customFormat="1" x14ac:dyDescent="0.25">
      <c r="A99" s="213" t="s">
        <v>2257</v>
      </c>
      <c r="B99" s="64">
        <v>46.67</v>
      </c>
      <c r="C99" s="64">
        <v>59.88</v>
      </c>
      <c r="D99" s="64">
        <v>71.11</v>
      </c>
      <c r="E99" s="64">
        <v>0.19</v>
      </c>
      <c r="F99" s="64">
        <v>3.24</v>
      </c>
      <c r="G99" s="64">
        <v>77.7</v>
      </c>
      <c r="H99" s="64">
        <v>23.13</v>
      </c>
      <c r="I99" s="64">
        <v>1.52</v>
      </c>
      <c r="J99" s="64">
        <v>0.09</v>
      </c>
      <c r="K99" s="64">
        <v>227.86</v>
      </c>
      <c r="L99" s="64">
        <v>22.57</v>
      </c>
      <c r="M99" s="64">
        <v>48.81</v>
      </c>
      <c r="N99" s="64">
        <v>23.2</v>
      </c>
      <c r="O99" s="64">
        <v>0</v>
      </c>
      <c r="P99" s="64">
        <v>1.0900000000000001</v>
      </c>
      <c r="Q99" s="64">
        <v>7.74</v>
      </c>
      <c r="R99" s="198"/>
      <c r="S99" s="198"/>
      <c r="T99" s="198"/>
      <c r="U99" s="198"/>
    </row>
    <row r="100" spans="1:33" s="12" customFormat="1" x14ac:dyDescent="0.25">
      <c r="A100" s="213" t="s">
        <v>2258</v>
      </c>
      <c r="B100" s="64">
        <v>45.91</v>
      </c>
      <c r="C100" s="64">
        <v>58.34</v>
      </c>
      <c r="D100" s="64">
        <v>69.66</v>
      </c>
      <c r="E100" s="64">
        <v>0.21</v>
      </c>
      <c r="F100" s="64">
        <v>3.47</v>
      </c>
      <c r="G100" s="64">
        <v>77.7</v>
      </c>
      <c r="H100" s="64">
        <v>23.13</v>
      </c>
      <c r="I100" s="64">
        <v>1.47</v>
      </c>
      <c r="J100" s="64">
        <v>0.15</v>
      </c>
      <c r="K100" s="64">
        <v>338.71</v>
      </c>
      <c r="L100" s="64">
        <v>22.63</v>
      </c>
      <c r="M100" s="64">
        <v>51.92</v>
      </c>
      <c r="N100" s="64">
        <v>23.7</v>
      </c>
      <c r="O100" s="64">
        <v>0</v>
      </c>
      <c r="P100" s="64">
        <v>1.1399999999999999</v>
      </c>
      <c r="Q100" s="64">
        <v>7.78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2259</v>
      </c>
      <c r="B101" s="64">
        <v>45.43</v>
      </c>
      <c r="C101" s="64">
        <v>57.47</v>
      </c>
      <c r="D101" s="64">
        <v>68.8</v>
      </c>
      <c r="E101" s="64">
        <v>0.18</v>
      </c>
      <c r="F101" s="64">
        <v>3.4</v>
      </c>
      <c r="G101" s="64">
        <v>77.7</v>
      </c>
      <c r="H101" s="64">
        <v>23.13</v>
      </c>
      <c r="I101" s="64">
        <v>1.47</v>
      </c>
      <c r="J101" s="64">
        <v>0.42</v>
      </c>
      <c r="K101" s="64">
        <v>152.63999999999999</v>
      </c>
      <c r="L101" s="64">
        <v>22.67</v>
      </c>
      <c r="M101" s="64">
        <v>50.3</v>
      </c>
      <c r="N101" s="64">
        <v>23</v>
      </c>
      <c r="O101" s="64">
        <v>0</v>
      </c>
      <c r="P101" s="64">
        <v>1.08</v>
      </c>
      <c r="Q101" s="64">
        <v>7.73</v>
      </c>
      <c r="R101" s="198"/>
      <c r="S101" s="198"/>
      <c r="T101" s="198"/>
      <c r="U101" s="198"/>
    </row>
    <row r="102" spans="1:33" s="12" customFormat="1" x14ac:dyDescent="0.25">
      <c r="A102" s="213" t="s">
        <v>2260</v>
      </c>
      <c r="B102" s="64">
        <v>44.41</v>
      </c>
      <c r="C102" s="64">
        <v>56.33</v>
      </c>
      <c r="D102" s="64">
        <v>67.34</v>
      </c>
      <c r="E102" s="64">
        <v>0.11</v>
      </c>
      <c r="F102" s="64">
        <v>3.47</v>
      </c>
      <c r="G102" s="64">
        <v>64.599999999999994</v>
      </c>
      <c r="H102" s="64">
        <v>22.65</v>
      </c>
      <c r="I102" s="64">
        <v>1.48</v>
      </c>
      <c r="J102" s="64">
        <v>0.17</v>
      </c>
      <c r="K102" s="64">
        <v>169.31</v>
      </c>
      <c r="L102" s="64">
        <v>22.68</v>
      </c>
      <c r="M102" s="64">
        <v>50.4</v>
      </c>
      <c r="N102" s="64">
        <v>23.4</v>
      </c>
      <c r="O102" s="64">
        <v>0</v>
      </c>
      <c r="P102" s="64">
        <v>1.06</v>
      </c>
      <c r="Q102" s="64">
        <v>7.73</v>
      </c>
      <c r="R102" s="198"/>
      <c r="S102" s="198"/>
      <c r="T102" s="198"/>
      <c r="U102" s="198"/>
    </row>
    <row r="103" spans="1:33" s="12" customFormat="1" x14ac:dyDescent="0.25">
      <c r="A103" s="213" t="s">
        <v>2261</v>
      </c>
      <c r="B103" s="64">
        <v>43.04</v>
      </c>
      <c r="C103" s="64">
        <v>55.08</v>
      </c>
      <c r="D103" s="64">
        <v>65.56</v>
      </c>
      <c r="E103" s="64">
        <v>0.14000000000000001</v>
      </c>
      <c r="F103" s="64">
        <v>3.54</v>
      </c>
      <c r="G103" s="64">
        <v>61.98</v>
      </c>
      <c r="H103" s="64">
        <v>22.65</v>
      </c>
      <c r="I103" s="64">
        <v>1.5</v>
      </c>
      <c r="J103" s="64">
        <v>0.06</v>
      </c>
      <c r="K103" s="64">
        <v>239.04</v>
      </c>
      <c r="L103" s="64">
        <v>22.63</v>
      </c>
      <c r="M103" s="64">
        <v>49.79</v>
      </c>
      <c r="N103" s="64">
        <v>23.5</v>
      </c>
      <c r="O103" s="64">
        <v>0</v>
      </c>
      <c r="P103" s="64">
        <v>1.03</v>
      </c>
      <c r="Q103" s="64">
        <v>7.67</v>
      </c>
      <c r="R103" s="198"/>
      <c r="S103" s="198"/>
      <c r="T103" s="198"/>
      <c r="U103" s="198"/>
    </row>
    <row r="104" spans="1:33" s="12" customFormat="1" x14ac:dyDescent="0.25">
      <c r="A104" s="213" t="s">
        <v>2262</v>
      </c>
      <c r="B104" s="64">
        <v>41.48</v>
      </c>
      <c r="C104" s="64">
        <v>54.07</v>
      </c>
      <c r="D104" s="64">
        <v>63.75</v>
      </c>
      <c r="E104" s="64">
        <v>0.1</v>
      </c>
      <c r="F104" s="64">
        <v>3.4</v>
      </c>
      <c r="G104" s="64">
        <v>61.98</v>
      </c>
      <c r="H104" s="64">
        <v>22.65</v>
      </c>
      <c r="I104" s="64">
        <v>1.5</v>
      </c>
      <c r="J104" s="64">
        <v>0.08</v>
      </c>
      <c r="K104" s="64">
        <v>187.34</v>
      </c>
      <c r="L104" s="64">
        <v>22.1</v>
      </c>
      <c r="M104" s="64">
        <v>52.31</v>
      </c>
      <c r="N104" s="64">
        <v>23.5</v>
      </c>
      <c r="O104" s="64">
        <v>0</v>
      </c>
      <c r="P104" s="64">
        <v>1.04</v>
      </c>
      <c r="Q104" s="64">
        <v>7.52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1.1499999999999999</v>
      </c>
      <c r="C106" s="67">
        <f>MIN(C9:C104)</f>
        <v>44.2</v>
      </c>
      <c r="D106" s="67">
        <f t="shared" ref="D106:Q106" si="0">MIN(D9:D104)</f>
        <v>26.14</v>
      </c>
      <c r="E106" s="67">
        <f t="shared" si="0"/>
        <v>0</v>
      </c>
      <c r="F106" s="67">
        <f t="shared" si="0"/>
        <v>2.99</v>
      </c>
      <c r="G106" s="67">
        <f t="shared" si="0"/>
        <v>30.67</v>
      </c>
      <c r="H106" s="67">
        <f t="shared" si="0"/>
        <v>12.65</v>
      </c>
      <c r="I106" s="67">
        <f t="shared" si="0"/>
        <v>1.41</v>
      </c>
      <c r="J106" s="67">
        <f t="shared" si="0"/>
        <v>0.02</v>
      </c>
      <c r="K106" s="67">
        <f t="shared" si="0"/>
        <v>0.37</v>
      </c>
      <c r="L106" s="67">
        <f t="shared" si="0"/>
        <v>17.899999999999999</v>
      </c>
      <c r="M106" s="67">
        <f t="shared" si="0"/>
        <v>21.29</v>
      </c>
      <c r="N106" s="67">
        <f t="shared" si="0"/>
        <v>22.3</v>
      </c>
      <c r="O106" s="67">
        <f t="shared" si="0"/>
        <v>0</v>
      </c>
      <c r="P106" s="67">
        <f t="shared" si="0"/>
        <v>0.31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55.71</v>
      </c>
      <c r="C107" s="66">
        <f t="shared" ref="C107:Q107" si="1">MAX(C9:C104)</f>
        <v>64.11</v>
      </c>
      <c r="D107" s="66">
        <f t="shared" si="1"/>
        <v>73.989999999999995</v>
      </c>
      <c r="E107" s="66">
        <f t="shared" si="1"/>
        <v>0.27</v>
      </c>
      <c r="F107" s="66">
        <f t="shared" si="1"/>
        <v>14.47</v>
      </c>
      <c r="G107" s="66">
        <f t="shared" si="1"/>
        <v>77.7</v>
      </c>
      <c r="H107" s="66">
        <f t="shared" si="1"/>
        <v>26.82</v>
      </c>
      <c r="I107" s="66">
        <f t="shared" si="1"/>
        <v>1.62</v>
      </c>
      <c r="J107" s="66">
        <f t="shared" si="1"/>
        <v>1.31</v>
      </c>
      <c r="K107" s="66">
        <f t="shared" si="1"/>
        <v>353.8</v>
      </c>
      <c r="L107" s="66">
        <f t="shared" si="1"/>
        <v>33.92</v>
      </c>
      <c r="M107" s="66">
        <f t="shared" si="1"/>
        <v>72.84</v>
      </c>
      <c r="N107" s="66">
        <f t="shared" si="1"/>
        <v>843.3</v>
      </c>
      <c r="O107" s="66">
        <f t="shared" si="1"/>
        <v>0</v>
      </c>
      <c r="P107" s="66">
        <f t="shared" si="1"/>
        <v>1.19</v>
      </c>
      <c r="Q107" s="66">
        <f t="shared" si="1"/>
        <v>8.17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18.658645833333338</v>
      </c>
      <c r="C108" s="67">
        <f t="shared" ref="C108:Q108" si="2">AVERAGE(C9:C104)</f>
        <v>51.193020833333343</v>
      </c>
      <c r="D108" s="67">
        <f t="shared" si="2"/>
        <v>43.861145833333332</v>
      </c>
      <c r="E108" s="67">
        <f t="shared" si="2"/>
        <v>0.1315625</v>
      </c>
      <c r="F108" s="67">
        <f t="shared" si="2"/>
        <v>5.2258333333333322</v>
      </c>
      <c r="G108" s="67">
        <f t="shared" si="2"/>
        <v>51.516521739130432</v>
      </c>
      <c r="H108" s="67">
        <f t="shared" si="2"/>
        <v>18.45815217391306</v>
      </c>
      <c r="I108" s="67">
        <f t="shared" si="2"/>
        <v>1.5031249999999998</v>
      </c>
      <c r="J108" s="67">
        <f t="shared" si="2"/>
        <v>0.2315625</v>
      </c>
      <c r="K108" s="67">
        <f t="shared" si="2"/>
        <v>203.88125000000002</v>
      </c>
      <c r="L108" s="67">
        <f t="shared" si="2"/>
        <v>24.629583333333329</v>
      </c>
      <c r="M108" s="67">
        <f t="shared" si="2"/>
        <v>45.013020833333343</v>
      </c>
      <c r="N108" s="67">
        <f t="shared" si="2"/>
        <v>231.47916666666666</v>
      </c>
      <c r="O108" s="67">
        <f t="shared" si="2"/>
        <v>0</v>
      </c>
      <c r="P108" s="67">
        <f t="shared" si="2"/>
        <v>0.67333333333333345</v>
      </c>
      <c r="Q108" s="67">
        <f t="shared" si="2"/>
        <v>5.7371874999999912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16.754418717698979</v>
      </c>
      <c r="C109" s="67">
        <f t="shared" ref="C109:Q109" si="3">STDEV(C9:C104)</f>
        <v>5.1307377370001284</v>
      </c>
      <c r="D109" s="67">
        <f t="shared" si="3"/>
        <v>14.287764943975592</v>
      </c>
      <c r="E109" s="67">
        <f t="shared" si="3"/>
        <v>5.4179586853158462E-2</v>
      </c>
      <c r="F109" s="67">
        <f t="shared" si="3"/>
        <v>2.8846266443325006</v>
      </c>
      <c r="G109" s="67">
        <f t="shared" si="3"/>
        <v>11.356330415940075</v>
      </c>
      <c r="H109" s="67">
        <f t="shared" si="3"/>
        <v>3.4452553548473692</v>
      </c>
      <c r="I109" s="67">
        <f t="shared" si="3"/>
        <v>3.9451836058934639E-2</v>
      </c>
      <c r="J109" s="67">
        <f t="shared" si="3"/>
        <v>0.25049562712855156</v>
      </c>
      <c r="K109" s="67">
        <f t="shared" si="3"/>
        <v>120.36711831331939</v>
      </c>
      <c r="L109" s="67">
        <f t="shared" si="3"/>
        <v>5.0577712829740911</v>
      </c>
      <c r="M109" s="67">
        <f t="shared" si="3"/>
        <v>16.840631199559017</v>
      </c>
      <c r="N109" s="67">
        <f t="shared" si="3"/>
        <v>300.49045800304071</v>
      </c>
      <c r="O109" s="67">
        <f t="shared" si="3"/>
        <v>0</v>
      </c>
      <c r="P109" s="67">
        <f t="shared" si="3"/>
        <v>0.26056550428341752</v>
      </c>
      <c r="Q109" s="67">
        <f t="shared" si="3"/>
        <v>0.9771685230135625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COUNT(P9:P104)+6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2263</v>
      </c>
      <c r="B9" s="64">
        <v>40.03</v>
      </c>
      <c r="C9" s="64">
        <v>52.81</v>
      </c>
      <c r="D9" s="64">
        <v>61.89</v>
      </c>
      <c r="E9" s="64">
        <v>0.18</v>
      </c>
      <c r="F9" s="64">
        <v>3.4</v>
      </c>
      <c r="G9" s="64">
        <v>61.98</v>
      </c>
      <c r="H9" s="64">
        <v>22.65</v>
      </c>
      <c r="I9" s="64">
        <v>1.54</v>
      </c>
      <c r="J9" s="64">
        <v>0.1</v>
      </c>
      <c r="K9" s="64">
        <v>229.35</v>
      </c>
      <c r="L9" s="64">
        <v>21.69</v>
      </c>
      <c r="M9" s="64">
        <v>54.87</v>
      </c>
      <c r="N9" s="64">
        <v>23.5</v>
      </c>
      <c r="O9" s="64">
        <v>0</v>
      </c>
      <c r="P9" s="64">
        <v>0.99</v>
      </c>
      <c r="Q9" s="64">
        <v>7.36</v>
      </c>
      <c r="R9" s="198"/>
      <c r="S9" s="198"/>
      <c r="T9" s="198"/>
      <c r="U9" s="198"/>
    </row>
    <row r="10" spans="1:21" s="12" customFormat="1" x14ac:dyDescent="0.25">
      <c r="A10" s="213" t="s">
        <v>2264</v>
      </c>
      <c r="B10" s="64">
        <v>38.380000000000003</v>
      </c>
      <c r="C10" s="64">
        <v>51.75</v>
      </c>
      <c r="D10" s="64">
        <v>59.99</v>
      </c>
      <c r="E10" s="64">
        <v>0.18</v>
      </c>
      <c r="F10" s="64">
        <v>3.2</v>
      </c>
      <c r="G10" s="64">
        <v>51.41</v>
      </c>
      <c r="H10" s="64">
        <v>19.920000000000002</v>
      </c>
      <c r="I10" s="64">
        <v>1.51</v>
      </c>
      <c r="J10" s="64">
        <v>0.05</v>
      </c>
      <c r="K10" s="64">
        <v>211.02</v>
      </c>
      <c r="L10" s="64">
        <v>21.71</v>
      </c>
      <c r="M10" s="64">
        <v>54.03</v>
      </c>
      <c r="N10" s="64">
        <v>23</v>
      </c>
      <c r="O10" s="64">
        <v>0</v>
      </c>
      <c r="P10" s="64">
        <v>1.01</v>
      </c>
      <c r="Q10" s="64">
        <v>7.22</v>
      </c>
      <c r="R10" s="198"/>
      <c r="S10" s="198"/>
      <c r="T10" s="198"/>
      <c r="U10" s="198"/>
    </row>
    <row r="11" spans="1:21" s="12" customFormat="1" x14ac:dyDescent="0.25">
      <c r="A11" s="213" t="s">
        <v>2265</v>
      </c>
      <c r="B11" s="64">
        <v>35.68</v>
      </c>
      <c r="C11" s="64">
        <v>50.38</v>
      </c>
      <c r="D11" s="64">
        <v>57.06</v>
      </c>
      <c r="E11" s="64">
        <v>0.22</v>
      </c>
      <c r="F11" s="64">
        <v>3.41</v>
      </c>
      <c r="G11" s="64">
        <v>49.29</v>
      </c>
      <c r="H11" s="64">
        <v>19.920000000000002</v>
      </c>
      <c r="I11" s="64">
        <v>1.53</v>
      </c>
      <c r="J11" s="64">
        <v>0.08</v>
      </c>
      <c r="K11" s="64">
        <v>184.83</v>
      </c>
      <c r="L11" s="64">
        <v>21.63</v>
      </c>
      <c r="M11" s="64">
        <v>55.13</v>
      </c>
      <c r="N11" s="64">
        <v>23.1</v>
      </c>
      <c r="O11" s="64">
        <v>0</v>
      </c>
      <c r="P11" s="64">
        <v>0.98</v>
      </c>
      <c r="Q11" s="64">
        <v>7.01</v>
      </c>
      <c r="R11" s="198"/>
      <c r="S11" s="198"/>
      <c r="T11" s="198"/>
      <c r="U11" s="198"/>
    </row>
    <row r="12" spans="1:21" s="12" customFormat="1" x14ac:dyDescent="0.25">
      <c r="A12" s="213" t="s">
        <v>2266</v>
      </c>
      <c r="B12" s="64">
        <v>32.630000000000003</v>
      </c>
      <c r="C12" s="64">
        <v>50.42</v>
      </c>
      <c r="D12" s="64">
        <v>54.64</v>
      </c>
      <c r="E12" s="64">
        <v>0.14000000000000001</v>
      </c>
      <c r="F12" s="64">
        <v>3.24</v>
      </c>
      <c r="G12" s="64">
        <v>49.29</v>
      </c>
      <c r="H12" s="64">
        <v>19.920000000000002</v>
      </c>
      <c r="I12" s="64">
        <v>1.49</v>
      </c>
      <c r="J12" s="64">
        <v>0.03</v>
      </c>
      <c r="K12" s="64">
        <v>255.4</v>
      </c>
      <c r="L12" s="64">
        <v>21.34</v>
      </c>
      <c r="M12" s="64">
        <v>57.59</v>
      </c>
      <c r="N12" s="64">
        <v>23.5</v>
      </c>
      <c r="O12" s="64">
        <v>0</v>
      </c>
      <c r="P12" s="64">
        <v>0.93</v>
      </c>
      <c r="Q12" s="64">
        <v>6.73</v>
      </c>
      <c r="R12" s="198"/>
      <c r="S12" s="198"/>
      <c r="T12" s="198"/>
      <c r="U12" s="198"/>
    </row>
    <row r="13" spans="1:21" s="12" customFormat="1" x14ac:dyDescent="0.25">
      <c r="A13" s="213" t="s">
        <v>2267</v>
      </c>
      <c r="B13" s="64">
        <v>29.67</v>
      </c>
      <c r="C13" s="64">
        <v>50.12</v>
      </c>
      <c r="D13" s="64">
        <v>52.1</v>
      </c>
      <c r="E13" s="64">
        <v>0.2</v>
      </c>
      <c r="F13" s="64">
        <v>3.19</v>
      </c>
      <c r="G13" s="64">
        <v>49.29</v>
      </c>
      <c r="H13" s="64">
        <v>19.920000000000002</v>
      </c>
      <c r="I13" s="64">
        <v>1.53</v>
      </c>
      <c r="J13" s="64">
        <v>0.14000000000000001</v>
      </c>
      <c r="K13" s="64">
        <v>185</v>
      </c>
      <c r="L13" s="64">
        <v>20.68</v>
      </c>
      <c r="M13" s="64">
        <v>61.52</v>
      </c>
      <c r="N13" s="64">
        <v>23.4</v>
      </c>
      <c r="O13" s="64">
        <v>0</v>
      </c>
      <c r="P13" s="64">
        <v>0.86</v>
      </c>
      <c r="Q13" s="64">
        <v>5.92</v>
      </c>
      <c r="R13" s="198"/>
      <c r="S13" s="198"/>
      <c r="T13" s="198"/>
      <c r="U13" s="198"/>
    </row>
    <row r="14" spans="1:21" s="12" customFormat="1" x14ac:dyDescent="0.25">
      <c r="A14" s="213" t="s">
        <v>2268</v>
      </c>
      <c r="B14" s="64">
        <v>27.21</v>
      </c>
      <c r="C14" s="64">
        <v>49.52</v>
      </c>
      <c r="D14" s="64">
        <v>49.79</v>
      </c>
      <c r="E14" s="64">
        <v>0.19</v>
      </c>
      <c r="F14" s="64">
        <v>3.13</v>
      </c>
      <c r="G14" s="64">
        <v>39.03</v>
      </c>
      <c r="H14" s="64">
        <v>13.28</v>
      </c>
      <c r="I14" s="64">
        <v>1.5</v>
      </c>
      <c r="J14" s="64">
        <v>0.05</v>
      </c>
      <c r="K14" s="64">
        <v>327.41000000000003</v>
      </c>
      <c r="L14" s="64">
        <v>20.25</v>
      </c>
      <c r="M14" s="64">
        <v>64.319999999999993</v>
      </c>
      <c r="N14" s="64">
        <v>23.5</v>
      </c>
      <c r="O14" s="64">
        <v>0</v>
      </c>
      <c r="P14" s="64">
        <v>0.85</v>
      </c>
      <c r="Q14" s="64">
        <v>5.26</v>
      </c>
      <c r="R14" s="198"/>
      <c r="S14" s="198"/>
      <c r="T14" s="198"/>
      <c r="U14" s="198"/>
    </row>
    <row r="15" spans="1:21" s="12" customFormat="1" x14ac:dyDescent="0.25">
      <c r="A15" s="213" t="s">
        <v>2269</v>
      </c>
      <c r="B15" s="64">
        <v>24.97</v>
      </c>
      <c r="C15" s="64">
        <v>49.33</v>
      </c>
      <c r="D15" s="64">
        <v>47.89</v>
      </c>
      <c r="E15" s="64">
        <v>0.22</v>
      </c>
      <c r="F15" s="64">
        <v>3.17</v>
      </c>
      <c r="G15" s="64">
        <v>36.97</v>
      </c>
      <c r="H15" s="64">
        <v>13.28</v>
      </c>
      <c r="I15" s="64">
        <v>1.49</v>
      </c>
      <c r="J15" s="64">
        <v>7.0000000000000007E-2</v>
      </c>
      <c r="K15" s="64">
        <v>299.99</v>
      </c>
      <c r="L15" s="64">
        <v>20.29</v>
      </c>
      <c r="M15" s="64">
        <v>63.15</v>
      </c>
      <c r="N15" s="64">
        <v>23.2</v>
      </c>
      <c r="O15" s="64">
        <v>0</v>
      </c>
      <c r="P15" s="64">
        <v>0.82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3" t="s">
        <v>2270</v>
      </c>
      <c r="B16" s="64">
        <v>22.9</v>
      </c>
      <c r="C16" s="64">
        <v>48.99</v>
      </c>
      <c r="D16" s="64">
        <v>46.04</v>
      </c>
      <c r="E16" s="64">
        <v>0.16</v>
      </c>
      <c r="F16" s="64">
        <v>3.15</v>
      </c>
      <c r="G16" s="64">
        <v>36.97</v>
      </c>
      <c r="H16" s="64">
        <v>13.28</v>
      </c>
      <c r="I16" s="64">
        <v>1.47</v>
      </c>
      <c r="J16" s="64">
        <v>7.0000000000000007E-2</v>
      </c>
      <c r="K16" s="64">
        <v>279.35000000000002</v>
      </c>
      <c r="L16" s="64">
        <v>20.09</v>
      </c>
      <c r="M16" s="64">
        <v>64.05</v>
      </c>
      <c r="N16" s="64">
        <v>23.2</v>
      </c>
      <c r="O16" s="64">
        <v>0</v>
      </c>
      <c r="P16" s="64">
        <v>0.78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3" t="s">
        <v>2271</v>
      </c>
      <c r="B17" s="64">
        <v>20.93</v>
      </c>
      <c r="C17" s="64">
        <v>49.08</v>
      </c>
      <c r="D17" s="64">
        <v>44.52</v>
      </c>
      <c r="E17" s="64">
        <v>0.19</v>
      </c>
      <c r="F17" s="64">
        <v>3.17</v>
      </c>
      <c r="G17" s="64">
        <v>36.97</v>
      </c>
      <c r="H17" s="64">
        <v>13.28</v>
      </c>
      <c r="I17" s="64">
        <v>1.48</v>
      </c>
      <c r="J17" s="64">
        <v>0.02</v>
      </c>
      <c r="K17" s="64">
        <v>252.52</v>
      </c>
      <c r="L17" s="64">
        <v>20.329999999999998</v>
      </c>
      <c r="M17" s="64">
        <v>60.99</v>
      </c>
      <c r="N17" s="64">
        <v>22.6</v>
      </c>
      <c r="O17" s="64">
        <v>0</v>
      </c>
      <c r="P17" s="64">
        <v>0.76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3" t="s">
        <v>2272</v>
      </c>
      <c r="B18" s="64">
        <v>18.8</v>
      </c>
      <c r="C18" s="64">
        <v>48.54</v>
      </c>
      <c r="D18" s="64">
        <v>42.51</v>
      </c>
      <c r="E18" s="64">
        <v>0.18</v>
      </c>
      <c r="F18" s="64">
        <v>3.13</v>
      </c>
      <c r="G18" s="64">
        <v>36.08</v>
      </c>
      <c r="H18" s="64">
        <v>15.05</v>
      </c>
      <c r="I18" s="64">
        <v>1.55</v>
      </c>
      <c r="J18" s="64">
        <v>0.03</v>
      </c>
      <c r="K18" s="64">
        <v>5.21</v>
      </c>
      <c r="L18" s="64">
        <v>20.39</v>
      </c>
      <c r="M18" s="64">
        <v>60.34</v>
      </c>
      <c r="N18" s="64">
        <v>22.5</v>
      </c>
      <c r="O18" s="64">
        <v>0</v>
      </c>
      <c r="P18" s="64">
        <v>0.72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3" t="s">
        <v>2273</v>
      </c>
      <c r="B19" s="64">
        <v>16.55</v>
      </c>
      <c r="C19" s="64">
        <v>48.47</v>
      </c>
      <c r="D19" s="64">
        <v>40.67</v>
      </c>
      <c r="E19" s="64">
        <v>0.14000000000000001</v>
      </c>
      <c r="F19" s="64">
        <v>3.42</v>
      </c>
      <c r="G19" s="64">
        <v>35.89</v>
      </c>
      <c r="H19" s="64">
        <v>15.05</v>
      </c>
      <c r="I19" s="64">
        <v>1.49</v>
      </c>
      <c r="J19" s="64">
        <v>0.09</v>
      </c>
      <c r="K19" s="64">
        <v>37.83</v>
      </c>
      <c r="L19" s="64">
        <v>20.23</v>
      </c>
      <c r="M19" s="64">
        <v>61.62</v>
      </c>
      <c r="N19" s="64">
        <v>23.1</v>
      </c>
      <c r="O19" s="64">
        <v>0</v>
      </c>
      <c r="P19" s="64">
        <v>0.68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3" t="s">
        <v>2274</v>
      </c>
      <c r="B20" s="64">
        <v>14.6</v>
      </c>
      <c r="C20" s="64">
        <v>47.77</v>
      </c>
      <c r="D20" s="64">
        <v>38.72</v>
      </c>
      <c r="E20" s="64">
        <v>0.19</v>
      </c>
      <c r="F20" s="64">
        <v>3.35</v>
      </c>
      <c r="G20" s="64">
        <v>35.89</v>
      </c>
      <c r="H20" s="64">
        <v>15.05</v>
      </c>
      <c r="I20" s="64">
        <v>1.54</v>
      </c>
      <c r="J20" s="64">
        <v>0.18</v>
      </c>
      <c r="K20" s="64">
        <v>186.65</v>
      </c>
      <c r="L20" s="64">
        <v>19.940000000000001</v>
      </c>
      <c r="M20" s="64">
        <v>63.47</v>
      </c>
      <c r="N20" s="64">
        <v>22.9</v>
      </c>
      <c r="O20" s="64">
        <v>0</v>
      </c>
      <c r="P20" s="64">
        <v>0.65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3" t="s">
        <v>2275</v>
      </c>
      <c r="B21" s="64">
        <v>13.5</v>
      </c>
      <c r="C21" s="64">
        <v>44.35</v>
      </c>
      <c r="D21" s="64">
        <v>35.950000000000003</v>
      </c>
      <c r="E21" s="64">
        <v>0.18</v>
      </c>
      <c r="F21" s="64">
        <v>3.51</v>
      </c>
      <c r="G21" s="64">
        <v>35.89</v>
      </c>
      <c r="H21" s="64">
        <v>15.05</v>
      </c>
      <c r="I21" s="64">
        <v>1.47</v>
      </c>
      <c r="J21" s="64">
        <v>0.3</v>
      </c>
      <c r="K21" s="64">
        <v>155.47</v>
      </c>
      <c r="L21" s="64">
        <v>19.39</v>
      </c>
      <c r="M21" s="64">
        <v>66.930000000000007</v>
      </c>
      <c r="N21" s="64">
        <v>23.1</v>
      </c>
      <c r="O21" s="64">
        <v>0</v>
      </c>
      <c r="P21" s="64">
        <v>0.62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3" t="s">
        <v>2276</v>
      </c>
      <c r="B22" s="64">
        <v>13.23</v>
      </c>
      <c r="C22" s="64">
        <v>43.56</v>
      </c>
      <c r="D22" s="64">
        <v>35.29</v>
      </c>
      <c r="E22" s="64">
        <v>0.17</v>
      </c>
      <c r="F22" s="64">
        <v>3.52</v>
      </c>
      <c r="G22" s="64">
        <v>30.78</v>
      </c>
      <c r="H22" s="64">
        <v>14.59</v>
      </c>
      <c r="I22" s="64">
        <v>1.47</v>
      </c>
      <c r="J22" s="64">
        <v>0.09</v>
      </c>
      <c r="K22" s="64">
        <v>269.33999999999997</v>
      </c>
      <c r="L22" s="64">
        <v>18.940000000000001</v>
      </c>
      <c r="M22" s="64">
        <v>69.739999999999995</v>
      </c>
      <c r="N22" s="64">
        <v>23.6</v>
      </c>
      <c r="O22" s="64">
        <v>0</v>
      </c>
      <c r="P22" s="64">
        <v>0.61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3" t="s">
        <v>2277</v>
      </c>
      <c r="B23" s="64">
        <v>13.42</v>
      </c>
      <c r="C23" s="64">
        <v>44.01</v>
      </c>
      <c r="D23" s="64">
        <v>35.700000000000003</v>
      </c>
      <c r="E23" s="64">
        <v>0.15</v>
      </c>
      <c r="F23" s="64">
        <v>3.48</v>
      </c>
      <c r="G23" s="64">
        <v>29.76</v>
      </c>
      <c r="H23" s="64">
        <v>14.59</v>
      </c>
      <c r="I23" s="64">
        <v>1.49</v>
      </c>
      <c r="J23" s="64">
        <v>0.15</v>
      </c>
      <c r="K23" s="64">
        <v>307.18</v>
      </c>
      <c r="L23" s="64">
        <v>18.22</v>
      </c>
      <c r="M23" s="64">
        <v>74.510000000000005</v>
      </c>
      <c r="N23" s="64">
        <v>23.8</v>
      </c>
      <c r="O23" s="64">
        <v>0</v>
      </c>
      <c r="P23" s="64">
        <v>0.6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3" t="s">
        <v>2278</v>
      </c>
      <c r="B24" s="64">
        <v>13.79</v>
      </c>
      <c r="C24" s="64">
        <v>44.18</v>
      </c>
      <c r="D24" s="64">
        <v>36.090000000000003</v>
      </c>
      <c r="E24" s="64">
        <v>0.01</v>
      </c>
      <c r="F24" s="64">
        <v>3.33</v>
      </c>
      <c r="G24" s="64">
        <v>29.76</v>
      </c>
      <c r="H24" s="64">
        <v>14.59</v>
      </c>
      <c r="I24" s="64">
        <v>1.52</v>
      </c>
      <c r="J24" s="64">
        <v>0.14000000000000001</v>
      </c>
      <c r="K24" s="64">
        <v>221.88</v>
      </c>
      <c r="L24" s="64">
        <v>18.239999999999998</v>
      </c>
      <c r="M24" s="64">
        <v>73.849999999999994</v>
      </c>
      <c r="N24" s="64">
        <v>22.8</v>
      </c>
      <c r="O24" s="64">
        <v>0</v>
      </c>
      <c r="P24" s="64">
        <v>0.59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3" t="s">
        <v>2279</v>
      </c>
      <c r="B25" s="64">
        <v>13.85</v>
      </c>
      <c r="C25" s="64">
        <v>44.32</v>
      </c>
      <c r="D25" s="64">
        <v>36.21</v>
      </c>
      <c r="E25" s="64">
        <v>0.1</v>
      </c>
      <c r="F25" s="64">
        <v>3.52</v>
      </c>
      <c r="G25" s="64">
        <v>29.76</v>
      </c>
      <c r="H25" s="64">
        <v>14.59</v>
      </c>
      <c r="I25" s="64">
        <v>1.43</v>
      </c>
      <c r="J25" s="64">
        <v>0.11</v>
      </c>
      <c r="K25" s="64">
        <v>232.38</v>
      </c>
      <c r="L25" s="64">
        <v>18.989999999999998</v>
      </c>
      <c r="M25" s="64">
        <v>70.010000000000005</v>
      </c>
      <c r="N25" s="64">
        <v>22.9</v>
      </c>
      <c r="O25" s="64">
        <v>0</v>
      </c>
      <c r="P25" s="64">
        <v>0.56999999999999995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3" t="s">
        <v>2280</v>
      </c>
      <c r="B26" s="64">
        <v>13.91</v>
      </c>
      <c r="C26" s="64">
        <v>44.99</v>
      </c>
      <c r="D26" s="64">
        <v>36.630000000000003</v>
      </c>
      <c r="E26" s="64">
        <v>0.09</v>
      </c>
      <c r="F26" s="64">
        <v>3.44</v>
      </c>
      <c r="G26" s="64">
        <v>37.590000000000003</v>
      </c>
      <c r="H26" s="64">
        <v>15.52</v>
      </c>
      <c r="I26" s="64">
        <v>1.51</v>
      </c>
      <c r="J26" s="64">
        <v>0.04</v>
      </c>
      <c r="K26" s="64">
        <v>323.51</v>
      </c>
      <c r="L26" s="64">
        <v>18.78</v>
      </c>
      <c r="M26" s="64">
        <v>74.709999999999994</v>
      </c>
      <c r="N26" s="64">
        <v>23</v>
      </c>
      <c r="O26" s="64">
        <v>0</v>
      </c>
      <c r="P26" s="64">
        <v>0.56000000000000005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3" t="s">
        <v>2281</v>
      </c>
      <c r="B27" s="64">
        <v>13.79</v>
      </c>
      <c r="C27" s="64">
        <v>44.86</v>
      </c>
      <c r="D27" s="64">
        <v>36.47</v>
      </c>
      <c r="E27" s="64">
        <v>7.0000000000000007E-2</v>
      </c>
      <c r="F27" s="64">
        <v>3.61</v>
      </c>
      <c r="G27" s="64">
        <v>39.15</v>
      </c>
      <c r="H27" s="64">
        <v>15.52</v>
      </c>
      <c r="I27" s="64">
        <v>1.54</v>
      </c>
      <c r="J27" s="64">
        <v>0.1</v>
      </c>
      <c r="K27" s="64">
        <v>287.54000000000002</v>
      </c>
      <c r="L27" s="64">
        <v>18.34</v>
      </c>
      <c r="M27" s="64">
        <v>77.459999999999994</v>
      </c>
      <c r="N27" s="64">
        <v>23.2</v>
      </c>
      <c r="O27" s="64">
        <v>0</v>
      </c>
      <c r="P27" s="64">
        <v>0.55000000000000004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3" t="s">
        <v>2282</v>
      </c>
      <c r="B28" s="64">
        <v>13.75</v>
      </c>
      <c r="C28" s="64">
        <v>44.66</v>
      </c>
      <c r="D28" s="64">
        <v>36.32</v>
      </c>
      <c r="E28" s="64">
        <v>7.0000000000000007E-2</v>
      </c>
      <c r="F28" s="64">
        <v>3.39</v>
      </c>
      <c r="G28" s="64">
        <v>39.15</v>
      </c>
      <c r="H28" s="64">
        <v>15.52</v>
      </c>
      <c r="I28" s="64">
        <v>1.56</v>
      </c>
      <c r="J28" s="64">
        <v>0.2</v>
      </c>
      <c r="K28" s="64">
        <v>223.77</v>
      </c>
      <c r="L28" s="64">
        <v>17.899999999999999</v>
      </c>
      <c r="M28" s="64">
        <v>80.02</v>
      </c>
      <c r="N28" s="64">
        <v>22.9</v>
      </c>
      <c r="O28" s="64">
        <v>0</v>
      </c>
      <c r="P28" s="64">
        <v>0.54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3" t="s">
        <v>2283</v>
      </c>
      <c r="B29" s="64">
        <v>13.19</v>
      </c>
      <c r="C29" s="64">
        <v>44.81</v>
      </c>
      <c r="D29" s="64">
        <v>35.96</v>
      </c>
      <c r="E29" s="64">
        <v>7.0000000000000007E-2</v>
      </c>
      <c r="F29" s="64">
        <v>3.49</v>
      </c>
      <c r="G29" s="64">
        <v>39.15</v>
      </c>
      <c r="H29" s="64">
        <v>15.52</v>
      </c>
      <c r="I29" s="64">
        <v>1.49</v>
      </c>
      <c r="J29" s="64">
        <v>0.03</v>
      </c>
      <c r="K29" s="64">
        <v>197.39</v>
      </c>
      <c r="L29" s="64">
        <v>18.059999999999999</v>
      </c>
      <c r="M29" s="64">
        <v>79.52</v>
      </c>
      <c r="N29" s="64">
        <v>22.8</v>
      </c>
      <c r="O29" s="64">
        <v>0</v>
      </c>
      <c r="P29" s="64">
        <v>0.53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3" t="s">
        <v>2284</v>
      </c>
      <c r="B30" s="64">
        <v>12.48</v>
      </c>
      <c r="C30" s="64">
        <v>44.77</v>
      </c>
      <c r="D30" s="64">
        <v>35.36</v>
      </c>
      <c r="E30" s="64">
        <v>0.12</v>
      </c>
      <c r="F30" s="64">
        <v>3.35</v>
      </c>
      <c r="G30" s="64">
        <v>28.95</v>
      </c>
      <c r="H30" s="64">
        <v>12.22</v>
      </c>
      <c r="I30" s="64">
        <v>1.51</v>
      </c>
      <c r="J30" s="64">
        <v>0.16</v>
      </c>
      <c r="K30" s="64">
        <v>233.76</v>
      </c>
      <c r="L30" s="64">
        <v>17.739999999999998</v>
      </c>
      <c r="M30" s="64">
        <v>80.45</v>
      </c>
      <c r="N30" s="64">
        <v>23.1</v>
      </c>
      <c r="O30" s="64">
        <v>0</v>
      </c>
      <c r="P30" s="64">
        <v>0.51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3" t="s">
        <v>2285</v>
      </c>
      <c r="B31" s="64">
        <v>11.93</v>
      </c>
      <c r="C31" s="64">
        <v>45.16</v>
      </c>
      <c r="D31" s="64">
        <v>35.14</v>
      </c>
      <c r="E31" s="64">
        <v>0.05</v>
      </c>
      <c r="F31" s="64">
        <v>3.24</v>
      </c>
      <c r="G31" s="64">
        <v>26.91</v>
      </c>
      <c r="H31" s="64">
        <v>12.22</v>
      </c>
      <c r="I31" s="64">
        <v>1.47</v>
      </c>
      <c r="J31" s="64">
        <v>0.1</v>
      </c>
      <c r="K31" s="64">
        <v>227.04</v>
      </c>
      <c r="L31" s="64">
        <v>17.39</v>
      </c>
      <c r="M31" s="64">
        <v>81.86</v>
      </c>
      <c r="N31" s="64">
        <v>23.2</v>
      </c>
      <c r="O31" s="64">
        <v>0</v>
      </c>
      <c r="P31" s="64">
        <v>0.5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3" t="s">
        <v>2286</v>
      </c>
      <c r="B32" s="64">
        <v>11.93</v>
      </c>
      <c r="C32" s="64">
        <v>45.48</v>
      </c>
      <c r="D32" s="64">
        <v>35.32</v>
      </c>
      <c r="E32" s="64">
        <v>0.08</v>
      </c>
      <c r="F32" s="64">
        <v>3.29</v>
      </c>
      <c r="G32" s="64">
        <v>26.91</v>
      </c>
      <c r="H32" s="64">
        <v>12.22</v>
      </c>
      <c r="I32" s="64">
        <v>1.46</v>
      </c>
      <c r="J32" s="64">
        <v>0.1</v>
      </c>
      <c r="K32" s="64">
        <v>232.76</v>
      </c>
      <c r="L32" s="64">
        <v>17.48</v>
      </c>
      <c r="M32" s="64">
        <v>80.37</v>
      </c>
      <c r="N32" s="64">
        <v>22.8</v>
      </c>
      <c r="O32" s="64">
        <v>0</v>
      </c>
      <c r="P32" s="64">
        <v>0.48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3" t="s">
        <v>2287</v>
      </c>
      <c r="B33" s="64">
        <v>11.96</v>
      </c>
      <c r="C33" s="64">
        <v>46.01</v>
      </c>
      <c r="D33" s="64">
        <v>35.630000000000003</v>
      </c>
      <c r="E33" s="64">
        <v>0.05</v>
      </c>
      <c r="F33" s="64">
        <v>3.25</v>
      </c>
      <c r="G33" s="64">
        <v>26.91</v>
      </c>
      <c r="H33" s="64">
        <v>12.22</v>
      </c>
      <c r="I33" s="64">
        <v>1.56</v>
      </c>
      <c r="J33" s="64">
        <v>0.03</v>
      </c>
      <c r="K33" s="64">
        <v>257.37</v>
      </c>
      <c r="L33" s="64">
        <v>17.829999999999998</v>
      </c>
      <c r="M33" s="64">
        <v>76.33</v>
      </c>
      <c r="N33" s="64">
        <v>23.2</v>
      </c>
      <c r="O33" s="64">
        <v>0</v>
      </c>
      <c r="P33" s="64">
        <v>0.47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3" t="s">
        <v>2288</v>
      </c>
      <c r="B34" s="64">
        <v>11.61</v>
      </c>
      <c r="C34" s="64">
        <v>46.45</v>
      </c>
      <c r="D34" s="64">
        <v>35.590000000000003</v>
      </c>
      <c r="E34" s="64">
        <v>0.12</v>
      </c>
      <c r="F34" s="64">
        <v>3.1</v>
      </c>
      <c r="G34" s="64">
        <v>28.75</v>
      </c>
      <c r="H34" s="64">
        <v>13.65</v>
      </c>
      <c r="I34" s="64">
        <v>1.5</v>
      </c>
      <c r="J34" s="64">
        <v>0.04</v>
      </c>
      <c r="K34" s="64">
        <v>29.53</v>
      </c>
      <c r="L34" s="64">
        <v>18.100000000000001</v>
      </c>
      <c r="M34" s="64">
        <v>73.45</v>
      </c>
      <c r="N34" s="64">
        <v>27.8</v>
      </c>
      <c r="O34" s="64">
        <v>0</v>
      </c>
      <c r="P34" s="64">
        <v>0.46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3" t="s">
        <v>2289</v>
      </c>
      <c r="B35" s="64">
        <v>10.93</v>
      </c>
      <c r="C35" s="64">
        <v>45.9</v>
      </c>
      <c r="D35" s="64">
        <v>34.74</v>
      </c>
      <c r="E35" s="64">
        <v>0.09</v>
      </c>
      <c r="F35" s="64">
        <v>2.9</v>
      </c>
      <c r="G35" s="64">
        <v>29.12</v>
      </c>
      <c r="H35" s="64">
        <v>13.65</v>
      </c>
      <c r="I35" s="64">
        <v>1.44</v>
      </c>
      <c r="J35" s="64">
        <v>0.11</v>
      </c>
      <c r="K35" s="64">
        <v>24.42</v>
      </c>
      <c r="L35" s="64">
        <v>18.21</v>
      </c>
      <c r="M35" s="64">
        <v>71.569999999999993</v>
      </c>
      <c r="N35" s="64">
        <v>42.2</v>
      </c>
      <c r="O35" s="64">
        <v>0</v>
      </c>
      <c r="P35" s="64">
        <v>0.45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3" t="s">
        <v>2290</v>
      </c>
      <c r="B36" s="64">
        <v>10.57</v>
      </c>
      <c r="C36" s="64">
        <v>46.56</v>
      </c>
      <c r="D36" s="64">
        <v>34.82</v>
      </c>
      <c r="E36" s="64">
        <v>7.0000000000000007E-2</v>
      </c>
      <c r="F36" s="64">
        <v>2.93</v>
      </c>
      <c r="G36" s="64">
        <v>29.12</v>
      </c>
      <c r="H36" s="64">
        <v>13.65</v>
      </c>
      <c r="I36" s="64">
        <v>1.51</v>
      </c>
      <c r="J36" s="64">
        <v>0.12</v>
      </c>
      <c r="K36" s="64">
        <v>27.33</v>
      </c>
      <c r="L36" s="64">
        <v>18.53</v>
      </c>
      <c r="M36" s="64">
        <v>70.459999999999994</v>
      </c>
      <c r="N36" s="64">
        <v>63.7</v>
      </c>
      <c r="O36" s="64">
        <v>0</v>
      </c>
      <c r="P36" s="64">
        <v>0.45</v>
      </c>
      <c r="Q36" s="64">
        <v>5.21</v>
      </c>
      <c r="R36" s="198"/>
      <c r="S36" s="198"/>
      <c r="T36" s="198"/>
      <c r="U36" s="198"/>
    </row>
    <row r="37" spans="1:21" s="12" customFormat="1" x14ac:dyDescent="0.25">
      <c r="A37" s="213" t="s">
        <v>2291</v>
      </c>
      <c r="B37" s="64">
        <v>10.72</v>
      </c>
      <c r="C37" s="64">
        <v>46.83</v>
      </c>
      <c r="D37" s="64">
        <v>35.08</v>
      </c>
      <c r="E37" s="64">
        <v>0.09</v>
      </c>
      <c r="F37" s="64">
        <v>3.26</v>
      </c>
      <c r="G37" s="64">
        <v>29.12</v>
      </c>
      <c r="H37" s="64">
        <v>13.65</v>
      </c>
      <c r="I37" s="64">
        <v>1.49</v>
      </c>
      <c r="J37" s="64">
        <v>0.23</v>
      </c>
      <c r="K37" s="64">
        <v>336.28</v>
      </c>
      <c r="L37" s="64">
        <v>19.309999999999999</v>
      </c>
      <c r="M37" s="64">
        <v>68.48</v>
      </c>
      <c r="N37" s="64">
        <v>129.30000000000001</v>
      </c>
      <c r="O37" s="64">
        <v>0</v>
      </c>
      <c r="P37" s="64">
        <v>0.43</v>
      </c>
      <c r="Q37" s="64">
        <v>5.21</v>
      </c>
      <c r="R37" s="198"/>
      <c r="S37" s="198"/>
      <c r="T37" s="198"/>
      <c r="U37" s="198"/>
    </row>
    <row r="38" spans="1:21" s="12" customFormat="1" x14ac:dyDescent="0.25">
      <c r="A38" s="213" t="s">
        <v>2292</v>
      </c>
      <c r="B38" s="64">
        <v>10.74</v>
      </c>
      <c r="C38" s="64">
        <v>47.26</v>
      </c>
      <c r="D38" s="64">
        <v>35.340000000000003</v>
      </c>
      <c r="E38" s="64">
        <v>0.09</v>
      </c>
      <c r="F38" s="64">
        <v>3.13</v>
      </c>
      <c r="G38" s="64">
        <v>37.15</v>
      </c>
      <c r="H38" s="64">
        <v>11.89</v>
      </c>
      <c r="I38" s="64">
        <v>1.56</v>
      </c>
      <c r="J38" s="64">
        <v>0.19</v>
      </c>
      <c r="K38" s="64">
        <v>12.73</v>
      </c>
      <c r="L38" s="64">
        <v>20.92</v>
      </c>
      <c r="M38" s="64">
        <v>60.2</v>
      </c>
      <c r="N38" s="64">
        <v>189.1</v>
      </c>
      <c r="O38" s="64">
        <v>0</v>
      </c>
      <c r="P38" s="64">
        <v>0.45</v>
      </c>
      <c r="Q38" s="64">
        <v>5.21</v>
      </c>
      <c r="R38" s="198"/>
      <c r="S38" s="198"/>
      <c r="T38" s="198"/>
      <c r="U38" s="198"/>
    </row>
    <row r="39" spans="1:21" s="12" customFormat="1" x14ac:dyDescent="0.25">
      <c r="A39" s="213" t="s">
        <v>2293</v>
      </c>
      <c r="B39" s="64">
        <v>10.039999999999999</v>
      </c>
      <c r="C39" s="64">
        <v>46.67</v>
      </c>
      <c r="D39" s="64">
        <v>34.46</v>
      </c>
      <c r="E39" s="64">
        <v>0.1</v>
      </c>
      <c r="F39" s="64">
        <v>3.35</v>
      </c>
      <c r="G39" s="64">
        <v>38.76</v>
      </c>
      <c r="H39" s="64">
        <v>11.89</v>
      </c>
      <c r="I39" s="64">
        <v>1.52</v>
      </c>
      <c r="J39" s="64">
        <v>0.28000000000000003</v>
      </c>
      <c r="K39" s="64">
        <v>355.3</v>
      </c>
      <c r="L39" s="64">
        <v>22.46</v>
      </c>
      <c r="M39" s="64">
        <v>53.56</v>
      </c>
      <c r="N39" s="64">
        <v>237.2</v>
      </c>
      <c r="O39" s="64">
        <v>0</v>
      </c>
      <c r="P39" s="64">
        <v>0.45</v>
      </c>
      <c r="Q39" s="64">
        <v>5.21</v>
      </c>
      <c r="R39" s="198"/>
      <c r="S39" s="198"/>
      <c r="T39" s="198"/>
      <c r="U39" s="198"/>
    </row>
    <row r="40" spans="1:21" s="12" customFormat="1" x14ac:dyDescent="0.25">
      <c r="A40" s="213" t="s">
        <v>2294</v>
      </c>
      <c r="B40" s="64">
        <v>9.18</v>
      </c>
      <c r="C40" s="64">
        <v>46.61</v>
      </c>
      <c r="D40" s="64">
        <v>33.729999999999997</v>
      </c>
      <c r="E40" s="64">
        <v>0.1</v>
      </c>
      <c r="F40" s="64">
        <v>3.7</v>
      </c>
      <c r="G40" s="64">
        <v>38.76</v>
      </c>
      <c r="H40" s="64">
        <v>11.89</v>
      </c>
      <c r="I40" s="64">
        <v>1.56</v>
      </c>
      <c r="J40" s="64">
        <v>0.36</v>
      </c>
      <c r="K40" s="64">
        <v>328.29</v>
      </c>
      <c r="L40" s="64">
        <v>24.1</v>
      </c>
      <c r="M40" s="64">
        <v>48.85</v>
      </c>
      <c r="N40" s="64">
        <v>295.10000000000002</v>
      </c>
      <c r="O40" s="64">
        <v>0</v>
      </c>
      <c r="P40" s="64">
        <v>0.45</v>
      </c>
      <c r="Q40" s="64">
        <v>5.21</v>
      </c>
      <c r="R40" s="198"/>
      <c r="S40" s="198"/>
      <c r="T40" s="198"/>
      <c r="U40" s="198"/>
    </row>
    <row r="41" spans="1:21" s="12" customFormat="1" x14ac:dyDescent="0.25">
      <c r="A41" s="213" t="s">
        <v>2295</v>
      </c>
      <c r="B41" s="64">
        <v>8.77</v>
      </c>
      <c r="C41" s="64">
        <v>47.11</v>
      </c>
      <c r="D41" s="64">
        <v>33.68</v>
      </c>
      <c r="E41" s="64">
        <v>0.16</v>
      </c>
      <c r="F41" s="64">
        <v>3.76</v>
      </c>
      <c r="G41" s="64">
        <v>38.76</v>
      </c>
      <c r="H41" s="64">
        <v>11.89</v>
      </c>
      <c r="I41" s="64">
        <v>1.47</v>
      </c>
      <c r="J41" s="64">
        <v>0.32</v>
      </c>
      <c r="K41" s="64">
        <v>342.99</v>
      </c>
      <c r="L41" s="64">
        <v>25.66</v>
      </c>
      <c r="M41" s="64">
        <v>41.99</v>
      </c>
      <c r="N41" s="64">
        <v>361.1</v>
      </c>
      <c r="O41" s="64">
        <v>0</v>
      </c>
      <c r="P41" s="64">
        <v>0.45</v>
      </c>
      <c r="Q41" s="64">
        <v>5.21</v>
      </c>
      <c r="R41" s="198"/>
      <c r="S41" s="198"/>
      <c r="T41" s="198"/>
      <c r="U41" s="198"/>
    </row>
    <row r="42" spans="1:21" s="12" customFormat="1" x14ac:dyDescent="0.25">
      <c r="A42" s="213" t="s">
        <v>2296</v>
      </c>
      <c r="B42" s="64">
        <v>8.23</v>
      </c>
      <c r="C42" s="64">
        <v>48.59</v>
      </c>
      <c r="D42" s="64">
        <v>34.06</v>
      </c>
      <c r="E42" s="64">
        <v>0.25</v>
      </c>
      <c r="F42" s="64">
        <v>3.82</v>
      </c>
      <c r="G42" s="64">
        <v>40.46</v>
      </c>
      <c r="H42" s="64">
        <v>17.5</v>
      </c>
      <c r="I42" s="64">
        <v>1.51</v>
      </c>
      <c r="J42" s="64">
        <v>0.38</v>
      </c>
      <c r="K42" s="64">
        <v>332.32</v>
      </c>
      <c r="L42" s="64">
        <v>27.15</v>
      </c>
      <c r="M42" s="64">
        <v>35.869999999999997</v>
      </c>
      <c r="N42" s="64">
        <v>401.2</v>
      </c>
      <c r="O42" s="64">
        <v>0</v>
      </c>
      <c r="P42" s="64">
        <v>0.46</v>
      </c>
      <c r="Q42" s="64">
        <v>5.21</v>
      </c>
      <c r="R42" s="198"/>
      <c r="S42" s="198"/>
      <c r="T42" s="198"/>
      <c r="U42" s="198"/>
    </row>
    <row r="43" spans="1:21" s="12" customFormat="1" x14ac:dyDescent="0.25">
      <c r="A43" s="213" t="s">
        <v>2297</v>
      </c>
      <c r="B43" s="64">
        <v>7.49</v>
      </c>
      <c r="C43" s="64">
        <v>49.05</v>
      </c>
      <c r="D43" s="64">
        <v>33.72</v>
      </c>
      <c r="E43" s="64">
        <v>0.2</v>
      </c>
      <c r="F43" s="64">
        <v>3.92</v>
      </c>
      <c r="G43" s="64">
        <v>40.799999999999997</v>
      </c>
      <c r="H43" s="64">
        <v>17.5</v>
      </c>
      <c r="I43" s="64">
        <v>1.61</v>
      </c>
      <c r="J43" s="64">
        <v>0.35</v>
      </c>
      <c r="K43" s="64">
        <v>355.9</v>
      </c>
      <c r="L43" s="64">
        <v>27.65</v>
      </c>
      <c r="M43" s="64">
        <v>33</v>
      </c>
      <c r="N43" s="64">
        <v>460.9</v>
      </c>
      <c r="O43" s="64">
        <v>0</v>
      </c>
      <c r="P43" s="64">
        <v>0.45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3" t="s">
        <v>2298</v>
      </c>
      <c r="B44" s="64">
        <v>6.35</v>
      </c>
      <c r="C44" s="64">
        <v>50.27</v>
      </c>
      <c r="D44" s="64">
        <v>33.479999999999997</v>
      </c>
      <c r="E44" s="64">
        <v>0.21</v>
      </c>
      <c r="F44" s="64">
        <v>4.01</v>
      </c>
      <c r="G44" s="64">
        <v>40.799999999999997</v>
      </c>
      <c r="H44" s="64">
        <v>17.5</v>
      </c>
      <c r="I44" s="64">
        <v>1.44</v>
      </c>
      <c r="J44" s="64">
        <v>0.45</v>
      </c>
      <c r="K44" s="64">
        <v>328.09</v>
      </c>
      <c r="L44" s="64">
        <v>28.71</v>
      </c>
      <c r="M44" s="64">
        <v>31.14</v>
      </c>
      <c r="N44" s="64">
        <v>510.9</v>
      </c>
      <c r="O44" s="64">
        <v>0</v>
      </c>
      <c r="P44" s="64">
        <v>0.44</v>
      </c>
      <c r="Q44" s="64">
        <v>5.21</v>
      </c>
      <c r="R44" s="198"/>
      <c r="S44" s="198"/>
      <c r="T44" s="198"/>
      <c r="U44" s="198"/>
    </row>
    <row r="45" spans="1:21" s="12" customFormat="1" x14ac:dyDescent="0.25">
      <c r="A45" s="213" t="s">
        <v>2299</v>
      </c>
      <c r="B45" s="64">
        <v>5.65</v>
      </c>
      <c r="C45" s="64">
        <v>50.73</v>
      </c>
      <c r="D45" s="64">
        <v>33.17</v>
      </c>
      <c r="E45" s="64">
        <v>0.14000000000000001</v>
      </c>
      <c r="F45" s="64">
        <v>4.17</v>
      </c>
      <c r="G45" s="64">
        <v>40.799999999999997</v>
      </c>
      <c r="H45" s="64">
        <v>17.5</v>
      </c>
      <c r="I45" s="64">
        <v>1.56</v>
      </c>
      <c r="J45" s="64">
        <v>0.43</v>
      </c>
      <c r="K45" s="64">
        <v>334.91</v>
      </c>
      <c r="L45" s="64">
        <v>29.38</v>
      </c>
      <c r="M45" s="64">
        <v>30.02</v>
      </c>
      <c r="N45" s="64">
        <v>566.5</v>
      </c>
      <c r="O45" s="64">
        <v>0</v>
      </c>
      <c r="P45" s="64">
        <v>0.44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3" t="s">
        <v>2300</v>
      </c>
      <c r="B46" s="64">
        <v>5.41</v>
      </c>
      <c r="C46" s="64">
        <v>52.02</v>
      </c>
      <c r="D46" s="64">
        <v>33.69</v>
      </c>
      <c r="E46" s="64">
        <v>0.19</v>
      </c>
      <c r="F46" s="64">
        <v>3.9</v>
      </c>
      <c r="G46" s="64">
        <v>41.22</v>
      </c>
      <c r="H46" s="64">
        <v>15.71</v>
      </c>
      <c r="I46" s="64">
        <v>1.53</v>
      </c>
      <c r="J46" s="64">
        <v>0.71</v>
      </c>
      <c r="K46" s="64">
        <v>313.38</v>
      </c>
      <c r="L46" s="64">
        <v>30.51</v>
      </c>
      <c r="M46" s="64">
        <v>27.99</v>
      </c>
      <c r="N46" s="64">
        <v>619.79999999999995</v>
      </c>
      <c r="O46" s="64">
        <v>0</v>
      </c>
      <c r="P46" s="64">
        <v>0.44</v>
      </c>
      <c r="Q46" s="64">
        <v>5.21</v>
      </c>
      <c r="R46" s="198"/>
      <c r="S46" s="198"/>
      <c r="T46" s="198"/>
      <c r="U46" s="198"/>
    </row>
    <row r="47" spans="1:21" s="12" customFormat="1" x14ac:dyDescent="0.25">
      <c r="A47" s="213" t="s">
        <v>2301</v>
      </c>
      <c r="B47" s="64">
        <v>5.08</v>
      </c>
      <c r="C47" s="64">
        <v>49.96</v>
      </c>
      <c r="D47" s="64">
        <v>32.29</v>
      </c>
      <c r="E47" s="64">
        <v>0.17</v>
      </c>
      <c r="F47" s="64">
        <v>4.03</v>
      </c>
      <c r="G47" s="64">
        <v>41.31</v>
      </c>
      <c r="H47" s="64">
        <v>15.71</v>
      </c>
      <c r="I47" s="64">
        <v>1.46</v>
      </c>
      <c r="J47" s="64">
        <v>0.54</v>
      </c>
      <c r="K47" s="64">
        <v>329.96</v>
      </c>
      <c r="L47" s="64">
        <v>30.64</v>
      </c>
      <c r="M47" s="64">
        <v>27.15</v>
      </c>
      <c r="N47" s="64">
        <v>672.3</v>
      </c>
      <c r="O47" s="64">
        <v>0</v>
      </c>
      <c r="P47" s="64">
        <v>0.43</v>
      </c>
      <c r="Q47" s="64">
        <v>5.21</v>
      </c>
      <c r="R47" s="198"/>
      <c r="S47" s="198"/>
      <c r="T47" s="198"/>
      <c r="U47" s="198"/>
    </row>
    <row r="48" spans="1:21" s="12" customFormat="1" x14ac:dyDescent="0.25">
      <c r="A48" s="213" t="s">
        <v>2302</v>
      </c>
      <c r="B48" s="64">
        <v>4.54</v>
      </c>
      <c r="C48" s="64">
        <v>49.66</v>
      </c>
      <c r="D48" s="64">
        <v>31.69</v>
      </c>
      <c r="E48" s="64">
        <v>0.16</v>
      </c>
      <c r="F48" s="64">
        <v>4.34</v>
      </c>
      <c r="G48" s="64">
        <v>41.31</v>
      </c>
      <c r="H48" s="64">
        <v>15.71</v>
      </c>
      <c r="I48" s="64">
        <v>1.47</v>
      </c>
      <c r="J48" s="64">
        <v>0.96</v>
      </c>
      <c r="K48" s="64">
        <v>316.13</v>
      </c>
      <c r="L48" s="64">
        <v>31.44</v>
      </c>
      <c r="M48" s="64">
        <v>26.46</v>
      </c>
      <c r="N48" s="64">
        <v>756.1</v>
      </c>
      <c r="O48" s="64">
        <v>0</v>
      </c>
      <c r="P48" s="64">
        <v>0.42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3" t="s">
        <v>2303</v>
      </c>
      <c r="B49" s="64">
        <v>4.08</v>
      </c>
      <c r="C49" s="64">
        <v>49.57</v>
      </c>
      <c r="D49" s="64">
        <v>31.27</v>
      </c>
      <c r="E49" s="64">
        <v>0.15</v>
      </c>
      <c r="F49" s="64">
        <v>4.1500000000000004</v>
      </c>
      <c r="G49" s="64">
        <v>41.31</v>
      </c>
      <c r="H49" s="64">
        <v>15.71</v>
      </c>
      <c r="I49" s="64">
        <v>1.52</v>
      </c>
      <c r="J49" s="64">
        <v>1.1200000000000001</v>
      </c>
      <c r="K49" s="64">
        <v>316.77</v>
      </c>
      <c r="L49" s="64">
        <v>31.68</v>
      </c>
      <c r="M49" s="64">
        <v>25.44</v>
      </c>
      <c r="N49" s="64">
        <v>796.5</v>
      </c>
      <c r="O49" s="64">
        <v>0</v>
      </c>
      <c r="P49" s="64">
        <v>0.42</v>
      </c>
      <c r="Q49" s="64">
        <v>5.21</v>
      </c>
      <c r="R49" s="198"/>
      <c r="S49" s="198"/>
      <c r="T49" s="198"/>
      <c r="U49" s="198"/>
    </row>
    <row r="50" spans="1:21" s="12" customFormat="1" x14ac:dyDescent="0.25">
      <c r="A50" s="213" t="s">
        <v>2304</v>
      </c>
      <c r="B50" s="64">
        <v>3.87</v>
      </c>
      <c r="C50" s="64">
        <v>49.18</v>
      </c>
      <c r="D50" s="64">
        <v>30.89</v>
      </c>
      <c r="E50" s="64">
        <v>0.13</v>
      </c>
      <c r="F50" s="64">
        <v>4.22</v>
      </c>
      <c r="G50" s="64">
        <v>40.93</v>
      </c>
      <c r="H50" s="64">
        <v>14.7</v>
      </c>
      <c r="I50" s="64">
        <v>1.46</v>
      </c>
      <c r="J50" s="64">
        <v>0.99</v>
      </c>
      <c r="K50" s="64">
        <v>317.66000000000003</v>
      </c>
      <c r="L50" s="64">
        <v>32.72</v>
      </c>
      <c r="M50" s="64">
        <v>24.12</v>
      </c>
      <c r="N50" s="64">
        <v>830</v>
      </c>
      <c r="O50" s="64">
        <v>0</v>
      </c>
      <c r="P50" s="64">
        <v>0.41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3" t="s">
        <v>2305</v>
      </c>
      <c r="B51" s="64">
        <v>3.13</v>
      </c>
      <c r="C51" s="64">
        <v>47.7</v>
      </c>
      <c r="D51" s="64">
        <v>29.48</v>
      </c>
      <c r="E51" s="64">
        <v>0.28000000000000003</v>
      </c>
      <c r="F51" s="64">
        <v>11.73</v>
      </c>
      <c r="G51" s="64">
        <v>40.86</v>
      </c>
      <c r="H51" s="64">
        <v>14.7</v>
      </c>
      <c r="I51" s="64">
        <v>1.51</v>
      </c>
      <c r="J51" s="64">
        <v>1.02</v>
      </c>
      <c r="K51" s="64">
        <v>315.32</v>
      </c>
      <c r="L51" s="64">
        <v>33.29</v>
      </c>
      <c r="M51" s="64">
        <v>23.13</v>
      </c>
      <c r="N51" s="64">
        <v>862.5</v>
      </c>
      <c r="O51" s="64">
        <v>0</v>
      </c>
      <c r="P51" s="64">
        <v>0.38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3" t="s">
        <v>2306</v>
      </c>
      <c r="B52" s="64">
        <v>2.21</v>
      </c>
      <c r="C52" s="64">
        <v>49.31</v>
      </c>
      <c r="D52" s="64">
        <v>29.63</v>
      </c>
      <c r="E52" s="64">
        <v>0.37</v>
      </c>
      <c r="F52" s="64">
        <v>14.07</v>
      </c>
      <c r="G52" s="64">
        <v>40.86</v>
      </c>
      <c r="H52" s="64">
        <v>14.7</v>
      </c>
      <c r="I52" s="64">
        <v>1.52</v>
      </c>
      <c r="J52" s="64">
        <v>0.51</v>
      </c>
      <c r="K52" s="64">
        <v>324.45</v>
      </c>
      <c r="L52" s="64">
        <v>33.049999999999997</v>
      </c>
      <c r="M52" s="64">
        <v>23.58</v>
      </c>
      <c r="N52" s="64">
        <v>871.7</v>
      </c>
      <c r="O52" s="64">
        <v>0</v>
      </c>
      <c r="P52" s="64">
        <v>0.31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3" t="s">
        <v>2307</v>
      </c>
      <c r="B53" s="64">
        <v>1.6</v>
      </c>
      <c r="C53" s="64">
        <v>50.13</v>
      </c>
      <c r="D53" s="64">
        <v>29.59</v>
      </c>
      <c r="E53" s="64">
        <v>0.34</v>
      </c>
      <c r="F53" s="64">
        <v>9.5</v>
      </c>
      <c r="G53" s="64">
        <v>40.86</v>
      </c>
      <c r="H53" s="64">
        <v>14.7</v>
      </c>
      <c r="I53" s="64">
        <v>1.48</v>
      </c>
      <c r="J53" s="64">
        <v>0.99</v>
      </c>
      <c r="K53" s="64">
        <v>330.11</v>
      </c>
      <c r="L53" s="64">
        <v>32.96</v>
      </c>
      <c r="M53" s="64">
        <v>24.04</v>
      </c>
      <c r="N53" s="64">
        <v>887.5</v>
      </c>
      <c r="O53" s="64">
        <v>0</v>
      </c>
      <c r="P53" s="64">
        <v>0.32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3" t="s">
        <v>2308</v>
      </c>
      <c r="B54" s="64">
        <v>1.59</v>
      </c>
      <c r="C54" s="64">
        <v>49.68</v>
      </c>
      <c r="D54" s="64">
        <v>29.34</v>
      </c>
      <c r="E54" s="64">
        <v>0.45</v>
      </c>
      <c r="F54" s="64">
        <v>9.32</v>
      </c>
      <c r="G54" s="64">
        <v>35.07</v>
      </c>
      <c r="H54" s="64">
        <v>14.72</v>
      </c>
      <c r="I54" s="64">
        <v>1.53</v>
      </c>
      <c r="J54" s="64">
        <v>0.34</v>
      </c>
      <c r="K54" s="64">
        <v>348.85</v>
      </c>
      <c r="L54" s="64">
        <v>30.74</v>
      </c>
      <c r="M54" s="64">
        <v>25.44</v>
      </c>
      <c r="N54" s="64">
        <v>889.9</v>
      </c>
      <c r="O54" s="64">
        <v>0</v>
      </c>
      <c r="P54" s="64">
        <v>0.32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3" t="s">
        <v>2309</v>
      </c>
      <c r="B55" s="64">
        <v>1.45</v>
      </c>
      <c r="C55" s="64">
        <v>49.38</v>
      </c>
      <c r="D55" s="64">
        <v>29.06</v>
      </c>
      <c r="E55" s="64">
        <v>0.55000000000000004</v>
      </c>
      <c r="F55" s="64">
        <v>8.73</v>
      </c>
      <c r="G55" s="64">
        <v>33.909999999999997</v>
      </c>
      <c r="H55" s="64">
        <v>14.72</v>
      </c>
      <c r="I55" s="64">
        <v>1.48</v>
      </c>
      <c r="J55" s="64">
        <v>0.75</v>
      </c>
      <c r="K55" s="64">
        <v>318.51</v>
      </c>
      <c r="L55" s="64">
        <v>31.49</v>
      </c>
      <c r="M55" s="64">
        <v>24.3</v>
      </c>
      <c r="N55" s="64">
        <v>879.3</v>
      </c>
      <c r="O55" s="64">
        <v>0</v>
      </c>
      <c r="P55" s="64">
        <v>0.31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3" t="s">
        <v>2310</v>
      </c>
      <c r="B56" s="64">
        <v>1.48</v>
      </c>
      <c r="C56" s="64">
        <v>48.74</v>
      </c>
      <c r="D56" s="64">
        <v>28.73</v>
      </c>
      <c r="E56" s="64">
        <v>0.12</v>
      </c>
      <c r="F56" s="64">
        <v>14.76</v>
      </c>
      <c r="G56" s="64">
        <v>33.909999999999997</v>
      </c>
      <c r="H56" s="64">
        <v>14.72</v>
      </c>
      <c r="I56" s="64">
        <v>1.54</v>
      </c>
      <c r="J56" s="64">
        <v>0.87</v>
      </c>
      <c r="K56" s="64">
        <v>316.8</v>
      </c>
      <c r="L56" s="64">
        <v>32.979999999999997</v>
      </c>
      <c r="M56" s="64">
        <v>23.28</v>
      </c>
      <c r="N56" s="64">
        <v>868.6</v>
      </c>
      <c r="O56" s="64">
        <v>0</v>
      </c>
      <c r="P56" s="64">
        <v>0.35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3" t="s">
        <v>2311</v>
      </c>
      <c r="B57" s="64">
        <v>1.54</v>
      </c>
      <c r="C57" s="64">
        <v>43.11</v>
      </c>
      <c r="D57" s="64">
        <v>25.67</v>
      </c>
      <c r="E57" s="64">
        <v>7.0000000000000007E-2</v>
      </c>
      <c r="F57" s="64">
        <v>9.57</v>
      </c>
      <c r="G57" s="64">
        <v>33.909999999999997</v>
      </c>
      <c r="H57" s="64">
        <v>14.72</v>
      </c>
      <c r="I57" s="64">
        <v>1.46</v>
      </c>
      <c r="J57" s="64">
        <v>1.01</v>
      </c>
      <c r="K57" s="64">
        <v>319.66000000000003</v>
      </c>
      <c r="L57" s="64">
        <v>32.79</v>
      </c>
      <c r="M57" s="64">
        <v>24.23</v>
      </c>
      <c r="N57" s="64">
        <v>857.5</v>
      </c>
      <c r="O57" s="64">
        <v>0</v>
      </c>
      <c r="P57" s="64">
        <v>0.34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3" t="s">
        <v>2312</v>
      </c>
      <c r="B58" s="64">
        <v>1.17</v>
      </c>
      <c r="C58" s="64">
        <v>41.84</v>
      </c>
      <c r="D58" s="64">
        <v>24.67</v>
      </c>
      <c r="E58" s="64">
        <v>0.08</v>
      </c>
      <c r="F58" s="64">
        <v>7.9</v>
      </c>
      <c r="G58" s="64">
        <v>38.729999999999997</v>
      </c>
      <c r="H58" s="64">
        <v>13.5</v>
      </c>
      <c r="I58" s="64">
        <v>1.52</v>
      </c>
      <c r="J58" s="64">
        <v>0.87</v>
      </c>
      <c r="K58" s="64">
        <v>320.04000000000002</v>
      </c>
      <c r="L58" s="64">
        <v>31.95</v>
      </c>
      <c r="M58" s="64">
        <v>24.94</v>
      </c>
      <c r="N58" s="64">
        <v>837</v>
      </c>
      <c r="O58" s="64">
        <v>0</v>
      </c>
      <c r="P58" s="64">
        <v>0.33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3" t="s">
        <v>2313</v>
      </c>
      <c r="B59" s="64">
        <v>1.33</v>
      </c>
      <c r="C59" s="64">
        <v>45.3</v>
      </c>
      <c r="D59" s="64">
        <v>26.71</v>
      </c>
      <c r="E59" s="64">
        <v>0.14000000000000001</v>
      </c>
      <c r="F59" s="64">
        <v>9.5500000000000007</v>
      </c>
      <c r="G59" s="64">
        <v>39.69</v>
      </c>
      <c r="H59" s="64">
        <v>13.5</v>
      </c>
      <c r="I59" s="64">
        <v>1.54</v>
      </c>
      <c r="J59" s="64">
        <v>1.17</v>
      </c>
      <c r="K59" s="64">
        <v>326.8</v>
      </c>
      <c r="L59" s="64">
        <v>32.369999999999997</v>
      </c>
      <c r="M59" s="64">
        <v>25</v>
      </c>
      <c r="N59" s="64">
        <v>823.2</v>
      </c>
      <c r="O59" s="64">
        <v>0</v>
      </c>
      <c r="P59" s="64">
        <v>0.31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3" t="s">
        <v>2314</v>
      </c>
      <c r="B60" s="64">
        <v>1.3</v>
      </c>
      <c r="C60" s="64">
        <v>45.14</v>
      </c>
      <c r="D60" s="64">
        <v>26.6</v>
      </c>
      <c r="E60" s="64">
        <v>0.04</v>
      </c>
      <c r="F60" s="64">
        <v>8.86</v>
      </c>
      <c r="G60" s="64">
        <v>39.69</v>
      </c>
      <c r="H60" s="64">
        <v>13.5</v>
      </c>
      <c r="I60" s="64">
        <v>1.46</v>
      </c>
      <c r="J60" s="64">
        <v>0.77</v>
      </c>
      <c r="K60" s="64">
        <v>320.24</v>
      </c>
      <c r="L60" s="64">
        <v>31.86</v>
      </c>
      <c r="M60" s="64">
        <v>24.9</v>
      </c>
      <c r="N60" s="64">
        <v>788.9</v>
      </c>
      <c r="O60" s="64">
        <v>0</v>
      </c>
      <c r="P60" s="64">
        <v>0.3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3" t="s">
        <v>2315</v>
      </c>
      <c r="B61" s="64">
        <v>1.62</v>
      </c>
      <c r="C61" s="64">
        <v>48.57</v>
      </c>
      <c r="D61" s="64">
        <v>28.75</v>
      </c>
      <c r="E61" s="64">
        <v>0.04</v>
      </c>
      <c r="F61" s="64">
        <v>8.49</v>
      </c>
      <c r="G61" s="64">
        <v>39.69</v>
      </c>
      <c r="H61" s="64">
        <v>13.5</v>
      </c>
      <c r="I61" s="64">
        <v>1.53</v>
      </c>
      <c r="J61" s="64">
        <v>0.47</v>
      </c>
      <c r="K61" s="64">
        <v>330.38</v>
      </c>
      <c r="L61" s="64">
        <v>31.07</v>
      </c>
      <c r="M61" s="64">
        <v>25.99</v>
      </c>
      <c r="N61" s="64">
        <v>754.1</v>
      </c>
      <c r="O61" s="64">
        <v>0</v>
      </c>
      <c r="P61" s="64">
        <v>0.34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3" t="s">
        <v>2316</v>
      </c>
      <c r="B62" s="64">
        <v>1.77</v>
      </c>
      <c r="C62" s="64">
        <v>49.57</v>
      </c>
      <c r="D62" s="64">
        <v>29.42</v>
      </c>
      <c r="E62" s="64">
        <v>0.03</v>
      </c>
      <c r="F62" s="64">
        <v>8.3000000000000007</v>
      </c>
      <c r="G62" s="64">
        <v>30.32</v>
      </c>
      <c r="H62" s="64">
        <v>14.82</v>
      </c>
      <c r="I62" s="64">
        <v>1.53</v>
      </c>
      <c r="J62" s="64">
        <v>1.36</v>
      </c>
      <c r="K62" s="64">
        <v>318.27</v>
      </c>
      <c r="L62" s="64">
        <v>31.63</v>
      </c>
      <c r="M62" s="64">
        <v>26.18</v>
      </c>
      <c r="N62" s="64">
        <v>746.1</v>
      </c>
      <c r="O62" s="64">
        <v>0</v>
      </c>
      <c r="P62" s="64">
        <v>0.35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2317</v>
      </c>
      <c r="B63" s="64">
        <v>1.72</v>
      </c>
      <c r="C63" s="64">
        <v>49.42</v>
      </c>
      <c r="D63" s="64">
        <v>29.3</v>
      </c>
      <c r="E63" s="64">
        <v>0.1</v>
      </c>
      <c r="F63" s="64">
        <v>8.18</v>
      </c>
      <c r="G63" s="64">
        <v>28.45</v>
      </c>
      <c r="H63" s="64">
        <v>14.82</v>
      </c>
      <c r="I63" s="64">
        <v>1.52</v>
      </c>
      <c r="J63" s="64">
        <v>0.52</v>
      </c>
      <c r="K63" s="64">
        <v>325.08999999999997</v>
      </c>
      <c r="L63" s="64">
        <v>31.78</v>
      </c>
      <c r="M63" s="64">
        <v>24.75</v>
      </c>
      <c r="N63" s="64">
        <v>587.79999999999995</v>
      </c>
      <c r="O63" s="64">
        <v>0</v>
      </c>
      <c r="P63" s="64">
        <v>0.35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3" t="s">
        <v>2318</v>
      </c>
      <c r="B64" s="64">
        <v>1.74</v>
      </c>
      <c r="C64" s="64">
        <v>49.59</v>
      </c>
      <c r="D64" s="64">
        <v>29.41</v>
      </c>
      <c r="E64" s="64">
        <v>0.09</v>
      </c>
      <c r="F64" s="64">
        <v>7.55</v>
      </c>
      <c r="G64" s="64">
        <v>28.45</v>
      </c>
      <c r="H64" s="64">
        <v>14.82</v>
      </c>
      <c r="I64" s="64">
        <v>1.49</v>
      </c>
      <c r="J64" s="64">
        <v>0.37</v>
      </c>
      <c r="K64" s="64">
        <v>328.66</v>
      </c>
      <c r="L64" s="64">
        <v>31.25</v>
      </c>
      <c r="M64" s="64">
        <v>24.95</v>
      </c>
      <c r="N64" s="64">
        <v>661.9</v>
      </c>
      <c r="O64" s="64">
        <v>0</v>
      </c>
      <c r="P64" s="64">
        <v>0.37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3" t="s">
        <v>2319</v>
      </c>
      <c r="B65" s="64">
        <v>1.55</v>
      </c>
      <c r="C65" s="64">
        <v>49.52</v>
      </c>
      <c r="D65" s="64">
        <v>29.22</v>
      </c>
      <c r="E65" s="64">
        <v>7.0000000000000007E-2</v>
      </c>
      <c r="F65" s="64">
        <v>6.93</v>
      </c>
      <c r="G65" s="64">
        <v>28.45</v>
      </c>
      <c r="H65" s="64">
        <v>14.82</v>
      </c>
      <c r="I65" s="64">
        <v>1.48</v>
      </c>
      <c r="J65" s="64">
        <v>0.56000000000000005</v>
      </c>
      <c r="K65" s="64">
        <v>320.7</v>
      </c>
      <c r="L65" s="64">
        <v>31.16</v>
      </c>
      <c r="M65" s="64">
        <v>25.07</v>
      </c>
      <c r="N65" s="64">
        <v>650.70000000000005</v>
      </c>
      <c r="O65" s="64">
        <v>0</v>
      </c>
      <c r="P65" s="64">
        <v>0.38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3" t="s">
        <v>2320</v>
      </c>
      <c r="B66" s="64">
        <v>1.76</v>
      </c>
      <c r="C66" s="64">
        <v>49.02</v>
      </c>
      <c r="D66" s="64">
        <v>29.11</v>
      </c>
      <c r="E66" s="64">
        <v>0.01</v>
      </c>
      <c r="F66" s="64">
        <v>5.5</v>
      </c>
      <c r="G66" s="64">
        <v>28.78</v>
      </c>
      <c r="H66" s="64">
        <v>11.43</v>
      </c>
      <c r="I66" s="64">
        <v>1.5</v>
      </c>
      <c r="J66" s="64">
        <v>0.71</v>
      </c>
      <c r="K66" s="64">
        <v>318.29000000000002</v>
      </c>
      <c r="L66" s="64">
        <v>31.51</v>
      </c>
      <c r="M66" s="64">
        <v>24.99</v>
      </c>
      <c r="N66" s="64">
        <v>559.6</v>
      </c>
      <c r="O66" s="64">
        <v>0</v>
      </c>
      <c r="P66" s="64">
        <v>0.37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3" t="s">
        <v>2321</v>
      </c>
      <c r="B67" s="64">
        <v>2.16</v>
      </c>
      <c r="C67" s="64">
        <v>48.21</v>
      </c>
      <c r="D67" s="64">
        <v>28.98</v>
      </c>
      <c r="E67" s="64">
        <v>0.02</v>
      </c>
      <c r="F67" s="64">
        <v>5.0599999999999996</v>
      </c>
      <c r="G67" s="64">
        <v>28.85</v>
      </c>
      <c r="H67" s="64">
        <v>11.43</v>
      </c>
      <c r="I67" s="64">
        <v>1.49</v>
      </c>
      <c r="J67" s="64">
        <v>0.6</v>
      </c>
      <c r="K67" s="64">
        <v>314.54000000000002</v>
      </c>
      <c r="L67" s="64">
        <v>30.78</v>
      </c>
      <c r="M67" s="64">
        <v>25.23</v>
      </c>
      <c r="N67" s="64">
        <v>558</v>
      </c>
      <c r="O67" s="64">
        <v>0</v>
      </c>
      <c r="P67" s="64">
        <v>0.38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3" t="s">
        <v>2322</v>
      </c>
      <c r="B68" s="64">
        <v>2.25</v>
      </c>
      <c r="C68" s="64">
        <v>47.51</v>
      </c>
      <c r="D68" s="64">
        <v>28.67</v>
      </c>
      <c r="E68" s="64">
        <v>0.03</v>
      </c>
      <c r="F68" s="64">
        <v>5.51</v>
      </c>
      <c r="G68" s="64">
        <v>28.85</v>
      </c>
      <c r="H68" s="64">
        <v>11.43</v>
      </c>
      <c r="I68" s="64">
        <v>1.43</v>
      </c>
      <c r="J68" s="64">
        <v>0.4</v>
      </c>
      <c r="K68" s="64">
        <v>327.33999999999997</v>
      </c>
      <c r="L68" s="64">
        <v>30.51</v>
      </c>
      <c r="M68" s="64">
        <v>25.02</v>
      </c>
      <c r="N68" s="64">
        <v>448.2</v>
      </c>
      <c r="O68" s="64">
        <v>0</v>
      </c>
      <c r="P68" s="64">
        <v>0.38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3" t="s">
        <v>2323</v>
      </c>
      <c r="B69" s="64">
        <v>2.0299999999999998</v>
      </c>
      <c r="C69" s="64">
        <v>48.15</v>
      </c>
      <c r="D69" s="64">
        <v>28.85</v>
      </c>
      <c r="E69" s="64">
        <v>0</v>
      </c>
      <c r="F69" s="64">
        <v>6.02</v>
      </c>
      <c r="G69" s="64">
        <v>28.85</v>
      </c>
      <c r="H69" s="64">
        <v>11.43</v>
      </c>
      <c r="I69" s="64">
        <v>1.52</v>
      </c>
      <c r="J69" s="64">
        <v>0.7</v>
      </c>
      <c r="K69" s="64">
        <v>323.16000000000003</v>
      </c>
      <c r="L69" s="64">
        <v>29.99</v>
      </c>
      <c r="M69" s="64">
        <v>25.24</v>
      </c>
      <c r="N69" s="64">
        <v>296.2</v>
      </c>
      <c r="O69" s="64">
        <v>0</v>
      </c>
      <c r="P69" s="64">
        <v>0.37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3" t="s">
        <v>2324</v>
      </c>
      <c r="B70" s="64">
        <v>2.21</v>
      </c>
      <c r="C70" s="64">
        <v>47.72</v>
      </c>
      <c r="D70" s="64">
        <v>28.76</v>
      </c>
      <c r="E70" s="64">
        <v>0.03</v>
      </c>
      <c r="F70" s="64">
        <v>5.32</v>
      </c>
      <c r="G70" s="64">
        <v>42.67</v>
      </c>
      <c r="H70" s="64">
        <v>14.17</v>
      </c>
      <c r="I70" s="64">
        <v>1.46</v>
      </c>
      <c r="J70" s="64">
        <v>0.56000000000000005</v>
      </c>
      <c r="K70" s="64">
        <v>318.69</v>
      </c>
      <c r="L70" s="64">
        <v>29.38</v>
      </c>
      <c r="M70" s="64">
        <v>25.52</v>
      </c>
      <c r="N70" s="64">
        <v>216.4</v>
      </c>
      <c r="O70" s="64">
        <v>0</v>
      </c>
      <c r="P70" s="64">
        <v>0.37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3" t="s">
        <v>2325</v>
      </c>
      <c r="B71" s="64">
        <v>2.57</v>
      </c>
      <c r="C71" s="64">
        <v>47.27</v>
      </c>
      <c r="D71" s="64">
        <v>28.8</v>
      </c>
      <c r="E71" s="64">
        <v>0.03</v>
      </c>
      <c r="F71" s="64">
        <v>5.7</v>
      </c>
      <c r="G71" s="64">
        <v>45.44</v>
      </c>
      <c r="H71" s="64">
        <v>14.17</v>
      </c>
      <c r="I71" s="64">
        <v>1.48</v>
      </c>
      <c r="J71" s="64">
        <v>0.54</v>
      </c>
      <c r="K71" s="64">
        <v>328.13</v>
      </c>
      <c r="L71" s="64">
        <v>29.09</v>
      </c>
      <c r="M71" s="64">
        <v>25.87</v>
      </c>
      <c r="N71" s="64">
        <v>157.5</v>
      </c>
      <c r="O71" s="64">
        <v>0</v>
      </c>
      <c r="P71" s="64">
        <v>0.37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3" t="s">
        <v>2326</v>
      </c>
      <c r="B72" s="64">
        <v>3.94</v>
      </c>
      <c r="C72" s="64">
        <v>47.1</v>
      </c>
      <c r="D72" s="64">
        <v>29.8</v>
      </c>
      <c r="E72" s="64">
        <v>0.01</v>
      </c>
      <c r="F72" s="64">
        <v>6.32</v>
      </c>
      <c r="G72" s="64">
        <v>45.44</v>
      </c>
      <c r="H72" s="64">
        <v>14.17</v>
      </c>
      <c r="I72" s="64">
        <v>1.49</v>
      </c>
      <c r="J72" s="64">
        <v>0.82</v>
      </c>
      <c r="K72" s="64">
        <v>321.95999999999998</v>
      </c>
      <c r="L72" s="64">
        <v>28.13</v>
      </c>
      <c r="M72" s="64">
        <v>26.66</v>
      </c>
      <c r="N72" s="64">
        <v>133.4</v>
      </c>
      <c r="O72" s="64">
        <v>0</v>
      </c>
      <c r="P72" s="64">
        <v>0.37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3" t="s">
        <v>2327</v>
      </c>
      <c r="B73" s="64">
        <v>3.67</v>
      </c>
      <c r="C73" s="64">
        <v>46.55</v>
      </c>
      <c r="D73" s="64">
        <v>29.28</v>
      </c>
      <c r="E73" s="64">
        <v>0.06</v>
      </c>
      <c r="F73" s="64">
        <v>6.59</v>
      </c>
      <c r="G73" s="64">
        <v>45.44</v>
      </c>
      <c r="H73" s="64">
        <v>14.17</v>
      </c>
      <c r="I73" s="64">
        <v>1.44</v>
      </c>
      <c r="J73" s="64">
        <v>0.37</v>
      </c>
      <c r="K73" s="64">
        <v>344.29</v>
      </c>
      <c r="L73" s="64">
        <v>27.76</v>
      </c>
      <c r="M73" s="64">
        <v>27.61</v>
      </c>
      <c r="N73" s="64">
        <v>126.3</v>
      </c>
      <c r="O73" s="64">
        <v>0</v>
      </c>
      <c r="P73" s="64">
        <v>0.35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3" t="s">
        <v>2328</v>
      </c>
      <c r="B74" s="64">
        <v>3.48</v>
      </c>
      <c r="C74" s="64">
        <v>46.11</v>
      </c>
      <c r="D74" s="64">
        <v>28.88</v>
      </c>
      <c r="E74" s="64">
        <v>7.0000000000000007E-2</v>
      </c>
      <c r="F74" s="64">
        <v>5.18</v>
      </c>
      <c r="G74" s="64">
        <v>43.5</v>
      </c>
      <c r="H74" s="64">
        <v>15.29</v>
      </c>
      <c r="I74" s="64">
        <v>1.46</v>
      </c>
      <c r="J74" s="64">
        <v>0.3</v>
      </c>
      <c r="K74" s="64">
        <v>343.08</v>
      </c>
      <c r="L74" s="64">
        <v>27.39</v>
      </c>
      <c r="M74" s="64">
        <v>28.28</v>
      </c>
      <c r="N74" s="64">
        <v>86.5</v>
      </c>
      <c r="O74" s="64">
        <v>0</v>
      </c>
      <c r="P74" s="64">
        <v>0.35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3" t="s">
        <v>2329</v>
      </c>
      <c r="B75" s="64">
        <v>3.45</v>
      </c>
      <c r="C75" s="64">
        <v>46.16</v>
      </c>
      <c r="D75" s="64">
        <v>28.89</v>
      </c>
      <c r="E75" s="64">
        <v>0.08</v>
      </c>
      <c r="F75" s="64">
        <v>4.8899999999999997</v>
      </c>
      <c r="G75" s="64">
        <v>43.12</v>
      </c>
      <c r="H75" s="64">
        <v>15.29</v>
      </c>
      <c r="I75" s="64">
        <v>1.49</v>
      </c>
      <c r="J75" s="64">
        <v>0.77</v>
      </c>
      <c r="K75" s="64">
        <v>308.04000000000002</v>
      </c>
      <c r="L75" s="64">
        <v>26.93</v>
      </c>
      <c r="M75" s="64">
        <v>29.9</v>
      </c>
      <c r="N75" s="64">
        <v>76.400000000000006</v>
      </c>
      <c r="O75" s="64">
        <v>0</v>
      </c>
      <c r="P75" s="64">
        <v>0.35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3" t="s">
        <v>2330</v>
      </c>
      <c r="B76" s="64">
        <v>3.37</v>
      </c>
      <c r="C76" s="64">
        <v>46.11</v>
      </c>
      <c r="D76" s="64">
        <v>28.8</v>
      </c>
      <c r="E76" s="64">
        <v>0.08</v>
      </c>
      <c r="F76" s="64">
        <v>4.8899999999999997</v>
      </c>
      <c r="G76" s="64">
        <v>43.12</v>
      </c>
      <c r="H76" s="64">
        <v>15.29</v>
      </c>
      <c r="I76" s="64">
        <v>1.6</v>
      </c>
      <c r="J76" s="64">
        <v>0.56999999999999995</v>
      </c>
      <c r="K76" s="64">
        <v>311.87</v>
      </c>
      <c r="L76" s="64">
        <v>26.73</v>
      </c>
      <c r="M76" s="64">
        <v>30.92</v>
      </c>
      <c r="N76" s="64">
        <v>65.2</v>
      </c>
      <c r="O76" s="64">
        <v>0</v>
      </c>
      <c r="P76" s="64">
        <v>0.36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3" t="s">
        <v>2331</v>
      </c>
      <c r="B77" s="64">
        <v>3.58</v>
      </c>
      <c r="C77" s="64">
        <v>46.2</v>
      </c>
      <c r="D77" s="64">
        <v>29.02</v>
      </c>
      <c r="E77" s="64">
        <v>7.0000000000000007E-2</v>
      </c>
      <c r="F77" s="64">
        <v>4.3</v>
      </c>
      <c r="G77" s="64">
        <v>43.12</v>
      </c>
      <c r="H77" s="64">
        <v>15.29</v>
      </c>
      <c r="I77" s="64">
        <v>1.46</v>
      </c>
      <c r="J77" s="64">
        <v>0.34</v>
      </c>
      <c r="K77" s="64">
        <v>332.24</v>
      </c>
      <c r="L77" s="64">
        <v>26.44</v>
      </c>
      <c r="M77" s="64">
        <v>31.42</v>
      </c>
      <c r="N77" s="64">
        <v>55.3</v>
      </c>
      <c r="O77" s="64">
        <v>0</v>
      </c>
      <c r="P77" s="64">
        <v>0.36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3" t="s">
        <v>2332</v>
      </c>
      <c r="B78" s="64">
        <v>3.52</v>
      </c>
      <c r="C78" s="64">
        <v>45.95</v>
      </c>
      <c r="D78" s="64">
        <v>28.83</v>
      </c>
      <c r="E78" s="64">
        <v>7.0000000000000007E-2</v>
      </c>
      <c r="F78" s="64">
        <v>4.74</v>
      </c>
      <c r="G78" s="64">
        <v>38.68</v>
      </c>
      <c r="H78" s="64">
        <v>13.6</v>
      </c>
      <c r="I78" s="64">
        <v>1.52</v>
      </c>
      <c r="J78" s="64">
        <v>0.47</v>
      </c>
      <c r="K78" s="64">
        <v>324.27999999999997</v>
      </c>
      <c r="L78" s="64">
        <v>25.88</v>
      </c>
      <c r="M78" s="64">
        <v>35.799999999999997</v>
      </c>
      <c r="N78" s="64">
        <v>44.6</v>
      </c>
      <c r="O78" s="64">
        <v>0</v>
      </c>
      <c r="P78" s="64">
        <v>0.37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3" t="s">
        <v>2333</v>
      </c>
      <c r="B79" s="64">
        <v>3.6</v>
      </c>
      <c r="C79" s="64">
        <v>49</v>
      </c>
      <c r="D79" s="64">
        <v>30.58</v>
      </c>
      <c r="E79" s="64">
        <v>0.02</v>
      </c>
      <c r="F79" s="64">
        <v>4.51</v>
      </c>
      <c r="G79" s="64">
        <v>37.79</v>
      </c>
      <c r="H79" s="64">
        <v>13.6</v>
      </c>
      <c r="I79" s="64">
        <v>1.43</v>
      </c>
      <c r="J79" s="64">
        <v>0.62</v>
      </c>
      <c r="K79" s="64">
        <v>313.83999999999997</v>
      </c>
      <c r="L79" s="64">
        <v>24.95</v>
      </c>
      <c r="M79" s="64">
        <v>43.62</v>
      </c>
      <c r="N79" s="64">
        <v>29.5</v>
      </c>
      <c r="O79" s="64">
        <v>0</v>
      </c>
      <c r="P79" s="64">
        <v>0.39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3" t="s">
        <v>2334</v>
      </c>
      <c r="B80" s="64">
        <v>3.66</v>
      </c>
      <c r="C80" s="64">
        <v>50.39</v>
      </c>
      <c r="D80" s="64">
        <v>31.39</v>
      </c>
      <c r="E80" s="64">
        <v>0.04</v>
      </c>
      <c r="F80" s="64">
        <v>4.3499999999999996</v>
      </c>
      <c r="G80" s="64">
        <v>37.79</v>
      </c>
      <c r="H80" s="64">
        <v>13.6</v>
      </c>
      <c r="I80" s="64">
        <v>1.54</v>
      </c>
      <c r="J80" s="64">
        <v>0.88</v>
      </c>
      <c r="K80" s="64">
        <v>329.62</v>
      </c>
      <c r="L80" s="64">
        <v>24.47</v>
      </c>
      <c r="M80" s="64">
        <v>46.12</v>
      </c>
      <c r="N80" s="64">
        <v>18.899999999999999</v>
      </c>
      <c r="O80" s="64">
        <v>0</v>
      </c>
      <c r="P80" s="64">
        <v>0.4</v>
      </c>
      <c r="Q80" s="64">
        <v>5.21</v>
      </c>
      <c r="R80" s="198"/>
      <c r="S80" s="198"/>
      <c r="T80" s="198"/>
      <c r="U80" s="198"/>
    </row>
    <row r="81" spans="1:26" s="12" customFormat="1" x14ac:dyDescent="0.25">
      <c r="A81" s="213" t="s">
        <v>2335</v>
      </c>
      <c r="B81" s="64">
        <v>4</v>
      </c>
      <c r="C81" s="64">
        <v>51.31</v>
      </c>
      <c r="D81" s="64">
        <v>32.17</v>
      </c>
      <c r="E81" s="64">
        <v>0.11</v>
      </c>
      <c r="F81" s="64">
        <v>4.24</v>
      </c>
      <c r="G81" s="64">
        <v>37.79</v>
      </c>
      <c r="H81" s="64">
        <v>13.6</v>
      </c>
      <c r="I81" s="64">
        <v>1.41</v>
      </c>
      <c r="J81" s="64">
        <v>1.23</v>
      </c>
      <c r="K81" s="64">
        <v>339.35</v>
      </c>
      <c r="L81" s="64">
        <v>24.06</v>
      </c>
      <c r="M81" s="64">
        <v>47.54</v>
      </c>
      <c r="N81" s="64">
        <v>15.5</v>
      </c>
      <c r="O81" s="64">
        <v>0</v>
      </c>
      <c r="P81" s="64">
        <v>0.43</v>
      </c>
      <c r="Q81" s="64">
        <v>5.21</v>
      </c>
      <c r="R81" s="198"/>
      <c r="S81" s="198"/>
      <c r="T81" s="198"/>
      <c r="U81" s="198"/>
    </row>
    <row r="82" spans="1:26" s="12" customFormat="1" x14ac:dyDescent="0.25">
      <c r="A82" s="213" t="s">
        <v>2336</v>
      </c>
      <c r="B82" s="64">
        <v>4.49</v>
      </c>
      <c r="C82" s="64">
        <v>52.22</v>
      </c>
      <c r="D82" s="64">
        <v>33.07</v>
      </c>
      <c r="E82" s="64">
        <v>0.05</v>
      </c>
      <c r="F82" s="64">
        <v>3.72</v>
      </c>
      <c r="G82" s="64">
        <v>41.43</v>
      </c>
      <c r="H82" s="64">
        <v>15.26</v>
      </c>
      <c r="I82" s="64">
        <v>1.48</v>
      </c>
      <c r="J82" s="64">
        <v>0.92</v>
      </c>
      <c r="K82" s="64">
        <v>335.24</v>
      </c>
      <c r="L82" s="64">
        <v>23.7</v>
      </c>
      <c r="M82" s="64">
        <v>49.56</v>
      </c>
      <c r="N82" s="64">
        <v>15</v>
      </c>
      <c r="O82" s="64">
        <v>0</v>
      </c>
      <c r="P82" s="64">
        <v>0.45</v>
      </c>
      <c r="Q82" s="64">
        <v>5.21</v>
      </c>
      <c r="R82" s="198"/>
      <c r="S82" s="198"/>
      <c r="T82" s="198"/>
      <c r="U82" s="198"/>
    </row>
    <row r="83" spans="1:26" s="12" customFormat="1" x14ac:dyDescent="0.25">
      <c r="A83" s="213" t="s">
        <v>2337</v>
      </c>
      <c r="B83" s="64">
        <v>5.17</v>
      </c>
      <c r="C83" s="64">
        <v>53.19</v>
      </c>
      <c r="D83" s="64">
        <v>34.15</v>
      </c>
      <c r="E83" s="64">
        <v>0.04</v>
      </c>
      <c r="F83" s="64">
        <v>3.54</v>
      </c>
      <c r="G83" s="64">
        <v>42.15</v>
      </c>
      <c r="H83" s="64">
        <v>15.26</v>
      </c>
      <c r="I83" s="64">
        <v>1.55</v>
      </c>
      <c r="J83" s="64">
        <v>0.88</v>
      </c>
      <c r="K83" s="64">
        <v>335.43</v>
      </c>
      <c r="L83" s="64">
        <v>23.43</v>
      </c>
      <c r="M83" s="64">
        <v>42.88</v>
      </c>
      <c r="N83" s="64">
        <v>14.8</v>
      </c>
      <c r="O83" s="64">
        <v>0</v>
      </c>
      <c r="P83" s="64">
        <v>0.48</v>
      </c>
      <c r="Q83" s="64">
        <v>5.21</v>
      </c>
      <c r="R83" s="198"/>
      <c r="S83" s="198"/>
      <c r="T83" s="198"/>
      <c r="U83" s="198"/>
    </row>
    <row r="84" spans="1:26" s="12" customFormat="1" x14ac:dyDescent="0.25">
      <c r="A84" s="213" t="s">
        <v>2338</v>
      </c>
      <c r="B84" s="64">
        <v>5.65</v>
      </c>
      <c r="C84" s="64">
        <v>53.88</v>
      </c>
      <c r="D84" s="64">
        <v>34.909999999999997</v>
      </c>
      <c r="E84" s="64">
        <v>0.04</v>
      </c>
      <c r="F84" s="64">
        <v>3.37</v>
      </c>
      <c r="G84" s="64">
        <v>42.15</v>
      </c>
      <c r="H84" s="64">
        <v>15.26</v>
      </c>
      <c r="I84" s="64">
        <v>1.53</v>
      </c>
      <c r="J84" s="64">
        <v>0.92</v>
      </c>
      <c r="K84" s="64">
        <v>341.42</v>
      </c>
      <c r="L84" s="64">
        <v>23.3</v>
      </c>
      <c r="M84" s="64">
        <v>40.06</v>
      </c>
      <c r="N84" s="64">
        <v>14.8</v>
      </c>
      <c r="O84" s="64">
        <v>0</v>
      </c>
      <c r="P84" s="64">
        <v>0.52</v>
      </c>
      <c r="Q84" s="64">
        <v>5.21</v>
      </c>
      <c r="R84" s="198"/>
      <c r="S84" s="198"/>
      <c r="T84" s="198"/>
      <c r="U84" s="198"/>
    </row>
    <row r="85" spans="1:26" s="12" customFormat="1" x14ac:dyDescent="0.25">
      <c r="A85" s="213" t="s">
        <v>2339</v>
      </c>
      <c r="B85" s="64">
        <v>6.32</v>
      </c>
      <c r="C85" s="64">
        <v>54.4</v>
      </c>
      <c r="D85" s="64">
        <v>35.74</v>
      </c>
      <c r="E85" s="64">
        <v>7.0000000000000007E-2</v>
      </c>
      <c r="F85" s="64">
        <v>3.46</v>
      </c>
      <c r="G85" s="64">
        <v>42.15</v>
      </c>
      <c r="H85" s="64">
        <v>15.26</v>
      </c>
      <c r="I85" s="64">
        <v>1.45</v>
      </c>
      <c r="J85" s="64">
        <v>0.73</v>
      </c>
      <c r="K85" s="64">
        <v>347</v>
      </c>
      <c r="L85" s="64">
        <v>23.1</v>
      </c>
      <c r="M85" s="64">
        <v>40.590000000000003</v>
      </c>
      <c r="N85" s="64">
        <v>14.9</v>
      </c>
      <c r="O85" s="64">
        <v>0</v>
      </c>
      <c r="P85" s="64">
        <v>0.48</v>
      </c>
      <c r="Q85" s="64">
        <v>5.21</v>
      </c>
      <c r="R85" s="198"/>
      <c r="S85" s="198"/>
      <c r="T85" s="198"/>
      <c r="U85" s="198"/>
    </row>
    <row r="86" spans="1:26" s="12" customFormat="1" x14ac:dyDescent="0.25">
      <c r="A86" s="213" t="s">
        <v>2340</v>
      </c>
      <c r="B86" s="64">
        <v>7.44</v>
      </c>
      <c r="C86" s="64">
        <v>55.22</v>
      </c>
      <c r="D86" s="64">
        <v>37.090000000000003</v>
      </c>
      <c r="E86" s="64">
        <v>0.09</v>
      </c>
      <c r="F86" s="64">
        <v>3.26</v>
      </c>
      <c r="G86" s="64">
        <v>45.76</v>
      </c>
      <c r="H86" s="64">
        <v>14.94</v>
      </c>
      <c r="I86" s="64">
        <v>1.52</v>
      </c>
      <c r="J86" s="64">
        <v>0.49</v>
      </c>
      <c r="K86" s="64">
        <v>352.79</v>
      </c>
      <c r="L86" s="64">
        <v>23.04</v>
      </c>
      <c r="M86" s="64">
        <v>41.57</v>
      </c>
      <c r="N86" s="64">
        <v>15.1</v>
      </c>
      <c r="O86" s="64">
        <v>0</v>
      </c>
      <c r="P86" s="64">
        <v>0.55000000000000004</v>
      </c>
      <c r="Q86" s="64">
        <v>5.21</v>
      </c>
      <c r="R86" s="198"/>
      <c r="S86" s="198"/>
      <c r="T86" s="198"/>
      <c r="U86" s="198"/>
    </row>
    <row r="87" spans="1:26" s="12" customFormat="1" x14ac:dyDescent="0.25">
      <c r="A87" s="213" t="s">
        <v>2341</v>
      </c>
      <c r="B87" s="64">
        <v>9.92</v>
      </c>
      <c r="C87" s="64">
        <v>56.07</v>
      </c>
      <c r="D87" s="64">
        <v>39.549999999999997</v>
      </c>
      <c r="E87" s="64">
        <v>7.0000000000000007E-2</v>
      </c>
      <c r="F87" s="64">
        <v>3.28</v>
      </c>
      <c r="G87" s="64">
        <v>46.48</v>
      </c>
      <c r="H87" s="64">
        <v>14.94</v>
      </c>
      <c r="I87" s="64">
        <v>1.54</v>
      </c>
      <c r="J87" s="64">
        <v>0.5</v>
      </c>
      <c r="K87" s="64">
        <v>350</v>
      </c>
      <c r="L87" s="64">
        <v>22.84</v>
      </c>
      <c r="M87" s="64">
        <v>41.82</v>
      </c>
      <c r="N87" s="64">
        <v>14.8</v>
      </c>
      <c r="O87" s="64">
        <v>0</v>
      </c>
      <c r="P87" s="64">
        <v>0.63</v>
      </c>
      <c r="Q87" s="64">
        <v>5.21</v>
      </c>
      <c r="R87" s="198"/>
      <c r="S87" s="198"/>
      <c r="T87" s="198"/>
      <c r="U87" s="198"/>
    </row>
    <row r="88" spans="1:26" s="12" customFormat="1" x14ac:dyDescent="0.25">
      <c r="A88" s="213" t="s">
        <v>2342</v>
      </c>
      <c r="B88" s="64">
        <v>12.18</v>
      </c>
      <c r="C88" s="64">
        <v>56.22</v>
      </c>
      <c r="D88" s="64">
        <v>41.44</v>
      </c>
      <c r="E88" s="64">
        <v>0.04</v>
      </c>
      <c r="F88" s="64">
        <v>3.19</v>
      </c>
      <c r="G88" s="64">
        <v>46.48</v>
      </c>
      <c r="H88" s="64">
        <v>14.94</v>
      </c>
      <c r="I88" s="64">
        <v>1.52</v>
      </c>
      <c r="J88" s="64">
        <v>0.22</v>
      </c>
      <c r="K88" s="64">
        <v>13.49</v>
      </c>
      <c r="L88" s="64">
        <v>22.58</v>
      </c>
      <c r="M88" s="64">
        <v>41.59</v>
      </c>
      <c r="N88" s="64">
        <v>15.3</v>
      </c>
      <c r="O88" s="64">
        <v>0</v>
      </c>
      <c r="P88" s="64">
        <v>0.7</v>
      </c>
      <c r="Q88" s="64">
        <v>5.21</v>
      </c>
      <c r="R88" s="198"/>
      <c r="S88" s="198"/>
      <c r="T88" s="198"/>
      <c r="U88" s="198"/>
    </row>
    <row r="89" spans="1:26" s="12" customFormat="1" x14ac:dyDescent="0.25">
      <c r="A89" s="213" t="s">
        <v>2343</v>
      </c>
      <c r="B89" s="64">
        <v>13.39</v>
      </c>
      <c r="C89" s="64">
        <v>55.47</v>
      </c>
      <c r="D89" s="64">
        <v>42</v>
      </c>
      <c r="E89" s="64">
        <v>0.06</v>
      </c>
      <c r="F89" s="64">
        <v>3.4</v>
      </c>
      <c r="G89" s="64">
        <v>46.48</v>
      </c>
      <c r="H89" s="64">
        <v>14.94</v>
      </c>
      <c r="I89" s="64">
        <v>1.64</v>
      </c>
      <c r="J89" s="64">
        <v>0.4</v>
      </c>
      <c r="K89" s="64">
        <v>328.85</v>
      </c>
      <c r="L89" s="64">
        <v>22.31</v>
      </c>
      <c r="M89" s="64">
        <v>42.34</v>
      </c>
      <c r="N89" s="64">
        <v>14.7</v>
      </c>
      <c r="O89" s="64">
        <v>0</v>
      </c>
      <c r="P89" s="64">
        <v>0.73</v>
      </c>
      <c r="Q89" s="64">
        <v>5.21</v>
      </c>
      <c r="R89" s="198"/>
      <c r="S89" s="198"/>
      <c r="T89" s="198"/>
      <c r="U89" s="198"/>
    </row>
    <row r="90" spans="1:26" s="12" customFormat="1" x14ac:dyDescent="0.25">
      <c r="A90" s="213" t="s">
        <v>2344</v>
      </c>
      <c r="B90" s="64">
        <v>14.42</v>
      </c>
      <c r="C90" s="64">
        <v>55.56</v>
      </c>
      <c r="D90" s="64">
        <v>42.87</v>
      </c>
      <c r="E90" s="64">
        <v>0.09</v>
      </c>
      <c r="F90" s="64">
        <v>3.29</v>
      </c>
      <c r="G90" s="64">
        <v>54.7</v>
      </c>
      <c r="H90" s="64">
        <v>18.23</v>
      </c>
      <c r="I90" s="64">
        <v>1.47</v>
      </c>
      <c r="J90" s="64">
        <v>0.22</v>
      </c>
      <c r="K90" s="64">
        <v>343.36</v>
      </c>
      <c r="L90" s="64">
        <v>22.14</v>
      </c>
      <c r="M90" s="64">
        <v>42.75</v>
      </c>
      <c r="N90" s="64">
        <v>15.2</v>
      </c>
      <c r="O90" s="64">
        <v>0</v>
      </c>
      <c r="P90" s="64">
        <v>0.77</v>
      </c>
      <c r="Q90" s="64">
        <v>5.21</v>
      </c>
      <c r="R90" s="198"/>
      <c r="S90" s="198"/>
      <c r="T90" s="198"/>
      <c r="U90" s="198"/>
    </row>
    <row r="91" spans="1:26" s="12" customFormat="1" x14ac:dyDescent="0.25">
      <c r="A91" s="213" t="s">
        <v>2345</v>
      </c>
      <c r="B91" s="64">
        <v>15.53</v>
      </c>
      <c r="C91" s="64">
        <v>54.36</v>
      </c>
      <c r="D91" s="64">
        <v>43.1</v>
      </c>
      <c r="E91" s="64">
        <v>0.1</v>
      </c>
      <c r="F91" s="64">
        <v>3.46</v>
      </c>
      <c r="G91" s="64">
        <v>56.34</v>
      </c>
      <c r="H91" s="64">
        <v>18.23</v>
      </c>
      <c r="I91" s="64">
        <v>1.49</v>
      </c>
      <c r="J91" s="64">
        <v>0.47</v>
      </c>
      <c r="K91" s="64">
        <v>345.43</v>
      </c>
      <c r="L91" s="64">
        <v>21.76</v>
      </c>
      <c r="M91" s="64">
        <v>44.16</v>
      </c>
      <c r="N91" s="64">
        <v>14.6</v>
      </c>
      <c r="O91" s="64">
        <v>0</v>
      </c>
      <c r="P91" s="64">
        <v>0.77</v>
      </c>
      <c r="Q91" s="64">
        <v>5.21</v>
      </c>
      <c r="R91" s="198"/>
      <c r="S91" s="198"/>
      <c r="T91" s="198"/>
      <c r="U91" s="198"/>
    </row>
    <row r="92" spans="1:26" s="12" customFormat="1" x14ac:dyDescent="0.25">
      <c r="A92" s="213" t="s">
        <v>2346</v>
      </c>
      <c r="B92" s="64">
        <v>16.5</v>
      </c>
      <c r="C92" s="64">
        <v>53.81</v>
      </c>
      <c r="D92" s="64">
        <v>43.57</v>
      </c>
      <c r="E92" s="64">
        <v>0.09</v>
      </c>
      <c r="F92" s="64">
        <v>3.52</v>
      </c>
      <c r="G92" s="64">
        <v>56.34</v>
      </c>
      <c r="H92" s="64">
        <v>18.23</v>
      </c>
      <c r="I92" s="64">
        <v>1.6</v>
      </c>
      <c r="J92" s="64">
        <v>0.66</v>
      </c>
      <c r="K92" s="64">
        <v>339.51</v>
      </c>
      <c r="L92" s="64">
        <v>21.78</v>
      </c>
      <c r="M92" s="64">
        <v>43.84</v>
      </c>
      <c r="N92" s="64">
        <v>14.4</v>
      </c>
      <c r="O92" s="64">
        <v>0</v>
      </c>
      <c r="P92" s="64">
        <v>0.77</v>
      </c>
      <c r="Q92" s="64">
        <v>5.21</v>
      </c>
      <c r="R92" s="198"/>
      <c r="S92" s="198"/>
      <c r="T92" s="198"/>
      <c r="U92" s="198"/>
    </row>
    <row r="93" spans="1:26" s="12" customFormat="1" x14ac:dyDescent="0.25">
      <c r="A93" s="213" t="s">
        <v>2347</v>
      </c>
      <c r="B93" s="64">
        <v>17.149999999999999</v>
      </c>
      <c r="C93" s="64">
        <v>53.65</v>
      </c>
      <c r="D93" s="64">
        <v>44</v>
      </c>
      <c r="E93" s="64">
        <v>0.06</v>
      </c>
      <c r="F93" s="64">
        <v>3.63</v>
      </c>
      <c r="G93" s="64">
        <v>56.34</v>
      </c>
      <c r="H93" s="64">
        <v>18.23</v>
      </c>
      <c r="I93" s="64">
        <v>1.56</v>
      </c>
      <c r="J93" s="64">
        <v>0.91</v>
      </c>
      <c r="K93" s="64">
        <v>324.89999999999998</v>
      </c>
      <c r="L93" s="64">
        <v>21.7</v>
      </c>
      <c r="M93" s="64">
        <v>43.86</v>
      </c>
      <c r="N93" s="64">
        <v>14.1</v>
      </c>
      <c r="O93" s="64">
        <v>0</v>
      </c>
      <c r="P93" s="64">
        <v>0.77</v>
      </c>
      <c r="Q93" s="64">
        <v>5.21</v>
      </c>
      <c r="R93" s="198"/>
      <c r="S93" s="198"/>
      <c r="T93" s="198"/>
      <c r="U93" s="198"/>
    </row>
    <row r="94" spans="1:26" s="12" customFormat="1" x14ac:dyDescent="0.25">
      <c r="A94" s="213" t="s">
        <v>2348</v>
      </c>
      <c r="B94" s="64">
        <v>17.170000000000002</v>
      </c>
      <c r="C94" s="64">
        <v>53.37</v>
      </c>
      <c r="D94" s="64">
        <v>43.86</v>
      </c>
      <c r="E94" s="64">
        <v>0.04</v>
      </c>
      <c r="F94" s="64">
        <v>3.71</v>
      </c>
      <c r="G94" s="64">
        <v>55.23</v>
      </c>
      <c r="H94" s="64">
        <v>12.14</v>
      </c>
      <c r="I94" s="64">
        <v>1.49</v>
      </c>
      <c r="J94" s="64">
        <v>0.95</v>
      </c>
      <c r="K94" s="64">
        <v>333.82</v>
      </c>
      <c r="L94" s="64">
        <v>21.73</v>
      </c>
      <c r="M94" s="64">
        <v>43.88</v>
      </c>
      <c r="N94" s="64">
        <v>14.5</v>
      </c>
      <c r="O94" s="64">
        <v>0</v>
      </c>
      <c r="P94" s="64">
        <v>0.77</v>
      </c>
      <c r="Q94" s="64">
        <v>5.21</v>
      </c>
      <c r="R94" s="198"/>
      <c r="S94" s="198"/>
      <c r="T94" s="198"/>
      <c r="U94" s="198"/>
    </row>
    <row r="95" spans="1:26" s="12" customFormat="1" x14ac:dyDescent="0.25">
      <c r="A95" s="213" t="s">
        <v>2349</v>
      </c>
      <c r="B95" s="64">
        <v>17.23</v>
      </c>
      <c r="C95" s="64">
        <v>53.67</v>
      </c>
      <c r="D95" s="64">
        <v>44.08</v>
      </c>
      <c r="E95" s="64">
        <v>0.04</v>
      </c>
      <c r="F95" s="64">
        <v>3.62</v>
      </c>
      <c r="G95" s="64">
        <v>55.01</v>
      </c>
      <c r="H95" s="64">
        <v>12.14</v>
      </c>
      <c r="I95" s="64">
        <v>1.52</v>
      </c>
      <c r="J95" s="64">
        <v>0.78</v>
      </c>
      <c r="K95" s="64">
        <v>343.17</v>
      </c>
      <c r="L95" s="64">
        <v>21.56</v>
      </c>
      <c r="M95" s="64">
        <v>44.3</v>
      </c>
      <c r="N95" s="64">
        <v>15</v>
      </c>
      <c r="O95" s="64">
        <v>0</v>
      </c>
      <c r="P95" s="64">
        <v>0.77</v>
      </c>
      <c r="Q95" s="64">
        <v>5.21</v>
      </c>
      <c r="R95" s="198"/>
      <c r="S95" s="198"/>
      <c r="T95" s="198"/>
      <c r="U95" s="198"/>
    </row>
    <row r="96" spans="1:26" s="12" customFormat="1" x14ac:dyDescent="0.25">
      <c r="A96" s="213" t="s">
        <v>2350</v>
      </c>
      <c r="B96" s="64">
        <v>16.89</v>
      </c>
      <c r="C96" s="64">
        <v>52.77</v>
      </c>
      <c r="D96" s="64">
        <v>43.31</v>
      </c>
      <c r="E96" s="64">
        <v>7.0000000000000007E-2</v>
      </c>
      <c r="F96" s="64">
        <v>3.52</v>
      </c>
      <c r="G96" s="64">
        <v>55.01</v>
      </c>
      <c r="H96" s="64">
        <v>12.14</v>
      </c>
      <c r="I96" s="64">
        <v>1.42</v>
      </c>
      <c r="J96" s="64">
        <v>0.97</v>
      </c>
      <c r="K96" s="64">
        <v>344.91</v>
      </c>
      <c r="L96" s="64">
        <v>21.44</v>
      </c>
      <c r="M96" s="64">
        <v>45.15</v>
      </c>
      <c r="N96" s="64">
        <v>14.9</v>
      </c>
      <c r="O96" s="64">
        <v>0</v>
      </c>
      <c r="P96" s="64">
        <v>0.77</v>
      </c>
      <c r="Q96" s="64">
        <v>5.21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2351</v>
      </c>
      <c r="B97" s="64">
        <v>15.96</v>
      </c>
      <c r="C97" s="64">
        <v>53.23</v>
      </c>
      <c r="D97" s="64">
        <v>42.82</v>
      </c>
      <c r="E97" s="64">
        <v>7.0000000000000007E-2</v>
      </c>
      <c r="F97" s="64">
        <v>3.61</v>
      </c>
      <c r="G97" s="64">
        <v>55.01</v>
      </c>
      <c r="H97" s="64">
        <v>12.14</v>
      </c>
      <c r="I97" s="64">
        <v>1.42</v>
      </c>
      <c r="J97" s="64">
        <v>0.89</v>
      </c>
      <c r="K97" s="64">
        <v>332.65</v>
      </c>
      <c r="L97" s="64">
        <v>21.24</v>
      </c>
      <c r="M97" s="64">
        <v>45.72</v>
      </c>
      <c r="N97" s="64">
        <v>14.8</v>
      </c>
      <c r="O97" s="64">
        <v>0</v>
      </c>
      <c r="P97" s="64">
        <v>0.77</v>
      </c>
      <c r="Q97" s="64">
        <v>5.21</v>
      </c>
      <c r="R97" s="198"/>
      <c r="S97" s="198"/>
      <c r="T97" s="198"/>
      <c r="U97" s="198"/>
    </row>
    <row r="98" spans="1:33" s="12" customFormat="1" x14ac:dyDescent="0.25">
      <c r="A98" s="213" t="s">
        <v>2352</v>
      </c>
      <c r="B98" s="64">
        <v>15.17</v>
      </c>
      <c r="C98" s="64">
        <v>53.53</v>
      </c>
      <c r="D98" s="64">
        <v>42.36</v>
      </c>
      <c r="E98" s="64">
        <v>0.09</v>
      </c>
      <c r="F98" s="64">
        <v>3.75</v>
      </c>
      <c r="G98" s="64">
        <v>51.49</v>
      </c>
      <c r="H98" s="64">
        <v>15.26</v>
      </c>
      <c r="I98" s="64">
        <v>1.58</v>
      </c>
      <c r="J98" s="64">
        <v>0.75</v>
      </c>
      <c r="K98" s="64">
        <v>334.37</v>
      </c>
      <c r="L98" s="64">
        <v>21.07</v>
      </c>
      <c r="M98" s="64">
        <v>46.34</v>
      </c>
      <c r="N98" s="64">
        <v>14.9</v>
      </c>
      <c r="O98" s="64">
        <v>0</v>
      </c>
      <c r="P98" s="64">
        <v>0.76</v>
      </c>
      <c r="Q98" s="64">
        <v>5.21</v>
      </c>
      <c r="R98" s="198"/>
      <c r="S98" s="198"/>
      <c r="T98" s="198"/>
      <c r="U98" s="198"/>
    </row>
    <row r="99" spans="1:33" s="12" customFormat="1" x14ac:dyDescent="0.25">
      <c r="A99" s="213" t="s">
        <v>2353</v>
      </c>
      <c r="B99" s="64">
        <v>14.92</v>
      </c>
      <c r="C99" s="64">
        <v>53.83</v>
      </c>
      <c r="D99" s="64">
        <v>42.32</v>
      </c>
      <c r="E99" s="64">
        <v>0.06</v>
      </c>
      <c r="F99" s="64">
        <v>3.49</v>
      </c>
      <c r="G99" s="64">
        <v>50.79</v>
      </c>
      <c r="H99" s="64">
        <v>15.26</v>
      </c>
      <c r="I99" s="64">
        <v>1.48</v>
      </c>
      <c r="J99" s="64">
        <v>0.51</v>
      </c>
      <c r="K99" s="64">
        <v>333.02</v>
      </c>
      <c r="L99" s="64">
        <v>20.88</v>
      </c>
      <c r="M99" s="64">
        <v>46.75</v>
      </c>
      <c r="N99" s="64">
        <v>14.9</v>
      </c>
      <c r="O99" s="64">
        <v>0</v>
      </c>
      <c r="P99" s="64">
        <v>0.76</v>
      </c>
      <c r="Q99" s="64">
        <v>5.21</v>
      </c>
      <c r="R99" s="198"/>
      <c r="S99" s="198"/>
      <c r="T99" s="198"/>
      <c r="U99" s="198"/>
    </row>
    <row r="100" spans="1:33" s="12" customFormat="1" x14ac:dyDescent="0.25">
      <c r="A100" s="213" t="s">
        <v>2354</v>
      </c>
      <c r="B100" s="64">
        <v>14.52</v>
      </c>
      <c r="C100" s="64">
        <v>54.01</v>
      </c>
      <c r="D100" s="64">
        <v>42.1</v>
      </c>
      <c r="E100" s="64">
        <v>0.09</v>
      </c>
      <c r="F100" s="64">
        <v>3.51</v>
      </c>
      <c r="G100" s="64">
        <v>50.79</v>
      </c>
      <c r="H100" s="64">
        <v>15.26</v>
      </c>
      <c r="I100" s="64">
        <v>1.58</v>
      </c>
      <c r="J100" s="64">
        <v>1.29</v>
      </c>
      <c r="K100" s="64">
        <v>332.24</v>
      </c>
      <c r="L100" s="64">
        <v>20.87</v>
      </c>
      <c r="M100" s="64">
        <v>46.52</v>
      </c>
      <c r="N100" s="64">
        <v>13.8</v>
      </c>
      <c r="O100" s="64">
        <v>0</v>
      </c>
      <c r="P100" s="64">
        <v>0.74</v>
      </c>
      <c r="Q100" s="64">
        <v>5.21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2355</v>
      </c>
      <c r="B101" s="64">
        <v>13.08</v>
      </c>
      <c r="C101" s="64">
        <v>53.99</v>
      </c>
      <c r="D101" s="64">
        <v>40.93</v>
      </c>
      <c r="E101" s="64">
        <v>0.05</v>
      </c>
      <c r="F101" s="64">
        <v>3.68</v>
      </c>
      <c r="G101" s="64">
        <v>50.79</v>
      </c>
      <c r="H101" s="64">
        <v>15.26</v>
      </c>
      <c r="I101" s="64">
        <v>1.45</v>
      </c>
      <c r="J101" s="64">
        <v>1.45</v>
      </c>
      <c r="K101" s="64">
        <v>336.63</v>
      </c>
      <c r="L101" s="64">
        <v>21.18</v>
      </c>
      <c r="M101" s="64">
        <v>44.11</v>
      </c>
      <c r="N101" s="64">
        <v>14.6</v>
      </c>
      <c r="O101" s="64">
        <v>0</v>
      </c>
      <c r="P101" s="64">
        <v>0.71</v>
      </c>
      <c r="Q101" s="64">
        <v>5.21</v>
      </c>
      <c r="R101" s="198"/>
      <c r="S101" s="198"/>
      <c r="T101" s="198"/>
      <c r="U101" s="198"/>
    </row>
    <row r="102" spans="1:33" s="12" customFormat="1" x14ac:dyDescent="0.25">
      <c r="A102" s="213" t="s">
        <v>2356</v>
      </c>
      <c r="B102" s="64">
        <v>11.39</v>
      </c>
      <c r="C102" s="64">
        <v>54.54</v>
      </c>
      <c r="D102" s="64">
        <v>39.880000000000003</v>
      </c>
      <c r="E102" s="64">
        <v>7.0000000000000007E-2</v>
      </c>
      <c r="F102" s="64">
        <v>3.41</v>
      </c>
      <c r="G102" s="64">
        <v>51.98</v>
      </c>
      <c r="H102" s="64">
        <v>17.25</v>
      </c>
      <c r="I102" s="64">
        <v>1.49</v>
      </c>
      <c r="J102" s="64">
        <v>1.1499999999999999</v>
      </c>
      <c r="K102" s="64">
        <v>337.72</v>
      </c>
      <c r="L102" s="64">
        <v>20.89</v>
      </c>
      <c r="M102" s="64">
        <v>43.53</v>
      </c>
      <c r="N102" s="64">
        <v>15.1</v>
      </c>
      <c r="O102" s="64">
        <v>0</v>
      </c>
      <c r="P102" s="64">
        <v>0.7</v>
      </c>
      <c r="Q102" s="64">
        <v>5.21</v>
      </c>
      <c r="R102" s="198"/>
      <c r="S102" s="198"/>
      <c r="T102" s="198"/>
      <c r="U102" s="198"/>
    </row>
    <row r="103" spans="1:33" s="12" customFormat="1" x14ac:dyDescent="0.25">
      <c r="A103" s="213" t="s">
        <v>2357</v>
      </c>
      <c r="B103" s="64">
        <v>10.5</v>
      </c>
      <c r="C103" s="64">
        <v>54.56</v>
      </c>
      <c r="D103" s="64">
        <v>39.18</v>
      </c>
      <c r="E103" s="64">
        <v>0.11</v>
      </c>
      <c r="F103" s="64">
        <v>3.51</v>
      </c>
      <c r="G103" s="64">
        <v>52.22</v>
      </c>
      <c r="H103" s="64">
        <v>17.25</v>
      </c>
      <c r="I103" s="64">
        <v>1.44</v>
      </c>
      <c r="J103" s="64">
        <v>1.24</v>
      </c>
      <c r="K103" s="64">
        <v>340.94</v>
      </c>
      <c r="L103" s="64">
        <v>20.63</v>
      </c>
      <c r="M103" s="64">
        <v>43.15</v>
      </c>
      <c r="N103" s="64">
        <v>15</v>
      </c>
      <c r="O103" s="64">
        <v>0</v>
      </c>
      <c r="P103" s="64">
        <v>0.68</v>
      </c>
      <c r="Q103" s="64">
        <v>5.21</v>
      </c>
      <c r="R103" s="198"/>
      <c r="S103" s="198"/>
      <c r="T103" s="198"/>
      <c r="U103" s="198"/>
    </row>
    <row r="104" spans="1:33" s="12" customFormat="1" x14ac:dyDescent="0.25">
      <c r="A104" s="213" t="s">
        <v>2358</v>
      </c>
      <c r="B104" s="64">
        <v>10.050000000000001</v>
      </c>
      <c r="C104" s="64">
        <v>54.99</v>
      </c>
      <c r="D104" s="64">
        <v>39.049999999999997</v>
      </c>
      <c r="E104" s="64">
        <v>7.0000000000000007E-2</v>
      </c>
      <c r="F104" s="64">
        <v>3.37</v>
      </c>
      <c r="G104" s="64">
        <v>52.22</v>
      </c>
      <c r="H104" s="64">
        <v>17.25</v>
      </c>
      <c r="I104" s="64">
        <v>1.49</v>
      </c>
      <c r="J104" s="64">
        <v>1.1599999999999999</v>
      </c>
      <c r="K104" s="64">
        <v>336.84</v>
      </c>
      <c r="L104" s="64">
        <v>20.399999999999999</v>
      </c>
      <c r="M104" s="64">
        <v>43.9</v>
      </c>
      <c r="N104" s="64">
        <v>15</v>
      </c>
      <c r="O104" s="64">
        <v>0</v>
      </c>
      <c r="P104" s="64">
        <v>0.68</v>
      </c>
      <c r="Q104" s="64">
        <v>5.21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1.17</v>
      </c>
      <c r="C106" s="67">
        <f>MIN(C9:C104)</f>
        <v>41.84</v>
      </c>
      <c r="D106" s="67">
        <f t="shared" ref="D106:Q106" si="0">MIN(D9:D104)</f>
        <v>24.67</v>
      </c>
      <c r="E106" s="67">
        <f t="shared" si="0"/>
        <v>0</v>
      </c>
      <c r="F106" s="67">
        <f t="shared" si="0"/>
        <v>2.9</v>
      </c>
      <c r="G106" s="67">
        <f t="shared" si="0"/>
        <v>26.91</v>
      </c>
      <c r="H106" s="67">
        <f t="shared" si="0"/>
        <v>11.43</v>
      </c>
      <c r="I106" s="67">
        <f t="shared" si="0"/>
        <v>1.41</v>
      </c>
      <c r="J106" s="67">
        <f t="shared" si="0"/>
        <v>0.02</v>
      </c>
      <c r="K106" s="67">
        <f t="shared" si="0"/>
        <v>5.21</v>
      </c>
      <c r="L106" s="67">
        <f t="shared" si="0"/>
        <v>17.39</v>
      </c>
      <c r="M106" s="67">
        <f t="shared" si="0"/>
        <v>23.13</v>
      </c>
      <c r="N106" s="67">
        <f t="shared" si="0"/>
        <v>13.8</v>
      </c>
      <c r="O106" s="67">
        <f t="shared" si="0"/>
        <v>0</v>
      </c>
      <c r="P106" s="67">
        <f t="shared" si="0"/>
        <v>0.3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40.03</v>
      </c>
      <c r="C107" s="66">
        <f t="shared" ref="C107:Q107" si="1">MAX(C9:C104)</f>
        <v>56.22</v>
      </c>
      <c r="D107" s="66">
        <f t="shared" si="1"/>
        <v>61.89</v>
      </c>
      <c r="E107" s="66">
        <f t="shared" si="1"/>
        <v>0.55000000000000004</v>
      </c>
      <c r="F107" s="66">
        <f t="shared" si="1"/>
        <v>14.76</v>
      </c>
      <c r="G107" s="66">
        <f t="shared" si="1"/>
        <v>61.98</v>
      </c>
      <c r="H107" s="66">
        <f t="shared" si="1"/>
        <v>22.65</v>
      </c>
      <c r="I107" s="66">
        <f t="shared" si="1"/>
        <v>1.64</v>
      </c>
      <c r="J107" s="66">
        <f t="shared" si="1"/>
        <v>1.45</v>
      </c>
      <c r="K107" s="66">
        <f t="shared" si="1"/>
        <v>355.9</v>
      </c>
      <c r="L107" s="66">
        <f t="shared" si="1"/>
        <v>33.29</v>
      </c>
      <c r="M107" s="66">
        <f t="shared" si="1"/>
        <v>81.86</v>
      </c>
      <c r="N107" s="66">
        <f t="shared" si="1"/>
        <v>889.9</v>
      </c>
      <c r="O107" s="66">
        <f t="shared" si="1"/>
        <v>0</v>
      </c>
      <c r="P107" s="66">
        <f t="shared" si="1"/>
        <v>1.01</v>
      </c>
      <c r="Q107" s="66">
        <f t="shared" si="1"/>
        <v>7.36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10.2690625</v>
      </c>
      <c r="C108" s="67">
        <f t="shared" ref="C108:Q108" si="2">AVERAGE(C9:C104)</f>
        <v>49.240208333333328</v>
      </c>
      <c r="D108" s="67">
        <f t="shared" si="2"/>
        <v>36.055833333333354</v>
      </c>
      <c r="E108" s="67">
        <f t="shared" si="2"/>
        <v>0.11333333333333324</v>
      </c>
      <c r="F108" s="67">
        <f t="shared" si="2"/>
        <v>4.7180208333333331</v>
      </c>
      <c r="G108" s="67">
        <f t="shared" si="2"/>
        <v>40.496145833333323</v>
      </c>
      <c r="H108" s="67">
        <f t="shared" si="2"/>
        <v>14.832916666666669</v>
      </c>
      <c r="I108" s="67">
        <f t="shared" si="2"/>
        <v>1.5023958333333329</v>
      </c>
      <c r="J108" s="67">
        <f t="shared" si="2"/>
        <v>0.52041666666666653</v>
      </c>
      <c r="K108" s="67">
        <f t="shared" si="2"/>
        <v>287.00281250000006</v>
      </c>
      <c r="L108" s="67">
        <f t="shared" si="2"/>
        <v>24.489374999999999</v>
      </c>
      <c r="M108" s="67">
        <f t="shared" si="2"/>
        <v>45.150833333333331</v>
      </c>
      <c r="N108" s="67">
        <f t="shared" si="2"/>
        <v>236.79166666666666</v>
      </c>
      <c r="O108" s="67">
        <f t="shared" si="2"/>
        <v>0</v>
      </c>
      <c r="P108" s="67">
        <f t="shared" si="2"/>
        <v>0.53562500000000035</v>
      </c>
      <c r="Q108" s="67">
        <f t="shared" si="2"/>
        <v>5.2958333333333245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8.5079990941187997</v>
      </c>
      <c r="C109" s="67">
        <f t="shared" ref="C109:Q109" si="3">STDEV(C9:C104)</f>
        <v>3.4944696093795402</v>
      </c>
      <c r="D109" s="67">
        <f t="shared" si="3"/>
        <v>7.4935116729728692</v>
      </c>
      <c r="E109" s="67">
        <f t="shared" si="3"/>
        <v>9.0293867212232981E-2</v>
      </c>
      <c r="F109" s="67">
        <f t="shared" si="3"/>
        <v>2.3845443655215037</v>
      </c>
      <c r="G109" s="67">
        <f t="shared" si="3"/>
        <v>8.4607744288808604</v>
      </c>
      <c r="H109" s="67">
        <f t="shared" si="3"/>
        <v>2.1326573079101401</v>
      </c>
      <c r="I109" s="67">
        <f t="shared" si="3"/>
        <v>4.4879834685563544E-2</v>
      </c>
      <c r="J109" s="67">
        <f t="shared" si="3"/>
        <v>0.38167474901424614</v>
      </c>
      <c r="K109" s="67">
        <f t="shared" si="3"/>
        <v>87.136694387890728</v>
      </c>
      <c r="L109" s="67">
        <f t="shared" si="3"/>
        <v>5.0624634761515575</v>
      </c>
      <c r="M109" s="67">
        <f t="shared" si="3"/>
        <v>18.143474550700866</v>
      </c>
      <c r="N109" s="67">
        <f t="shared" si="3"/>
        <v>314.17039314649708</v>
      </c>
      <c r="O109" s="67">
        <f t="shared" si="3"/>
        <v>0</v>
      </c>
      <c r="P109" s="67">
        <f t="shared" si="3"/>
        <v>0.18440123586753243</v>
      </c>
      <c r="Q109" s="67">
        <f t="shared" si="3"/>
        <v>0.3840550033706564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2359</v>
      </c>
      <c r="B9" s="64">
        <v>9.6</v>
      </c>
      <c r="C9" s="64">
        <v>54.42</v>
      </c>
      <c r="D9" s="64">
        <v>38.380000000000003</v>
      </c>
      <c r="E9" s="64">
        <v>0.11</v>
      </c>
      <c r="F9" s="64">
        <v>3.48</v>
      </c>
      <c r="G9" s="64">
        <v>52.22</v>
      </c>
      <c r="H9" s="64">
        <v>17.25</v>
      </c>
      <c r="I9" s="64">
        <v>1.49</v>
      </c>
      <c r="J9" s="64">
        <v>1.1599999999999999</v>
      </c>
      <c r="K9" s="64">
        <v>336.67</v>
      </c>
      <c r="L9" s="64">
        <v>20.149999999999999</v>
      </c>
      <c r="M9" s="64">
        <v>44.39</v>
      </c>
      <c r="N9" s="64">
        <v>15</v>
      </c>
      <c r="O9" s="64">
        <v>0</v>
      </c>
      <c r="P9" s="64">
        <v>0.68</v>
      </c>
      <c r="Q9" s="64">
        <v>5.21</v>
      </c>
      <c r="S9" s="198"/>
      <c r="T9" s="198"/>
      <c r="U9" s="198"/>
    </row>
    <row r="10" spans="1:21" s="12" customFormat="1" x14ac:dyDescent="0.25">
      <c r="A10" s="213" t="s">
        <v>2360</v>
      </c>
      <c r="B10" s="64">
        <v>9.07</v>
      </c>
      <c r="C10" s="64">
        <v>53.29</v>
      </c>
      <c r="D10" s="64">
        <v>37.32</v>
      </c>
      <c r="E10" s="64">
        <v>0.14000000000000001</v>
      </c>
      <c r="F10" s="64">
        <v>3.45</v>
      </c>
      <c r="G10" s="64">
        <v>64.540000000000006</v>
      </c>
      <c r="H10" s="64">
        <v>23.13</v>
      </c>
      <c r="I10" s="64">
        <v>1.55</v>
      </c>
      <c r="J10" s="64">
        <v>0.98</v>
      </c>
      <c r="K10" s="64">
        <v>332.37</v>
      </c>
      <c r="L10" s="64">
        <v>19.920000000000002</v>
      </c>
      <c r="M10" s="64">
        <v>45.05</v>
      </c>
      <c r="N10" s="64">
        <v>15.1</v>
      </c>
      <c r="O10" s="64">
        <v>0</v>
      </c>
      <c r="P10" s="64">
        <v>0.68</v>
      </c>
      <c r="Q10" s="64">
        <v>5.21</v>
      </c>
      <c r="S10" s="198"/>
      <c r="T10" s="198"/>
      <c r="U10" s="198"/>
    </row>
    <row r="11" spans="1:21" s="12" customFormat="1" x14ac:dyDescent="0.25">
      <c r="A11" s="213" t="s">
        <v>2361</v>
      </c>
      <c r="B11" s="64">
        <v>8.93</v>
      </c>
      <c r="C11" s="64">
        <v>50.35</v>
      </c>
      <c r="D11" s="64">
        <v>35.590000000000003</v>
      </c>
      <c r="E11" s="64">
        <v>0.13</v>
      </c>
      <c r="F11" s="64">
        <v>3.41</v>
      </c>
      <c r="G11" s="64">
        <v>67</v>
      </c>
      <c r="H11" s="64">
        <v>23.13</v>
      </c>
      <c r="I11" s="64">
        <v>1.49</v>
      </c>
      <c r="J11" s="64">
        <v>1.31</v>
      </c>
      <c r="K11" s="64">
        <v>347.26</v>
      </c>
      <c r="L11" s="64">
        <v>19.87</v>
      </c>
      <c r="M11" s="64">
        <v>44.2</v>
      </c>
      <c r="N11" s="64">
        <v>14.5</v>
      </c>
      <c r="O11" s="64">
        <v>0</v>
      </c>
      <c r="P11" s="64">
        <v>0.68</v>
      </c>
      <c r="Q11" s="64">
        <v>5.21</v>
      </c>
      <c r="S11" s="198"/>
      <c r="T11" s="198"/>
      <c r="U11" s="198"/>
    </row>
    <row r="12" spans="1:21" s="12" customFormat="1" x14ac:dyDescent="0.25">
      <c r="A12" s="213" t="s">
        <v>2362</v>
      </c>
      <c r="B12" s="64">
        <v>8.93</v>
      </c>
      <c r="C12" s="64">
        <v>50.9</v>
      </c>
      <c r="D12" s="64">
        <v>35.9</v>
      </c>
      <c r="E12" s="64">
        <v>0.09</v>
      </c>
      <c r="F12" s="64">
        <v>3.41</v>
      </c>
      <c r="G12" s="64">
        <v>67</v>
      </c>
      <c r="H12" s="64">
        <v>23.13</v>
      </c>
      <c r="I12" s="64">
        <v>1.54</v>
      </c>
      <c r="J12" s="64">
        <v>1.48</v>
      </c>
      <c r="K12" s="64">
        <v>353.51</v>
      </c>
      <c r="L12" s="64">
        <v>20.059999999999999</v>
      </c>
      <c r="M12" s="64">
        <v>41.44</v>
      </c>
      <c r="N12" s="64">
        <v>14.6</v>
      </c>
      <c r="O12" s="64">
        <v>0</v>
      </c>
      <c r="P12" s="64">
        <v>0.66</v>
      </c>
      <c r="Q12" s="64">
        <v>5.21</v>
      </c>
      <c r="S12" s="198"/>
      <c r="T12" s="198"/>
      <c r="U12" s="198"/>
    </row>
    <row r="13" spans="1:21" s="12" customFormat="1" x14ac:dyDescent="0.25">
      <c r="A13" s="213" t="s">
        <v>2363</v>
      </c>
      <c r="B13" s="64">
        <v>8.83</v>
      </c>
      <c r="C13" s="64">
        <v>51.79</v>
      </c>
      <c r="D13" s="64">
        <v>36.31</v>
      </c>
      <c r="E13" s="64">
        <v>0.16</v>
      </c>
      <c r="F13" s="64">
        <v>3.41</v>
      </c>
      <c r="G13" s="64">
        <v>67</v>
      </c>
      <c r="H13" s="64">
        <v>23.13</v>
      </c>
      <c r="I13" s="64">
        <v>1.49</v>
      </c>
      <c r="J13" s="64">
        <v>1.5</v>
      </c>
      <c r="K13" s="64">
        <v>353.55</v>
      </c>
      <c r="L13" s="64">
        <v>20.100000000000001</v>
      </c>
      <c r="M13" s="64">
        <v>40.58</v>
      </c>
      <c r="N13" s="64">
        <v>15.1</v>
      </c>
      <c r="O13" s="64">
        <v>0</v>
      </c>
      <c r="P13" s="64">
        <v>0.62</v>
      </c>
      <c r="Q13" s="64">
        <v>5.21</v>
      </c>
      <c r="S13" s="198"/>
      <c r="T13" s="198"/>
      <c r="U13" s="198"/>
    </row>
    <row r="14" spans="1:21" s="12" customFormat="1" x14ac:dyDescent="0.25">
      <c r="A14" s="213" t="s">
        <v>2364</v>
      </c>
      <c r="B14" s="64">
        <v>8.3800000000000008</v>
      </c>
      <c r="C14" s="64">
        <v>51.88</v>
      </c>
      <c r="D14" s="64">
        <v>36</v>
      </c>
      <c r="E14" s="64">
        <v>0.16</v>
      </c>
      <c r="F14" s="64">
        <v>3.5</v>
      </c>
      <c r="G14" s="64">
        <v>70.05</v>
      </c>
      <c r="H14" s="64">
        <v>20.81</v>
      </c>
      <c r="I14" s="64">
        <v>1.54</v>
      </c>
      <c r="J14" s="64">
        <v>0.85</v>
      </c>
      <c r="K14" s="64">
        <v>352.88</v>
      </c>
      <c r="L14" s="64">
        <v>19.82</v>
      </c>
      <c r="M14" s="64">
        <v>43.37</v>
      </c>
      <c r="N14" s="64">
        <v>15.4</v>
      </c>
      <c r="O14" s="64">
        <v>0</v>
      </c>
      <c r="P14" s="64">
        <v>0.6</v>
      </c>
      <c r="Q14" s="64">
        <v>5.21</v>
      </c>
      <c r="S14" s="198"/>
      <c r="T14" s="198"/>
      <c r="U14" s="198"/>
    </row>
    <row r="15" spans="1:21" s="12" customFormat="1" x14ac:dyDescent="0.25">
      <c r="A15" s="213" t="s">
        <v>2365</v>
      </c>
      <c r="B15" s="64">
        <v>8.09</v>
      </c>
      <c r="C15" s="64">
        <v>51.02</v>
      </c>
      <c r="D15" s="64">
        <v>35.29</v>
      </c>
      <c r="E15" s="64">
        <v>0.14000000000000001</v>
      </c>
      <c r="F15" s="64">
        <v>3.57</v>
      </c>
      <c r="G15" s="64">
        <v>70.66</v>
      </c>
      <c r="H15" s="64">
        <v>20.81</v>
      </c>
      <c r="I15" s="64">
        <v>1.58</v>
      </c>
      <c r="J15" s="64">
        <v>1.26</v>
      </c>
      <c r="K15" s="64">
        <v>352.9</v>
      </c>
      <c r="L15" s="64">
        <v>19.829999999999998</v>
      </c>
      <c r="M15" s="64">
        <v>44.35</v>
      </c>
      <c r="N15" s="64">
        <v>15.1</v>
      </c>
      <c r="O15" s="64">
        <v>0</v>
      </c>
      <c r="P15" s="64">
        <v>0.59</v>
      </c>
      <c r="Q15" s="64">
        <v>5.21</v>
      </c>
      <c r="S15" s="198"/>
      <c r="T15" s="198"/>
      <c r="U15" s="198"/>
    </row>
    <row r="16" spans="1:21" s="12" customFormat="1" x14ac:dyDescent="0.25">
      <c r="A16" s="213" t="s">
        <v>2366</v>
      </c>
      <c r="B16" s="64">
        <v>7.99</v>
      </c>
      <c r="C16" s="64">
        <v>51.31</v>
      </c>
      <c r="D16" s="64">
        <v>35.369999999999997</v>
      </c>
      <c r="E16" s="64">
        <v>0.17</v>
      </c>
      <c r="F16" s="64">
        <v>3.45</v>
      </c>
      <c r="G16" s="64">
        <v>70.66</v>
      </c>
      <c r="H16" s="64">
        <v>20.81</v>
      </c>
      <c r="I16" s="64">
        <v>1.56</v>
      </c>
      <c r="J16" s="64">
        <v>0.81</v>
      </c>
      <c r="K16" s="64">
        <v>351.67</v>
      </c>
      <c r="L16" s="64">
        <v>19.61</v>
      </c>
      <c r="M16" s="64">
        <v>47.19</v>
      </c>
      <c r="N16" s="64">
        <v>15.7</v>
      </c>
      <c r="O16" s="64">
        <v>0</v>
      </c>
      <c r="P16" s="64">
        <v>0.57999999999999996</v>
      </c>
      <c r="Q16" s="64">
        <v>5.21</v>
      </c>
      <c r="S16" s="198"/>
      <c r="T16" s="198"/>
      <c r="U16" s="198"/>
    </row>
    <row r="17" spans="1:21" s="12" customFormat="1" x14ac:dyDescent="0.25">
      <c r="A17" s="213" t="s">
        <v>2367</v>
      </c>
      <c r="B17" s="64">
        <v>8.35</v>
      </c>
      <c r="C17" s="64">
        <v>50.92</v>
      </c>
      <c r="D17" s="64">
        <v>35.44</v>
      </c>
      <c r="E17" s="64">
        <v>0.1</v>
      </c>
      <c r="F17" s="64">
        <v>3.46</v>
      </c>
      <c r="G17" s="64">
        <v>70.66</v>
      </c>
      <c r="H17" s="64">
        <v>20.81</v>
      </c>
      <c r="I17" s="64">
        <v>1.53</v>
      </c>
      <c r="J17" s="64">
        <v>0.89</v>
      </c>
      <c r="K17" s="64">
        <v>348.98</v>
      </c>
      <c r="L17" s="64">
        <v>19.28</v>
      </c>
      <c r="M17" s="64">
        <v>50.06</v>
      </c>
      <c r="N17" s="64">
        <v>15.4</v>
      </c>
      <c r="O17" s="64">
        <v>0</v>
      </c>
      <c r="P17" s="64">
        <v>0.57999999999999996</v>
      </c>
      <c r="Q17" s="64">
        <v>5.21</v>
      </c>
      <c r="S17" s="198"/>
      <c r="T17" s="198"/>
      <c r="U17" s="198"/>
    </row>
    <row r="18" spans="1:21" s="12" customFormat="1" x14ac:dyDescent="0.25">
      <c r="A18" s="213" t="s">
        <v>2368</v>
      </c>
      <c r="B18" s="64">
        <v>8.7799999999999994</v>
      </c>
      <c r="C18" s="64">
        <v>51.05</v>
      </c>
      <c r="D18" s="64">
        <v>35.86</v>
      </c>
      <c r="E18" s="64">
        <v>0.17</v>
      </c>
      <c r="F18" s="64">
        <v>3.49</v>
      </c>
      <c r="G18" s="64">
        <v>77.88</v>
      </c>
      <c r="H18" s="64">
        <v>24.32</v>
      </c>
      <c r="I18" s="64">
        <v>1.51</v>
      </c>
      <c r="J18" s="64">
        <v>1.23</v>
      </c>
      <c r="K18" s="64">
        <v>350.89</v>
      </c>
      <c r="L18" s="64">
        <v>19.010000000000002</v>
      </c>
      <c r="M18" s="64">
        <v>52.74</v>
      </c>
      <c r="N18" s="64">
        <v>15.5</v>
      </c>
      <c r="O18" s="64">
        <v>0</v>
      </c>
      <c r="P18" s="64">
        <v>0.57999999999999996</v>
      </c>
      <c r="Q18" s="64">
        <v>5.21</v>
      </c>
      <c r="S18" s="198"/>
      <c r="T18" s="198"/>
      <c r="U18" s="198"/>
    </row>
    <row r="19" spans="1:21" s="12" customFormat="1" x14ac:dyDescent="0.25">
      <c r="A19" s="213" t="s">
        <v>2369</v>
      </c>
      <c r="B19" s="64">
        <v>9.25</v>
      </c>
      <c r="C19" s="64">
        <v>51.59</v>
      </c>
      <c r="D19" s="64">
        <v>36.53</v>
      </c>
      <c r="E19" s="64">
        <v>0.22</v>
      </c>
      <c r="F19" s="64">
        <v>3.43</v>
      </c>
      <c r="G19" s="64">
        <v>79.33</v>
      </c>
      <c r="H19" s="64">
        <v>24.32</v>
      </c>
      <c r="I19" s="64">
        <v>1.45</v>
      </c>
      <c r="J19" s="64">
        <v>1.1499999999999999</v>
      </c>
      <c r="K19" s="64">
        <v>351.22</v>
      </c>
      <c r="L19" s="64">
        <v>18.7</v>
      </c>
      <c r="M19" s="64">
        <v>55.02</v>
      </c>
      <c r="N19" s="64">
        <v>15.5</v>
      </c>
      <c r="O19" s="64">
        <v>0</v>
      </c>
      <c r="P19" s="64">
        <v>0.55000000000000004</v>
      </c>
      <c r="Q19" s="64">
        <v>5.21</v>
      </c>
      <c r="S19" s="198"/>
      <c r="T19" s="198"/>
      <c r="U19" s="198"/>
    </row>
    <row r="20" spans="1:21" s="12" customFormat="1" x14ac:dyDescent="0.25">
      <c r="A20" s="213" t="s">
        <v>2370</v>
      </c>
      <c r="B20" s="64">
        <v>9.42</v>
      </c>
      <c r="C20" s="64">
        <v>51.62</v>
      </c>
      <c r="D20" s="64">
        <v>36.68</v>
      </c>
      <c r="E20" s="64">
        <v>0.2</v>
      </c>
      <c r="F20" s="64">
        <v>3.47</v>
      </c>
      <c r="G20" s="64">
        <v>79.33</v>
      </c>
      <c r="H20" s="64">
        <v>24.32</v>
      </c>
      <c r="I20" s="64">
        <v>1.5</v>
      </c>
      <c r="J20" s="64">
        <v>1.25</v>
      </c>
      <c r="K20" s="64">
        <v>352.53</v>
      </c>
      <c r="L20" s="64">
        <v>18.45</v>
      </c>
      <c r="M20" s="64">
        <v>56.83</v>
      </c>
      <c r="N20" s="64">
        <v>15.5</v>
      </c>
      <c r="O20" s="64">
        <v>0</v>
      </c>
      <c r="P20" s="64">
        <v>0.53</v>
      </c>
      <c r="Q20" s="64">
        <v>5.21</v>
      </c>
      <c r="S20" s="198"/>
      <c r="T20" s="198"/>
      <c r="U20" s="198"/>
    </row>
    <row r="21" spans="1:21" s="12" customFormat="1" x14ac:dyDescent="0.25">
      <c r="A21" s="213" t="s">
        <v>2371</v>
      </c>
      <c r="B21" s="64">
        <v>8.8699999999999992</v>
      </c>
      <c r="C21" s="64">
        <v>51.05</v>
      </c>
      <c r="D21" s="64">
        <v>35.93</v>
      </c>
      <c r="E21" s="64">
        <v>0.21</v>
      </c>
      <c r="F21" s="64">
        <v>3.49</v>
      </c>
      <c r="G21" s="64">
        <v>79.33</v>
      </c>
      <c r="H21" s="64">
        <v>24.32</v>
      </c>
      <c r="I21" s="64">
        <v>1.45</v>
      </c>
      <c r="J21" s="64">
        <v>1.1000000000000001</v>
      </c>
      <c r="K21" s="64">
        <v>352.19</v>
      </c>
      <c r="L21" s="64">
        <v>18.239999999999998</v>
      </c>
      <c r="M21" s="64">
        <v>58.58</v>
      </c>
      <c r="N21" s="64">
        <v>15.5</v>
      </c>
      <c r="O21" s="64">
        <v>0</v>
      </c>
      <c r="P21" s="64">
        <v>0.51</v>
      </c>
      <c r="Q21" s="64">
        <v>5.21</v>
      </c>
      <c r="S21" s="198"/>
      <c r="T21" s="198"/>
      <c r="U21" s="198"/>
    </row>
    <row r="22" spans="1:21" s="12" customFormat="1" x14ac:dyDescent="0.25">
      <c r="A22" s="213" t="s">
        <v>2372</v>
      </c>
      <c r="B22" s="64">
        <v>8.27</v>
      </c>
      <c r="C22" s="64">
        <v>50.72</v>
      </c>
      <c r="D22" s="64">
        <v>35.270000000000003</v>
      </c>
      <c r="E22" s="64">
        <v>0.09</v>
      </c>
      <c r="F22" s="64">
        <v>3.35</v>
      </c>
      <c r="G22" s="64">
        <v>67.900000000000006</v>
      </c>
      <c r="H22" s="64">
        <v>21.88</v>
      </c>
      <c r="I22" s="64">
        <v>1.47</v>
      </c>
      <c r="J22" s="64">
        <v>0.64</v>
      </c>
      <c r="K22" s="64">
        <v>353.47</v>
      </c>
      <c r="L22" s="64">
        <v>17.93</v>
      </c>
      <c r="M22" s="64">
        <v>60.5</v>
      </c>
      <c r="N22" s="64">
        <v>15.3</v>
      </c>
      <c r="O22" s="64">
        <v>0</v>
      </c>
      <c r="P22" s="64">
        <v>0.49</v>
      </c>
      <c r="Q22" s="64">
        <v>5.21</v>
      </c>
      <c r="S22" s="198"/>
      <c r="T22" s="198"/>
      <c r="U22" s="198"/>
    </row>
    <row r="23" spans="1:21" s="12" customFormat="1" x14ac:dyDescent="0.25">
      <c r="A23" s="213" t="s">
        <v>2373</v>
      </c>
      <c r="B23" s="64">
        <v>7.9</v>
      </c>
      <c r="C23" s="64">
        <v>49.82</v>
      </c>
      <c r="D23" s="64">
        <v>34.47</v>
      </c>
      <c r="E23" s="64">
        <v>0.1</v>
      </c>
      <c r="F23" s="64">
        <v>3.41</v>
      </c>
      <c r="G23" s="64">
        <v>65.62</v>
      </c>
      <c r="H23" s="64">
        <v>21.88</v>
      </c>
      <c r="I23" s="64">
        <v>1.55</v>
      </c>
      <c r="J23" s="64">
        <v>0.5</v>
      </c>
      <c r="K23" s="64">
        <v>8.19</v>
      </c>
      <c r="L23" s="64">
        <v>17.739999999999998</v>
      </c>
      <c r="M23" s="64">
        <v>61.92</v>
      </c>
      <c r="N23" s="64">
        <v>15.2</v>
      </c>
      <c r="O23" s="64">
        <v>0</v>
      </c>
      <c r="P23" s="64">
        <v>0.47</v>
      </c>
      <c r="Q23" s="64">
        <v>5.21</v>
      </c>
      <c r="S23" s="198"/>
      <c r="T23" s="198"/>
      <c r="U23" s="198"/>
    </row>
    <row r="24" spans="1:21" s="12" customFormat="1" x14ac:dyDescent="0.25">
      <c r="A24" s="213" t="s">
        <v>2374</v>
      </c>
      <c r="B24" s="64">
        <v>7.62</v>
      </c>
      <c r="C24" s="64">
        <v>49.06</v>
      </c>
      <c r="D24" s="64">
        <v>33.83</v>
      </c>
      <c r="E24" s="64">
        <v>0.24</v>
      </c>
      <c r="F24" s="64">
        <v>3.31</v>
      </c>
      <c r="G24" s="64">
        <v>65.62</v>
      </c>
      <c r="H24" s="64">
        <v>21.88</v>
      </c>
      <c r="I24" s="64">
        <v>1.47</v>
      </c>
      <c r="J24" s="64">
        <v>0.28999999999999998</v>
      </c>
      <c r="K24" s="64">
        <v>35.340000000000003</v>
      </c>
      <c r="L24" s="64">
        <v>17.59</v>
      </c>
      <c r="M24" s="64">
        <v>62.76</v>
      </c>
      <c r="N24" s="64">
        <v>14.8</v>
      </c>
      <c r="O24" s="64">
        <v>0</v>
      </c>
      <c r="P24" s="64">
        <v>0.46</v>
      </c>
      <c r="Q24" s="64">
        <v>5.21</v>
      </c>
      <c r="S24" s="198"/>
      <c r="T24" s="198"/>
      <c r="U24" s="198"/>
    </row>
    <row r="25" spans="1:21" s="12" customFormat="1" x14ac:dyDescent="0.25">
      <c r="A25" s="213" t="s">
        <v>2375</v>
      </c>
      <c r="B25" s="64">
        <v>7.24</v>
      </c>
      <c r="C25" s="64">
        <v>47.87</v>
      </c>
      <c r="D25" s="64">
        <v>32.869999999999997</v>
      </c>
      <c r="E25" s="64">
        <v>0.23</v>
      </c>
      <c r="F25" s="64">
        <v>3.46</v>
      </c>
      <c r="G25" s="64">
        <v>65.62</v>
      </c>
      <c r="H25" s="64">
        <v>21.88</v>
      </c>
      <c r="I25" s="64">
        <v>1.54</v>
      </c>
      <c r="J25" s="64">
        <v>0.3</v>
      </c>
      <c r="K25" s="64">
        <v>23.95</v>
      </c>
      <c r="L25" s="64">
        <v>17.63</v>
      </c>
      <c r="M25" s="64">
        <v>62.74</v>
      </c>
      <c r="N25" s="64">
        <v>14.8</v>
      </c>
      <c r="O25" s="64">
        <v>0</v>
      </c>
      <c r="P25" s="64">
        <v>0.44</v>
      </c>
      <c r="Q25" s="64">
        <v>5.21</v>
      </c>
      <c r="S25" s="198"/>
      <c r="T25" s="198"/>
      <c r="U25" s="198"/>
    </row>
    <row r="26" spans="1:21" s="12" customFormat="1" x14ac:dyDescent="0.25">
      <c r="A26" s="213" t="s">
        <v>2376</v>
      </c>
      <c r="B26" s="64">
        <v>6.94</v>
      </c>
      <c r="C26" s="64">
        <v>47.17</v>
      </c>
      <c r="D26" s="64">
        <v>32.25</v>
      </c>
      <c r="E26" s="64">
        <v>0.21</v>
      </c>
      <c r="F26" s="64">
        <v>3.31</v>
      </c>
      <c r="G26" s="64">
        <v>53.52</v>
      </c>
      <c r="H26" s="64">
        <v>20.75</v>
      </c>
      <c r="I26" s="64">
        <v>1.51</v>
      </c>
      <c r="J26" s="64">
        <v>0.24</v>
      </c>
      <c r="K26" s="64">
        <v>14.29</v>
      </c>
      <c r="L26" s="64">
        <v>17.489999999999998</v>
      </c>
      <c r="M26" s="64">
        <v>63.6</v>
      </c>
      <c r="N26" s="64">
        <v>14.8</v>
      </c>
      <c r="O26" s="64">
        <v>0</v>
      </c>
      <c r="P26" s="64">
        <v>0.43</v>
      </c>
      <c r="Q26" s="64">
        <v>5.21</v>
      </c>
      <c r="S26" s="198"/>
      <c r="T26" s="198"/>
      <c r="U26" s="198"/>
    </row>
    <row r="27" spans="1:21" s="12" customFormat="1" x14ac:dyDescent="0.25">
      <c r="A27" s="213" t="s">
        <v>2377</v>
      </c>
      <c r="B27" s="64">
        <v>6.96</v>
      </c>
      <c r="C27" s="64">
        <v>46.65</v>
      </c>
      <c r="D27" s="64">
        <v>31.97</v>
      </c>
      <c r="E27" s="64">
        <v>0.26</v>
      </c>
      <c r="F27" s="64">
        <v>3.28</v>
      </c>
      <c r="G27" s="64">
        <v>51.1</v>
      </c>
      <c r="H27" s="64">
        <v>20.75</v>
      </c>
      <c r="I27" s="64">
        <v>1.44</v>
      </c>
      <c r="J27" s="64">
        <v>0.31</v>
      </c>
      <c r="K27" s="64">
        <v>73.3</v>
      </c>
      <c r="L27" s="64">
        <v>17.37</v>
      </c>
      <c r="M27" s="64">
        <v>64.17</v>
      </c>
      <c r="N27" s="64">
        <v>14.8</v>
      </c>
      <c r="O27" s="64">
        <v>0</v>
      </c>
      <c r="P27" s="64">
        <v>0.42</v>
      </c>
      <c r="Q27" s="64">
        <v>5.21</v>
      </c>
      <c r="S27" s="198"/>
      <c r="T27" s="198"/>
      <c r="U27" s="198"/>
    </row>
    <row r="28" spans="1:21" s="12" customFormat="1" x14ac:dyDescent="0.25">
      <c r="A28" s="213" t="s">
        <v>2378</v>
      </c>
      <c r="B28" s="64">
        <v>6.67</v>
      </c>
      <c r="C28" s="64">
        <v>45.56</v>
      </c>
      <c r="D28" s="64">
        <v>31.14</v>
      </c>
      <c r="E28" s="64">
        <v>0.19</v>
      </c>
      <c r="F28" s="64">
        <v>3.34</v>
      </c>
      <c r="G28" s="64">
        <v>51.1</v>
      </c>
      <c r="H28" s="64">
        <v>20.75</v>
      </c>
      <c r="I28" s="64">
        <v>1.49</v>
      </c>
      <c r="J28" s="64">
        <v>0.21</v>
      </c>
      <c r="K28" s="64">
        <v>27.31</v>
      </c>
      <c r="L28" s="64">
        <v>17.260000000000002</v>
      </c>
      <c r="M28" s="64">
        <v>64.97</v>
      </c>
      <c r="N28" s="64">
        <v>15</v>
      </c>
      <c r="O28" s="64">
        <v>0</v>
      </c>
      <c r="P28" s="64">
        <v>0.41</v>
      </c>
      <c r="Q28" s="64">
        <v>5.21</v>
      </c>
      <c r="S28" s="198"/>
      <c r="T28" s="198"/>
      <c r="U28" s="198"/>
    </row>
    <row r="29" spans="1:21" s="12" customFormat="1" x14ac:dyDescent="0.25">
      <c r="A29" s="213" t="s">
        <v>2379</v>
      </c>
      <c r="B29" s="64">
        <v>6.47</v>
      </c>
      <c r="C29" s="64">
        <v>42.08</v>
      </c>
      <c r="D29" s="64">
        <v>29.06</v>
      </c>
      <c r="E29" s="64">
        <v>0.16</v>
      </c>
      <c r="F29" s="64">
        <v>3.54</v>
      </c>
      <c r="G29" s="64">
        <v>51.1</v>
      </c>
      <c r="H29" s="64">
        <v>20.75</v>
      </c>
      <c r="I29" s="64">
        <v>1.52</v>
      </c>
      <c r="J29" s="64">
        <v>0.49</v>
      </c>
      <c r="K29" s="64">
        <v>3.39</v>
      </c>
      <c r="L29" s="64">
        <v>17.170000000000002</v>
      </c>
      <c r="M29" s="64">
        <v>65.73</v>
      </c>
      <c r="N29" s="64">
        <v>14.7</v>
      </c>
      <c r="O29" s="64">
        <v>0</v>
      </c>
      <c r="P29" s="64">
        <v>0.39</v>
      </c>
      <c r="Q29" s="64">
        <v>5.21</v>
      </c>
      <c r="S29" s="198"/>
      <c r="T29" s="198"/>
      <c r="U29" s="198"/>
    </row>
    <row r="30" spans="1:21" s="12" customFormat="1" x14ac:dyDescent="0.25">
      <c r="A30" s="213" t="s">
        <v>2380</v>
      </c>
      <c r="B30" s="64">
        <v>6.67</v>
      </c>
      <c r="C30" s="64">
        <v>42.04</v>
      </c>
      <c r="D30" s="64">
        <v>29.2</v>
      </c>
      <c r="E30" s="64">
        <v>0.2</v>
      </c>
      <c r="F30" s="64">
        <v>3.63</v>
      </c>
      <c r="G30" s="64">
        <v>45.69</v>
      </c>
      <c r="H30" s="64">
        <v>17.61</v>
      </c>
      <c r="I30" s="64">
        <v>1.52</v>
      </c>
      <c r="J30" s="64">
        <v>0.33</v>
      </c>
      <c r="K30" s="64">
        <v>353.05</v>
      </c>
      <c r="L30" s="64">
        <v>17.18</v>
      </c>
      <c r="M30" s="64">
        <v>65.45</v>
      </c>
      <c r="N30" s="64">
        <v>14.8</v>
      </c>
      <c r="O30" s="64">
        <v>0</v>
      </c>
      <c r="P30" s="64">
        <v>0.39</v>
      </c>
      <c r="Q30" s="64">
        <v>5.21</v>
      </c>
      <c r="S30" s="198"/>
      <c r="T30" s="198"/>
      <c r="U30" s="198"/>
    </row>
    <row r="31" spans="1:21" s="12" customFormat="1" x14ac:dyDescent="0.25">
      <c r="A31" s="213" t="s">
        <v>2381</v>
      </c>
      <c r="B31" s="64">
        <v>7.03</v>
      </c>
      <c r="C31" s="64">
        <v>42.79</v>
      </c>
      <c r="D31" s="64">
        <v>29.9</v>
      </c>
      <c r="E31" s="64">
        <v>0.18</v>
      </c>
      <c r="F31" s="64">
        <v>3.47</v>
      </c>
      <c r="G31" s="64">
        <v>44.61</v>
      </c>
      <c r="H31" s="64">
        <v>17.61</v>
      </c>
      <c r="I31" s="64">
        <v>1.46</v>
      </c>
      <c r="J31" s="64">
        <v>0.16</v>
      </c>
      <c r="K31" s="64">
        <v>53.39</v>
      </c>
      <c r="L31" s="64">
        <v>17.079999999999998</v>
      </c>
      <c r="M31" s="64">
        <v>65.66</v>
      </c>
      <c r="N31" s="64">
        <v>15.1</v>
      </c>
      <c r="O31" s="64">
        <v>0</v>
      </c>
      <c r="P31" s="64">
        <v>0.38</v>
      </c>
      <c r="Q31" s="64">
        <v>5.21</v>
      </c>
      <c r="S31" s="198"/>
      <c r="T31" s="198"/>
      <c r="U31" s="198"/>
    </row>
    <row r="32" spans="1:21" s="12" customFormat="1" x14ac:dyDescent="0.25">
      <c r="A32" s="213" t="s">
        <v>2382</v>
      </c>
      <c r="B32" s="64">
        <v>7.72</v>
      </c>
      <c r="C32" s="64">
        <v>43.73</v>
      </c>
      <c r="D32" s="64">
        <v>30.97</v>
      </c>
      <c r="E32" s="64">
        <v>0.14000000000000001</v>
      </c>
      <c r="F32" s="64">
        <v>3.4</v>
      </c>
      <c r="G32" s="64">
        <v>44.61</v>
      </c>
      <c r="H32" s="64">
        <v>17.61</v>
      </c>
      <c r="I32" s="64">
        <v>1.57</v>
      </c>
      <c r="J32" s="64">
        <v>0.15</v>
      </c>
      <c r="K32" s="64">
        <v>11.44</v>
      </c>
      <c r="L32" s="64">
        <v>16.77</v>
      </c>
      <c r="M32" s="64">
        <v>67.599999999999994</v>
      </c>
      <c r="N32" s="64">
        <v>15.4</v>
      </c>
      <c r="O32" s="64">
        <v>0</v>
      </c>
      <c r="P32" s="64">
        <v>0.37</v>
      </c>
      <c r="Q32" s="64">
        <v>5.21</v>
      </c>
      <c r="S32" s="198"/>
      <c r="T32" s="198"/>
      <c r="U32" s="198"/>
    </row>
    <row r="33" spans="1:21" s="12" customFormat="1" x14ac:dyDescent="0.25">
      <c r="A33" s="213" t="s">
        <v>2383</v>
      </c>
      <c r="B33" s="64">
        <v>8.65</v>
      </c>
      <c r="C33" s="64">
        <v>43.85</v>
      </c>
      <c r="D33" s="64">
        <v>31.78</v>
      </c>
      <c r="E33" s="64">
        <v>0.24</v>
      </c>
      <c r="F33" s="64">
        <v>3.41</v>
      </c>
      <c r="G33" s="64">
        <v>44.61</v>
      </c>
      <c r="H33" s="64">
        <v>17.61</v>
      </c>
      <c r="I33" s="64">
        <v>1.48</v>
      </c>
      <c r="J33" s="64">
        <v>0.25</v>
      </c>
      <c r="K33" s="64">
        <v>92.93</v>
      </c>
      <c r="L33" s="64">
        <v>16.670000000000002</v>
      </c>
      <c r="M33" s="64">
        <v>68.31</v>
      </c>
      <c r="N33" s="64">
        <v>15.5</v>
      </c>
      <c r="O33" s="64">
        <v>0</v>
      </c>
      <c r="P33" s="64">
        <v>0.37</v>
      </c>
      <c r="Q33" s="64">
        <v>5.21</v>
      </c>
      <c r="S33" s="198"/>
      <c r="T33" s="198"/>
      <c r="U33" s="198"/>
    </row>
    <row r="34" spans="1:21" s="12" customFormat="1" x14ac:dyDescent="0.25">
      <c r="A34" s="213" t="s">
        <v>2384</v>
      </c>
      <c r="B34" s="64">
        <v>9.3699999999999992</v>
      </c>
      <c r="C34" s="64">
        <v>44.37</v>
      </c>
      <c r="D34" s="64">
        <v>32.65</v>
      </c>
      <c r="E34" s="64">
        <v>0.22</v>
      </c>
      <c r="F34" s="64">
        <v>3.28</v>
      </c>
      <c r="G34" s="64">
        <v>55.55</v>
      </c>
      <c r="H34" s="64">
        <v>17.66</v>
      </c>
      <c r="I34" s="64">
        <v>1.52</v>
      </c>
      <c r="J34" s="64">
        <v>0.34</v>
      </c>
      <c r="K34" s="64">
        <v>85.29</v>
      </c>
      <c r="L34" s="64">
        <v>16.920000000000002</v>
      </c>
      <c r="M34" s="64">
        <v>67.040000000000006</v>
      </c>
      <c r="N34" s="64">
        <v>19.600000000000001</v>
      </c>
      <c r="O34" s="64">
        <v>0</v>
      </c>
      <c r="P34" s="64">
        <v>0.37</v>
      </c>
      <c r="Q34" s="64">
        <v>5.21</v>
      </c>
      <c r="S34" s="198"/>
      <c r="T34" s="198"/>
      <c r="U34" s="198"/>
    </row>
    <row r="35" spans="1:21" s="12" customFormat="1" x14ac:dyDescent="0.25">
      <c r="A35" s="213" t="s">
        <v>2385</v>
      </c>
      <c r="B35" s="64">
        <v>9.93</v>
      </c>
      <c r="C35" s="64">
        <v>44.27</v>
      </c>
      <c r="D35" s="64">
        <v>33.04</v>
      </c>
      <c r="E35" s="64">
        <v>0.18</v>
      </c>
      <c r="F35" s="64">
        <v>3.14</v>
      </c>
      <c r="G35" s="64">
        <v>57.73</v>
      </c>
      <c r="H35" s="64">
        <v>17.66</v>
      </c>
      <c r="I35" s="64">
        <v>1.51</v>
      </c>
      <c r="J35" s="64">
        <v>0.15</v>
      </c>
      <c r="K35" s="64">
        <v>60.43</v>
      </c>
      <c r="L35" s="64">
        <v>17.04</v>
      </c>
      <c r="M35" s="64">
        <v>66.78</v>
      </c>
      <c r="N35" s="64">
        <v>34.6</v>
      </c>
      <c r="O35" s="64">
        <v>0</v>
      </c>
      <c r="P35" s="64">
        <v>0.37</v>
      </c>
      <c r="Q35" s="64">
        <v>5.21</v>
      </c>
      <c r="S35" s="198"/>
      <c r="T35" s="198"/>
      <c r="U35" s="198"/>
    </row>
    <row r="36" spans="1:21" s="12" customFormat="1" x14ac:dyDescent="0.25">
      <c r="A36" s="213" t="s">
        <v>2386</v>
      </c>
      <c r="B36" s="64">
        <v>10.7</v>
      </c>
      <c r="C36" s="64">
        <v>43.9</v>
      </c>
      <c r="D36" s="64">
        <v>33.450000000000003</v>
      </c>
      <c r="E36" s="64">
        <v>0.19</v>
      </c>
      <c r="F36" s="64">
        <v>3.49</v>
      </c>
      <c r="G36" s="64">
        <v>57.73</v>
      </c>
      <c r="H36" s="64">
        <v>17.66</v>
      </c>
      <c r="I36" s="64">
        <v>1.58</v>
      </c>
      <c r="J36" s="64">
        <v>0.24</v>
      </c>
      <c r="K36" s="64">
        <v>5.86</v>
      </c>
      <c r="L36" s="64">
        <v>17.32</v>
      </c>
      <c r="M36" s="64">
        <v>65.91</v>
      </c>
      <c r="N36" s="64">
        <v>54.4</v>
      </c>
      <c r="O36" s="64">
        <v>0</v>
      </c>
      <c r="P36" s="64">
        <v>0.38</v>
      </c>
      <c r="Q36" s="64">
        <v>5.21</v>
      </c>
      <c r="S36" s="198"/>
      <c r="T36" s="198"/>
      <c r="U36" s="198"/>
    </row>
    <row r="37" spans="1:21" s="12" customFormat="1" x14ac:dyDescent="0.25">
      <c r="A37" s="213" t="s">
        <v>2387</v>
      </c>
      <c r="B37" s="64">
        <v>11.69</v>
      </c>
      <c r="C37" s="64">
        <v>44.13</v>
      </c>
      <c r="D37" s="64">
        <v>34.369999999999997</v>
      </c>
      <c r="E37" s="64">
        <v>0.25</v>
      </c>
      <c r="F37" s="64">
        <v>3.31</v>
      </c>
      <c r="G37" s="64">
        <v>57.73</v>
      </c>
      <c r="H37" s="64">
        <v>17.66</v>
      </c>
      <c r="I37" s="64">
        <v>1.54</v>
      </c>
      <c r="J37" s="64">
        <v>0.2</v>
      </c>
      <c r="K37" s="64">
        <v>71.52</v>
      </c>
      <c r="L37" s="64">
        <v>17.77</v>
      </c>
      <c r="M37" s="64">
        <v>64.099999999999994</v>
      </c>
      <c r="N37" s="64">
        <v>75.900000000000006</v>
      </c>
      <c r="O37" s="64">
        <v>0</v>
      </c>
      <c r="P37" s="64">
        <v>0.39</v>
      </c>
      <c r="Q37" s="64">
        <v>5.21</v>
      </c>
      <c r="S37" s="198"/>
      <c r="T37" s="198"/>
      <c r="U37" s="198"/>
    </row>
    <row r="38" spans="1:21" s="12" customFormat="1" x14ac:dyDescent="0.25">
      <c r="A38" s="213" t="s">
        <v>2388</v>
      </c>
      <c r="B38" s="64">
        <v>12.66</v>
      </c>
      <c r="C38" s="64">
        <v>45.35</v>
      </c>
      <c r="D38" s="64">
        <v>35.83</v>
      </c>
      <c r="E38" s="64">
        <v>0.26</v>
      </c>
      <c r="F38" s="64">
        <v>3.17</v>
      </c>
      <c r="G38" s="64">
        <v>56.69</v>
      </c>
      <c r="H38" s="64">
        <v>17.36</v>
      </c>
      <c r="I38" s="64">
        <v>1.53</v>
      </c>
      <c r="J38" s="64">
        <v>0.16</v>
      </c>
      <c r="K38" s="64">
        <v>47.66</v>
      </c>
      <c r="L38" s="64">
        <v>18.45</v>
      </c>
      <c r="M38" s="64">
        <v>63.05</v>
      </c>
      <c r="N38" s="64">
        <v>112.5</v>
      </c>
      <c r="O38" s="64">
        <v>0</v>
      </c>
      <c r="P38" s="64">
        <v>0.42</v>
      </c>
      <c r="Q38" s="64">
        <v>5.21</v>
      </c>
      <c r="S38" s="198"/>
      <c r="T38" s="198"/>
      <c r="U38" s="198"/>
    </row>
    <row r="39" spans="1:21" s="12" customFormat="1" x14ac:dyDescent="0.25">
      <c r="A39" s="213" t="s">
        <v>2389</v>
      </c>
      <c r="B39" s="64">
        <v>13.82</v>
      </c>
      <c r="C39" s="64">
        <v>46.29</v>
      </c>
      <c r="D39" s="64">
        <v>37.270000000000003</v>
      </c>
      <c r="E39" s="64">
        <v>0.21</v>
      </c>
      <c r="F39" s="64">
        <v>3.19</v>
      </c>
      <c r="G39" s="64">
        <v>56.48</v>
      </c>
      <c r="H39" s="64">
        <v>17.36</v>
      </c>
      <c r="I39" s="64">
        <v>1.51</v>
      </c>
      <c r="J39" s="64">
        <v>0.16</v>
      </c>
      <c r="K39" s="64">
        <v>20.5</v>
      </c>
      <c r="L39" s="64">
        <v>19.5</v>
      </c>
      <c r="M39" s="64">
        <v>59.43</v>
      </c>
      <c r="N39" s="64">
        <v>152.5</v>
      </c>
      <c r="O39" s="64">
        <v>0</v>
      </c>
      <c r="P39" s="64">
        <v>0.43</v>
      </c>
      <c r="Q39" s="64">
        <v>5.21</v>
      </c>
      <c r="S39" s="198"/>
      <c r="T39" s="198"/>
      <c r="U39" s="198"/>
    </row>
    <row r="40" spans="1:21" s="12" customFormat="1" x14ac:dyDescent="0.25">
      <c r="A40" s="213" t="s">
        <v>2390</v>
      </c>
      <c r="B40" s="64">
        <v>15.13</v>
      </c>
      <c r="C40" s="64">
        <v>47.29</v>
      </c>
      <c r="D40" s="64">
        <v>38.880000000000003</v>
      </c>
      <c r="E40" s="64">
        <v>0.09</v>
      </c>
      <c r="F40" s="64">
        <v>3.38</v>
      </c>
      <c r="G40" s="64">
        <v>56.48</v>
      </c>
      <c r="H40" s="64">
        <v>17.36</v>
      </c>
      <c r="I40" s="64">
        <v>1.48</v>
      </c>
      <c r="J40" s="64">
        <v>0.38</v>
      </c>
      <c r="K40" s="64">
        <v>43.06</v>
      </c>
      <c r="L40" s="64">
        <v>20.39</v>
      </c>
      <c r="M40" s="64">
        <v>55.9</v>
      </c>
      <c r="N40" s="64">
        <v>219.6</v>
      </c>
      <c r="O40" s="64">
        <v>0</v>
      </c>
      <c r="P40" s="64">
        <v>0.44</v>
      </c>
      <c r="Q40" s="64">
        <v>5.21</v>
      </c>
      <c r="S40" s="198"/>
      <c r="T40" s="198"/>
      <c r="U40" s="198"/>
    </row>
    <row r="41" spans="1:21" s="12" customFormat="1" x14ac:dyDescent="0.25">
      <c r="A41" s="213" t="s">
        <v>2391</v>
      </c>
      <c r="B41" s="64">
        <v>15.98</v>
      </c>
      <c r="C41" s="64">
        <v>47.85</v>
      </c>
      <c r="D41" s="64">
        <v>39.869999999999997</v>
      </c>
      <c r="E41" s="64">
        <v>0.13</v>
      </c>
      <c r="F41" s="64">
        <v>3.42</v>
      </c>
      <c r="G41" s="64">
        <v>56.48</v>
      </c>
      <c r="H41" s="64">
        <v>17.36</v>
      </c>
      <c r="I41" s="64">
        <v>1.48</v>
      </c>
      <c r="J41" s="64">
        <v>0.63</v>
      </c>
      <c r="K41" s="64">
        <v>350.5</v>
      </c>
      <c r="L41" s="64">
        <v>22.32</v>
      </c>
      <c r="M41" s="64">
        <v>49.11</v>
      </c>
      <c r="N41" s="64">
        <v>303.3</v>
      </c>
      <c r="O41" s="64">
        <v>0</v>
      </c>
      <c r="P41" s="64">
        <v>0.46</v>
      </c>
      <c r="Q41" s="64">
        <v>5.21</v>
      </c>
      <c r="S41" s="198"/>
      <c r="T41" s="198"/>
      <c r="U41" s="198"/>
    </row>
    <row r="42" spans="1:21" s="12" customFormat="1" x14ac:dyDescent="0.25">
      <c r="A42" s="213" t="s">
        <v>2392</v>
      </c>
      <c r="B42" s="64">
        <v>16.46</v>
      </c>
      <c r="C42" s="64">
        <v>49.47</v>
      </c>
      <c r="D42" s="64">
        <v>41.14</v>
      </c>
      <c r="E42" s="64">
        <v>0.18</v>
      </c>
      <c r="F42" s="64">
        <v>3.19</v>
      </c>
      <c r="G42" s="64">
        <v>59.98</v>
      </c>
      <c r="H42" s="64">
        <v>19.100000000000001</v>
      </c>
      <c r="I42" s="64">
        <v>1.51</v>
      </c>
      <c r="J42" s="64">
        <v>0.32</v>
      </c>
      <c r="K42" s="64">
        <v>4.59</v>
      </c>
      <c r="L42" s="64">
        <v>23.14</v>
      </c>
      <c r="M42" s="64">
        <v>47.09</v>
      </c>
      <c r="N42" s="64">
        <v>366.4</v>
      </c>
      <c r="O42" s="64">
        <v>0</v>
      </c>
      <c r="P42" s="64">
        <v>0.47</v>
      </c>
      <c r="Q42" s="64">
        <v>5.21</v>
      </c>
      <c r="S42" s="198"/>
      <c r="T42" s="198"/>
      <c r="U42" s="198"/>
    </row>
    <row r="43" spans="1:21" s="12" customFormat="1" x14ac:dyDescent="0.25">
      <c r="A43" s="213" t="s">
        <v>2393</v>
      </c>
      <c r="B43" s="64">
        <v>17.39</v>
      </c>
      <c r="C43" s="64">
        <v>50.53</v>
      </c>
      <c r="D43" s="64">
        <v>42.48</v>
      </c>
      <c r="E43" s="64">
        <v>0.21</v>
      </c>
      <c r="F43" s="64">
        <v>2.97</v>
      </c>
      <c r="G43" s="64">
        <v>60.68</v>
      </c>
      <c r="H43" s="64">
        <v>19.100000000000001</v>
      </c>
      <c r="I43" s="64">
        <v>1.51</v>
      </c>
      <c r="J43" s="64">
        <v>0.5</v>
      </c>
      <c r="K43" s="64">
        <v>36.54</v>
      </c>
      <c r="L43" s="64">
        <v>23.74</v>
      </c>
      <c r="M43" s="64">
        <v>45.66</v>
      </c>
      <c r="N43" s="64">
        <v>433.5</v>
      </c>
      <c r="O43" s="64">
        <v>0</v>
      </c>
      <c r="P43" s="64">
        <v>0.49</v>
      </c>
      <c r="Q43" s="64">
        <v>5.21</v>
      </c>
      <c r="S43" s="198"/>
      <c r="T43" s="198"/>
      <c r="U43" s="198"/>
    </row>
    <row r="44" spans="1:21" s="12" customFormat="1" x14ac:dyDescent="0.25">
      <c r="A44" s="213" t="s">
        <v>2394</v>
      </c>
      <c r="B44" s="64">
        <v>17.82</v>
      </c>
      <c r="C44" s="64">
        <v>51.18</v>
      </c>
      <c r="D44" s="64">
        <v>43.18</v>
      </c>
      <c r="E44" s="64">
        <v>0.14000000000000001</v>
      </c>
      <c r="F44" s="64">
        <v>3.26</v>
      </c>
      <c r="G44" s="64">
        <v>60.68</v>
      </c>
      <c r="H44" s="64">
        <v>19.100000000000001</v>
      </c>
      <c r="I44" s="64">
        <v>1.47</v>
      </c>
      <c r="J44" s="64">
        <v>0.68</v>
      </c>
      <c r="K44" s="64">
        <v>350.06</v>
      </c>
      <c r="L44" s="64">
        <v>25.73</v>
      </c>
      <c r="M44" s="64">
        <v>40.31</v>
      </c>
      <c r="N44" s="64">
        <v>493.2</v>
      </c>
      <c r="O44" s="64">
        <v>0</v>
      </c>
      <c r="P44" s="64">
        <v>0.5</v>
      </c>
      <c r="Q44" s="64">
        <v>5.21</v>
      </c>
      <c r="S44" s="198"/>
      <c r="T44" s="198"/>
      <c r="U44" s="198"/>
    </row>
    <row r="45" spans="1:21" s="12" customFormat="1" x14ac:dyDescent="0.25">
      <c r="A45" s="213" t="s">
        <v>2395</v>
      </c>
      <c r="B45" s="64">
        <v>18.28</v>
      </c>
      <c r="C45" s="64">
        <v>52.03</v>
      </c>
      <c r="D45" s="64">
        <v>44.02</v>
      </c>
      <c r="E45" s="64">
        <v>0.14000000000000001</v>
      </c>
      <c r="F45" s="64">
        <v>3.28</v>
      </c>
      <c r="G45" s="64">
        <v>60.68</v>
      </c>
      <c r="H45" s="64">
        <v>19.100000000000001</v>
      </c>
      <c r="I45" s="64">
        <v>1.46</v>
      </c>
      <c r="J45" s="64">
        <v>0.75</v>
      </c>
      <c r="K45" s="64">
        <v>99.84</v>
      </c>
      <c r="L45" s="64">
        <v>24.18</v>
      </c>
      <c r="M45" s="64">
        <v>45.25</v>
      </c>
      <c r="N45" s="64">
        <v>544.70000000000005</v>
      </c>
      <c r="O45" s="64">
        <v>0</v>
      </c>
      <c r="P45" s="64">
        <v>0.51</v>
      </c>
      <c r="Q45" s="64">
        <v>5.21</v>
      </c>
      <c r="S45" s="198"/>
      <c r="T45" s="198"/>
      <c r="U45" s="198"/>
    </row>
    <row r="46" spans="1:21" s="12" customFormat="1" x14ac:dyDescent="0.25">
      <c r="A46" s="213" t="s">
        <v>2396</v>
      </c>
      <c r="B46" s="64">
        <v>17.940000000000001</v>
      </c>
      <c r="C46" s="64">
        <v>52.8</v>
      </c>
      <c r="D46" s="64">
        <v>44.17</v>
      </c>
      <c r="E46" s="64">
        <v>0.18</v>
      </c>
      <c r="F46" s="64">
        <v>3.46</v>
      </c>
      <c r="G46" s="64">
        <v>57.08</v>
      </c>
      <c r="H46" s="64">
        <v>16.010000000000002</v>
      </c>
      <c r="I46" s="64">
        <v>1.5</v>
      </c>
      <c r="J46" s="64">
        <v>0.69</v>
      </c>
      <c r="K46" s="64">
        <v>359.37</v>
      </c>
      <c r="L46" s="64">
        <v>25</v>
      </c>
      <c r="M46" s="64">
        <v>42.37</v>
      </c>
      <c r="N46" s="64">
        <v>589</v>
      </c>
      <c r="O46" s="64">
        <v>0</v>
      </c>
      <c r="P46" s="64">
        <v>0.51</v>
      </c>
      <c r="Q46" s="64">
        <v>5.21</v>
      </c>
      <c r="S46" s="198"/>
      <c r="T46" s="198"/>
      <c r="U46" s="198"/>
    </row>
    <row r="47" spans="1:21" s="12" customFormat="1" x14ac:dyDescent="0.25">
      <c r="A47" s="213" t="s">
        <v>2397</v>
      </c>
      <c r="B47" s="64">
        <v>17.899999999999999</v>
      </c>
      <c r="C47" s="64">
        <v>52.05</v>
      </c>
      <c r="D47" s="64">
        <v>43.73</v>
      </c>
      <c r="E47" s="64">
        <v>0.18</v>
      </c>
      <c r="F47" s="64">
        <v>3.44</v>
      </c>
      <c r="G47" s="64">
        <v>56.35</v>
      </c>
      <c r="H47" s="64">
        <v>16.010000000000002</v>
      </c>
      <c r="I47" s="64">
        <v>1.55</v>
      </c>
      <c r="J47" s="64">
        <v>1.17</v>
      </c>
      <c r="K47" s="64">
        <v>349.56</v>
      </c>
      <c r="L47" s="64">
        <v>27.64</v>
      </c>
      <c r="M47" s="64">
        <v>36.08</v>
      </c>
      <c r="N47" s="64">
        <v>637.5</v>
      </c>
      <c r="O47" s="64">
        <v>0</v>
      </c>
      <c r="P47" s="64">
        <v>0.52</v>
      </c>
      <c r="Q47" s="64">
        <v>5.21</v>
      </c>
      <c r="S47" s="198"/>
      <c r="T47" s="198"/>
      <c r="U47" s="198"/>
    </row>
    <row r="48" spans="1:21" s="12" customFormat="1" x14ac:dyDescent="0.25">
      <c r="A48" s="213" t="s">
        <v>2398</v>
      </c>
      <c r="B48" s="64">
        <v>17.62</v>
      </c>
      <c r="C48" s="64">
        <v>51.91</v>
      </c>
      <c r="D48" s="64">
        <v>43.42</v>
      </c>
      <c r="E48" s="64">
        <v>0.11</v>
      </c>
      <c r="F48" s="64">
        <v>3.69</v>
      </c>
      <c r="G48" s="64">
        <v>56.35</v>
      </c>
      <c r="H48" s="64">
        <v>16.010000000000002</v>
      </c>
      <c r="I48" s="64">
        <v>1.5</v>
      </c>
      <c r="J48" s="64">
        <v>1.01</v>
      </c>
      <c r="K48" s="64">
        <v>346.65</v>
      </c>
      <c r="L48" s="64">
        <v>28.16</v>
      </c>
      <c r="M48" s="64">
        <v>34.99</v>
      </c>
      <c r="N48" s="64">
        <v>689</v>
      </c>
      <c r="O48" s="64">
        <v>0</v>
      </c>
      <c r="P48" s="64">
        <v>0.52</v>
      </c>
      <c r="Q48" s="64">
        <v>5.21</v>
      </c>
      <c r="S48" s="198"/>
      <c r="T48" s="198"/>
      <c r="U48" s="198"/>
    </row>
    <row r="49" spans="1:21" s="12" customFormat="1" x14ac:dyDescent="0.25">
      <c r="A49" s="213" t="s">
        <v>2399</v>
      </c>
      <c r="B49" s="64">
        <v>17.38</v>
      </c>
      <c r="C49" s="64">
        <v>53.35</v>
      </c>
      <c r="D49" s="64">
        <v>44.03</v>
      </c>
      <c r="E49" s="64">
        <v>0.15</v>
      </c>
      <c r="F49" s="64">
        <v>3.63</v>
      </c>
      <c r="G49" s="64">
        <v>56.35</v>
      </c>
      <c r="H49" s="64">
        <v>16.010000000000002</v>
      </c>
      <c r="I49" s="64">
        <v>1.54</v>
      </c>
      <c r="J49" s="64">
        <v>0.42</v>
      </c>
      <c r="K49" s="64">
        <v>49.72</v>
      </c>
      <c r="L49" s="64">
        <v>28.42</v>
      </c>
      <c r="M49" s="64">
        <v>33.86</v>
      </c>
      <c r="N49" s="64">
        <v>732</v>
      </c>
      <c r="O49" s="64">
        <v>0</v>
      </c>
      <c r="P49" s="64">
        <v>0.53</v>
      </c>
      <c r="Q49" s="64">
        <v>5.21</v>
      </c>
      <c r="S49" s="198"/>
      <c r="T49" s="198"/>
      <c r="U49" s="198"/>
    </row>
    <row r="50" spans="1:21" s="12" customFormat="1" x14ac:dyDescent="0.25">
      <c r="A50" s="213" t="s">
        <v>2400</v>
      </c>
      <c r="B50" s="64">
        <v>17.29</v>
      </c>
      <c r="C50" s="64">
        <v>54.14</v>
      </c>
      <c r="D50" s="64">
        <v>44.39</v>
      </c>
      <c r="E50" s="64">
        <v>0.15</v>
      </c>
      <c r="F50" s="64">
        <v>3.61</v>
      </c>
      <c r="G50" s="64">
        <v>72.97</v>
      </c>
      <c r="H50" s="64">
        <v>18.22</v>
      </c>
      <c r="I50" s="64">
        <v>1.59</v>
      </c>
      <c r="J50" s="64">
        <v>0.84</v>
      </c>
      <c r="K50" s="64">
        <v>88.68</v>
      </c>
      <c r="L50" s="64">
        <v>25.19</v>
      </c>
      <c r="M50" s="64">
        <v>40.799999999999997</v>
      </c>
      <c r="N50" s="64">
        <v>767.5</v>
      </c>
      <c r="O50" s="64">
        <v>0</v>
      </c>
      <c r="P50" s="64">
        <v>0.53</v>
      </c>
      <c r="Q50" s="64">
        <v>5.21</v>
      </c>
      <c r="S50" s="198"/>
      <c r="T50" s="198"/>
      <c r="U50" s="198"/>
    </row>
    <row r="51" spans="1:21" s="12" customFormat="1" x14ac:dyDescent="0.25">
      <c r="A51" s="213" t="s">
        <v>2401</v>
      </c>
      <c r="B51" s="64">
        <v>16.91</v>
      </c>
      <c r="C51" s="64">
        <v>53.47</v>
      </c>
      <c r="D51" s="64">
        <v>43.71</v>
      </c>
      <c r="E51" s="64">
        <v>0.16</v>
      </c>
      <c r="F51" s="64">
        <v>3.66</v>
      </c>
      <c r="G51" s="64">
        <v>76.290000000000006</v>
      </c>
      <c r="H51" s="64">
        <v>18.22</v>
      </c>
      <c r="I51" s="64">
        <v>1.48</v>
      </c>
      <c r="J51" s="64">
        <v>0.82</v>
      </c>
      <c r="K51" s="64">
        <v>95.65</v>
      </c>
      <c r="L51" s="64">
        <v>25.43</v>
      </c>
      <c r="M51" s="64">
        <v>39.97</v>
      </c>
      <c r="N51" s="64">
        <v>802.6</v>
      </c>
      <c r="O51" s="64">
        <v>0</v>
      </c>
      <c r="P51" s="64">
        <v>0.53</v>
      </c>
      <c r="Q51" s="64">
        <v>5.21</v>
      </c>
      <c r="S51" s="198"/>
      <c r="T51" s="198"/>
      <c r="U51" s="198"/>
    </row>
    <row r="52" spans="1:21" s="12" customFormat="1" x14ac:dyDescent="0.25">
      <c r="A52" s="213" t="s">
        <v>2402</v>
      </c>
      <c r="B52" s="64">
        <v>16.190000000000001</v>
      </c>
      <c r="C52" s="64">
        <v>52.81</v>
      </c>
      <c r="D52" s="64">
        <v>42.77</v>
      </c>
      <c r="E52" s="64">
        <v>0.13</v>
      </c>
      <c r="F52" s="64">
        <v>3.3</v>
      </c>
      <c r="G52" s="64">
        <v>76.290000000000006</v>
      </c>
      <c r="H52" s="64">
        <v>18.22</v>
      </c>
      <c r="I52" s="64">
        <v>1.55</v>
      </c>
      <c r="J52" s="64">
        <v>0.52</v>
      </c>
      <c r="K52" s="64">
        <v>85.39</v>
      </c>
      <c r="L52" s="64">
        <v>25.56</v>
      </c>
      <c r="M52" s="64">
        <v>38.26</v>
      </c>
      <c r="N52" s="64">
        <v>817.9</v>
      </c>
      <c r="O52" s="64">
        <v>0</v>
      </c>
      <c r="P52" s="64">
        <v>0.52</v>
      </c>
      <c r="Q52" s="64">
        <v>5.21</v>
      </c>
      <c r="S52" s="198"/>
      <c r="T52" s="198"/>
      <c r="U52" s="198"/>
    </row>
    <row r="53" spans="1:21" s="12" customFormat="1" x14ac:dyDescent="0.25">
      <c r="A53" s="213" t="s">
        <v>2403</v>
      </c>
      <c r="B53" s="64">
        <v>15.72</v>
      </c>
      <c r="C53" s="64">
        <v>52.68</v>
      </c>
      <c r="D53" s="64">
        <v>42.33</v>
      </c>
      <c r="E53" s="64">
        <v>0.15</v>
      </c>
      <c r="F53" s="64">
        <v>3.55</v>
      </c>
      <c r="G53" s="64">
        <v>76.290000000000006</v>
      </c>
      <c r="H53" s="64">
        <v>18.22</v>
      </c>
      <c r="I53" s="64">
        <v>1.5</v>
      </c>
      <c r="J53" s="64">
        <v>0.62</v>
      </c>
      <c r="K53" s="64">
        <v>83.08</v>
      </c>
      <c r="L53" s="64">
        <v>26.61</v>
      </c>
      <c r="M53" s="64">
        <v>34.61</v>
      </c>
      <c r="N53" s="64">
        <v>834.8</v>
      </c>
      <c r="O53" s="64">
        <v>0</v>
      </c>
      <c r="P53" s="64">
        <v>0.51</v>
      </c>
      <c r="Q53" s="64">
        <v>5.21</v>
      </c>
      <c r="S53" s="198"/>
      <c r="T53" s="198"/>
      <c r="U53" s="198"/>
    </row>
    <row r="54" spans="1:21" s="12" customFormat="1" x14ac:dyDescent="0.25">
      <c r="A54" s="213" t="s">
        <v>2404</v>
      </c>
      <c r="B54" s="64">
        <v>15.13</v>
      </c>
      <c r="C54" s="64">
        <v>53.02</v>
      </c>
      <c r="D54" s="64">
        <v>42.04</v>
      </c>
      <c r="E54" s="64">
        <v>0.16</v>
      </c>
      <c r="F54" s="64">
        <v>3.54</v>
      </c>
      <c r="G54" s="64">
        <v>53.51</v>
      </c>
      <c r="H54" s="64">
        <v>18.43</v>
      </c>
      <c r="I54" s="64">
        <v>1.44</v>
      </c>
      <c r="J54" s="64">
        <v>0.61</v>
      </c>
      <c r="K54" s="64">
        <v>22.25</v>
      </c>
      <c r="L54" s="64">
        <v>26.86</v>
      </c>
      <c r="M54" s="64">
        <v>34.130000000000003</v>
      </c>
      <c r="N54" s="64">
        <v>840.3</v>
      </c>
      <c r="O54" s="64">
        <v>0</v>
      </c>
      <c r="P54" s="64">
        <v>0.5</v>
      </c>
      <c r="Q54" s="64">
        <v>5.21</v>
      </c>
      <c r="S54" s="198"/>
      <c r="T54" s="198"/>
      <c r="U54" s="198"/>
    </row>
    <row r="55" spans="1:21" s="12" customFormat="1" x14ac:dyDescent="0.25">
      <c r="A55" s="213" t="s">
        <v>2405</v>
      </c>
      <c r="B55" s="64">
        <v>14.5</v>
      </c>
      <c r="C55" s="64">
        <v>53.1</v>
      </c>
      <c r="D55" s="64">
        <v>41.58</v>
      </c>
      <c r="E55" s="64">
        <v>0.24</v>
      </c>
      <c r="F55" s="64">
        <v>3.61</v>
      </c>
      <c r="G55" s="64">
        <v>48.96</v>
      </c>
      <c r="H55" s="64">
        <v>18.43</v>
      </c>
      <c r="I55" s="64">
        <v>1.48</v>
      </c>
      <c r="J55" s="64">
        <v>0.36</v>
      </c>
      <c r="K55" s="64">
        <v>19.05</v>
      </c>
      <c r="L55" s="64">
        <v>29.12</v>
      </c>
      <c r="M55" s="64">
        <v>30.16</v>
      </c>
      <c r="N55" s="64">
        <v>837.2</v>
      </c>
      <c r="O55" s="64">
        <v>0</v>
      </c>
      <c r="P55" s="64">
        <v>0.51</v>
      </c>
      <c r="Q55" s="64">
        <v>5.21</v>
      </c>
      <c r="S55" s="198"/>
      <c r="T55" s="198"/>
      <c r="U55" s="198"/>
    </row>
    <row r="56" spans="1:21" s="12" customFormat="1" x14ac:dyDescent="0.25">
      <c r="A56" s="213" t="s">
        <v>2406</v>
      </c>
      <c r="B56" s="64">
        <v>13.55</v>
      </c>
      <c r="C56" s="64">
        <v>53.97</v>
      </c>
      <c r="D56" s="64">
        <v>41.3</v>
      </c>
      <c r="E56" s="64">
        <v>0.09</v>
      </c>
      <c r="F56" s="64">
        <v>3.53</v>
      </c>
      <c r="G56" s="64">
        <v>48.96</v>
      </c>
      <c r="H56" s="64">
        <v>18.43</v>
      </c>
      <c r="I56" s="64">
        <v>1.52</v>
      </c>
      <c r="J56" s="64">
        <v>0.19</v>
      </c>
      <c r="K56" s="64">
        <v>26.78</v>
      </c>
      <c r="L56" s="64">
        <v>29.91</v>
      </c>
      <c r="M56" s="64">
        <v>27.72</v>
      </c>
      <c r="N56" s="64">
        <v>832.5</v>
      </c>
      <c r="O56" s="64">
        <v>0</v>
      </c>
      <c r="P56" s="64">
        <v>0.51</v>
      </c>
      <c r="Q56" s="64">
        <v>5.21</v>
      </c>
      <c r="S56" s="198"/>
      <c r="T56" s="198"/>
      <c r="U56" s="198"/>
    </row>
    <row r="57" spans="1:21" s="12" customFormat="1" x14ac:dyDescent="0.25">
      <c r="A57" s="213" t="s">
        <v>2407</v>
      </c>
      <c r="B57" s="64">
        <v>12.49</v>
      </c>
      <c r="C57" s="64">
        <v>54.6</v>
      </c>
      <c r="D57" s="64">
        <v>40.799999999999997</v>
      </c>
      <c r="E57" s="64">
        <v>0.16</v>
      </c>
      <c r="F57" s="64">
        <v>3.57</v>
      </c>
      <c r="G57" s="64">
        <v>48.96</v>
      </c>
      <c r="H57" s="64">
        <v>18.43</v>
      </c>
      <c r="I57" s="64">
        <v>1.48</v>
      </c>
      <c r="J57" s="64">
        <v>0.82</v>
      </c>
      <c r="K57" s="64">
        <v>78.73</v>
      </c>
      <c r="L57" s="64">
        <v>27.4</v>
      </c>
      <c r="M57" s="64">
        <v>30.9</v>
      </c>
      <c r="N57" s="64">
        <v>829.3</v>
      </c>
      <c r="O57" s="64">
        <v>0</v>
      </c>
      <c r="P57" s="64">
        <v>0.51</v>
      </c>
      <c r="Q57" s="64">
        <v>5.21</v>
      </c>
      <c r="S57" s="198"/>
      <c r="T57" s="198"/>
      <c r="U57" s="198"/>
    </row>
    <row r="58" spans="1:21" s="12" customFormat="1" x14ac:dyDescent="0.25">
      <c r="A58" s="213" t="s">
        <v>2408</v>
      </c>
      <c r="B58" s="64">
        <v>11.1</v>
      </c>
      <c r="C58" s="64">
        <v>54.83</v>
      </c>
      <c r="D58" s="64">
        <v>39.81</v>
      </c>
      <c r="E58" s="64">
        <v>0.18</v>
      </c>
      <c r="F58" s="64">
        <v>3.54</v>
      </c>
      <c r="G58" s="64">
        <v>47.16</v>
      </c>
      <c r="H58" s="64">
        <v>17.3</v>
      </c>
      <c r="I58" s="64">
        <v>1.4</v>
      </c>
      <c r="J58" s="64">
        <v>0.68</v>
      </c>
      <c r="K58" s="64">
        <v>130.78</v>
      </c>
      <c r="L58" s="64">
        <v>26.71</v>
      </c>
      <c r="M58" s="64">
        <v>30.88</v>
      </c>
      <c r="N58" s="64">
        <v>806.1</v>
      </c>
      <c r="O58" s="64">
        <v>0</v>
      </c>
      <c r="P58" s="64">
        <v>0.49</v>
      </c>
      <c r="Q58" s="64">
        <v>5.21</v>
      </c>
      <c r="S58" s="198"/>
      <c r="T58" s="198"/>
      <c r="U58" s="198"/>
    </row>
    <row r="59" spans="1:21" s="12" customFormat="1" x14ac:dyDescent="0.25">
      <c r="A59" s="213" t="s">
        <v>2409</v>
      </c>
      <c r="B59" s="64">
        <v>9.92</v>
      </c>
      <c r="C59" s="64">
        <v>54.58</v>
      </c>
      <c r="D59" s="64">
        <v>38.72</v>
      </c>
      <c r="E59" s="64">
        <v>0.18</v>
      </c>
      <c r="F59" s="64">
        <v>3.54</v>
      </c>
      <c r="G59" s="64">
        <v>46.81</v>
      </c>
      <c r="H59" s="64">
        <v>17.3</v>
      </c>
      <c r="I59" s="64">
        <v>1.51</v>
      </c>
      <c r="J59" s="64">
        <v>0.56999999999999995</v>
      </c>
      <c r="K59" s="64">
        <v>326.62</v>
      </c>
      <c r="L59" s="64">
        <v>29.89</v>
      </c>
      <c r="M59" s="64">
        <v>26.93</v>
      </c>
      <c r="N59" s="64">
        <v>783.6</v>
      </c>
      <c r="O59" s="64">
        <v>0</v>
      </c>
      <c r="P59" s="64">
        <v>0.48</v>
      </c>
      <c r="Q59" s="64">
        <v>5.21</v>
      </c>
      <c r="S59" s="198"/>
      <c r="T59" s="198"/>
      <c r="U59" s="198"/>
    </row>
    <row r="60" spans="1:21" s="12" customFormat="1" x14ac:dyDescent="0.25">
      <c r="A60" s="213" t="s">
        <v>2410</v>
      </c>
      <c r="B60" s="64">
        <v>9.5500000000000007</v>
      </c>
      <c r="C60" s="64">
        <v>54.96</v>
      </c>
      <c r="D60" s="64">
        <v>38.630000000000003</v>
      </c>
      <c r="E60" s="64">
        <v>0.17</v>
      </c>
      <c r="F60" s="64">
        <v>3.46</v>
      </c>
      <c r="G60" s="64">
        <v>46.81</v>
      </c>
      <c r="H60" s="64">
        <v>17.3</v>
      </c>
      <c r="I60" s="64">
        <v>1.42</v>
      </c>
      <c r="J60" s="64">
        <v>0.48</v>
      </c>
      <c r="K60" s="64">
        <v>75.87</v>
      </c>
      <c r="L60" s="64">
        <v>29.16</v>
      </c>
      <c r="M60" s="64">
        <v>27.33</v>
      </c>
      <c r="N60" s="64">
        <v>752</v>
      </c>
      <c r="O60" s="64">
        <v>0</v>
      </c>
      <c r="P60" s="64">
        <v>0.49</v>
      </c>
      <c r="Q60" s="64">
        <v>5.21</v>
      </c>
      <c r="S60" s="198"/>
      <c r="T60" s="198"/>
      <c r="U60" s="198"/>
    </row>
    <row r="61" spans="1:21" s="12" customFormat="1" x14ac:dyDescent="0.25">
      <c r="A61" s="213" t="s">
        <v>2411</v>
      </c>
      <c r="B61" s="64">
        <v>9.86</v>
      </c>
      <c r="C61" s="64">
        <v>55.48</v>
      </c>
      <c r="D61" s="64">
        <v>39.17</v>
      </c>
      <c r="E61" s="64">
        <v>0.22</v>
      </c>
      <c r="F61" s="64">
        <v>3.38</v>
      </c>
      <c r="G61" s="64">
        <v>46.81</v>
      </c>
      <c r="H61" s="64">
        <v>17.3</v>
      </c>
      <c r="I61" s="64">
        <v>1.49</v>
      </c>
      <c r="J61" s="64">
        <v>0.45</v>
      </c>
      <c r="K61" s="64">
        <v>45.44</v>
      </c>
      <c r="L61" s="64">
        <v>28.91</v>
      </c>
      <c r="M61" s="64">
        <v>27.46</v>
      </c>
      <c r="N61" s="64">
        <v>720.1</v>
      </c>
      <c r="O61" s="64">
        <v>0</v>
      </c>
      <c r="P61" s="64">
        <v>0.48</v>
      </c>
      <c r="Q61" s="64">
        <v>5.21</v>
      </c>
      <c r="S61" s="198"/>
      <c r="T61" s="198"/>
      <c r="U61" s="198"/>
    </row>
    <row r="62" spans="1:21" s="12" customFormat="1" x14ac:dyDescent="0.25">
      <c r="A62" s="213" t="s">
        <v>2412</v>
      </c>
      <c r="B62" s="64">
        <v>9.9499999999999993</v>
      </c>
      <c r="C62" s="64">
        <v>55.88</v>
      </c>
      <c r="D62" s="64">
        <v>39.47</v>
      </c>
      <c r="E62" s="64">
        <v>0.19</v>
      </c>
      <c r="F62" s="64">
        <v>3.27</v>
      </c>
      <c r="G62" s="64">
        <v>50.02</v>
      </c>
      <c r="H62" s="64">
        <v>17.690000000000001</v>
      </c>
      <c r="I62" s="64">
        <v>1.45</v>
      </c>
      <c r="J62" s="64">
        <v>1.07</v>
      </c>
      <c r="K62" s="64">
        <v>332.66</v>
      </c>
      <c r="L62" s="64">
        <v>29.95</v>
      </c>
      <c r="M62" s="64">
        <v>23.95</v>
      </c>
      <c r="N62" s="64">
        <v>624.4</v>
      </c>
      <c r="O62" s="64">
        <v>0</v>
      </c>
      <c r="P62" s="64">
        <v>0.49</v>
      </c>
      <c r="Q62" s="64">
        <v>5.21</v>
      </c>
      <c r="S62" s="198"/>
      <c r="T62" s="198"/>
      <c r="U62" s="198"/>
    </row>
    <row r="63" spans="1:21" s="12" customFormat="1" x14ac:dyDescent="0.25">
      <c r="A63" s="213" t="s">
        <v>2413</v>
      </c>
      <c r="B63" s="64">
        <v>9.16</v>
      </c>
      <c r="C63" s="64">
        <v>56.1</v>
      </c>
      <c r="D63" s="64">
        <v>38.950000000000003</v>
      </c>
      <c r="E63" s="64">
        <v>0.31</v>
      </c>
      <c r="F63" s="64">
        <v>3.7</v>
      </c>
      <c r="G63" s="64">
        <v>50.66</v>
      </c>
      <c r="H63" s="64">
        <v>17.690000000000001</v>
      </c>
      <c r="I63" s="64">
        <v>1.43</v>
      </c>
      <c r="J63" s="64">
        <v>1.0900000000000001</v>
      </c>
      <c r="K63" s="64">
        <v>330.41</v>
      </c>
      <c r="L63" s="64">
        <v>31.71</v>
      </c>
      <c r="M63" s="64">
        <v>20.96</v>
      </c>
      <c r="N63" s="64">
        <v>642.5</v>
      </c>
      <c r="O63" s="64">
        <v>0</v>
      </c>
      <c r="P63" s="64">
        <v>0.48</v>
      </c>
      <c r="Q63" s="64">
        <v>5.21</v>
      </c>
      <c r="S63" s="198"/>
      <c r="T63" s="198"/>
      <c r="U63" s="198"/>
    </row>
    <row r="64" spans="1:21" s="12" customFormat="1" x14ac:dyDescent="0.25">
      <c r="A64" s="213" t="s">
        <v>2414</v>
      </c>
      <c r="B64" s="64">
        <v>7.76</v>
      </c>
      <c r="C64" s="64">
        <v>56.37</v>
      </c>
      <c r="D64" s="64">
        <v>37.979999999999997</v>
      </c>
      <c r="E64" s="64">
        <v>0.19</v>
      </c>
      <c r="F64" s="64">
        <v>4.03</v>
      </c>
      <c r="G64" s="64">
        <v>50.66</v>
      </c>
      <c r="H64" s="64">
        <v>17.690000000000001</v>
      </c>
      <c r="I64" s="64">
        <v>1.5</v>
      </c>
      <c r="J64" s="64">
        <v>1.02</v>
      </c>
      <c r="K64" s="64">
        <v>335.89</v>
      </c>
      <c r="L64" s="64">
        <v>31.72</v>
      </c>
      <c r="M64" s="64">
        <v>20.58</v>
      </c>
      <c r="N64" s="64">
        <v>665.6</v>
      </c>
      <c r="O64" s="64">
        <v>0</v>
      </c>
      <c r="P64" s="64">
        <v>0.48</v>
      </c>
      <c r="Q64" s="64">
        <v>5.21</v>
      </c>
      <c r="S64" s="198"/>
      <c r="T64" s="198"/>
      <c r="U64" s="198"/>
    </row>
    <row r="65" spans="1:21" s="12" customFormat="1" x14ac:dyDescent="0.25">
      <c r="A65" s="213" t="s">
        <v>2415</v>
      </c>
      <c r="B65" s="64">
        <v>6.55</v>
      </c>
      <c r="C65" s="64">
        <v>56.6</v>
      </c>
      <c r="D65" s="64">
        <v>37.130000000000003</v>
      </c>
      <c r="E65" s="64">
        <v>0.14000000000000001</v>
      </c>
      <c r="F65" s="64">
        <v>3.94</v>
      </c>
      <c r="G65" s="64">
        <v>50.66</v>
      </c>
      <c r="H65" s="64">
        <v>17.690000000000001</v>
      </c>
      <c r="I65" s="64">
        <v>1.42</v>
      </c>
      <c r="J65" s="64">
        <v>0.84</v>
      </c>
      <c r="K65" s="64">
        <v>326.31</v>
      </c>
      <c r="L65" s="64">
        <v>32.03</v>
      </c>
      <c r="M65" s="64">
        <v>20.76</v>
      </c>
      <c r="N65" s="64">
        <v>637.1</v>
      </c>
      <c r="O65" s="64">
        <v>0</v>
      </c>
      <c r="P65" s="64">
        <v>0.48</v>
      </c>
      <c r="Q65" s="64">
        <v>5.21</v>
      </c>
      <c r="S65" s="198"/>
      <c r="T65" s="198"/>
      <c r="U65" s="198"/>
    </row>
    <row r="66" spans="1:21" s="12" customFormat="1" x14ac:dyDescent="0.25">
      <c r="A66" s="213" t="s">
        <v>2416</v>
      </c>
      <c r="B66" s="64">
        <v>6.03</v>
      </c>
      <c r="C66" s="64">
        <v>55.48</v>
      </c>
      <c r="D66" s="64">
        <v>36.1</v>
      </c>
      <c r="E66" s="64">
        <v>0.1</v>
      </c>
      <c r="F66" s="64">
        <v>3.93</v>
      </c>
      <c r="G66" s="64">
        <v>53.9</v>
      </c>
      <c r="H66" s="64">
        <v>11.5</v>
      </c>
      <c r="I66" s="64">
        <v>1.52</v>
      </c>
      <c r="J66" s="64">
        <v>0.63</v>
      </c>
      <c r="K66" s="64">
        <v>327.84</v>
      </c>
      <c r="L66" s="64">
        <v>31.66</v>
      </c>
      <c r="M66" s="64">
        <v>21.11</v>
      </c>
      <c r="N66" s="64">
        <v>565.20000000000005</v>
      </c>
      <c r="O66" s="64">
        <v>0</v>
      </c>
      <c r="P66" s="64">
        <v>0.47</v>
      </c>
      <c r="Q66" s="64">
        <v>5.21</v>
      </c>
      <c r="S66" s="198"/>
      <c r="T66" s="198"/>
      <c r="U66" s="198"/>
    </row>
    <row r="67" spans="1:21" s="12" customFormat="1" x14ac:dyDescent="0.25">
      <c r="A67" s="213" t="s">
        <v>2417</v>
      </c>
      <c r="B67" s="64">
        <v>5.82</v>
      </c>
      <c r="C67" s="64">
        <v>55.02</v>
      </c>
      <c r="D67" s="64">
        <v>35.67</v>
      </c>
      <c r="E67" s="64">
        <v>0.12</v>
      </c>
      <c r="F67" s="64">
        <v>3.86</v>
      </c>
      <c r="G67" s="64">
        <v>54.55</v>
      </c>
      <c r="H67" s="64">
        <v>11.5</v>
      </c>
      <c r="I67" s="64">
        <v>1.58</v>
      </c>
      <c r="J67" s="64">
        <v>0.62</v>
      </c>
      <c r="K67" s="64">
        <v>340.25</v>
      </c>
      <c r="L67" s="64">
        <v>30.81</v>
      </c>
      <c r="M67" s="64">
        <v>22.62</v>
      </c>
      <c r="N67" s="64">
        <v>531.79999999999995</v>
      </c>
      <c r="O67" s="64">
        <v>0</v>
      </c>
      <c r="P67" s="64">
        <v>0.47</v>
      </c>
      <c r="Q67" s="64">
        <v>5.21</v>
      </c>
      <c r="S67" s="198"/>
      <c r="T67" s="198"/>
      <c r="U67" s="198"/>
    </row>
    <row r="68" spans="1:21" s="12" customFormat="1" x14ac:dyDescent="0.25">
      <c r="A68" s="213" t="s">
        <v>2418</v>
      </c>
      <c r="B68" s="64">
        <v>5.74</v>
      </c>
      <c r="C68" s="64">
        <v>54.34</v>
      </c>
      <c r="D68" s="64">
        <v>35.24</v>
      </c>
      <c r="E68" s="64">
        <v>0.17</v>
      </c>
      <c r="F68" s="64">
        <v>4.0599999999999996</v>
      </c>
      <c r="G68" s="64">
        <v>54.55</v>
      </c>
      <c r="H68" s="64">
        <v>11.5</v>
      </c>
      <c r="I68" s="64">
        <v>1.49</v>
      </c>
      <c r="J68" s="64">
        <v>1.1399999999999999</v>
      </c>
      <c r="K68" s="64">
        <v>348.74</v>
      </c>
      <c r="L68" s="64">
        <v>30.22</v>
      </c>
      <c r="M68" s="64">
        <v>23.92</v>
      </c>
      <c r="N68" s="64">
        <v>442.7</v>
      </c>
      <c r="O68" s="64">
        <v>0</v>
      </c>
      <c r="P68" s="64">
        <v>0.47</v>
      </c>
      <c r="Q68" s="64">
        <v>5.21</v>
      </c>
      <c r="S68" s="198"/>
      <c r="T68" s="198"/>
      <c r="U68" s="198"/>
    </row>
    <row r="69" spans="1:21" s="12" customFormat="1" x14ac:dyDescent="0.25">
      <c r="A69" s="213" t="s">
        <v>2419</v>
      </c>
      <c r="B69" s="64">
        <v>5.66</v>
      </c>
      <c r="C69" s="64">
        <v>54.32</v>
      </c>
      <c r="D69" s="64">
        <v>35.159999999999997</v>
      </c>
      <c r="E69" s="64">
        <v>0.1</v>
      </c>
      <c r="F69" s="64">
        <v>4.18</v>
      </c>
      <c r="G69" s="64">
        <v>54.55</v>
      </c>
      <c r="H69" s="64">
        <v>11.5</v>
      </c>
      <c r="I69" s="64">
        <v>1.55</v>
      </c>
      <c r="J69" s="64">
        <v>1.29</v>
      </c>
      <c r="K69" s="64">
        <v>351.13</v>
      </c>
      <c r="L69" s="64">
        <v>30</v>
      </c>
      <c r="M69" s="64">
        <v>23.59</v>
      </c>
      <c r="N69" s="64">
        <v>341.8</v>
      </c>
      <c r="O69" s="64">
        <v>0</v>
      </c>
      <c r="P69" s="64">
        <v>0.47</v>
      </c>
      <c r="Q69" s="64">
        <v>5.21</v>
      </c>
      <c r="S69" s="198"/>
      <c r="T69" s="198"/>
      <c r="U69" s="198"/>
    </row>
    <row r="70" spans="1:21" s="12" customFormat="1" x14ac:dyDescent="0.25">
      <c r="A70" s="213" t="s">
        <v>2420</v>
      </c>
      <c r="B70" s="64">
        <v>5.71</v>
      </c>
      <c r="C70" s="64">
        <v>54.72</v>
      </c>
      <c r="D70" s="64">
        <v>35.42</v>
      </c>
      <c r="E70" s="64">
        <v>0.16</v>
      </c>
      <c r="F70" s="64">
        <v>3.71</v>
      </c>
      <c r="G70" s="64">
        <v>54.44</v>
      </c>
      <c r="H70" s="64">
        <v>7.71</v>
      </c>
      <c r="I70" s="64">
        <v>1.46</v>
      </c>
      <c r="J70" s="64">
        <v>0.88</v>
      </c>
      <c r="K70" s="64">
        <v>341.31</v>
      </c>
      <c r="L70" s="64">
        <v>29.63</v>
      </c>
      <c r="M70" s="64">
        <v>23.95</v>
      </c>
      <c r="N70" s="64">
        <v>188.4</v>
      </c>
      <c r="O70" s="64">
        <v>0</v>
      </c>
      <c r="P70" s="64">
        <v>0.47</v>
      </c>
      <c r="Q70" s="64">
        <v>5.21</v>
      </c>
      <c r="S70" s="198"/>
      <c r="T70" s="198"/>
      <c r="U70" s="198"/>
    </row>
    <row r="71" spans="1:21" s="12" customFormat="1" x14ac:dyDescent="0.25">
      <c r="A71" s="213" t="s">
        <v>2421</v>
      </c>
      <c r="B71" s="64">
        <v>5.84</v>
      </c>
      <c r="C71" s="64">
        <v>54.94</v>
      </c>
      <c r="D71" s="64">
        <v>35.65</v>
      </c>
      <c r="E71" s="64">
        <v>0.12</v>
      </c>
      <c r="F71" s="64">
        <v>3.84</v>
      </c>
      <c r="G71" s="64">
        <v>54.42</v>
      </c>
      <c r="H71" s="64">
        <v>7.71</v>
      </c>
      <c r="I71" s="64">
        <v>1.5</v>
      </c>
      <c r="J71" s="64">
        <v>1.01</v>
      </c>
      <c r="K71" s="64">
        <v>345.98</v>
      </c>
      <c r="L71" s="64">
        <v>29.18</v>
      </c>
      <c r="M71" s="64">
        <v>25.04</v>
      </c>
      <c r="N71" s="64">
        <v>168.8</v>
      </c>
      <c r="O71" s="64">
        <v>0</v>
      </c>
      <c r="P71" s="64">
        <v>0.48</v>
      </c>
      <c r="Q71" s="64">
        <v>5.21</v>
      </c>
      <c r="S71" s="198"/>
      <c r="T71" s="198"/>
      <c r="U71" s="198"/>
    </row>
    <row r="72" spans="1:21" s="12" customFormat="1" x14ac:dyDescent="0.25">
      <c r="A72" s="213" t="s">
        <v>2422</v>
      </c>
      <c r="B72" s="64">
        <v>6.02</v>
      </c>
      <c r="C72" s="64">
        <v>54.81</v>
      </c>
      <c r="D72" s="64">
        <v>35.72</v>
      </c>
      <c r="E72" s="64">
        <v>0.15</v>
      </c>
      <c r="F72" s="64">
        <v>3.88</v>
      </c>
      <c r="G72" s="64">
        <v>54.42</v>
      </c>
      <c r="H72" s="64">
        <v>7.71</v>
      </c>
      <c r="I72" s="64">
        <v>1.5</v>
      </c>
      <c r="J72" s="64">
        <v>0.81</v>
      </c>
      <c r="K72" s="64">
        <v>351.56</v>
      </c>
      <c r="L72" s="64">
        <v>28.38</v>
      </c>
      <c r="M72" s="64">
        <v>25.84</v>
      </c>
      <c r="N72" s="64">
        <v>146.6</v>
      </c>
      <c r="O72" s="64">
        <v>0</v>
      </c>
      <c r="P72" s="64">
        <v>0.48</v>
      </c>
      <c r="Q72" s="64">
        <v>5.21</v>
      </c>
      <c r="S72" s="198"/>
      <c r="T72" s="198"/>
      <c r="U72" s="198"/>
    </row>
    <row r="73" spans="1:21" s="12" customFormat="1" x14ac:dyDescent="0.25">
      <c r="A73" s="213" t="s">
        <v>2423</v>
      </c>
      <c r="B73" s="64">
        <v>5.99</v>
      </c>
      <c r="C73" s="64">
        <v>54.51</v>
      </c>
      <c r="D73" s="64">
        <v>35.54</v>
      </c>
      <c r="E73" s="64">
        <v>0.31</v>
      </c>
      <c r="F73" s="64">
        <v>3.84</v>
      </c>
      <c r="G73" s="64">
        <v>54.42</v>
      </c>
      <c r="H73" s="64">
        <v>7.71</v>
      </c>
      <c r="I73" s="64">
        <v>1.55</v>
      </c>
      <c r="J73" s="64">
        <v>0.71</v>
      </c>
      <c r="K73" s="64">
        <v>335.96</v>
      </c>
      <c r="L73" s="64">
        <v>27.38</v>
      </c>
      <c r="M73" s="64">
        <v>27.56</v>
      </c>
      <c r="N73" s="64">
        <v>139.80000000000001</v>
      </c>
      <c r="O73" s="64">
        <v>0</v>
      </c>
      <c r="P73" s="64">
        <v>0.48</v>
      </c>
      <c r="Q73" s="64">
        <v>5.21</v>
      </c>
      <c r="S73" s="198"/>
      <c r="T73" s="198"/>
      <c r="U73" s="198"/>
    </row>
    <row r="74" spans="1:21" s="12" customFormat="1" x14ac:dyDescent="0.25">
      <c r="A74" s="213" t="s">
        <v>2424</v>
      </c>
      <c r="B74" s="64">
        <v>6.07</v>
      </c>
      <c r="C74" s="64">
        <v>54.72</v>
      </c>
      <c r="D74" s="64">
        <v>35.71</v>
      </c>
      <c r="E74" s="64">
        <v>0.32</v>
      </c>
      <c r="F74" s="64">
        <v>3.81</v>
      </c>
      <c r="G74" s="64">
        <v>56.63</v>
      </c>
      <c r="H74" s="64">
        <v>26.91</v>
      </c>
      <c r="I74" s="64">
        <v>1.49</v>
      </c>
      <c r="J74" s="64">
        <v>0.73</v>
      </c>
      <c r="K74" s="64">
        <v>4.96</v>
      </c>
      <c r="L74" s="64">
        <v>26.9</v>
      </c>
      <c r="M74" s="64">
        <v>27.9</v>
      </c>
      <c r="N74" s="64">
        <v>97.8</v>
      </c>
      <c r="O74" s="64">
        <v>0</v>
      </c>
      <c r="P74" s="64">
        <v>0.49</v>
      </c>
      <c r="Q74" s="64">
        <v>5.21</v>
      </c>
      <c r="S74" s="198"/>
      <c r="T74" s="198"/>
      <c r="U74" s="198"/>
    </row>
    <row r="75" spans="1:21" s="12" customFormat="1" x14ac:dyDescent="0.25">
      <c r="A75" s="213" t="s">
        <v>2425</v>
      </c>
      <c r="B75" s="64">
        <v>5.93</v>
      </c>
      <c r="C75" s="64">
        <v>55.01</v>
      </c>
      <c r="D75" s="64">
        <v>35.76</v>
      </c>
      <c r="E75" s="64">
        <v>0.21</v>
      </c>
      <c r="F75" s="64">
        <v>3.85</v>
      </c>
      <c r="G75" s="64">
        <v>57.07</v>
      </c>
      <c r="H75" s="64">
        <v>26.91</v>
      </c>
      <c r="I75" s="64">
        <v>1.48</v>
      </c>
      <c r="J75" s="64">
        <v>0.54</v>
      </c>
      <c r="K75" s="64">
        <v>9.07</v>
      </c>
      <c r="L75" s="64">
        <v>25.97</v>
      </c>
      <c r="M75" s="64">
        <v>28.92</v>
      </c>
      <c r="N75" s="64">
        <v>81</v>
      </c>
      <c r="O75" s="64">
        <v>0</v>
      </c>
      <c r="P75" s="64">
        <v>0.5</v>
      </c>
      <c r="Q75" s="64">
        <v>5.21</v>
      </c>
      <c r="S75" s="198"/>
      <c r="T75" s="198"/>
      <c r="U75" s="198"/>
    </row>
    <row r="76" spans="1:21" s="12" customFormat="1" x14ac:dyDescent="0.25">
      <c r="A76" s="213" t="s">
        <v>2426</v>
      </c>
      <c r="B76" s="64">
        <v>6.02</v>
      </c>
      <c r="C76" s="64">
        <v>55.39</v>
      </c>
      <c r="D76" s="64">
        <v>36.04</v>
      </c>
      <c r="E76" s="64">
        <v>0.35</v>
      </c>
      <c r="F76" s="64">
        <v>3.96</v>
      </c>
      <c r="G76" s="64">
        <v>57.07</v>
      </c>
      <c r="H76" s="64">
        <v>26.91</v>
      </c>
      <c r="I76" s="64">
        <v>1.51</v>
      </c>
      <c r="J76" s="64">
        <v>1.03</v>
      </c>
      <c r="K76" s="64">
        <v>353.79</v>
      </c>
      <c r="L76" s="64">
        <v>26.04</v>
      </c>
      <c r="M76" s="64">
        <v>28.48</v>
      </c>
      <c r="N76" s="64">
        <v>67.8</v>
      </c>
      <c r="O76" s="64">
        <v>0</v>
      </c>
      <c r="P76" s="64">
        <v>0.52</v>
      </c>
      <c r="Q76" s="64">
        <v>5.21</v>
      </c>
      <c r="S76" s="198"/>
      <c r="T76" s="198"/>
      <c r="U76" s="198"/>
    </row>
    <row r="77" spans="1:21" s="12" customFormat="1" x14ac:dyDescent="0.25">
      <c r="A77" s="213" t="s">
        <v>2427</v>
      </c>
      <c r="B77" s="64">
        <v>6.4</v>
      </c>
      <c r="C77" s="64">
        <v>56.22</v>
      </c>
      <c r="D77" s="64">
        <v>36.799999999999997</v>
      </c>
      <c r="E77" s="64">
        <v>0.31</v>
      </c>
      <c r="F77" s="64">
        <v>3.97</v>
      </c>
      <c r="G77" s="64">
        <v>57.07</v>
      </c>
      <c r="H77" s="64">
        <v>26.91</v>
      </c>
      <c r="I77" s="64">
        <v>1.48</v>
      </c>
      <c r="J77" s="64">
        <v>0.57999999999999996</v>
      </c>
      <c r="K77" s="64">
        <v>2.88</v>
      </c>
      <c r="L77" s="64">
        <v>25.36</v>
      </c>
      <c r="M77" s="64">
        <v>34.26</v>
      </c>
      <c r="N77" s="64">
        <v>54.6</v>
      </c>
      <c r="O77" s="64">
        <v>0</v>
      </c>
      <c r="P77" s="64">
        <v>0.54</v>
      </c>
      <c r="Q77" s="64">
        <v>5.21</v>
      </c>
      <c r="S77" s="198"/>
      <c r="T77" s="198"/>
      <c r="U77" s="198"/>
    </row>
    <row r="78" spans="1:21" s="12" customFormat="1" x14ac:dyDescent="0.25">
      <c r="A78" s="213" t="s">
        <v>2428</v>
      </c>
      <c r="B78" s="64">
        <v>6.98</v>
      </c>
      <c r="C78" s="64">
        <v>56.82</v>
      </c>
      <c r="D78" s="64">
        <v>37.61</v>
      </c>
      <c r="E78" s="64">
        <v>0.35</v>
      </c>
      <c r="F78" s="64">
        <v>3.72</v>
      </c>
      <c r="G78" s="64">
        <v>59.08</v>
      </c>
      <c r="H78" s="64">
        <v>23.3</v>
      </c>
      <c r="I78" s="64">
        <v>1.49</v>
      </c>
      <c r="J78" s="64">
        <v>0.38</v>
      </c>
      <c r="K78" s="64">
        <v>339.36</v>
      </c>
      <c r="L78" s="64">
        <v>24.69</v>
      </c>
      <c r="M78" s="64">
        <v>38.979999999999997</v>
      </c>
      <c r="N78" s="64">
        <v>40.200000000000003</v>
      </c>
      <c r="O78" s="64">
        <v>0</v>
      </c>
      <c r="P78" s="64">
        <v>0.56000000000000005</v>
      </c>
      <c r="Q78" s="64">
        <v>5.21</v>
      </c>
      <c r="S78" s="198"/>
      <c r="T78" s="198"/>
      <c r="U78" s="198"/>
    </row>
    <row r="79" spans="1:21" s="12" customFormat="1" x14ac:dyDescent="0.25">
      <c r="A79" s="213" t="s">
        <v>2429</v>
      </c>
      <c r="B79" s="64">
        <v>8.08</v>
      </c>
      <c r="C79" s="64">
        <v>57.72</v>
      </c>
      <c r="D79" s="64">
        <v>38.979999999999997</v>
      </c>
      <c r="E79" s="64">
        <v>0.31</v>
      </c>
      <c r="F79" s="64">
        <v>3.39</v>
      </c>
      <c r="G79" s="64">
        <v>59.48</v>
      </c>
      <c r="H79" s="64">
        <v>23.3</v>
      </c>
      <c r="I79" s="64">
        <v>1.48</v>
      </c>
      <c r="J79" s="64">
        <v>0.5</v>
      </c>
      <c r="K79" s="64">
        <v>350.2</v>
      </c>
      <c r="L79" s="64">
        <v>24.23</v>
      </c>
      <c r="M79" s="64">
        <v>39.33</v>
      </c>
      <c r="N79" s="64">
        <v>27.3</v>
      </c>
      <c r="O79" s="64">
        <v>0</v>
      </c>
      <c r="P79" s="64">
        <v>0.6</v>
      </c>
      <c r="Q79" s="64">
        <v>5.21</v>
      </c>
      <c r="S79" s="198"/>
      <c r="T79" s="198"/>
      <c r="U79" s="198"/>
    </row>
    <row r="80" spans="1:21" s="12" customFormat="1" x14ac:dyDescent="0.25">
      <c r="A80" s="213" t="s">
        <v>2430</v>
      </c>
      <c r="B80" s="64">
        <v>9.09</v>
      </c>
      <c r="C80" s="64">
        <v>58.3</v>
      </c>
      <c r="D80" s="64">
        <v>40.11</v>
      </c>
      <c r="E80" s="64">
        <v>0.31</v>
      </c>
      <c r="F80" s="64">
        <v>3.27</v>
      </c>
      <c r="G80" s="64">
        <v>59.48</v>
      </c>
      <c r="H80" s="64">
        <v>23.3</v>
      </c>
      <c r="I80" s="64">
        <v>1.44</v>
      </c>
      <c r="J80" s="64">
        <v>0.49</v>
      </c>
      <c r="K80" s="64">
        <v>343.97</v>
      </c>
      <c r="L80" s="64">
        <v>23.88</v>
      </c>
      <c r="M80" s="64">
        <v>41.45</v>
      </c>
      <c r="N80" s="64">
        <v>18.399999999999999</v>
      </c>
      <c r="O80" s="64">
        <v>0</v>
      </c>
      <c r="P80" s="64">
        <v>0.63</v>
      </c>
      <c r="Q80" s="64">
        <v>5.21</v>
      </c>
      <c r="S80" s="198"/>
      <c r="T80" s="198"/>
      <c r="U80" s="198"/>
    </row>
    <row r="81" spans="1:26" s="12" customFormat="1" x14ac:dyDescent="0.25">
      <c r="A81" s="213" t="s">
        <v>2431</v>
      </c>
      <c r="B81" s="64">
        <v>10.45</v>
      </c>
      <c r="C81" s="64">
        <v>58.79</v>
      </c>
      <c r="D81" s="64">
        <v>41.47</v>
      </c>
      <c r="E81" s="64">
        <v>0.37</v>
      </c>
      <c r="F81" s="64">
        <v>3.3</v>
      </c>
      <c r="G81" s="64">
        <v>59.48</v>
      </c>
      <c r="H81" s="64">
        <v>23.3</v>
      </c>
      <c r="I81" s="64">
        <v>1.5</v>
      </c>
      <c r="J81" s="64">
        <v>0.54</v>
      </c>
      <c r="K81" s="64">
        <v>344.15</v>
      </c>
      <c r="L81" s="64">
        <v>23.58</v>
      </c>
      <c r="M81" s="64">
        <v>41.8</v>
      </c>
      <c r="N81" s="64">
        <v>15.1</v>
      </c>
      <c r="O81" s="64">
        <v>0</v>
      </c>
      <c r="P81" s="64">
        <v>0.66</v>
      </c>
      <c r="Q81" s="64">
        <v>5.21</v>
      </c>
      <c r="S81" s="198"/>
      <c r="T81" s="198"/>
      <c r="U81" s="198"/>
    </row>
    <row r="82" spans="1:26" s="12" customFormat="1" x14ac:dyDescent="0.25">
      <c r="A82" s="213" t="s">
        <v>2432</v>
      </c>
      <c r="B82" s="64">
        <v>11.89</v>
      </c>
      <c r="C82" s="64">
        <v>59.24</v>
      </c>
      <c r="D82" s="64">
        <v>42.87</v>
      </c>
      <c r="E82" s="64">
        <v>0.39</v>
      </c>
      <c r="F82" s="64">
        <v>3.38</v>
      </c>
      <c r="G82" s="64">
        <v>62.89</v>
      </c>
      <c r="H82" s="64">
        <v>23.86</v>
      </c>
      <c r="I82" s="64">
        <v>1.43</v>
      </c>
      <c r="J82" s="64">
        <v>0.37</v>
      </c>
      <c r="K82" s="64">
        <v>346.73</v>
      </c>
      <c r="L82" s="64">
        <v>23.34</v>
      </c>
      <c r="M82" s="64">
        <v>40.06</v>
      </c>
      <c r="N82" s="64">
        <v>14.6</v>
      </c>
      <c r="O82" s="64">
        <v>0</v>
      </c>
      <c r="P82" s="64">
        <v>0.7</v>
      </c>
      <c r="Q82" s="64">
        <v>5.21</v>
      </c>
      <c r="S82" s="198"/>
      <c r="T82" s="198"/>
      <c r="U82" s="198"/>
    </row>
    <row r="83" spans="1:26" s="12" customFormat="1" x14ac:dyDescent="0.25">
      <c r="A83" s="213" t="s">
        <v>2433</v>
      </c>
      <c r="B83" s="64">
        <v>13.14</v>
      </c>
      <c r="C83" s="64">
        <v>60.14</v>
      </c>
      <c r="D83" s="64">
        <v>44.37</v>
      </c>
      <c r="E83" s="64">
        <v>0.35</v>
      </c>
      <c r="F83" s="64">
        <v>3.22</v>
      </c>
      <c r="G83" s="64">
        <v>63.57</v>
      </c>
      <c r="H83" s="64">
        <v>23.86</v>
      </c>
      <c r="I83" s="64">
        <v>1.41</v>
      </c>
      <c r="J83" s="64">
        <v>0.32</v>
      </c>
      <c r="K83" s="64">
        <v>359.02</v>
      </c>
      <c r="L83" s="64">
        <v>23.28</v>
      </c>
      <c r="M83" s="64">
        <v>34.96</v>
      </c>
      <c r="N83" s="64">
        <v>14.5</v>
      </c>
      <c r="O83" s="64">
        <v>0</v>
      </c>
      <c r="P83" s="64">
        <v>0.75</v>
      </c>
      <c r="Q83" s="64">
        <v>5.21</v>
      </c>
      <c r="S83" s="198"/>
      <c r="T83" s="198"/>
      <c r="U83" s="198"/>
    </row>
    <row r="84" spans="1:26" s="12" customFormat="1" x14ac:dyDescent="0.25">
      <c r="A84" s="213" t="s">
        <v>2434</v>
      </c>
      <c r="B84" s="64">
        <v>14.37</v>
      </c>
      <c r="C84" s="64">
        <v>59.7</v>
      </c>
      <c r="D84" s="64">
        <v>45.12</v>
      </c>
      <c r="E84" s="64">
        <v>0.31</v>
      </c>
      <c r="F84" s="64">
        <v>3.22</v>
      </c>
      <c r="G84" s="64">
        <v>63.57</v>
      </c>
      <c r="H84" s="64">
        <v>23.86</v>
      </c>
      <c r="I84" s="64">
        <v>1.52</v>
      </c>
      <c r="J84" s="64">
        <v>0.24</v>
      </c>
      <c r="K84" s="64">
        <v>46.94</v>
      </c>
      <c r="L84" s="64">
        <v>22.96</v>
      </c>
      <c r="M84" s="64">
        <v>36.119999999999997</v>
      </c>
      <c r="N84" s="64">
        <v>14.7</v>
      </c>
      <c r="O84" s="64">
        <v>0</v>
      </c>
      <c r="P84" s="64">
        <v>0.85</v>
      </c>
      <c r="Q84" s="64">
        <v>5.21</v>
      </c>
      <c r="S84" s="198"/>
      <c r="T84" s="198"/>
      <c r="U84" s="198"/>
    </row>
    <row r="85" spans="1:26" s="12" customFormat="1" x14ac:dyDescent="0.25">
      <c r="A85" s="213" t="s">
        <v>2435</v>
      </c>
      <c r="B85" s="64">
        <v>15.31</v>
      </c>
      <c r="C85" s="64">
        <v>58.76</v>
      </c>
      <c r="D85" s="64">
        <v>45.35</v>
      </c>
      <c r="E85" s="64">
        <v>0.33</v>
      </c>
      <c r="F85" s="64">
        <v>3.48</v>
      </c>
      <c r="G85" s="64">
        <v>63.57</v>
      </c>
      <c r="H85" s="64">
        <v>23.86</v>
      </c>
      <c r="I85" s="64">
        <v>1.54</v>
      </c>
      <c r="J85" s="64">
        <v>0.12</v>
      </c>
      <c r="K85" s="64">
        <v>24.06</v>
      </c>
      <c r="L85" s="64">
        <v>22.6</v>
      </c>
      <c r="M85" s="64">
        <v>37.18</v>
      </c>
      <c r="N85" s="64">
        <v>14.9</v>
      </c>
      <c r="O85" s="64">
        <v>0</v>
      </c>
      <c r="P85" s="64">
        <v>0.81</v>
      </c>
      <c r="Q85" s="64">
        <v>5.21</v>
      </c>
      <c r="S85" s="198"/>
      <c r="T85" s="198"/>
      <c r="U85" s="198"/>
    </row>
    <row r="86" spans="1:26" s="12" customFormat="1" x14ac:dyDescent="0.25">
      <c r="A86" s="213" t="s">
        <v>2436</v>
      </c>
      <c r="B86" s="64">
        <v>16.71</v>
      </c>
      <c r="C86" s="64">
        <v>58.12</v>
      </c>
      <c r="D86" s="64">
        <v>46.12</v>
      </c>
      <c r="E86" s="64">
        <v>0.38</v>
      </c>
      <c r="F86" s="64">
        <v>3.34</v>
      </c>
      <c r="G86" s="64">
        <v>65.77</v>
      </c>
      <c r="H86" s="64">
        <v>23.81</v>
      </c>
      <c r="I86" s="64">
        <v>1.5</v>
      </c>
      <c r="J86" s="64">
        <v>0.26</v>
      </c>
      <c r="K86" s="64">
        <v>66.010000000000005</v>
      </c>
      <c r="L86" s="64">
        <v>22.44</v>
      </c>
      <c r="M86" s="64">
        <v>37.83</v>
      </c>
      <c r="N86" s="64">
        <v>14.5</v>
      </c>
      <c r="O86" s="64">
        <v>0</v>
      </c>
      <c r="P86" s="64">
        <v>0.9</v>
      </c>
      <c r="Q86" s="64">
        <v>5.21</v>
      </c>
      <c r="S86" s="198"/>
      <c r="T86" s="198"/>
      <c r="U86" s="198"/>
    </row>
    <row r="87" spans="1:26" s="12" customFormat="1" x14ac:dyDescent="0.25">
      <c r="A87" s="213" t="s">
        <v>2437</v>
      </c>
      <c r="B87" s="64">
        <v>17.420000000000002</v>
      </c>
      <c r="C87" s="64">
        <v>57.19</v>
      </c>
      <c r="D87" s="64">
        <v>46.18</v>
      </c>
      <c r="E87" s="64">
        <v>0.4</v>
      </c>
      <c r="F87" s="64">
        <v>3.27</v>
      </c>
      <c r="G87" s="64">
        <v>66.209999999999994</v>
      </c>
      <c r="H87" s="64">
        <v>23.81</v>
      </c>
      <c r="I87" s="64">
        <v>1.51</v>
      </c>
      <c r="J87" s="64">
        <v>0.23</v>
      </c>
      <c r="K87" s="64">
        <v>67.819999999999993</v>
      </c>
      <c r="L87" s="64">
        <v>22.42</v>
      </c>
      <c r="M87" s="64">
        <v>37.47</v>
      </c>
      <c r="N87" s="64">
        <v>14.5</v>
      </c>
      <c r="O87" s="64">
        <v>0</v>
      </c>
      <c r="P87" s="64">
        <v>0.88</v>
      </c>
      <c r="Q87" s="64">
        <v>5.21</v>
      </c>
      <c r="S87" s="198"/>
      <c r="T87" s="198"/>
      <c r="U87" s="198"/>
    </row>
    <row r="88" spans="1:26" s="12" customFormat="1" x14ac:dyDescent="0.25">
      <c r="A88" s="213" t="s">
        <v>2438</v>
      </c>
      <c r="B88" s="64">
        <v>17.78</v>
      </c>
      <c r="C88" s="64">
        <v>56.07</v>
      </c>
      <c r="D88" s="64">
        <v>45.85</v>
      </c>
      <c r="E88" s="64">
        <v>0.15</v>
      </c>
      <c r="F88" s="64">
        <v>3.44</v>
      </c>
      <c r="G88" s="64">
        <v>66.209999999999994</v>
      </c>
      <c r="H88" s="64">
        <v>23.81</v>
      </c>
      <c r="I88" s="64">
        <v>1.5</v>
      </c>
      <c r="J88" s="64">
        <v>0.31</v>
      </c>
      <c r="K88" s="64">
        <v>83.64</v>
      </c>
      <c r="L88" s="64">
        <v>22.24</v>
      </c>
      <c r="M88" s="64">
        <v>38.47</v>
      </c>
      <c r="N88" s="64">
        <v>14.5</v>
      </c>
      <c r="O88" s="64">
        <v>0</v>
      </c>
      <c r="P88" s="64">
        <v>0.87</v>
      </c>
      <c r="Q88" s="64">
        <v>5.21</v>
      </c>
      <c r="S88" s="198"/>
      <c r="T88" s="198"/>
      <c r="U88" s="198"/>
    </row>
    <row r="89" spans="1:26" s="12" customFormat="1" x14ac:dyDescent="0.25">
      <c r="A89" s="213" t="s">
        <v>2439</v>
      </c>
      <c r="B89" s="64">
        <v>17.79</v>
      </c>
      <c r="C89" s="64">
        <v>55.31</v>
      </c>
      <c r="D89" s="64">
        <v>45.44</v>
      </c>
      <c r="E89" s="64">
        <v>0.18</v>
      </c>
      <c r="F89" s="64">
        <v>3.53</v>
      </c>
      <c r="G89" s="64">
        <v>66.209999999999994</v>
      </c>
      <c r="H89" s="64">
        <v>23.81</v>
      </c>
      <c r="I89" s="64">
        <v>1.42</v>
      </c>
      <c r="J89" s="64">
        <v>0.21</v>
      </c>
      <c r="K89" s="64">
        <v>55.4</v>
      </c>
      <c r="L89" s="64">
        <v>22.04</v>
      </c>
      <c r="M89" s="64">
        <v>38.71</v>
      </c>
      <c r="N89" s="64">
        <v>14.6</v>
      </c>
      <c r="O89" s="64">
        <v>0</v>
      </c>
      <c r="P89" s="64">
        <v>0.92</v>
      </c>
      <c r="Q89" s="64">
        <v>5.21</v>
      </c>
      <c r="S89" s="198"/>
      <c r="T89" s="198"/>
      <c r="U89" s="198"/>
    </row>
    <row r="90" spans="1:26" s="12" customFormat="1" x14ac:dyDescent="0.25">
      <c r="A90" s="213" t="s">
        <v>2440</v>
      </c>
      <c r="B90" s="64">
        <v>18.260000000000002</v>
      </c>
      <c r="C90" s="64">
        <v>54.77</v>
      </c>
      <c r="D90" s="64">
        <v>45.52</v>
      </c>
      <c r="E90" s="64">
        <v>0.2</v>
      </c>
      <c r="F90" s="64">
        <v>3.3</v>
      </c>
      <c r="G90" s="64">
        <v>70.23</v>
      </c>
      <c r="H90" s="64">
        <v>25.83</v>
      </c>
      <c r="I90" s="64">
        <v>1.49</v>
      </c>
      <c r="J90" s="64">
        <v>0.19</v>
      </c>
      <c r="K90" s="64">
        <v>40.01</v>
      </c>
      <c r="L90" s="64">
        <v>21.86</v>
      </c>
      <c r="M90" s="64">
        <v>38.71</v>
      </c>
      <c r="N90" s="64">
        <v>14.5</v>
      </c>
      <c r="O90" s="64">
        <v>0</v>
      </c>
      <c r="P90" s="64">
        <v>0.91</v>
      </c>
      <c r="Q90" s="64">
        <v>5.21</v>
      </c>
      <c r="S90" s="198"/>
      <c r="T90" s="198"/>
      <c r="U90" s="198"/>
    </row>
    <row r="91" spans="1:26" s="12" customFormat="1" x14ac:dyDescent="0.25">
      <c r="A91" s="213" t="s">
        <v>2441</v>
      </c>
      <c r="B91" s="64">
        <v>19.59</v>
      </c>
      <c r="C91" s="64">
        <v>53.26</v>
      </c>
      <c r="D91" s="64">
        <v>45.75</v>
      </c>
      <c r="E91" s="64">
        <v>0.18</v>
      </c>
      <c r="F91" s="64">
        <v>3.53</v>
      </c>
      <c r="G91" s="64">
        <v>71.03</v>
      </c>
      <c r="H91" s="64">
        <v>25.83</v>
      </c>
      <c r="I91" s="64">
        <v>1.47</v>
      </c>
      <c r="J91" s="64">
        <v>0.18</v>
      </c>
      <c r="K91" s="64">
        <v>46.53</v>
      </c>
      <c r="L91" s="64">
        <v>21.61</v>
      </c>
      <c r="M91" s="64">
        <v>39.64</v>
      </c>
      <c r="N91" s="64">
        <v>14.5</v>
      </c>
      <c r="O91" s="64">
        <v>0</v>
      </c>
      <c r="P91" s="64">
        <v>0.92</v>
      </c>
      <c r="Q91" s="64">
        <v>5.21</v>
      </c>
      <c r="S91" s="198"/>
      <c r="T91" s="198"/>
      <c r="U91" s="198"/>
    </row>
    <row r="92" spans="1:26" s="12" customFormat="1" x14ac:dyDescent="0.25">
      <c r="A92" s="213" t="s">
        <v>2442</v>
      </c>
      <c r="B92" s="64">
        <v>20.94</v>
      </c>
      <c r="C92" s="64">
        <v>52.6</v>
      </c>
      <c r="D92" s="64">
        <v>46.47</v>
      </c>
      <c r="E92" s="64">
        <v>0.19</v>
      </c>
      <c r="F92" s="64">
        <v>3.54</v>
      </c>
      <c r="G92" s="64">
        <v>71.03</v>
      </c>
      <c r="H92" s="64">
        <v>25.83</v>
      </c>
      <c r="I92" s="64">
        <v>1.51</v>
      </c>
      <c r="J92" s="64">
        <v>0.24</v>
      </c>
      <c r="K92" s="64">
        <v>58.59</v>
      </c>
      <c r="L92" s="64">
        <v>21.52</v>
      </c>
      <c r="M92" s="64">
        <v>39.72</v>
      </c>
      <c r="N92" s="64">
        <v>14.4</v>
      </c>
      <c r="O92" s="64">
        <v>0</v>
      </c>
      <c r="P92" s="64">
        <v>0.95</v>
      </c>
      <c r="Q92" s="64">
        <v>5.21</v>
      </c>
      <c r="S92" s="198"/>
      <c r="T92" s="198"/>
      <c r="U92" s="198"/>
    </row>
    <row r="93" spans="1:26" s="12" customFormat="1" x14ac:dyDescent="0.25">
      <c r="A93" s="213" t="s">
        <v>2443</v>
      </c>
      <c r="B93" s="64">
        <v>21.1</v>
      </c>
      <c r="C93" s="64">
        <v>53.96</v>
      </c>
      <c r="D93" s="64">
        <v>47.35</v>
      </c>
      <c r="E93" s="64">
        <v>0.2</v>
      </c>
      <c r="F93" s="64">
        <v>3.37</v>
      </c>
      <c r="G93" s="64">
        <v>71.03</v>
      </c>
      <c r="H93" s="64">
        <v>25.83</v>
      </c>
      <c r="I93" s="64">
        <v>1.39</v>
      </c>
      <c r="J93" s="64">
        <v>0.23</v>
      </c>
      <c r="K93" s="64">
        <v>67.94</v>
      </c>
      <c r="L93" s="64">
        <v>21.37</v>
      </c>
      <c r="M93" s="64">
        <v>39.950000000000003</v>
      </c>
      <c r="N93" s="64">
        <v>14.6</v>
      </c>
      <c r="O93" s="64">
        <v>0</v>
      </c>
      <c r="P93" s="64">
        <v>0.96</v>
      </c>
      <c r="Q93" s="64">
        <v>5.21</v>
      </c>
      <c r="S93" s="198"/>
      <c r="T93" s="198"/>
      <c r="U93" s="198"/>
    </row>
    <row r="94" spans="1:26" s="12" customFormat="1" x14ac:dyDescent="0.25">
      <c r="A94" s="213" t="s">
        <v>2444</v>
      </c>
      <c r="B94" s="64">
        <v>21.33</v>
      </c>
      <c r="C94" s="64">
        <v>55.27</v>
      </c>
      <c r="D94" s="64">
        <v>48.25</v>
      </c>
      <c r="E94" s="64">
        <v>0.21</v>
      </c>
      <c r="F94" s="64">
        <v>3.12</v>
      </c>
      <c r="G94" s="64">
        <v>74.23</v>
      </c>
      <c r="H94" s="64">
        <v>23.12</v>
      </c>
      <c r="I94" s="64">
        <v>1.48</v>
      </c>
      <c r="J94" s="64">
        <v>0.19</v>
      </c>
      <c r="K94" s="64">
        <v>47.64</v>
      </c>
      <c r="L94" s="64">
        <v>21.16</v>
      </c>
      <c r="M94" s="64">
        <v>40.700000000000003</v>
      </c>
      <c r="N94" s="64">
        <v>14.7</v>
      </c>
      <c r="O94" s="64">
        <v>0</v>
      </c>
      <c r="P94" s="64">
        <v>0.97</v>
      </c>
      <c r="Q94" s="64">
        <v>5.21</v>
      </c>
      <c r="S94" s="198"/>
      <c r="T94" s="198"/>
      <c r="U94" s="198"/>
    </row>
    <row r="95" spans="1:26" s="12" customFormat="1" x14ac:dyDescent="0.25">
      <c r="A95" s="213" t="s">
        <v>2445</v>
      </c>
      <c r="B95" s="64">
        <v>23.02</v>
      </c>
      <c r="C95" s="64">
        <v>56.05</v>
      </c>
      <c r="D95" s="64">
        <v>50.04</v>
      </c>
      <c r="E95" s="64">
        <v>0.23</v>
      </c>
      <c r="F95" s="64">
        <v>3.19</v>
      </c>
      <c r="G95" s="64">
        <v>74.87</v>
      </c>
      <c r="H95" s="64">
        <v>23.12</v>
      </c>
      <c r="I95" s="64">
        <v>1.57</v>
      </c>
      <c r="J95" s="64">
        <v>0.17</v>
      </c>
      <c r="K95" s="64">
        <v>46.1</v>
      </c>
      <c r="L95" s="64">
        <v>20.94</v>
      </c>
      <c r="M95" s="64">
        <v>41.41</v>
      </c>
      <c r="N95" s="64">
        <v>14.8</v>
      </c>
      <c r="O95" s="64">
        <v>0</v>
      </c>
      <c r="P95" s="64">
        <v>1</v>
      </c>
      <c r="Q95" s="64">
        <v>5.21</v>
      </c>
      <c r="S95" s="198"/>
      <c r="T95" s="198"/>
      <c r="U95" s="198"/>
    </row>
    <row r="96" spans="1:26" s="12" customFormat="1" x14ac:dyDescent="0.25">
      <c r="A96" s="213" t="s">
        <v>2446</v>
      </c>
      <c r="B96" s="64">
        <v>24.64</v>
      </c>
      <c r="C96" s="64">
        <v>56.79</v>
      </c>
      <c r="D96" s="64">
        <v>51.75</v>
      </c>
      <c r="E96" s="64">
        <v>0.23</v>
      </c>
      <c r="F96" s="64">
        <v>3.49</v>
      </c>
      <c r="G96" s="64">
        <v>74.87</v>
      </c>
      <c r="H96" s="64">
        <v>23.12</v>
      </c>
      <c r="I96" s="64">
        <v>1.5</v>
      </c>
      <c r="J96" s="64">
        <v>0.55000000000000004</v>
      </c>
      <c r="K96" s="64">
        <v>356.43</v>
      </c>
      <c r="L96" s="64">
        <v>20.71</v>
      </c>
      <c r="M96" s="64">
        <v>44.26</v>
      </c>
      <c r="N96" s="64">
        <v>14.3</v>
      </c>
      <c r="O96" s="64">
        <v>0</v>
      </c>
      <c r="P96" s="64">
        <v>1.03</v>
      </c>
      <c r="Q96" s="64">
        <v>5.31</v>
      </c>
      <c r="S96" s="198"/>
      <c r="T96" s="198"/>
      <c r="U96" s="198"/>
      <c r="Z96" s="109"/>
    </row>
    <row r="97" spans="1:33" s="12" customFormat="1" x14ac:dyDescent="0.25">
      <c r="A97" s="213" t="s">
        <v>2447</v>
      </c>
      <c r="B97" s="64">
        <v>25.64</v>
      </c>
      <c r="C97" s="64">
        <v>57.3</v>
      </c>
      <c r="D97" s="64">
        <v>52.83</v>
      </c>
      <c r="E97" s="64">
        <v>0.14000000000000001</v>
      </c>
      <c r="F97" s="64">
        <v>3.1</v>
      </c>
      <c r="G97" s="64">
        <v>74.87</v>
      </c>
      <c r="H97" s="64">
        <v>23.12</v>
      </c>
      <c r="I97" s="64">
        <v>1.57</v>
      </c>
      <c r="J97" s="64">
        <v>0.15</v>
      </c>
      <c r="K97" s="64">
        <v>63.26</v>
      </c>
      <c r="L97" s="64">
        <v>20.8</v>
      </c>
      <c r="M97" s="64">
        <v>41.51</v>
      </c>
      <c r="N97" s="64">
        <v>14.5</v>
      </c>
      <c r="O97" s="64">
        <v>0</v>
      </c>
      <c r="P97" s="64">
        <v>1.05</v>
      </c>
      <c r="Q97" s="64">
        <v>5.66</v>
      </c>
      <c r="S97" s="198"/>
      <c r="T97" s="198"/>
      <c r="U97" s="198"/>
    </row>
    <row r="98" spans="1:33" s="12" customFormat="1" x14ac:dyDescent="0.25">
      <c r="A98" s="213" t="s">
        <v>2448</v>
      </c>
      <c r="B98" s="64">
        <v>25.14</v>
      </c>
      <c r="C98" s="64">
        <v>57.3</v>
      </c>
      <c r="D98" s="64">
        <v>52.43</v>
      </c>
      <c r="E98" s="64">
        <v>0.14000000000000001</v>
      </c>
      <c r="F98" s="64">
        <v>2.96</v>
      </c>
      <c r="G98" s="64">
        <v>76.72</v>
      </c>
      <c r="H98" s="64">
        <v>26.02</v>
      </c>
      <c r="I98" s="64">
        <v>1.51</v>
      </c>
      <c r="J98" s="64">
        <v>0.19</v>
      </c>
      <c r="K98" s="64">
        <v>92.21</v>
      </c>
      <c r="L98" s="64">
        <v>20.81</v>
      </c>
      <c r="M98" s="64">
        <v>42.98</v>
      </c>
      <c r="N98" s="64">
        <v>14.6</v>
      </c>
      <c r="O98" s="64">
        <v>0</v>
      </c>
      <c r="P98" s="64">
        <v>1.04</v>
      </c>
      <c r="Q98" s="64">
        <v>5.64</v>
      </c>
      <c r="S98" s="198"/>
      <c r="T98" s="198"/>
      <c r="U98" s="198"/>
    </row>
    <row r="99" spans="1:33" s="12" customFormat="1" x14ac:dyDescent="0.25">
      <c r="A99" s="213" t="s">
        <v>2449</v>
      </c>
      <c r="B99" s="64">
        <v>25.4</v>
      </c>
      <c r="C99" s="64">
        <v>57.66</v>
      </c>
      <c r="D99" s="64">
        <v>52.83</v>
      </c>
      <c r="E99" s="64">
        <v>0.21</v>
      </c>
      <c r="F99" s="64">
        <v>3.06</v>
      </c>
      <c r="G99" s="64">
        <v>77.09</v>
      </c>
      <c r="H99" s="64">
        <v>26.02</v>
      </c>
      <c r="I99" s="64">
        <v>1.43</v>
      </c>
      <c r="J99" s="64">
        <v>0.17</v>
      </c>
      <c r="K99" s="64">
        <v>12.49</v>
      </c>
      <c r="L99" s="64">
        <v>20.28</v>
      </c>
      <c r="M99" s="64">
        <v>47.81</v>
      </c>
      <c r="N99" s="64">
        <v>15.1</v>
      </c>
      <c r="O99" s="64">
        <v>0</v>
      </c>
      <c r="P99" s="64">
        <v>1.04</v>
      </c>
      <c r="Q99" s="64">
        <v>5.72</v>
      </c>
      <c r="S99" s="198"/>
      <c r="T99" s="198"/>
      <c r="U99" s="198"/>
    </row>
    <row r="100" spans="1:33" s="12" customFormat="1" x14ac:dyDescent="0.25">
      <c r="A100" s="213" t="s">
        <v>2450</v>
      </c>
      <c r="B100" s="64">
        <v>27.68</v>
      </c>
      <c r="C100" s="64">
        <v>57.96</v>
      </c>
      <c r="D100" s="64">
        <v>54.83</v>
      </c>
      <c r="E100" s="64">
        <v>0.26</v>
      </c>
      <c r="F100" s="64">
        <v>3.17</v>
      </c>
      <c r="G100" s="64">
        <v>77.09</v>
      </c>
      <c r="H100" s="64">
        <v>26.02</v>
      </c>
      <c r="I100" s="64">
        <v>1.45</v>
      </c>
      <c r="J100" s="64">
        <v>0.12</v>
      </c>
      <c r="K100" s="64">
        <v>123.72</v>
      </c>
      <c r="L100" s="64">
        <v>19.86</v>
      </c>
      <c r="M100" s="64">
        <v>48.67</v>
      </c>
      <c r="N100" s="64">
        <v>14.9</v>
      </c>
      <c r="O100" s="64">
        <v>0</v>
      </c>
      <c r="P100" s="64">
        <v>1.07</v>
      </c>
      <c r="Q100" s="64">
        <v>6.14</v>
      </c>
      <c r="S100" s="198"/>
      <c r="T100" s="198"/>
      <c r="U100" s="198"/>
      <c r="AB100" s="110"/>
      <c r="AG100" s="109"/>
    </row>
    <row r="101" spans="1:33" s="12" customFormat="1" x14ac:dyDescent="0.25">
      <c r="A101" s="213" t="s">
        <v>2451</v>
      </c>
      <c r="B101" s="64">
        <v>28.41</v>
      </c>
      <c r="C101" s="64">
        <v>57.6</v>
      </c>
      <c r="D101" s="64">
        <v>55.22</v>
      </c>
      <c r="E101" s="64">
        <v>0.2</v>
      </c>
      <c r="F101" s="64">
        <v>3.04</v>
      </c>
      <c r="G101" s="64">
        <v>77.09</v>
      </c>
      <c r="H101" s="64">
        <v>26.02</v>
      </c>
      <c r="I101" s="64">
        <v>1.46</v>
      </c>
      <c r="J101" s="64">
        <v>0.94</v>
      </c>
      <c r="K101" s="64">
        <v>99.95</v>
      </c>
      <c r="L101" s="64">
        <v>20.77</v>
      </c>
      <c r="M101" s="64">
        <v>42.65</v>
      </c>
      <c r="N101" s="64">
        <v>12.7</v>
      </c>
      <c r="O101" s="64">
        <v>0</v>
      </c>
      <c r="P101" s="64">
        <v>1.07</v>
      </c>
      <c r="Q101" s="64">
        <v>6.3</v>
      </c>
      <c r="S101" s="198"/>
      <c r="T101" s="198"/>
      <c r="U101" s="198"/>
    </row>
    <row r="102" spans="1:33" s="12" customFormat="1" x14ac:dyDescent="0.25">
      <c r="A102" s="213" t="s">
        <v>2452</v>
      </c>
      <c r="B102" s="64">
        <v>27.09</v>
      </c>
      <c r="C102" s="64">
        <v>57.2</v>
      </c>
      <c r="D102" s="64">
        <v>53.94</v>
      </c>
      <c r="E102" s="64">
        <v>0.12</v>
      </c>
      <c r="F102" s="64">
        <v>2.92</v>
      </c>
      <c r="G102" s="64">
        <v>74.97</v>
      </c>
      <c r="H102" s="64">
        <v>25.85</v>
      </c>
      <c r="I102" s="64">
        <v>1.44</v>
      </c>
      <c r="J102" s="64">
        <v>1.1100000000000001</v>
      </c>
      <c r="K102" s="64">
        <v>92.27</v>
      </c>
      <c r="L102" s="64">
        <v>20.92</v>
      </c>
      <c r="M102" s="64">
        <v>42</v>
      </c>
      <c r="N102" s="64">
        <v>13.9</v>
      </c>
      <c r="O102" s="64">
        <v>0</v>
      </c>
      <c r="P102" s="64">
        <v>1.04</v>
      </c>
      <c r="Q102" s="64">
        <v>6.27</v>
      </c>
      <c r="S102" s="198"/>
      <c r="T102" s="198"/>
      <c r="U102" s="198"/>
    </row>
    <row r="103" spans="1:33" s="12" customFormat="1" x14ac:dyDescent="0.25">
      <c r="A103" s="213" t="s">
        <v>2453</v>
      </c>
      <c r="B103" s="64">
        <v>25.91</v>
      </c>
      <c r="C103" s="64">
        <v>55.95</v>
      </c>
      <c r="D103" s="64">
        <v>52.3</v>
      </c>
      <c r="E103" s="64">
        <v>0.24</v>
      </c>
      <c r="F103" s="64">
        <v>3.33</v>
      </c>
      <c r="G103" s="64">
        <v>74.55</v>
      </c>
      <c r="H103" s="64">
        <v>25.85</v>
      </c>
      <c r="I103" s="64">
        <v>1.43</v>
      </c>
      <c r="J103" s="64">
        <v>0.5</v>
      </c>
      <c r="K103" s="64">
        <v>89.89</v>
      </c>
      <c r="L103" s="64">
        <v>20.47</v>
      </c>
      <c r="M103" s="64">
        <v>45.26</v>
      </c>
      <c r="N103" s="64">
        <v>14.9</v>
      </c>
      <c r="O103" s="64">
        <v>0</v>
      </c>
      <c r="P103" s="64">
        <v>1</v>
      </c>
      <c r="Q103" s="64">
        <v>5.98</v>
      </c>
      <c r="S103" s="198"/>
      <c r="T103" s="198"/>
      <c r="U103" s="198"/>
    </row>
    <row r="104" spans="1:33" s="12" customFormat="1" x14ac:dyDescent="0.25">
      <c r="A104" s="213" t="s">
        <v>2454</v>
      </c>
      <c r="B104" s="64">
        <v>24.95</v>
      </c>
      <c r="C104" s="64">
        <v>55.22</v>
      </c>
      <c r="D104" s="64">
        <v>51.13</v>
      </c>
      <c r="E104" s="64">
        <v>0.02</v>
      </c>
      <c r="F104" s="64">
        <v>3.41</v>
      </c>
      <c r="G104" s="64">
        <v>74.55</v>
      </c>
      <c r="H104" s="64">
        <v>25.85</v>
      </c>
      <c r="I104" s="64">
        <v>1.54</v>
      </c>
      <c r="J104" s="64">
        <v>0.62</v>
      </c>
      <c r="K104" s="64">
        <v>92.08</v>
      </c>
      <c r="L104" s="64">
        <v>20.32</v>
      </c>
      <c r="M104" s="64">
        <v>45.82</v>
      </c>
      <c r="N104" s="64">
        <v>14.5</v>
      </c>
      <c r="O104" s="64">
        <v>0</v>
      </c>
      <c r="P104" s="64">
        <v>0.98</v>
      </c>
      <c r="Q104" s="64">
        <v>5.62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5.66</v>
      </c>
      <c r="C106" s="67">
        <f>MIN(C9:C104)</f>
        <v>42.04</v>
      </c>
      <c r="D106" s="67">
        <f t="shared" ref="D106:Q106" si="0">MIN(D9:D104)</f>
        <v>29.06</v>
      </c>
      <c r="E106" s="67">
        <f t="shared" si="0"/>
        <v>0.02</v>
      </c>
      <c r="F106" s="67">
        <f t="shared" si="0"/>
        <v>2.92</v>
      </c>
      <c r="G106" s="67">
        <f t="shared" si="0"/>
        <v>44.61</v>
      </c>
      <c r="H106" s="67">
        <f t="shared" si="0"/>
        <v>7.71</v>
      </c>
      <c r="I106" s="67">
        <f t="shared" si="0"/>
        <v>1.39</v>
      </c>
      <c r="J106" s="67">
        <f t="shared" si="0"/>
        <v>0.12</v>
      </c>
      <c r="K106" s="67">
        <f t="shared" si="0"/>
        <v>2.88</v>
      </c>
      <c r="L106" s="67">
        <f t="shared" si="0"/>
        <v>16.670000000000002</v>
      </c>
      <c r="M106" s="67">
        <f t="shared" si="0"/>
        <v>20.58</v>
      </c>
      <c r="N106" s="67">
        <f t="shared" si="0"/>
        <v>12.7</v>
      </c>
      <c r="O106" s="67">
        <f t="shared" si="0"/>
        <v>0</v>
      </c>
      <c r="P106" s="67">
        <f t="shared" si="0"/>
        <v>0.37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28.41</v>
      </c>
      <c r="C107" s="66">
        <f t="shared" ref="C107:Q107" si="1">MAX(C9:C104)</f>
        <v>60.14</v>
      </c>
      <c r="D107" s="66">
        <f t="shared" si="1"/>
        <v>55.22</v>
      </c>
      <c r="E107" s="66">
        <f t="shared" si="1"/>
        <v>0.4</v>
      </c>
      <c r="F107" s="66">
        <f t="shared" si="1"/>
        <v>4.18</v>
      </c>
      <c r="G107" s="66">
        <f t="shared" si="1"/>
        <v>79.33</v>
      </c>
      <c r="H107" s="66">
        <f t="shared" si="1"/>
        <v>26.91</v>
      </c>
      <c r="I107" s="66">
        <f t="shared" si="1"/>
        <v>1.59</v>
      </c>
      <c r="J107" s="66">
        <f t="shared" si="1"/>
        <v>1.5</v>
      </c>
      <c r="K107" s="66">
        <f t="shared" si="1"/>
        <v>359.37</v>
      </c>
      <c r="L107" s="66">
        <f t="shared" si="1"/>
        <v>32.03</v>
      </c>
      <c r="M107" s="66">
        <f t="shared" si="1"/>
        <v>68.31</v>
      </c>
      <c r="N107" s="66">
        <f t="shared" si="1"/>
        <v>840.3</v>
      </c>
      <c r="O107" s="66">
        <f t="shared" si="1"/>
        <v>0</v>
      </c>
      <c r="P107" s="66">
        <f t="shared" si="1"/>
        <v>1.07</v>
      </c>
      <c r="Q107" s="66">
        <f t="shared" si="1"/>
        <v>6.3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12.788229166666673</v>
      </c>
      <c r="C108" s="67">
        <f t="shared" ref="C108:Q108" si="2">AVERAGE(C9:C104)</f>
        <v>52.775208333333332</v>
      </c>
      <c r="D108" s="67">
        <f t="shared" si="2"/>
        <v>40.026458333333323</v>
      </c>
      <c r="E108" s="67">
        <f t="shared" si="2"/>
        <v>0.19687500000000005</v>
      </c>
      <c r="F108" s="67">
        <f t="shared" si="2"/>
        <v>3.462916666666668</v>
      </c>
      <c r="G108" s="67">
        <f t="shared" si="2"/>
        <v>61.608645833333306</v>
      </c>
      <c r="H108" s="67">
        <f t="shared" si="2"/>
        <v>20.251249999999985</v>
      </c>
      <c r="I108" s="67">
        <f t="shared" si="2"/>
        <v>1.4962499999999996</v>
      </c>
      <c r="J108" s="67">
        <f t="shared" si="2"/>
        <v>0.59489583333333318</v>
      </c>
      <c r="K108" s="67">
        <f t="shared" si="2"/>
        <v>178.55510416666667</v>
      </c>
      <c r="L108" s="67">
        <f t="shared" si="2"/>
        <v>22.97322916666668</v>
      </c>
      <c r="M108" s="67">
        <f t="shared" si="2"/>
        <v>42.772708333333327</v>
      </c>
      <c r="N108" s="67">
        <f t="shared" si="2"/>
        <v>221.77395833333324</v>
      </c>
      <c r="O108" s="67">
        <f t="shared" si="2"/>
        <v>0</v>
      </c>
      <c r="P108" s="67">
        <f t="shared" si="2"/>
        <v>0.60583333333333345</v>
      </c>
      <c r="Q108" s="67">
        <f t="shared" si="2"/>
        <v>5.2698958333333268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6.252359385365799</v>
      </c>
      <c r="C109" s="67">
        <f t="shared" ref="C109:Q109" si="3">STDEV(C9:C104)</f>
        <v>4.4011823720370664</v>
      </c>
      <c r="D109" s="67">
        <f t="shared" si="3"/>
        <v>6.2580424010214806</v>
      </c>
      <c r="E109" s="67">
        <f t="shared" si="3"/>
        <v>7.7000512643542726E-2</v>
      </c>
      <c r="F109" s="67">
        <f t="shared" si="3"/>
        <v>0.25135387788897257</v>
      </c>
      <c r="G109" s="67">
        <f t="shared" si="3"/>
        <v>9.94276342184226</v>
      </c>
      <c r="H109" s="67">
        <f t="shared" si="3"/>
        <v>4.6053203214497778</v>
      </c>
      <c r="I109" s="67">
        <f t="shared" si="3"/>
        <v>4.401554749236495E-2</v>
      </c>
      <c r="J109" s="67">
        <f t="shared" si="3"/>
        <v>0.36924672907126033</v>
      </c>
      <c r="K109" s="67">
        <f t="shared" si="3"/>
        <v>147.66068306830886</v>
      </c>
      <c r="L109" s="67">
        <f t="shared" si="3"/>
        <v>4.4364009820174308</v>
      </c>
      <c r="M109" s="67">
        <f t="shared" si="3"/>
        <v>13.37905035408696</v>
      </c>
      <c r="N109" s="67">
        <f t="shared" si="3"/>
        <v>299.72673352301621</v>
      </c>
      <c r="O109" s="67">
        <f t="shared" si="3"/>
        <v>0</v>
      </c>
      <c r="P109" s="67">
        <f t="shared" si="3"/>
        <v>0.20789504774571413</v>
      </c>
      <c r="Q109" s="67">
        <f t="shared" si="3"/>
        <v>0.2115282476677843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2455</v>
      </c>
      <c r="B9" s="64">
        <v>24.02</v>
      </c>
      <c r="C9" s="64">
        <v>53.91</v>
      </c>
      <c r="D9" s="64">
        <v>49.66</v>
      </c>
      <c r="E9" s="64">
        <v>0.01</v>
      </c>
      <c r="F9" s="64">
        <v>3.35</v>
      </c>
      <c r="G9" s="64">
        <v>74.55</v>
      </c>
      <c r="H9" s="64">
        <v>25.85</v>
      </c>
      <c r="I9" s="64">
        <v>1.52</v>
      </c>
      <c r="J9" s="64">
        <v>0.16</v>
      </c>
      <c r="K9" s="64">
        <v>65.75</v>
      </c>
      <c r="L9" s="64">
        <v>19.899999999999999</v>
      </c>
      <c r="M9" s="64">
        <v>47.44</v>
      </c>
      <c r="N9" s="64">
        <v>15.2</v>
      </c>
      <c r="O9" s="64">
        <v>0</v>
      </c>
      <c r="P9" s="64">
        <v>0.95</v>
      </c>
      <c r="Q9" s="64">
        <v>5.26</v>
      </c>
      <c r="R9" s="198"/>
      <c r="S9" s="198"/>
      <c r="T9" s="198"/>
      <c r="U9" s="198"/>
    </row>
    <row r="10" spans="1:21" s="12" customFormat="1" x14ac:dyDescent="0.25">
      <c r="A10" s="213" t="s">
        <v>2456</v>
      </c>
      <c r="B10" s="64">
        <v>23.3</v>
      </c>
      <c r="C10" s="64">
        <v>53.39</v>
      </c>
      <c r="D10" s="64">
        <v>48.8</v>
      </c>
      <c r="E10" s="6" t="s">
        <v>42</v>
      </c>
      <c r="F10" s="64">
        <v>3.4</v>
      </c>
      <c r="G10" s="64">
        <v>72.37</v>
      </c>
      <c r="H10" s="64">
        <v>23.35</v>
      </c>
      <c r="I10" s="64">
        <v>1.47</v>
      </c>
      <c r="J10" s="64">
        <v>0.1</v>
      </c>
      <c r="K10" s="64">
        <v>82.73</v>
      </c>
      <c r="L10" s="64">
        <v>19.36</v>
      </c>
      <c r="M10" s="64">
        <v>49.25</v>
      </c>
      <c r="N10" s="64">
        <v>15</v>
      </c>
      <c r="O10" s="64">
        <v>0</v>
      </c>
      <c r="P10" s="64">
        <v>0.92</v>
      </c>
      <c r="Q10" s="64">
        <v>5.21</v>
      </c>
      <c r="R10" s="198"/>
      <c r="S10" s="198"/>
      <c r="T10" s="198"/>
      <c r="U10" s="198"/>
    </row>
    <row r="11" spans="1:21" s="12" customFormat="1" x14ac:dyDescent="0.25">
      <c r="A11" s="213" t="s">
        <v>2457</v>
      </c>
      <c r="B11" s="64">
        <v>22.74</v>
      </c>
      <c r="C11" s="64">
        <v>52.39</v>
      </c>
      <c r="D11" s="64">
        <v>47.79</v>
      </c>
      <c r="E11" s="64">
        <v>0.01</v>
      </c>
      <c r="F11" s="64">
        <v>3.52</v>
      </c>
      <c r="G11" s="64">
        <v>71.94</v>
      </c>
      <c r="H11" s="64">
        <v>23.35</v>
      </c>
      <c r="I11" s="64">
        <v>1.47</v>
      </c>
      <c r="J11" s="64">
        <v>0.11</v>
      </c>
      <c r="K11" s="64">
        <v>299.68</v>
      </c>
      <c r="L11" s="64">
        <v>19.03</v>
      </c>
      <c r="M11" s="64">
        <v>52.28</v>
      </c>
      <c r="N11" s="64">
        <v>15.1</v>
      </c>
      <c r="O11" s="64">
        <v>0</v>
      </c>
      <c r="P11" s="64">
        <v>0.9</v>
      </c>
      <c r="Q11" s="64">
        <v>5.21</v>
      </c>
      <c r="R11" s="198"/>
      <c r="S11" s="198"/>
      <c r="T11" s="198"/>
      <c r="U11" s="198"/>
    </row>
    <row r="12" spans="1:21" s="12" customFormat="1" x14ac:dyDescent="0.25">
      <c r="A12" s="213" t="s">
        <v>2458</v>
      </c>
      <c r="B12" s="64">
        <v>22.33</v>
      </c>
      <c r="C12" s="64">
        <v>51.43</v>
      </c>
      <c r="D12" s="64">
        <v>46.94</v>
      </c>
      <c r="E12" s="6" t="s">
        <v>42</v>
      </c>
      <c r="F12" s="64">
        <v>3.38</v>
      </c>
      <c r="G12" s="64">
        <v>71.94</v>
      </c>
      <c r="H12" s="64">
        <v>23.35</v>
      </c>
      <c r="I12" s="64">
        <v>1.53</v>
      </c>
      <c r="J12" s="64">
        <v>0.12</v>
      </c>
      <c r="K12" s="64">
        <v>229.24</v>
      </c>
      <c r="L12" s="64">
        <v>18.46</v>
      </c>
      <c r="M12" s="64">
        <v>56.89</v>
      </c>
      <c r="N12" s="64">
        <v>14.9</v>
      </c>
      <c r="O12" s="64">
        <v>0</v>
      </c>
      <c r="P12" s="64">
        <v>0.89</v>
      </c>
      <c r="Q12" s="64">
        <v>5.21</v>
      </c>
      <c r="R12" s="198"/>
      <c r="S12" s="198"/>
      <c r="T12" s="198"/>
      <c r="U12" s="198"/>
    </row>
    <row r="13" spans="1:21" s="12" customFormat="1" x14ac:dyDescent="0.25">
      <c r="A13" s="213" t="s">
        <v>2459</v>
      </c>
      <c r="B13" s="64">
        <v>21.88</v>
      </c>
      <c r="C13" s="64">
        <v>50.72</v>
      </c>
      <c r="D13" s="64">
        <v>46.18</v>
      </c>
      <c r="E13" s="6" t="s">
        <v>42</v>
      </c>
      <c r="F13" s="64">
        <v>3.39</v>
      </c>
      <c r="G13" s="64">
        <v>71.94</v>
      </c>
      <c r="H13" s="64">
        <v>23.35</v>
      </c>
      <c r="I13" s="64">
        <v>1.57</v>
      </c>
      <c r="J13" s="64">
        <v>0.06</v>
      </c>
      <c r="K13" s="64">
        <v>32.96</v>
      </c>
      <c r="L13" s="64">
        <v>18.170000000000002</v>
      </c>
      <c r="M13" s="64">
        <v>60.58</v>
      </c>
      <c r="N13" s="64">
        <v>15.1</v>
      </c>
      <c r="O13" s="64">
        <v>0</v>
      </c>
      <c r="P13" s="64">
        <v>0.83</v>
      </c>
      <c r="Q13" s="64">
        <v>5.21</v>
      </c>
      <c r="R13" s="198"/>
      <c r="S13" s="198"/>
      <c r="T13" s="198"/>
      <c r="U13" s="198"/>
    </row>
    <row r="14" spans="1:21" s="12" customFormat="1" x14ac:dyDescent="0.25">
      <c r="A14" s="213" t="s">
        <v>2460</v>
      </c>
      <c r="B14" s="64">
        <v>21.01</v>
      </c>
      <c r="C14" s="64">
        <v>49.57</v>
      </c>
      <c r="D14" s="64">
        <v>44.85</v>
      </c>
      <c r="E14" s="64">
        <v>0.01</v>
      </c>
      <c r="F14" s="64">
        <v>3.45</v>
      </c>
      <c r="G14" s="64">
        <v>68.69</v>
      </c>
      <c r="H14" s="64">
        <v>22.73</v>
      </c>
      <c r="I14" s="64">
        <v>1.49</v>
      </c>
      <c r="J14" s="64">
        <v>0.5</v>
      </c>
      <c r="K14" s="64">
        <v>359.5</v>
      </c>
      <c r="L14" s="64">
        <v>18.05</v>
      </c>
      <c r="M14" s="64">
        <v>60.53</v>
      </c>
      <c r="N14" s="64">
        <v>14.2</v>
      </c>
      <c r="O14" s="64">
        <v>0</v>
      </c>
      <c r="P14" s="64">
        <v>0.85</v>
      </c>
      <c r="Q14" s="64">
        <v>5.21</v>
      </c>
      <c r="R14" s="198"/>
      <c r="S14" s="198"/>
      <c r="T14" s="198"/>
      <c r="U14" s="198"/>
    </row>
    <row r="15" spans="1:21" s="12" customFormat="1" x14ac:dyDescent="0.25">
      <c r="A15" s="213" t="s">
        <v>2461</v>
      </c>
      <c r="B15" s="64">
        <v>19.670000000000002</v>
      </c>
      <c r="C15" s="64">
        <v>49.56</v>
      </c>
      <c r="D15" s="64">
        <v>43.77</v>
      </c>
      <c r="E15" s="6" t="s">
        <v>42</v>
      </c>
      <c r="F15" s="64">
        <v>3.46</v>
      </c>
      <c r="G15" s="64">
        <v>68.040000000000006</v>
      </c>
      <c r="H15" s="64">
        <v>22.73</v>
      </c>
      <c r="I15" s="64">
        <v>1.48</v>
      </c>
      <c r="J15" s="64">
        <v>0.4</v>
      </c>
      <c r="K15" s="64">
        <v>0.43</v>
      </c>
      <c r="L15" s="64">
        <v>18.399999999999999</v>
      </c>
      <c r="M15" s="64">
        <v>56.39</v>
      </c>
      <c r="N15" s="64">
        <v>14</v>
      </c>
      <c r="O15" s="64">
        <v>0</v>
      </c>
      <c r="P15" s="64">
        <v>0.82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3" t="s">
        <v>2462</v>
      </c>
      <c r="B16" s="64">
        <v>18.09</v>
      </c>
      <c r="C16" s="64">
        <v>49.23</v>
      </c>
      <c r="D16" s="64">
        <v>42.32</v>
      </c>
      <c r="E16" s="64">
        <v>0.03</v>
      </c>
      <c r="F16" s="64">
        <v>3.44</v>
      </c>
      <c r="G16" s="64">
        <v>68.040000000000006</v>
      </c>
      <c r="H16" s="64">
        <v>22.73</v>
      </c>
      <c r="I16" s="64">
        <v>1.52</v>
      </c>
      <c r="J16" s="64">
        <v>0.45</v>
      </c>
      <c r="K16" s="64">
        <v>351.25</v>
      </c>
      <c r="L16" s="64">
        <v>18.670000000000002</v>
      </c>
      <c r="M16" s="64">
        <v>54.6</v>
      </c>
      <c r="N16" s="64">
        <v>14.3</v>
      </c>
      <c r="O16" s="64">
        <v>0</v>
      </c>
      <c r="P16" s="64">
        <v>0.78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3" t="s">
        <v>2463</v>
      </c>
      <c r="B17" s="64">
        <v>16.350000000000001</v>
      </c>
      <c r="C17" s="64">
        <v>49.24</v>
      </c>
      <c r="D17" s="64">
        <v>40.93</v>
      </c>
      <c r="E17" s="64">
        <v>0.01</v>
      </c>
      <c r="F17" s="64">
        <v>3.55</v>
      </c>
      <c r="G17" s="64">
        <v>68.040000000000006</v>
      </c>
      <c r="H17" s="64">
        <v>22.73</v>
      </c>
      <c r="I17" s="64">
        <v>1.47</v>
      </c>
      <c r="J17" s="64">
        <v>0.49</v>
      </c>
      <c r="K17" s="64">
        <v>71.900000000000006</v>
      </c>
      <c r="L17" s="64">
        <v>18.82</v>
      </c>
      <c r="M17" s="64">
        <v>53</v>
      </c>
      <c r="N17" s="64">
        <v>14</v>
      </c>
      <c r="O17" s="64">
        <v>0</v>
      </c>
      <c r="P17" s="64">
        <v>0.74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3" t="s">
        <v>2464</v>
      </c>
      <c r="B18" s="64">
        <v>14.66</v>
      </c>
      <c r="C18" s="64">
        <v>49.25</v>
      </c>
      <c r="D18" s="64">
        <v>39.590000000000003</v>
      </c>
      <c r="E18" s="64">
        <v>0.02</v>
      </c>
      <c r="F18" s="64">
        <v>3.39</v>
      </c>
      <c r="G18" s="64">
        <v>67.44</v>
      </c>
      <c r="H18" s="64">
        <v>23.01</v>
      </c>
      <c r="I18" s="64">
        <v>1.56</v>
      </c>
      <c r="J18" s="64">
        <v>0.46</v>
      </c>
      <c r="K18" s="64">
        <v>74</v>
      </c>
      <c r="L18" s="64">
        <v>18.71</v>
      </c>
      <c r="M18" s="64">
        <v>53.63</v>
      </c>
      <c r="N18" s="64">
        <v>14.5</v>
      </c>
      <c r="O18" s="64">
        <v>0</v>
      </c>
      <c r="P18" s="64">
        <v>0.73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3" t="s">
        <v>2465</v>
      </c>
      <c r="B19" s="64">
        <v>13.3</v>
      </c>
      <c r="C19" s="64">
        <v>48.85</v>
      </c>
      <c r="D19" s="64">
        <v>38.270000000000003</v>
      </c>
      <c r="E19" s="6" t="s">
        <v>42</v>
      </c>
      <c r="F19" s="64">
        <v>3.37</v>
      </c>
      <c r="G19" s="64">
        <v>67.319999999999993</v>
      </c>
      <c r="H19" s="64">
        <v>23.01</v>
      </c>
      <c r="I19" s="64">
        <v>1.47</v>
      </c>
      <c r="J19" s="64">
        <v>0.3</v>
      </c>
      <c r="K19" s="64">
        <v>33.31</v>
      </c>
      <c r="L19" s="64">
        <v>18.43</v>
      </c>
      <c r="M19" s="64">
        <v>54.65</v>
      </c>
      <c r="N19" s="64">
        <v>14.7</v>
      </c>
      <c r="O19" s="64">
        <v>0</v>
      </c>
      <c r="P19" s="64">
        <v>0.7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3" t="s">
        <v>2466</v>
      </c>
      <c r="B20" s="64">
        <v>12.16</v>
      </c>
      <c r="C20" s="64">
        <v>48.44</v>
      </c>
      <c r="D20" s="64">
        <v>37.130000000000003</v>
      </c>
      <c r="E20" s="6" t="s">
        <v>42</v>
      </c>
      <c r="F20" s="64">
        <v>3.27</v>
      </c>
      <c r="G20" s="64">
        <v>67.319999999999993</v>
      </c>
      <c r="H20" s="64">
        <v>23.01</v>
      </c>
      <c r="I20" s="64">
        <v>1.49</v>
      </c>
      <c r="J20" s="64">
        <v>0.17</v>
      </c>
      <c r="K20" s="64">
        <v>35.58</v>
      </c>
      <c r="L20" s="64">
        <v>18.11</v>
      </c>
      <c r="M20" s="64">
        <v>55.72</v>
      </c>
      <c r="N20" s="64">
        <v>14.9</v>
      </c>
      <c r="O20" s="64">
        <v>0</v>
      </c>
      <c r="P20" s="64">
        <v>0.68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3" t="s">
        <v>2467</v>
      </c>
      <c r="B21" s="64">
        <v>11.18</v>
      </c>
      <c r="C21" s="64">
        <v>47.98</v>
      </c>
      <c r="D21" s="64">
        <v>36.090000000000003</v>
      </c>
      <c r="E21" s="6" t="s">
        <v>42</v>
      </c>
      <c r="F21" s="64">
        <v>3.34</v>
      </c>
      <c r="G21" s="64">
        <v>67.319999999999993</v>
      </c>
      <c r="H21" s="64">
        <v>23.01</v>
      </c>
      <c r="I21" s="64">
        <v>1.45</v>
      </c>
      <c r="J21" s="64">
        <v>0.15</v>
      </c>
      <c r="K21" s="64">
        <v>5.32</v>
      </c>
      <c r="L21" s="64">
        <v>17.940000000000001</v>
      </c>
      <c r="M21" s="64">
        <v>56.03</v>
      </c>
      <c r="N21" s="64">
        <v>14.7</v>
      </c>
      <c r="O21" s="64">
        <v>0</v>
      </c>
      <c r="P21" s="64">
        <v>0.65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3" t="s">
        <v>2468</v>
      </c>
      <c r="B22" s="64">
        <v>10.58</v>
      </c>
      <c r="C22" s="64">
        <v>48.25</v>
      </c>
      <c r="D22" s="64">
        <v>35.76</v>
      </c>
      <c r="E22" s="64">
        <v>0.01</v>
      </c>
      <c r="F22" s="64">
        <v>3.45</v>
      </c>
      <c r="G22" s="64">
        <v>69.66</v>
      </c>
      <c r="H22" s="64">
        <v>22.62</v>
      </c>
      <c r="I22" s="64">
        <v>1.47</v>
      </c>
      <c r="J22" s="64">
        <v>0.54</v>
      </c>
      <c r="K22" s="64">
        <v>354.38</v>
      </c>
      <c r="L22" s="64">
        <v>17.899999999999999</v>
      </c>
      <c r="M22" s="64">
        <v>56.15</v>
      </c>
      <c r="N22" s="64">
        <v>14.5</v>
      </c>
      <c r="O22" s="64">
        <v>0</v>
      </c>
      <c r="P22" s="64">
        <v>0.62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3" t="s">
        <v>2469</v>
      </c>
      <c r="B23" s="64">
        <v>10.16</v>
      </c>
      <c r="C23" s="64">
        <v>48.33</v>
      </c>
      <c r="D23" s="64">
        <v>35.47</v>
      </c>
      <c r="E23" s="6" t="s">
        <v>42</v>
      </c>
      <c r="F23" s="64">
        <v>3.38</v>
      </c>
      <c r="G23" s="64">
        <v>70.13</v>
      </c>
      <c r="H23" s="64">
        <v>22.62</v>
      </c>
      <c r="I23" s="64">
        <v>1.49</v>
      </c>
      <c r="J23" s="64">
        <v>1.1599999999999999</v>
      </c>
      <c r="K23" s="64">
        <v>355.63</v>
      </c>
      <c r="L23" s="64">
        <v>17.82</v>
      </c>
      <c r="M23" s="64">
        <v>57.17</v>
      </c>
      <c r="N23" s="64">
        <v>14.5</v>
      </c>
      <c r="O23" s="64">
        <v>0</v>
      </c>
      <c r="P23" s="64">
        <v>0.6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3" t="s">
        <v>2470</v>
      </c>
      <c r="B24" s="64">
        <v>9.93</v>
      </c>
      <c r="C24" s="64">
        <v>48.96</v>
      </c>
      <c r="D24" s="64">
        <v>35.630000000000003</v>
      </c>
      <c r="E24" s="64">
        <v>0.01</v>
      </c>
      <c r="F24" s="64">
        <v>3.3</v>
      </c>
      <c r="G24" s="64">
        <v>70.13</v>
      </c>
      <c r="H24" s="64">
        <v>22.62</v>
      </c>
      <c r="I24" s="64">
        <v>1.43</v>
      </c>
      <c r="J24" s="64">
        <v>0.84</v>
      </c>
      <c r="K24" s="64">
        <v>352.54</v>
      </c>
      <c r="L24" s="64">
        <v>17.62</v>
      </c>
      <c r="M24" s="64">
        <v>57.19</v>
      </c>
      <c r="N24" s="64">
        <v>14.9</v>
      </c>
      <c r="O24" s="64">
        <v>0</v>
      </c>
      <c r="P24" s="64">
        <v>0.57999999999999996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3" t="s">
        <v>2471</v>
      </c>
      <c r="B25" s="64">
        <v>10.029999999999999</v>
      </c>
      <c r="C25" s="64">
        <v>48.95</v>
      </c>
      <c r="D25" s="64">
        <v>35.700000000000003</v>
      </c>
      <c r="E25" s="64">
        <v>0.09</v>
      </c>
      <c r="F25" s="64">
        <v>3.48</v>
      </c>
      <c r="G25" s="64">
        <v>70.13</v>
      </c>
      <c r="H25" s="64">
        <v>22.62</v>
      </c>
      <c r="I25" s="64">
        <v>1.57</v>
      </c>
      <c r="J25" s="64">
        <v>0.96</v>
      </c>
      <c r="K25" s="64">
        <v>354.84</v>
      </c>
      <c r="L25" s="64">
        <v>17.46</v>
      </c>
      <c r="M25" s="64">
        <v>57.08</v>
      </c>
      <c r="N25" s="64">
        <v>14.9</v>
      </c>
      <c r="O25" s="64">
        <v>0</v>
      </c>
      <c r="P25" s="64">
        <v>0.56000000000000005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3" t="s">
        <v>2472</v>
      </c>
      <c r="B26" s="64">
        <v>10.25</v>
      </c>
      <c r="C26" s="64">
        <v>49.58</v>
      </c>
      <c r="D26" s="64">
        <v>36.229999999999997</v>
      </c>
      <c r="E26" s="64">
        <v>7.0000000000000007E-2</v>
      </c>
      <c r="F26" s="64">
        <v>3.24</v>
      </c>
      <c r="G26" s="64">
        <v>66.59</v>
      </c>
      <c r="H26" s="64">
        <v>23.74</v>
      </c>
      <c r="I26" s="64">
        <v>1.54</v>
      </c>
      <c r="J26" s="64">
        <v>0.62</v>
      </c>
      <c r="K26" s="64">
        <v>355.99</v>
      </c>
      <c r="L26" s="64">
        <v>17.32</v>
      </c>
      <c r="M26" s="64">
        <v>56.99</v>
      </c>
      <c r="N26" s="64">
        <v>14.9</v>
      </c>
      <c r="O26" s="64">
        <v>0</v>
      </c>
      <c r="P26" s="64">
        <v>0.54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3" t="s">
        <v>2473</v>
      </c>
      <c r="B27" s="64">
        <v>10.42</v>
      </c>
      <c r="C27" s="64">
        <v>49.33</v>
      </c>
      <c r="D27" s="64">
        <v>36.229999999999997</v>
      </c>
      <c r="E27" s="64">
        <v>0.12</v>
      </c>
      <c r="F27" s="64">
        <v>3.36</v>
      </c>
      <c r="G27" s="64">
        <v>65.88</v>
      </c>
      <c r="H27" s="64">
        <v>23.74</v>
      </c>
      <c r="I27" s="64">
        <v>1.49</v>
      </c>
      <c r="J27" s="64">
        <v>0.81</v>
      </c>
      <c r="K27" s="64">
        <v>355.28</v>
      </c>
      <c r="L27" s="64">
        <v>17.29</v>
      </c>
      <c r="M27" s="64">
        <v>56.01</v>
      </c>
      <c r="N27" s="64">
        <v>14.9</v>
      </c>
      <c r="O27" s="64">
        <v>0</v>
      </c>
      <c r="P27" s="64">
        <v>0.54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3" t="s">
        <v>2474</v>
      </c>
      <c r="B28" s="64">
        <v>10.63</v>
      </c>
      <c r="C28" s="64">
        <v>49.06</v>
      </c>
      <c r="D28" s="64">
        <v>36.25</v>
      </c>
      <c r="E28" s="64">
        <v>0.03</v>
      </c>
      <c r="F28" s="64">
        <v>3.7</v>
      </c>
      <c r="G28" s="64">
        <v>65.88</v>
      </c>
      <c r="H28" s="64">
        <v>23.74</v>
      </c>
      <c r="I28" s="64">
        <v>1.5</v>
      </c>
      <c r="J28" s="64">
        <v>0.96</v>
      </c>
      <c r="K28" s="64">
        <v>353.16</v>
      </c>
      <c r="L28" s="64">
        <v>17.149999999999999</v>
      </c>
      <c r="M28" s="64">
        <v>56.42</v>
      </c>
      <c r="N28" s="64">
        <v>14.9</v>
      </c>
      <c r="O28" s="64">
        <v>0</v>
      </c>
      <c r="P28" s="64">
        <v>0.52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3" t="s">
        <v>2475</v>
      </c>
      <c r="B29" s="64">
        <v>10.98</v>
      </c>
      <c r="C29" s="64">
        <v>49.34</v>
      </c>
      <c r="D29" s="64">
        <v>36.68</v>
      </c>
      <c r="E29" s="64">
        <v>0.05</v>
      </c>
      <c r="F29" s="64">
        <v>3.58</v>
      </c>
      <c r="G29" s="64">
        <v>65.88</v>
      </c>
      <c r="H29" s="64">
        <v>23.74</v>
      </c>
      <c r="I29" s="64">
        <v>1.5</v>
      </c>
      <c r="J29" s="64">
        <v>0.81</v>
      </c>
      <c r="K29" s="64">
        <v>352.22</v>
      </c>
      <c r="L29" s="64">
        <v>17.04</v>
      </c>
      <c r="M29" s="64">
        <v>56.63</v>
      </c>
      <c r="N29" s="64">
        <v>14.8</v>
      </c>
      <c r="O29" s="64">
        <v>0</v>
      </c>
      <c r="P29" s="64">
        <v>0.51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3" t="s">
        <v>2476</v>
      </c>
      <c r="B30" s="64">
        <v>11.36</v>
      </c>
      <c r="C30" s="64">
        <v>49.69</v>
      </c>
      <c r="D30" s="64">
        <v>37.18</v>
      </c>
      <c r="E30" s="64">
        <v>0.13</v>
      </c>
      <c r="F30" s="64">
        <v>3.61</v>
      </c>
      <c r="G30" s="64">
        <v>63.87</v>
      </c>
      <c r="H30" s="64">
        <v>21.41</v>
      </c>
      <c r="I30" s="64">
        <v>1.5</v>
      </c>
      <c r="J30" s="64">
        <v>1.03</v>
      </c>
      <c r="K30" s="64">
        <v>353.28</v>
      </c>
      <c r="L30" s="64">
        <v>16.93</v>
      </c>
      <c r="M30" s="64">
        <v>56.17</v>
      </c>
      <c r="N30" s="64">
        <v>14.8</v>
      </c>
      <c r="O30" s="64">
        <v>0</v>
      </c>
      <c r="P30" s="64">
        <v>0.5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3" t="s">
        <v>2477</v>
      </c>
      <c r="B31" s="64">
        <v>11.28</v>
      </c>
      <c r="C31" s="64">
        <v>49.42</v>
      </c>
      <c r="D31" s="64">
        <v>36.97</v>
      </c>
      <c r="E31" s="64">
        <v>0.11</v>
      </c>
      <c r="F31" s="64">
        <v>3.6</v>
      </c>
      <c r="G31" s="64">
        <v>63.46</v>
      </c>
      <c r="H31" s="64">
        <v>21.41</v>
      </c>
      <c r="I31" s="64">
        <v>1.45</v>
      </c>
      <c r="J31" s="64">
        <v>0.76</v>
      </c>
      <c r="K31" s="64">
        <v>352.34</v>
      </c>
      <c r="L31" s="64">
        <v>16.77</v>
      </c>
      <c r="M31" s="64">
        <v>56.04</v>
      </c>
      <c r="N31" s="64">
        <v>14.9</v>
      </c>
      <c r="O31" s="64">
        <v>0</v>
      </c>
      <c r="P31" s="64">
        <v>0.49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3" t="s">
        <v>2478</v>
      </c>
      <c r="B32" s="64">
        <v>11.23</v>
      </c>
      <c r="C32" s="64">
        <v>46.44</v>
      </c>
      <c r="D32" s="64">
        <v>35.28</v>
      </c>
      <c r="E32" s="64">
        <v>0.16</v>
      </c>
      <c r="F32" s="64">
        <v>3.59</v>
      </c>
      <c r="G32" s="64">
        <v>63.46</v>
      </c>
      <c r="H32" s="64">
        <v>21.41</v>
      </c>
      <c r="I32" s="64">
        <v>1.52</v>
      </c>
      <c r="J32" s="64">
        <v>0.54</v>
      </c>
      <c r="K32" s="64">
        <v>349.19</v>
      </c>
      <c r="L32" s="64">
        <v>16.64</v>
      </c>
      <c r="M32" s="64">
        <v>56.91</v>
      </c>
      <c r="N32" s="64">
        <v>14.9</v>
      </c>
      <c r="O32" s="64">
        <v>0</v>
      </c>
      <c r="P32" s="64">
        <v>0.47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3" t="s">
        <v>2479</v>
      </c>
      <c r="B33" s="64">
        <v>11.71</v>
      </c>
      <c r="C33" s="64">
        <v>46.56</v>
      </c>
      <c r="D33" s="64">
        <v>35.729999999999997</v>
      </c>
      <c r="E33" s="64">
        <v>0.08</v>
      </c>
      <c r="F33" s="64">
        <v>3.59</v>
      </c>
      <c r="G33" s="64">
        <v>63.46</v>
      </c>
      <c r="H33" s="64">
        <v>21.41</v>
      </c>
      <c r="I33" s="64">
        <v>1.51</v>
      </c>
      <c r="J33" s="64">
        <v>0.97</v>
      </c>
      <c r="K33" s="64">
        <v>351.9</v>
      </c>
      <c r="L33" s="64">
        <v>16.600000000000001</v>
      </c>
      <c r="M33" s="64">
        <v>57.52</v>
      </c>
      <c r="N33" s="64">
        <v>15.4</v>
      </c>
      <c r="O33" s="64">
        <v>0</v>
      </c>
      <c r="P33" s="64">
        <v>0.47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3" t="s">
        <v>2480</v>
      </c>
      <c r="B34" s="64">
        <v>12</v>
      </c>
      <c r="C34" s="64">
        <v>47.93</v>
      </c>
      <c r="D34" s="64">
        <v>36.72</v>
      </c>
      <c r="E34" s="64">
        <v>0.15</v>
      </c>
      <c r="F34" s="64">
        <v>3.32</v>
      </c>
      <c r="G34" s="64">
        <v>69.790000000000006</v>
      </c>
      <c r="H34" s="64">
        <v>19.12</v>
      </c>
      <c r="I34" s="64">
        <v>1.43</v>
      </c>
      <c r="J34" s="64">
        <v>0.91</v>
      </c>
      <c r="K34" s="64">
        <v>353.75</v>
      </c>
      <c r="L34" s="64">
        <v>16.579999999999998</v>
      </c>
      <c r="M34" s="64">
        <v>58.26</v>
      </c>
      <c r="N34" s="64">
        <v>20.100000000000001</v>
      </c>
      <c r="O34" s="64">
        <v>0</v>
      </c>
      <c r="P34" s="64">
        <v>0.47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3" t="s">
        <v>2481</v>
      </c>
      <c r="B35" s="64">
        <v>12.8</v>
      </c>
      <c r="C35" s="64">
        <v>49.01</v>
      </c>
      <c r="D35" s="64">
        <v>37.96</v>
      </c>
      <c r="E35" s="64">
        <v>0.1</v>
      </c>
      <c r="F35" s="64">
        <v>3.27</v>
      </c>
      <c r="G35" s="64">
        <v>71.06</v>
      </c>
      <c r="H35" s="64">
        <v>19.12</v>
      </c>
      <c r="I35" s="64">
        <v>1.58</v>
      </c>
      <c r="J35" s="64">
        <v>0.89</v>
      </c>
      <c r="K35" s="64">
        <v>352.36</v>
      </c>
      <c r="L35" s="64">
        <v>16.61</v>
      </c>
      <c r="M35" s="64">
        <v>59.31</v>
      </c>
      <c r="N35" s="64">
        <v>32.799999999999997</v>
      </c>
      <c r="O35" s="64">
        <v>0</v>
      </c>
      <c r="P35" s="64">
        <v>0.48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3" t="s">
        <v>2482</v>
      </c>
      <c r="B36" s="64">
        <v>13.3</v>
      </c>
      <c r="C36" s="64">
        <v>49.66</v>
      </c>
      <c r="D36" s="64">
        <v>38.72</v>
      </c>
      <c r="E36" s="64">
        <v>0.15</v>
      </c>
      <c r="F36" s="64">
        <v>3.31</v>
      </c>
      <c r="G36" s="64">
        <v>71.06</v>
      </c>
      <c r="H36" s="64">
        <v>19.12</v>
      </c>
      <c r="I36" s="64">
        <v>1.47</v>
      </c>
      <c r="J36" s="64">
        <v>0.9</v>
      </c>
      <c r="K36" s="64">
        <v>355.19</v>
      </c>
      <c r="L36" s="64">
        <v>16.79</v>
      </c>
      <c r="M36" s="64">
        <v>59.16</v>
      </c>
      <c r="N36" s="64">
        <v>52.9</v>
      </c>
      <c r="O36" s="64">
        <v>0</v>
      </c>
      <c r="P36" s="64">
        <v>0.48</v>
      </c>
      <c r="Q36" s="64">
        <v>5.21</v>
      </c>
      <c r="R36" s="198"/>
      <c r="S36" s="198"/>
      <c r="T36" s="198"/>
      <c r="U36" s="198"/>
    </row>
    <row r="37" spans="1:21" s="12" customFormat="1" x14ac:dyDescent="0.25">
      <c r="A37" s="213" t="s">
        <v>2483</v>
      </c>
      <c r="B37" s="64">
        <v>13.96</v>
      </c>
      <c r="C37" s="64">
        <v>50.02</v>
      </c>
      <c r="D37" s="64">
        <v>39.450000000000003</v>
      </c>
      <c r="E37" s="64">
        <v>0.14000000000000001</v>
      </c>
      <c r="F37" s="64">
        <v>3.17</v>
      </c>
      <c r="G37" s="64">
        <v>71.06</v>
      </c>
      <c r="H37" s="64">
        <v>19.12</v>
      </c>
      <c r="I37" s="64">
        <v>1.51</v>
      </c>
      <c r="J37" s="64">
        <v>0.75</v>
      </c>
      <c r="K37" s="64">
        <v>352.57</v>
      </c>
      <c r="L37" s="64">
        <v>17.239999999999998</v>
      </c>
      <c r="M37" s="64">
        <v>58.28</v>
      </c>
      <c r="N37" s="64">
        <v>84.2</v>
      </c>
      <c r="O37" s="64">
        <v>0</v>
      </c>
      <c r="P37" s="64">
        <v>0.48</v>
      </c>
      <c r="Q37" s="64">
        <v>5.21</v>
      </c>
      <c r="R37" s="198"/>
      <c r="S37" s="198"/>
      <c r="T37" s="198"/>
      <c r="U37" s="198"/>
    </row>
    <row r="38" spans="1:21" s="12" customFormat="1" x14ac:dyDescent="0.25">
      <c r="A38" s="213" t="s">
        <v>2484</v>
      </c>
      <c r="B38" s="64">
        <v>14.8</v>
      </c>
      <c r="C38" s="64">
        <v>50.76</v>
      </c>
      <c r="D38" s="64">
        <v>40.53</v>
      </c>
      <c r="E38" s="64">
        <v>0.14000000000000001</v>
      </c>
      <c r="F38" s="64">
        <v>3.08</v>
      </c>
      <c r="G38" s="64">
        <v>70.209999999999994</v>
      </c>
      <c r="H38" s="64">
        <v>22.28</v>
      </c>
      <c r="I38" s="64">
        <v>1.42</v>
      </c>
      <c r="J38" s="64">
        <v>0.49</v>
      </c>
      <c r="K38" s="64">
        <v>356.91</v>
      </c>
      <c r="L38" s="64">
        <v>18.100000000000001</v>
      </c>
      <c r="M38" s="64">
        <v>55.04</v>
      </c>
      <c r="N38" s="64">
        <v>144.4</v>
      </c>
      <c r="O38" s="64">
        <v>0</v>
      </c>
      <c r="P38" s="64">
        <v>0.5</v>
      </c>
      <c r="Q38" s="64">
        <v>5.21</v>
      </c>
      <c r="R38" s="198"/>
      <c r="S38" s="198"/>
      <c r="T38" s="198"/>
      <c r="U38" s="198"/>
    </row>
    <row r="39" spans="1:21" s="12" customFormat="1" x14ac:dyDescent="0.25">
      <c r="A39" s="213" t="s">
        <v>2485</v>
      </c>
      <c r="B39" s="64">
        <v>15.46</v>
      </c>
      <c r="C39" s="64">
        <v>50.92</v>
      </c>
      <c r="D39" s="64">
        <v>41.15</v>
      </c>
      <c r="E39" s="64">
        <v>0.21</v>
      </c>
      <c r="F39" s="64">
        <v>3.04</v>
      </c>
      <c r="G39" s="64">
        <v>70.040000000000006</v>
      </c>
      <c r="H39" s="64">
        <v>22.28</v>
      </c>
      <c r="I39" s="64">
        <v>1.56</v>
      </c>
      <c r="J39" s="64">
        <v>0.47</v>
      </c>
      <c r="K39" s="64">
        <v>14.23</v>
      </c>
      <c r="L39" s="64">
        <v>18.899999999999999</v>
      </c>
      <c r="M39" s="64">
        <v>52.31</v>
      </c>
      <c r="N39" s="64">
        <v>198.6</v>
      </c>
      <c r="O39" s="64">
        <v>0</v>
      </c>
      <c r="P39" s="64">
        <v>0.51</v>
      </c>
      <c r="Q39" s="64">
        <v>5.21</v>
      </c>
      <c r="R39" s="198"/>
      <c r="S39" s="198"/>
      <c r="T39" s="198"/>
      <c r="U39" s="198"/>
    </row>
    <row r="40" spans="1:21" s="12" customFormat="1" x14ac:dyDescent="0.25">
      <c r="A40" s="213" t="s">
        <v>2486</v>
      </c>
      <c r="B40" s="64">
        <v>15.57</v>
      </c>
      <c r="C40" s="64">
        <v>51.05</v>
      </c>
      <c r="D40" s="64">
        <v>41.3</v>
      </c>
      <c r="E40" s="64">
        <v>0.1</v>
      </c>
      <c r="F40" s="64">
        <v>3.04</v>
      </c>
      <c r="G40" s="64">
        <v>70.040000000000006</v>
      </c>
      <c r="H40" s="64">
        <v>22.28</v>
      </c>
      <c r="I40" s="64">
        <v>1.54</v>
      </c>
      <c r="J40" s="64">
        <v>0.77</v>
      </c>
      <c r="K40" s="64">
        <v>1.02</v>
      </c>
      <c r="L40" s="64">
        <v>20.079999999999998</v>
      </c>
      <c r="M40" s="64">
        <v>48.47</v>
      </c>
      <c r="N40" s="64">
        <v>253.4</v>
      </c>
      <c r="O40" s="64">
        <v>0</v>
      </c>
      <c r="P40" s="64">
        <v>0.52</v>
      </c>
      <c r="Q40" s="64">
        <v>5.21</v>
      </c>
      <c r="R40" s="198"/>
      <c r="S40" s="198"/>
      <c r="T40" s="198"/>
      <c r="U40" s="198"/>
    </row>
    <row r="41" spans="1:21" s="12" customFormat="1" x14ac:dyDescent="0.25">
      <c r="A41" s="213" t="s">
        <v>2487</v>
      </c>
      <c r="B41" s="64">
        <v>15.88</v>
      </c>
      <c r="C41" s="64">
        <v>51.45</v>
      </c>
      <c r="D41" s="64">
        <v>41.78</v>
      </c>
      <c r="E41" s="64">
        <v>0.14000000000000001</v>
      </c>
      <c r="F41" s="64">
        <v>3.14</v>
      </c>
      <c r="G41" s="64">
        <v>70.040000000000006</v>
      </c>
      <c r="H41" s="64">
        <v>22.28</v>
      </c>
      <c r="I41" s="64">
        <v>1.58</v>
      </c>
      <c r="J41" s="64">
        <v>0.64</v>
      </c>
      <c r="K41" s="64">
        <v>75.89</v>
      </c>
      <c r="L41" s="64">
        <v>20.02</v>
      </c>
      <c r="M41" s="64">
        <v>48.93</v>
      </c>
      <c r="N41" s="64">
        <v>312.39999999999998</v>
      </c>
      <c r="O41" s="64">
        <v>0</v>
      </c>
      <c r="P41" s="64">
        <v>0.52</v>
      </c>
      <c r="Q41" s="64">
        <v>5.21</v>
      </c>
      <c r="R41" s="198"/>
      <c r="S41" s="198"/>
      <c r="T41" s="198"/>
      <c r="U41" s="198"/>
    </row>
    <row r="42" spans="1:21" s="12" customFormat="1" x14ac:dyDescent="0.25">
      <c r="A42" s="213" t="s">
        <v>2488</v>
      </c>
      <c r="B42" s="64">
        <v>15.74</v>
      </c>
      <c r="C42" s="64">
        <v>51.32</v>
      </c>
      <c r="D42" s="64">
        <v>41.58</v>
      </c>
      <c r="E42" s="64">
        <v>0.19</v>
      </c>
      <c r="F42" s="64">
        <v>3.11</v>
      </c>
      <c r="G42" s="64">
        <v>70.42</v>
      </c>
      <c r="H42" s="64">
        <v>24.39</v>
      </c>
      <c r="I42" s="64">
        <v>1.45</v>
      </c>
      <c r="J42" s="64">
        <v>0.61</v>
      </c>
      <c r="K42" s="64">
        <v>64.709999999999994</v>
      </c>
      <c r="L42" s="64">
        <v>20.39</v>
      </c>
      <c r="M42" s="64">
        <v>48.28</v>
      </c>
      <c r="N42" s="64">
        <v>370.3</v>
      </c>
      <c r="O42" s="64">
        <v>0</v>
      </c>
      <c r="P42" s="64">
        <v>0.53</v>
      </c>
      <c r="Q42" s="64">
        <v>5.21</v>
      </c>
      <c r="R42" s="198"/>
      <c r="S42" s="198"/>
      <c r="T42" s="198"/>
      <c r="U42" s="198"/>
    </row>
    <row r="43" spans="1:21" s="12" customFormat="1" x14ac:dyDescent="0.25">
      <c r="A43" s="213" t="s">
        <v>2489</v>
      </c>
      <c r="B43" s="64">
        <v>15.35</v>
      </c>
      <c r="C43" s="64">
        <v>50.73</v>
      </c>
      <c r="D43" s="64">
        <v>40.950000000000003</v>
      </c>
      <c r="E43" s="64">
        <v>0.11</v>
      </c>
      <c r="F43" s="64">
        <v>3.19</v>
      </c>
      <c r="G43" s="64">
        <v>70.5</v>
      </c>
      <c r="H43" s="64">
        <v>24.39</v>
      </c>
      <c r="I43" s="64">
        <v>1.48</v>
      </c>
      <c r="J43" s="64">
        <v>0.45</v>
      </c>
      <c r="K43" s="64">
        <v>31.53</v>
      </c>
      <c r="L43" s="64">
        <v>21.06</v>
      </c>
      <c r="M43" s="64">
        <v>46.81</v>
      </c>
      <c r="N43" s="64">
        <v>410.3</v>
      </c>
      <c r="O43" s="64">
        <v>0</v>
      </c>
      <c r="P43" s="64">
        <v>0.53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3" t="s">
        <v>2490</v>
      </c>
      <c r="B44" s="64">
        <v>15.05</v>
      </c>
      <c r="C44" s="64">
        <v>51.37</v>
      </c>
      <c r="D44" s="64">
        <v>41.06</v>
      </c>
      <c r="E44" s="64">
        <v>0.14000000000000001</v>
      </c>
      <c r="F44" s="64">
        <v>3.17</v>
      </c>
      <c r="G44" s="64">
        <v>70.5</v>
      </c>
      <c r="H44" s="64">
        <v>24.39</v>
      </c>
      <c r="I44" s="64">
        <v>1.51</v>
      </c>
      <c r="J44" s="64">
        <v>0.57999999999999996</v>
      </c>
      <c r="K44" s="64">
        <v>67.33</v>
      </c>
      <c r="L44" s="64">
        <v>21.61</v>
      </c>
      <c r="M44" s="64">
        <v>46.07</v>
      </c>
      <c r="N44" s="64">
        <v>445.7</v>
      </c>
      <c r="O44" s="64">
        <v>0</v>
      </c>
      <c r="P44" s="64">
        <v>0.52</v>
      </c>
      <c r="Q44" s="64">
        <v>5.21</v>
      </c>
      <c r="R44" s="198"/>
      <c r="S44" s="198"/>
      <c r="T44" s="198"/>
      <c r="U44" s="198"/>
    </row>
    <row r="45" spans="1:21" s="12" customFormat="1" x14ac:dyDescent="0.25">
      <c r="A45" s="213" t="s">
        <v>2491</v>
      </c>
      <c r="B45" s="64">
        <v>14.77</v>
      </c>
      <c r="C45" s="64">
        <v>51.25</v>
      </c>
      <c r="D45" s="64">
        <v>40.770000000000003</v>
      </c>
      <c r="E45" s="64">
        <v>0.17</v>
      </c>
      <c r="F45" s="64">
        <v>3.21</v>
      </c>
      <c r="G45" s="64">
        <v>70.5</v>
      </c>
      <c r="H45" s="64">
        <v>24.39</v>
      </c>
      <c r="I45" s="64">
        <v>1.5</v>
      </c>
      <c r="J45" s="64">
        <v>0.65</v>
      </c>
      <c r="K45" s="64">
        <v>97.04</v>
      </c>
      <c r="L45" s="64">
        <v>22.44</v>
      </c>
      <c r="M45" s="64">
        <v>44.66</v>
      </c>
      <c r="N45" s="64">
        <v>493.1</v>
      </c>
      <c r="O45" s="64">
        <v>0</v>
      </c>
      <c r="P45" s="64">
        <v>0.52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3" t="s">
        <v>2492</v>
      </c>
      <c r="B46" s="64">
        <v>14.44</v>
      </c>
      <c r="C46" s="64">
        <v>51.23</v>
      </c>
      <c r="D46" s="64">
        <v>40.5</v>
      </c>
      <c r="E46" s="64">
        <v>0.14000000000000001</v>
      </c>
      <c r="F46" s="64">
        <v>3.48</v>
      </c>
      <c r="G46" s="64">
        <v>72.13</v>
      </c>
      <c r="H46" s="64">
        <v>22.11</v>
      </c>
      <c r="I46" s="64">
        <v>1.51</v>
      </c>
      <c r="J46" s="64">
        <v>0.65</v>
      </c>
      <c r="K46" s="64">
        <v>93.09</v>
      </c>
      <c r="L46" s="64">
        <v>22.87</v>
      </c>
      <c r="M46" s="64">
        <v>45.01</v>
      </c>
      <c r="N46" s="64">
        <v>531.29999999999995</v>
      </c>
      <c r="O46" s="64">
        <v>0</v>
      </c>
      <c r="P46" s="64">
        <v>0.52</v>
      </c>
      <c r="Q46" s="64">
        <v>5.21</v>
      </c>
      <c r="R46" s="198"/>
      <c r="S46" s="198"/>
      <c r="T46" s="198"/>
      <c r="U46" s="198"/>
    </row>
    <row r="47" spans="1:21" s="12" customFormat="1" x14ac:dyDescent="0.25">
      <c r="A47" s="213" t="s">
        <v>2493</v>
      </c>
      <c r="B47" s="64">
        <v>13.89</v>
      </c>
      <c r="C47" s="64">
        <v>50.46</v>
      </c>
      <c r="D47" s="64">
        <v>39.630000000000003</v>
      </c>
      <c r="E47" s="64">
        <v>0.18</v>
      </c>
      <c r="F47" s="64">
        <v>3.33</v>
      </c>
      <c r="G47" s="64">
        <v>72.459999999999994</v>
      </c>
      <c r="H47" s="64">
        <v>22.11</v>
      </c>
      <c r="I47" s="64">
        <v>1.48</v>
      </c>
      <c r="J47" s="64">
        <v>0.71</v>
      </c>
      <c r="K47" s="64">
        <v>95.08</v>
      </c>
      <c r="L47" s="64">
        <v>24.01</v>
      </c>
      <c r="M47" s="64">
        <v>42.55</v>
      </c>
      <c r="N47" s="64">
        <v>603.4</v>
      </c>
      <c r="O47" s="64">
        <v>0</v>
      </c>
      <c r="P47" s="64">
        <v>0.51</v>
      </c>
      <c r="Q47" s="64">
        <v>5.21</v>
      </c>
      <c r="R47" s="198"/>
      <c r="S47" s="198"/>
      <c r="T47" s="198"/>
      <c r="U47" s="198"/>
    </row>
    <row r="48" spans="1:21" s="12" customFormat="1" x14ac:dyDescent="0.25">
      <c r="A48" s="213" t="s">
        <v>2494</v>
      </c>
      <c r="B48" s="64">
        <v>13.14</v>
      </c>
      <c r="C48" s="64">
        <v>49.99</v>
      </c>
      <c r="D48" s="64">
        <v>38.770000000000003</v>
      </c>
      <c r="E48" s="64">
        <v>0.16</v>
      </c>
      <c r="F48" s="64">
        <v>3.44</v>
      </c>
      <c r="G48" s="64">
        <v>72.459999999999994</v>
      </c>
      <c r="H48" s="64">
        <v>22.11</v>
      </c>
      <c r="I48" s="64">
        <v>1.42</v>
      </c>
      <c r="J48" s="64">
        <v>0.98</v>
      </c>
      <c r="K48" s="64">
        <v>109.88</v>
      </c>
      <c r="L48" s="64">
        <v>23.48</v>
      </c>
      <c r="M48" s="64">
        <v>45.83</v>
      </c>
      <c r="N48" s="64">
        <v>597.1</v>
      </c>
      <c r="O48" s="64">
        <v>0</v>
      </c>
      <c r="P48" s="64">
        <v>0.51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3" t="s">
        <v>2495</v>
      </c>
      <c r="B49" s="64">
        <v>12.18</v>
      </c>
      <c r="C49" s="64">
        <v>49.52</v>
      </c>
      <c r="D49" s="64">
        <v>37.74</v>
      </c>
      <c r="E49" s="64">
        <v>0.11</v>
      </c>
      <c r="F49" s="64">
        <v>3.62</v>
      </c>
      <c r="G49" s="64">
        <v>72.459999999999994</v>
      </c>
      <c r="H49" s="64">
        <v>22.11</v>
      </c>
      <c r="I49" s="64">
        <v>1.55</v>
      </c>
      <c r="J49" s="64">
        <v>0.35</v>
      </c>
      <c r="K49" s="64">
        <v>29.61</v>
      </c>
      <c r="L49" s="64">
        <v>24.91</v>
      </c>
      <c r="M49" s="64">
        <v>42.7</v>
      </c>
      <c r="N49" s="64">
        <v>669.4</v>
      </c>
      <c r="O49" s="64">
        <v>0</v>
      </c>
      <c r="P49" s="64">
        <v>0.51</v>
      </c>
      <c r="Q49" s="64">
        <v>5.21</v>
      </c>
      <c r="R49" s="198"/>
      <c r="S49" s="198"/>
      <c r="T49" s="198"/>
      <c r="U49" s="198"/>
    </row>
    <row r="50" spans="1:21" s="12" customFormat="1" x14ac:dyDescent="0.25">
      <c r="A50" s="213" t="s">
        <v>2496</v>
      </c>
      <c r="B50" s="64">
        <v>11.57</v>
      </c>
      <c r="C50" s="64">
        <v>49.88</v>
      </c>
      <c r="D50" s="64">
        <v>37.46</v>
      </c>
      <c r="E50" s="64">
        <v>0.22</v>
      </c>
      <c r="F50" s="64">
        <v>3.72</v>
      </c>
      <c r="G50" s="64">
        <v>67.42</v>
      </c>
      <c r="H50" s="64">
        <v>25.5</v>
      </c>
      <c r="I50" s="64">
        <v>1.46</v>
      </c>
      <c r="J50" s="64">
        <v>0.37</v>
      </c>
      <c r="K50" s="64">
        <v>337.4</v>
      </c>
      <c r="L50" s="64">
        <v>28.5</v>
      </c>
      <c r="M50" s="64">
        <v>35.31</v>
      </c>
      <c r="N50" s="64">
        <v>711.4</v>
      </c>
      <c r="O50" s="64">
        <v>0</v>
      </c>
      <c r="P50" s="64">
        <v>0.51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3" t="s">
        <v>2497</v>
      </c>
      <c r="B51" s="64">
        <v>10.63</v>
      </c>
      <c r="C51" s="64">
        <v>50.65</v>
      </c>
      <c r="D51" s="64">
        <v>37.119999999999997</v>
      </c>
      <c r="E51" s="64">
        <v>0.22</v>
      </c>
      <c r="F51" s="64">
        <v>3.82</v>
      </c>
      <c r="G51" s="64">
        <v>66.41</v>
      </c>
      <c r="H51" s="64">
        <v>25.5</v>
      </c>
      <c r="I51" s="64">
        <v>1.47</v>
      </c>
      <c r="J51" s="64">
        <v>0.42</v>
      </c>
      <c r="K51" s="64">
        <v>32.4</v>
      </c>
      <c r="L51" s="64">
        <v>28.82</v>
      </c>
      <c r="M51" s="64">
        <v>34.56</v>
      </c>
      <c r="N51" s="64">
        <v>742.1</v>
      </c>
      <c r="O51" s="64">
        <v>0</v>
      </c>
      <c r="P51" s="64">
        <v>0.52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3" t="s">
        <v>2498</v>
      </c>
      <c r="B52" s="64">
        <v>9.02</v>
      </c>
      <c r="C52" s="64">
        <v>51.86</v>
      </c>
      <c r="D52" s="64">
        <v>36.5</v>
      </c>
      <c r="E52" s="64">
        <v>0.21</v>
      </c>
      <c r="F52" s="64">
        <v>3.75</v>
      </c>
      <c r="G52" s="64">
        <v>66.41</v>
      </c>
      <c r="H52" s="64">
        <v>25.5</v>
      </c>
      <c r="I52" s="64">
        <v>1.45</v>
      </c>
      <c r="J52" s="64">
        <v>0.28000000000000003</v>
      </c>
      <c r="K52" s="64">
        <v>73.89</v>
      </c>
      <c r="L52" s="64">
        <v>26.14</v>
      </c>
      <c r="M52" s="64">
        <v>40.380000000000003</v>
      </c>
      <c r="N52" s="64">
        <v>759.5</v>
      </c>
      <c r="O52" s="64">
        <v>0</v>
      </c>
      <c r="P52" s="64">
        <v>0.53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3" t="s">
        <v>2499</v>
      </c>
      <c r="B53" s="64">
        <v>7.43</v>
      </c>
      <c r="C53" s="64">
        <v>52.4</v>
      </c>
      <c r="D53" s="64">
        <v>35.520000000000003</v>
      </c>
      <c r="E53" s="64">
        <v>0.19</v>
      </c>
      <c r="F53" s="64">
        <v>3.75</v>
      </c>
      <c r="G53" s="64">
        <v>66.41</v>
      </c>
      <c r="H53" s="64">
        <v>25.5</v>
      </c>
      <c r="I53" s="64">
        <v>1.54</v>
      </c>
      <c r="J53" s="64">
        <v>0.28999999999999998</v>
      </c>
      <c r="K53" s="64">
        <v>40.42</v>
      </c>
      <c r="L53" s="64">
        <v>27.91</v>
      </c>
      <c r="M53" s="64">
        <v>37.22</v>
      </c>
      <c r="N53" s="64">
        <v>772.4</v>
      </c>
      <c r="O53" s="64">
        <v>0</v>
      </c>
      <c r="P53" s="64">
        <v>0.54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3" t="s">
        <v>2500</v>
      </c>
      <c r="B54" s="64">
        <v>6.14</v>
      </c>
      <c r="C54" s="64">
        <v>53.1</v>
      </c>
      <c r="D54" s="64">
        <v>34.880000000000003</v>
      </c>
      <c r="E54" s="64">
        <v>0.21</v>
      </c>
      <c r="F54" s="64">
        <v>3.79</v>
      </c>
      <c r="G54" s="64">
        <v>65.91</v>
      </c>
      <c r="H54" s="64">
        <v>23.11</v>
      </c>
      <c r="I54" s="64">
        <v>1.55</v>
      </c>
      <c r="J54" s="64">
        <v>0.51</v>
      </c>
      <c r="K54" s="64">
        <v>95.58</v>
      </c>
      <c r="L54" s="64">
        <v>27.12</v>
      </c>
      <c r="M54" s="64">
        <v>39.31</v>
      </c>
      <c r="N54" s="64">
        <v>779.3</v>
      </c>
      <c r="O54" s="64">
        <v>0</v>
      </c>
      <c r="P54" s="64">
        <v>0.53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3" t="s">
        <v>2501</v>
      </c>
      <c r="B55" s="64">
        <v>4.8899999999999997</v>
      </c>
      <c r="C55" s="64">
        <v>52.94</v>
      </c>
      <c r="D55" s="64">
        <v>33.79</v>
      </c>
      <c r="E55" s="64">
        <v>0.26</v>
      </c>
      <c r="F55" s="64">
        <v>3.87</v>
      </c>
      <c r="G55" s="64">
        <v>65.81</v>
      </c>
      <c r="H55" s="64">
        <v>23.11</v>
      </c>
      <c r="I55" s="64">
        <v>1.46</v>
      </c>
      <c r="J55" s="64">
        <v>0.35</v>
      </c>
      <c r="K55" s="64">
        <v>29.2</v>
      </c>
      <c r="L55" s="64">
        <v>27.41</v>
      </c>
      <c r="M55" s="64">
        <v>38.659999999999997</v>
      </c>
      <c r="N55" s="64">
        <v>782.8</v>
      </c>
      <c r="O55" s="64">
        <v>0</v>
      </c>
      <c r="P55" s="64">
        <v>0.52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3" t="s">
        <v>2502</v>
      </c>
      <c r="B56" s="64">
        <v>4.05</v>
      </c>
      <c r="C56" s="64">
        <v>53.27</v>
      </c>
      <c r="D56" s="64">
        <v>33.29</v>
      </c>
      <c r="E56" s="64">
        <v>0.17</v>
      </c>
      <c r="F56" s="64">
        <v>4.25</v>
      </c>
      <c r="G56" s="64">
        <v>65.81</v>
      </c>
      <c r="H56" s="64">
        <v>23.11</v>
      </c>
      <c r="I56" s="64">
        <v>1.49</v>
      </c>
      <c r="J56" s="64">
        <v>0.37</v>
      </c>
      <c r="K56" s="64">
        <v>348.61</v>
      </c>
      <c r="L56" s="64">
        <v>30.31</v>
      </c>
      <c r="M56" s="64">
        <v>33.07</v>
      </c>
      <c r="N56" s="64">
        <v>777.5</v>
      </c>
      <c r="O56" s="64">
        <v>0</v>
      </c>
      <c r="P56" s="64">
        <v>0.53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3" t="s">
        <v>2503</v>
      </c>
      <c r="B57" s="64">
        <v>3.53</v>
      </c>
      <c r="C57" s="64">
        <v>53.95</v>
      </c>
      <c r="D57" s="64">
        <v>33.25</v>
      </c>
      <c r="E57" s="64">
        <v>0.18</v>
      </c>
      <c r="F57" s="64">
        <v>4.47</v>
      </c>
      <c r="G57" s="64">
        <v>65.81</v>
      </c>
      <c r="H57" s="64">
        <v>23.11</v>
      </c>
      <c r="I57" s="64">
        <v>1.58</v>
      </c>
      <c r="J57" s="64">
        <v>0.05</v>
      </c>
      <c r="K57" s="64">
        <v>258.38</v>
      </c>
      <c r="L57" s="64">
        <v>30.26</v>
      </c>
      <c r="M57" s="64">
        <v>32.630000000000003</v>
      </c>
      <c r="N57" s="64">
        <v>778.7</v>
      </c>
      <c r="O57" s="64">
        <v>0</v>
      </c>
      <c r="P57" s="64">
        <v>0.55000000000000004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3" t="s">
        <v>2504</v>
      </c>
      <c r="B58" s="64">
        <v>2.77</v>
      </c>
      <c r="C58" s="64">
        <v>53.5</v>
      </c>
      <c r="D58" s="64">
        <v>32.4</v>
      </c>
      <c r="E58" s="64">
        <v>0.23</v>
      </c>
      <c r="F58" s="64">
        <v>4.6900000000000004</v>
      </c>
      <c r="G58" s="64">
        <v>63.17</v>
      </c>
      <c r="H58" s="64">
        <v>23.53</v>
      </c>
      <c r="I58" s="64">
        <v>1.48</v>
      </c>
      <c r="J58" s="64">
        <v>0.48</v>
      </c>
      <c r="K58" s="64">
        <v>133.99</v>
      </c>
      <c r="L58" s="64">
        <v>28.55</v>
      </c>
      <c r="M58" s="64">
        <v>35.01</v>
      </c>
      <c r="N58" s="64">
        <v>766.4</v>
      </c>
      <c r="O58" s="64">
        <v>0</v>
      </c>
      <c r="P58" s="64">
        <v>0.53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3" t="s">
        <v>2505</v>
      </c>
      <c r="B59" s="64">
        <v>2.21</v>
      </c>
      <c r="C59" s="64">
        <v>52.05</v>
      </c>
      <c r="D59" s="64">
        <v>31.15</v>
      </c>
      <c r="E59" s="64">
        <v>0.22</v>
      </c>
      <c r="F59" s="64">
        <v>4.92</v>
      </c>
      <c r="G59" s="64">
        <v>62.64</v>
      </c>
      <c r="H59" s="64">
        <v>23.53</v>
      </c>
      <c r="I59" s="64">
        <v>1.53</v>
      </c>
      <c r="J59" s="64">
        <v>0.11</v>
      </c>
      <c r="K59" s="64">
        <v>106.65</v>
      </c>
      <c r="L59" s="64">
        <v>28.61</v>
      </c>
      <c r="M59" s="64">
        <v>35.28</v>
      </c>
      <c r="N59" s="64">
        <v>754.9</v>
      </c>
      <c r="O59" s="64">
        <v>0</v>
      </c>
      <c r="P59" s="64">
        <v>0.52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3" t="s">
        <v>2506</v>
      </c>
      <c r="B60" s="64">
        <v>2.09</v>
      </c>
      <c r="C60" s="64">
        <v>51.21</v>
      </c>
      <c r="D60" s="64">
        <v>30.58</v>
      </c>
      <c r="E60" s="64">
        <v>0.2</v>
      </c>
      <c r="F60" s="64">
        <v>5.19</v>
      </c>
      <c r="G60" s="64">
        <v>62.64</v>
      </c>
      <c r="H60" s="64">
        <v>23.53</v>
      </c>
      <c r="I60" s="64">
        <v>1.5</v>
      </c>
      <c r="J60" s="64">
        <v>0.12</v>
      </c>
      <c r="K60" s="64">
        <v>96.86</v>
      </c>
      <c r="L60" s="64">
        <v>29.74</v>
      </c>
      <c r="M60" s="64">
        <v>33.19</v>
      </c>
      <c r="N60" s="64">
        <v>734.4</v>
      </c>
      <c r="O60" s="64">
        <v>0</v>
      </c>
      <c r="P60" s="64">
        <v>0.51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3" t="s">
        <v>2507</v>
      </c>
      <c r="B61" s="64">
        <v>2.0099999999999998</v>
      </c>
      <c r="C61" s="64">
        <v>50.48</v>
      </c>
      <c r="D61" s="64">
        <v>30.11</v>
      </c>
      <c r="E61" s="64">
        <v>0.23</v>
      </c>
      <c r="F61" s="64">
        <v>5.3</v>
      </c>
      <c r="G61" s="64">
        <v>62.64</v>
      </c>
      <c r="H61" s="64">
        <v>23.53</v>
      </c>
      <c r="I61" s="64">
        <v>1.59</v>
      </c>
      <c r="J61" s="64">
        <v>0.25</v>
      </c>
      <c r="K61" s="64">
        <v>112.67</v>
      </c>
      <c r="L61" s="64">
        <v>28.79</v>
      </c>
      <c r="M61" s="64">
        <v>35.25</v>
      </c>
      <c r="N61" s="64">
        <v>728.1</v>
      </c>
      <c r="O61" s="64">
        <v>0</v>
      </c>
      <c r="P61" s="64">
        <v>0.51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3" t="s">
        <v>2508</v>
      </c>
      <c r="B62" s="64">
        <v>1.8</v>
      </c>
      <c r="C62" s="64">
        <v>49.45</v>
      </c>
      <c r="D62" s="64">
        <v>29.38</v>
      </c>
      <c r="E62" s="64">
        <v>0.3</v>
      </c>
      <c r="F62" s="64">
        <v>6.07</v>
      </c>
      <c r="G62" s="64">
        <v>59.76</v>
      </c>
      <c r="H62" s="64">
        <v>38.840000000000003</v>
      </c>
      <c r="I62" s="64">
        <v>1.44</v>
      </c>
      <c r="J62" s="64">
        <v>0.42</v>
      </c>
      <c r="K62" s="64">
        <v>168.07</v>
      </c>
      <c r="L62" s="64">
        <v>28.65</v>
      </c>
      <c r="M62" s="64">
        <v>34.549999999999997</v>
      </c>
      <c r="N62" s="64">
        <v>637.6</v>
      </c>
      <c r="O62" s="64">
        <v>0</v>
      </c>
      <c r="P62" s="64">
        <v>0.52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2509</v>
      </c>
      <c r="B63" s="64">
        <v>1.6</v>
      </c>
      <c r="C63" s="64">
        <v>48.59</v>
      </c>
      <c r="D63" s="64">
        <v>28.75</v>
      </c>
      <c r="E63" s="64">
        <v>0.31</v>
      </c>
      <c r="F63" s="64">
        <v>5.93</v>
      </c>
      <c r="G63" s="64">
        <v>59.18</v>
      </c>
      <c r="H63" s="64">
        <v>38.840000000000003</v>
      </c>
      <c r="I63" s="64">
        <v>1.53</v>
      </c>
      <c r="J63" s="64">
        <v>0.24</v>
      </c>
      <c r="K63" s="64">
        <v>164.21</v>
      </c>
      <c r="L63" s="64">
        <v>28.41</v>
      </c>
      <c r="M63" s="64">
        <v>35.56</v>
      </c>
      <c r="N63" s="64">
        <v>651.1</v>
      </c>
      <c r="O63" s="64">
        <v>0</v>
      </c>
      <c r="P63" s="64">
        <v>0.51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3" t="s">
        <v>2510</v>
      </c>
      <c r="B64" s="64">
        <v>1.66</v>
      </c>
      <c r="C64" s="64">
        <v>47.77</v>
      </c>
      <c r="D64" s="64">
        <v>28.34</v>
      </c>
      <c r="E64" s="64">
        <v>0.2</v>
      </c>
      <c r="F64" s="64">
        <v>5.61</v>
      </c>
      <c r="G64" s="64">
        <v>59.18</v>
      </c>
      <c r="H64" s="64">
        <v>38.840000000000003</v>
      </c>
      <c r="I64" s="64">
        <v>1.48</v>
      </c>
      <c r="J64" s="64">
        <v>0.1</v>
      </c>
      <c r="K64" s="64">
        <v>310.37</v>
      </c>
      <c r="L64" s="64">
        <v>30.21</v>
      </c>
      <c r="M64" s="64">
        <v>32.47</v>
      </c>
      <c r="N64" s="64">
        <v>662.7</v>
      </c>
      <c r="O64" s="64">
        <v>0</v>
      </c>
      <c r="P64" s="64">
        <v>0.5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3" t="s">
        <v>2511</v>
      </c>
      <c r="B65" s="64">
        <v>1.78</v>
      </c>
      <c r="C65" s="64">
        <v>47.39</v>
      </c>
      <c r="D65" s="64">
        <v>28.23</v>
      </c>
      <c r="E65" s="64">
        <v>0.19</v>
      </c>
      <c r="F65" s="64">
        <v>5.62</v>
      </c>
      <c r="G65" s="64">
        <v>59.18</v>
      </c>
      <c r="H65" s="64">
        <v>38.840000000000003</v>
      </c>
      <c r="I65" s="64">
        <v>1.5</v>
      </c>
      <c r="J65" s="64">
        <v>0.06</v>
      </c>
      <c r="K65" s="64">
        <v>308.58</v>
      </c>
      <c r="L65" s="64">
        <v>29.36</v>
      </c>
      <c r="M65" s="64">
        <v>33.69</v>
      </c>
      <c r="N65" s="64">
        <v>630.79999999999995</v>
      </c>
      <c r="O65" s="64">
        <v>0</v>
      </c>
      <c r="P65" s="64">
        <v>0.49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3" t="s">
        <v>2512</v>
      </c>
      <c r="B66" s="64">
        <v>1.84</v>
      </c>
      <c r="C66" s="64">
        <v>47.02</v>
      </c>
      <c r="D66" s="64">
        <v>28.07</v>
      </c>
      <c r="E66" s="64">
        <v>0.24</v>
      </c>
      <c r="F66" s="64">
        <v>5.54</v>
      </c>
      <c r="G66" s="64">
        <v>54.39</v>
      </c>
      <c r="H66" s="64">
        <v>31.95</v>
      </c>
      <c r="I66" s="64">
        <v>1.5</v>
      </c>
      <c r="J66" s="64">
        <v>0.53</v>
      </c>
      <c r="K66" s="64">
        <v>150.21</v>
      </c>
      <c r="L66" s="64">
        <v>28.8</v>
      </c>
      <c r="M66" s="64">
        <v>34.369999999999997</v>
      </c>
      <c r="N66" s="64">
        <v>571.6</v>
      </c>
      <c r="O66" s="64">
        <v>0</v>
      </c>
      <c r="P66" s="64">
        <v>0.48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3" t="s">
        <v>2513</v>
      </c>
      <c r="B67" s="64">
        <v>1.76</v>
      </c>
      <c r="C67" s="64">
        <v>46.38</v>
      </c>
      <c r="D67" s="64">
        <v>27.66</v>
      </c>
      <c r="E67" s="64">
        <v>0.2</v>
      </c>
      <c r="F67" s="64">
        <v>5.85</v>
      </c>
      <c r="G67" s="64">
        <v>53.43</v>
      </c>
      <c r="H67" s="64">
        <v>31.95</v>
      </c>
      <c r="I67" s="64">
        <v>1.46</v>
      </c>
      <c r="J67" s="64">
        <v>0.2</v>
      </c>
      <c r="K67" s="64">
        <v>191.6</v>
      </c>
      <c r="L67" s="64">
        <v>28.39</v>
      </c>
      <c r="M67" s="64">
        <v>34.35</v>
      </c>
      <c r="N67" s="64">
        <v>437</v>
      </c>
      <c r="O67" s="64">
        <v>0</v>
      </c>
      <c r="P67" s="64">
        <v>0.47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3" t="s">
        <v>2514</v>
      </c>
      <c r="B68" s="64">
        <v>1.57</v>
      </c>
      <c r="C68" s="64">
        <v>46.24</v>
      </c>
      <c r="D68" s="64">
        <v>27.43</v>
      </c>
      <c r="E68" s="64">
        <v>0.18</v>
      </c>
      <c r="F68" s="64">
        <v>6.15</v>
      </c>
      <c r="G68" s="64">
        <v>53.43</v>
      </c>
      <c r="H68" s="64">
        <v>31.95</v>
      </c>
      <c r="I68" s="64">
        <v>1.5</v>
      </c>
      <c r="J68" s="64">
        <v>0.06</v>
      </c>
      <c r="K68" s="64">
        <v>176.81</v>
      </c>
      <c r="L68" s="64">
        <v>28.32</v>
      </c>
      <c r="M68" s="64">
        <v>34.630000000000003</v>
      </c>
      <c r="N68" s="64">
        <v>401.1</v>
      </c>
      <c r="O68" s="64">
        <v>0</v>
      </c>
      <c r="P68" s="64">
        <v>0.46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3" t="s">
        <v>2515</v>
      </c>
      <c r="B69" s="64">
        <v>1.6</v>
      </c>
      <c r="C69" s="64">
        <v>45.38</v>
      </c>
      <c r="D69" s="64">
        <v>26.97</v>
      </c>
      <c r="E69" s="64">
        <v>0.25</v>
      </c>
      <c r="F69" s="64">
        <v>6.03</v>
      </c>
      <c r="G69" s="64">
        <v>53.43</v>
      </c>
      <c r="H69" s="64">
        <v>31.95</v>
      </c>
      <c r="I69" s="64">
        <v>1.44</v>
      </c>
      <c r="J69" s="64">
        <v>0.04</v>
      </c>
      <c r="K69" s="64">
        <v>205.48</v>
      </c>
      <c r="L69" s="64">
        <v>29.39</v>
      </c>
      <c r="M69" s="64">
        <v>32.4</v>
      </c>
      <c r="N69" s="64">
        <v>317.89999999999998</v>
      </c>
      <c r="O69" s="64">
        <v>0</v>
      </c>
      <c r="P69" s="64">
        <v>0.46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3" t="s">
        <v>2516</v>
      </c>
      <c r="B70" s="64">
        <v>1.65</v>
      </c>
      <c r="C70" s="64">
        <v>45.5</v>
      </c>
      <c r="D70" s="64">
        <v>27.08</v>
      </c>
      <c r="E70" s="64">
        <v>0.24</v>
      </c>
      <c r="F70" s="64">
        <v>5.72</v>
      </c>
      <c r="G70" s="64">
        <v>53.07</v>
      </c>
      <c r="H70" s="64">
        <v>28.63</v>
      </c>
      <c r="I70" s="64">
        <v>1.56</v>
      </c>
      <c r="J70" s="64">
        <v>0.1</v>
      </c>
      <c r="K70" s="64">
        <v>159.58000000000001</v>
      </c>
      <c r="L70" s="64">
        <v>28.38</v>
      </c>
      <c r="M70" s="64">
        <v>33.659999999999997</v>
      </c>
      <c r="N70" s="64">
        <v>195.6</v>
      </c>
      <c r="O70" s="64">
        <v>0</v>
      </c>
      <c r="P70" s="64">
        <v>0.46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3" t="s">
        <v>2517</v>
      </c>
      <c r="B71" s="64">
        <v>1.64</v>
      </c>
      <c r="C71" s="64">
        <v>45.66</v>
      </c>
      <c r="D71" s="64">
        <v>27.16</v>
      </c>
      <c r="E71" s="64">
        <v>0.27</v>
      </c>
      <c r="F71" s="64">
        <v>5.92</v>
      </c>
      <c r="G71" s="64">
        <v>53</v>
      </c>
      <c r="H71" s="64">
        <v>28.63</v>
      </c>
      <c r="I71" s="64">
        <v>1.53</v>
      </c>
      <c r="J71" s="64">
        <v>0.26</v>
      </c>
      <c r="K71" s="64">
        <v>172.58</v>
      </c>
      <c r="L71" s="64">
        <v>28.18</v>
      </c>
      <c r="M71" s="64">
        <v>33.42</v>
      </c>
      <c r="N71" s="64">
        <v>197.1</v>
      </c>
      <c r="O71" s="64">
        <v>0</v>
      </c>
      <c r="P71" s="64">
        <v>0.45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3" t="s">
        <v>2518</v>
      </c>
      <c r="B72" s="64">
        <v>1.57</v>
      </c>
      <c r="C72" s="64">
        <v>45.46</v>
      </c>
      <c r="D72" s="64">
        <v>26.99</v>
      </c>
      <c r="E72" s="64">
        <v>0.1</v>
      </c>
      <c r="F72" s="64">
        <v>5.86</v>
      </c>
      <c r="G72" s="64">
        <v>53</v>
      </c>
      <c r="H72" s="64">
        <v>28.63</v>
      </c>
      <c r="I72" s="64">
        <v>1.57</v>
      </c>
      <c r="J72" s="64">
        <v>0.21</v>
      </c>
      <c r="K72" s="64">
        <v>5.35</v>
      </c>
      <c r="L72" s="64">
        <v>28.37</v>
      </c>
      <c r="M72" s="64">
        <v>32.96</v>
      </c>
      <c r="N72" s="64">
        <v>170.4</v>
      </c>
      <c r="O72" s="64">
        <v>0</v>
      </c>
      <c r="P72" s="64">
        <v>0.46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3" t="s">
        <v>2519</v>
      </c>
      <c r="B73" s="64">
        <v>1.67</v>
      </c>
      <c r="C73" s="64">
        <v>45.82</v>
      </c>
      <c r="D73" s="64">
        <v>27.27</v>
      </c>
      <c r="E73" s="64">
        <v>0.06</v>
      </c>
      <c r="F73" s="64">
        <v>5.61</v>
      </c>
      <c r="G73" s="64">
        <v>53</v>
      </c>
      <c r="H73" s="64">
        <v>28.63</v>
      </c>
      <c r="I73" s="64">
        <v>1.5</v>
      </c>
      <c r="J73" s="64">
        <v>0.13</v>
      </c>
      <c r="K73" s="64">
        <v>340.86</v>
      </c>
      <c r="L73" s="64">
        <v>28.26</v>
      </c>
      <c r="M73" s="64">
        <v>33.36</v>
      </c>
      <c r="N73" s="64">
        <v>130.1</v>
      </c>
      <c r="O73" s="64">
        <v>0</v>
      </c>
      <c r="P73" s="64">
        <v>0.46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3" t="s">
        <v>2520</v>
      </c>
      <c r="B74" s="64">
        <v>1.72</v>
      </c>
      <c r="C74" s="64">
        <v>46.26</v>
      </c>
      <c r="D74" s="64">
        <v>27.56</v>
      </c>
      <c r="E74" s="64">
        <v>0.1</v>
      </c>
      <c r="F74" s="64">
        <v>5.49</v>
      </c>
      <c r="G74" s="64">
        <v>53.24</v>
      </c>
      <c r="H74" s="64">
        <v>25.95</v>
      </c>
      <c r="I74" s="64">
        <v>1.49</v>
      </c>
      <c r="J74" s="64">
        <v>0.35</v>
      </c>
      <c r="K74" s="64">
        <v>143.07</v>
      </c>
      <c r="L74" s="64">
        <v>27.52</v>
      </c>
      <c r="M74" s="64">
        <v>33.340000000000003</v>
      </c>
      <c r="N74" s="64">
        <v>94.7</v>
      </c>
      <c r="O74" s="64">
        <v>0</v>
      </c>
      <c r="P74" s="64">
        <v>0.46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3" t="s">
        <v>2521</v>
      </c>
      <c r="B75" s="64">
        <v>1.69</v>
      </c>
      <c r="C75" s="64">
        <v>46.28</v>
      </c>
      <c r="D75" s="64">
        <v>27.54</v>
      </c>
      <c r="E75" s="64">
        <v>0.1</v>
      </c>
      <c r="F75" s="64">
        <v>5.45</v>
      </c>
      <c r="G75" s="64">
        <v>53.29</v>
      </c>
      <c r="H75" s="64">
        <v>25.95</v>
      </c>
      <c r="I75" s="64">
        <v>1.53</v>
      </c>
      <c r="J75" s="64">
        <v>0.09</v>
      </c>
      <c r="K75" s="64">
        <v>112.09</v>
      </c>
      <c r="L75" s="64">
        <v>27.29</v>
      </c>
      <c r="M75" s="64">
        <v>34.020000000000003</v>
      </c>
      <c r="N75" s="64">
        <v>86.2</v>
      </c>
      <c r="O75" s="64">
        <v>0</v>
      </c>
      <c r="P75" s="64">
        <v>0.45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3" t="s">
        <v>2522</v>
      </c>
      <c r="B76" s="64">
        <v>1.74</v>
      </c>
      <c r="C76" s="64">
        <v>46.07</v>
      </c>
      <c r="D76" s="64">
        <v>27.47</v>
      </c>
      <c r="E76" s="64">
        <v>7.0000000000000007E-2</v>
      </c>
      <c r="F76" s="64">
        <v>5.3</v>
      </c>
      <c r="G76" s="64">
        <v>53.29</v>
      </c>
      <c r="H76" s="64">
        <v>25.95</v>
      </c>
      <c r="I76" s="64">
        <v>1.5</v>
      </c>
      <c r="J76" s="64">
        <v>0.15</v>
      </c>
      <c r="K76" s="64">
        <v>330.08</v>
      </c>
      <c r="L76" s="64">
        <v>27.46</v>
      </c>
      <c r="M76" s="64">
        <v>32.21</v>
      </c>
      <c r="N76" s="64">
        <v>69.400000000000006</v>
      </c>
      <c r="O76" s="64">
        <v>0</v>
      </c>
      <c r="P76" s="64">
        <v>0.45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3" t="s">
        <v>2523</v>
      </c>
      <c r="B77" s="64">
        <v>2.0499999999999998</v>
      </c>
      <c r="C77" s="64">
        <v>47.23</v>
      </c>
      <c r="D77" s="64">
        <v>28.36</v>
      </c>
      <c r="E77" s="64">
        <v>0.09</v>
      </c>
      <c r="F77" s="64">
        <v>4.96</v>
      </c>
      <c r="G77" s="64">
        <v>53.29</v>
      </c>
      <c r="H77" s="64">
        <v>25.95</v>
      </c>
      <c r="I77" s="64">
        <v>1.45</v>
      </c>
      <c r="J77" s="64">
        <v>0.34</v>
      </c>
      <c r="K77" s="64">
        <v>311.73</v>
      </c>
      <c r="L77" s="64">
        <v>27.29</v>
      </c>
      <c r="M77" s="64">
        <v>32.81</v>
      </c>
      <c r="N77" s="64">
        <v>55.7</v>
      </c>
      <c r="O77" s="64">
        <v>0</v>
      </c>
      <c r="P77" s="64">
        <v>0.47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3" t="s">
        <v>2524</v>
      </c>
      <c r="B78" s="64">
        <v>2.48</v>
      </c>
      <c r="C78" s="64">
        <v>48.77</v>
      </c>
      <c r="D78" s="64">
        <v>29.55</v>
      </c>
      <c r="E78" s="64">
        <v>0.13</v>
      </c>
      <c r="F78" s="64">
        <v>4.9000000000000004</v>
      </c>
      <c r="G78" s="64">
        <v>54.27</v>
      </c>
      <c r="H78" s="64">
        <v>29.44</v>
      </c>
      <c r="I78" s="64">
        <v>1.52</v>
      </c>
      <c r="J78" s="64">
        <v>0.52</v>
      </c>
      <c r="K78" s="64">
        <v>321.35000000000002</v>
      </c>
      <c r="L78" s="64">
        <v>26.8</v>
      </c>
      <c r="M78" s="64">
        <v>34.46</v>
      </c>
      <c r="N78" s="64">
        <v>41.5</v>
      </c>
      <c r="O78" s="64">
        <v>0</v>
      </c>
      <c r="P78" s="64">
        <v>0.49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3" t="s">
        <v>2525</v>
      </c>
      <c r="B79" s="64">
        <v>2.95</v>
      </c>
      <c r="C79" s="64">
        <v>50.2</v>
      </c>
      <c r="D79" s="64">
        <v>30.71</v>
      </c>
      <c r="E79" s="64">
        <v>0.1</v>
      </c>
      <c r="F79" s="64">
        <v>4.6399999999999997</v>
      </c>
      <c r="G79" s="64">
        <v>54.46</v>
      </c>
      <c r="H79" s="64">
        <v>29.44</v>
      </c>
      <c r="I79" s="64">
        <v>1.52</v>
      </c>
      <c r="J79" s="64">
        <v>0.72</v>
      </c>
      <c r="K79" s="64">
        <v>343.36</v>
      </c>
      <c r="L79" s="64">
        <v>26.12</v>
      </c>
      <c r="M79" s="64">
        <v>40.74</v>
      </c>
      <c r="N79" s="64">
        <v>28.8</v>
      </c>
      <c r="O79" s="64">
        <v>0</v>
      </c>
      <c r="P79" s="64">
        <v>0.52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3" t="s">
        <v>2526</v>
      </c>
      <c r="B80" s="64">
        <v>3.47</v>
      </c>
      <c r="C80" s="64">
        <v>50.26</v>
      </c>
      <c r="D80" s="64">
        <v>31.17</v>
      </c>
      <c r="E80" s="64">
        <v>0.08</v>
      </c>
      <c r="F80" s="64">
        <v>4.32</v>
      </c>
      <c r="G80" s="64">
        <v>54.46</v>
      </c>
      <c r="H80" s="64">
        <v>29.44</v>
      </c>
      <c r="I80" s="64">
        <v>1.5</v>
      </c>
      <c r="J80" s="64">
        <v>0.91</v>
      </c>
      <c r="K80" s="64">
        <v>344.89</v>
      </c>
      <c r="L80" s="64">
        <v>25.5</v>
      </c>
      <c r="M80" s="64">
        <v>47.75</v>
      </c>
      <c r="N80" s="64">
        <v>18.8</v>
      </c>
      <c r="O80" s="64">
        <v>0</v>
      </c>
      <c r="P80" s="64">
        <v>0.55000000000000004</v>
      </c>
      <c r="Q80" s="64">
        <v>5.21</v>
      </c>
      <c r="R80" s="198"/>
      <c r="S80" s="198"/>
      <c r="T80" s="198"/>
      <c r="U80" s="198"/>
    </row>
    <row r="81" spans="1:26" s="12" customFormat="1" x14ac:dyDescent="0.25">
      <c r="A81" s="213" t="s">
        <v>2527</v>
      </c>
      <c r="B81" s="64">
        <v>4.0599999999999996</v>
      </c>
      <c r="C81" s="64">
        <v>52.26</v>
      </c>
      <c r="D81" s="64">
        <v>32.74</v>
      </c>
      <c r="E81" s="64">
        <v>0.05</v>
      </c>
      <c r="F81" s="64">
        <v>4.38</v>
      </c>
      <c r="G81" s="64">
        <v>54.46</v>
      </c>
      <c r="H81" s="64">
        <v>29.44</v>
      </c>
      <c r="I81" s="64">
        <v>1.41</v>
      </c>
      <c r="J81" s="64">
        <v>1.3</v>
      </c>
      <c r="K81" s="64">
        <v>344.18</v>
      </c>
      <c r="L81" s="64">
        <v>25.27</v>
      </c>
      <c r="M81" s="64">
        <v>49.1</v>
      </c>
      <c r="N81" s="64">
        <v>15.4</v>
      </c>
      <c r="O81" s="64">
        <v>0</v>
      </c>
      <c r="P81" s="64">
        <v>0.57999999999999996</v>
      </c>
      <c r="Q81" s="64">
        <v>5.21</v>
      </c>
      <c r="R81" s="198"/>
      <c r="S81" s="198"/>
      <c r="T81" s="198"/>
      <c r="U81" s="198"/>
    </row>
    <row r="82" spans="1:26" s="12" customFormat="1" x14ac:dyDescent="0.25">
      <c r="A82" s="213" t="s">
        <v>2528</v>
      </c>
      <c r="B82" s="64">
        <v>4.47</v>
      </c>
      <c r="C82" s="64">
        <v>54.38</v>
      </c>
      <c r="D82" s="64">
        <v>34.24</v>
      </c>
      <c r="E82" s="64">
        <v>0.1</v>
      </c>
      <c r="F82" s="64">
        <v>4.04</v>
      </c>
      <c r="G82" s="64">
        <v>62.85</v>
      </c>
      <c r="H82" s="64">
        <v>30.19</v>
      </c>
      <c r="I82" s="64">
        <v>1.43</v>
      </c>
      <c r="J82" s="64">
        <v>1.24</v>
      </c>
      <c r="K82" s="64">
        <v>350.97</v>
      </c>
      <c r="L82" s="64">
        <v>25.06</v>
      </c>
      <c r="M82" s="64">
        <v>49.81</v>
      </c>
      <c r="N82" s="64">
        <v>14.8</v>
      </c>
      <c r="O82" s="64">
        <v>0</v>
      </c>
      <c r="P82" s="64">
        <v>0.61</v>
      </c>
      <c r="Q82" s="64">
        <v>5.21</v>
      </c>
      <c r="R82" s="198"/>
      <c r="S82" s="198"/>
      <c r="T82" s="198"/>
      <c r="U82" s="198"/>
    </row>
    <row r="83" spans="1:26" s="12" customFormat="1" x14ac:dyDescent="0.25">
      <c r="A83" s="213" t="s">
        <v>2529</v>
      </c>
      <c r="B83" s="64">
        <v>4.74</v>
      </c>
      <c r="C83" s="64">
        <v>56.01</v>
      </c>
      <c r="D83" s="64">
        <v>35.36</v>
      </c>
      <c r="E83" s="64">
        <v>0.06</v>
      </c>
      <c r="F83" s="64">
        <v>3.94</v>
      </c>
      <c r="G83" s="64">
        <v>64.52</v>
      </c>
      <c r="H83" s="64">
        <v>30.19</v>
      </c>
      <c r="I83" s="64">
        <v>1.52</v>
      </c>
      <c r="J83" s="64">
        <v>1.0900000000000001</v>
      </c>
      <c r="K83" s="64">
        <v>351.42</v>
      </c>
      <c r="L83" s="64">
        <v>24.71</v>
      </c>
      <c r="M83" s="64">
        <v>51.2</v>
      </c>
      <c r="N83" s="64">
        <v>14.9</v>
      </c>
      <c r="O83" s="64">
        <v>0</v>
      </c>
      <c r="P83" s="64">
        <v>0.65</v>
      </c>
      <c r="Q83" s="64">
        <v>5.21</v>
      </c>
      <c r="R83" s="198"/>
      <c r="S83" s="198"/>
      <c r="T83" s="198"/>
      <c r="U83" s="198"/>
    </row>
    <row r="84" spans="1:26" s="12" customFormat="1" x14ac:dyDescent="0.25">
      <c r="A84" s="213" t="s">
        <v>2530</v>
      </c>
      <c r="B84" s="64">
        <v>5.04</v>
      </c>
      <c r="C84" s="64">
        <v>57.33</v>
      </c>
      <c r="D84" s="64">
        <v>36.33</v>
      </c>
      <c r="E84" s="64">
        <v>0.12</v>
      </c>
      <c r="F84" s="64">
        <v>3.9</v>
      </c>
      <c r="G84" s="64">
        <v>64.52</v>
      </c>
      <c r="H84" s="64">
        <v>30.19</v>
      </c>
      <c r="I84" s="64">
        <v>1.53</v>
      </c>
      <c r="J84" s="64">
        <v>0.48</v>
      </c>
      <c r="K84" s="64">
        <v>351.84</v>
      </c>
      <c r="L84" s="64">
        <v>24.32</v>
      </c>
      <c r="M84" s="64">
        <v>51.55</v>
      </c>
      <c r="N84" s="64">
        <v>15</v>
      </c>
      <c r="O84" s="64">
        <v>0</v>
      </c>
      <c r="P84" s="64">
        <v>0.73</v>
      </c>
      <c r="Q84" s="64">
        <v>5.21</v>
      </c>
      <c r="R84" s="198"/>
      <c r="S84" s="198"/>
      <c r="T84" s="198"/>
      <c r="U84" s="198"/>
    </row>
    <row r="85" spans="1:26" s="12" customFormat="1" x14ac:dyDescent="0.25">
      <c r="A85" s="213" t="s">
        <v>2531</v>
      </c>
      <c r="B85" s="64">
        <v>5.37</v>
      </c>
      <c r="C85" s="64">
        <v>57.94</v>
      </c>
      <c r="D85" s="64">
        <v>36.93</v>
      </c>
      <c r="E85" s="64">
        <v>0.1</v>
      </c>
      <c r="F85" s="64">
        <v>3.47</v>
      </c>
      <c r="G85" s="64">
        <v>64.52</v>
      </c>
      <c r="H85" s="64">
        <v>30.19</v>
      </c>
      <c r="I85" s="64">
        <v>1.53</v>
      </c>
      <c r="J85" s="64">
        <v>0.16</v>
      </c>
      <c r="K85" s="64">
        <v>22.41</v>
      </c>
      <c r="L85" s="64">
        <v>23.96</v>
      </c>
      <c r="M85" s="64">
        <v>53.34</v>
      </c>
      <c r="N85" s="64">
        <v>15.1</v>
      </c>
      <c r="O85" s="64">
        <v>0</v>
      </c>
      <c r="P85" s="64">
        <v>0.79</v>
      </c>
      <c r="Q85" s="64">
        <v>5.21</v>
      </c>
      <c r="R85" s="198"/>
      <c r="S85" s="198"/>
      <c r="T85" s="198"/>
      <c r="U85" s="198"/>
    </row>
    <row r="86" spans="1:26" s="12" customFormat="1" x14ac:dyDescent="0.25">
      <c r="A86" s="213" t="s">
        <v>2532</v>
      </c>
      <c r="B86" s="64">
        <v>6.19</v>
      </c>
      <c r="C86" s="64">
        <v>58.58</v>
      </c>
      <c r="D86" s="64">
        <v>37.94</v>
      </c>
      <c r="E86" s="64">
        <v>0.09</v>
      </c>
      <c r="F86" s="64">
        <v>3.51</v>
      </c>
      <c r="G86" s="64">
        <v>79.38</v>
      </c>
      <c r="H86" s="64">
        <v>33.1</v>
      </c>
      <c r="I86" s="64">
        <v>1.53</v>
      </c>
      <c r="J86" s="64">
        <v>0.42</v>
      </c>
      <c r="K86" s="64">
        <v>351.07</v>
      </c>
      <c r="L86" s="64">
        <v>23.65</v>
      </c>
      <c r="M86" s="64">
        <v>54.9</v>
      </c>
      <c r="N86" s="64">
        <v>14.7</v>
      </c>
      <c r="O86" s="64">
        <v>0</v>
      </c>
      <c r="P86" s="64">
        <v>0.89</v>
      </c>
      <c r="Q86" s="64">
        <v>5.21</v>
      </c>
      <c r="R86" s="198"/>
      <c r="S86" s="198"/>
      <c r="T86" s="198"/>
      <c r="U86" s="198"/>
    </row>
    <row r="87" spans="1:26" s="12" customFormat="1" x14ac:dyDescent="0.25">
      <c r="A87" s="213" t="s">
        <v>2533</v>
      </c>
      <c r="B87" s="64">
        <v>7.81</v>
      </c>
      <c r="C87" s="64">
        <v>58.26</v>
      </c>
      <c r="D87" s="64">
        <v>39.06</v>
      </c>
      <c r="E87" s="64">
        <v>0.17</v>
      </c>
      <c r="F87" s="64">
        <v>3.63</v>
      </c>
      <c r="G87" s="64">
        <v>82.35</v>
      </c>
      <c r="H87" s="64">
        <v>33.1</v>
      </c>
      <c r="I87" s="64">
        <v>1.47</v>
      </c>
      <c r="J87" s="64">
        <v>0.5</v>
      </c>
      <c r="K87" s="64">
        <v>351.58</v>
      </c>
      <c r="L87" s="64">
        <v>23.41</v>
      </c>
      <c r="M87" s="64">
        <v>56.33</v>
      </c>
      <c r="N87" s="64">
        <v>14.6</v>
      </c>
      <c r="O87" s="64">
        <v>0</v>
      </c>
      <c r="P87" s="64">
        <v>0.85</v>
      </c>
      <c r="Q87" s="64">
        <v>5.21</v>
      </c>
      <c r="R87" s="198"/>
      <c r="S87" s="198"/>
      <c r="T87" s="198"/>
      <c r="U87" s="198"/>
    </row>
    <row r="88" spans="1:26" s="12" customFormat="1" x14ac:dyDescent="0.25">
      <c r="A88" s="213" t="s">
        <v>2534</v>
      </c>
      <c r="B88" s="64">
        <v>8.8699999999999992</v>
      </c>
      <c r="C88" s="64">
        <v>59.33</v>
      </c>
      <c r="D88" s="64">
        <v>40.51</v>
      </c>
      <c r="E88" s="64">
        <v>0.03</v>
      </c>
      <c r="F88" s="64">
        <v>3.65</v>
      </c>
      <c r="G88" s="64">
        <v>82.35</v>
      </c>
      <c r="H88" s="64">
        <v>33.1</v>
      </c>
      <c r="I88" s="64">
        <v>1.57</v>
      </c>
      <c r="J88" s="64">
        <v>0.51</v>
      </c>
      <c r="K88" s="64">
        <v>351.51</v>
      </c>
      <c r="L88" s="64">
        <v>23.38</v>
      </c>
      <c r="M88" s="64">
        <v>56.29</v>
      </c>
      <c r="N88" s="64">
        <v>14.6</v>
      </c>
      <c r="O88" s="64">
        <v>0</v>
      </c>
      <c r="P88" s="64">
        <v>0.94</v>
      </c>
      <c r="Q88" s="64">
        <v>5.21</v>
      </c>
      <c r="R88" s="198"/>
      <c r="S88" s="198"/>
      <c r="T88" s="198"/>
      <c r="U88" s="198"/>
    </row>
    <row r="89" spans="1:26" s="12" customFormat="1" x14ac:dyDescent="0.25">
      <c r="A89" s="213" t="s">
        <v>2535</v>
      </c>
      <c r="B89" s="64">
        <v>8.68</v>
      </c>
      <c r="C89" s="64">
        <v>61.12</v>
      </c>
      <c r="D89" s="64">
        <v>41.34</v>
      </c>
      <c r="E89" s="64">
        <v>0.15</v>
      </c>
      <c r="F89" s="64">
        <v>3.73</v>
      </c>
      <c r="G89" s="64">
        <v>82.35</v>
      </c>
      <c r="H89" s="64">
        <v>33.1</v>
      </c>
      <c r="I89" s="64">
        <v>1.52</v>
      </c>
      <c r="J89" s="64">
        <v>0.5</v>
      </c>
      <c r="K89" s="64">
        <v>350.54</v>
      </c>
      <c r="L89" s="64">
        <v>23.34</v>
      </c>
      <c r="M89" s="64">
        <v>56.69</v>
      </c>
      <c r="N89" s="64">
        <v>14.6</v>
      </c>
      <c r="O89" s="64">
        <v>0</v>
      </c>
      <c r="P89" s="64">
        <v>1.01</v>
      </c>
      <c r="Q89" s="64">
        <v>5.21</v>
      </c>
      <c r="R89" s="198"/>
      <c r="S89" s="198"/>
      <c r="T89" s="198"/>
      <c r="U89" s="198"/>
    </row>
    <row r="90" spans="1:26" s="12" customFormat="1" x14ac:dyDescent="0.25">
      <c r="A90" s="213" t="s">
        <v>2536</v>
      </c>
      <c r="B90" s="64">
        <v>8.52</v>
      </c>
      <c r="C90" s="64">
        <v>62.64</v>
      </c>
      <c r="D90" s="64">
        <v>42.04</v>
      </c>
      <c r="E90" s="64">
        <v>0.15</v>
      </c>
      <c r="F90" s="64">
        <v>3.49</v>
      </c>
      <c r="G90" s="64">
        <v>93.9</v>
      </c>
      <c r="H90" s="64">
        <v>34.31</v>
      </c>
      <c r="I90" s="64">
        <v>1.51</v>
      </c>
      <c r="J90" s="64">
        <v>0.18</v>
      </c>
      <c r="K90" s="64">
        <v>29.52</v>
      </c>
      <c r="L90" s="64">
        <v>23.08</v>
      </c>
      <c r="M90" s="64">
        <v>57.86</v>
      </c>
      <c r="N90" s="64">
        <v>14.9</v>
      </c>
      <c r="O90" s="64">
        <v>0</v>
      </c>
      <c r="P90" s="64">
        <v>1.06</v>
      </c>
      <c r="Q90" s="64">
        <v>5.21</v>
      </c>
      <c r="R90" s="198"/>
      <c r="S90" s="198"/>
      <c r="T90" s="198"/>
      <c r="U90" s="198"/>
    </row>
    <row r="91" spans="1:26" s="12" customFormat="1" x14ac:dyDescent="0.25">
      <c r="A91" s="213" t="s">
        <v>2537</v>
      </c>
      <c r="B91" s="64">
        <v>9.02</v>
      </c>
      <c r="C91" s="64">
        <v>63.2</v>
      </c>
      <c r="D91" s="64">
        <v>42.76</v>
      </c>
      <c r="E91" s="64">
        <v>0.09</v>
      </c>
      <c r="F91" s="64">
        <v>3.38</v>
      </c>
      <c r="G91" s="64">
        <v>96.2</v>
      </c>
      <c r="H91" s="64">
        <v>34.31</v>
      </c>
      <c r="I91" s="64">
        <v>1.6</v>
      </c>
      <c r="J91" s="64">
        <v>0.17</v>
      </c>
      <c r="K91" s="64">
        <v>44.86</v>
      </c>
      <c r="L91" s="64">
        <v>22.83</v>
      </c>
      <c r="M91" s="64">
        <v>58.83</v>
      </c>
      <c r="N91" s="64">
        <v>14.6</v>
      </c>
      <c r="O91" s="64">
        <v>0</v>
      </c>
      <c r="P91" s="64">
        <v>1.1000000000000001</v>
      </c>
      <c r="Q91" s="64">
        <v>5.21</v>
      </c>
      <c r="R91" s="198"/>
      <c r="S91" s="198"/>
      <c r="T91" s="198"/>
      <c r="U91" s="198"/>
    </row>
    <row r="92" spans="1:26" s="12" customFormat="1" x14ac:dyDescent="0.25">
      <c r="A92" s="213" t="s">
        <v>2538</v>
      </c>
      <c r="B92" s="64">
        <v>9.83</v>
      </c>
      <c r="C92" s="64">
        <v>64</v>
      </c>
      <c r="D92" s="64">
        <v>43.85</v>
      </c>
      <c r="E92" s="64">
        <v>0.14000000000000001</v>
      </c>
      <c r="F92" s="64">
        <v>3.5</v>
      </c>
      <c r="G92" s="64">
        <v>96.2</v>
      </c>
      <c r="H92" s="64">
        <v>34.31</v>
      </c>
      <c r="I92" s="64">
        <v>1.5</v>
      </c>
      <c r="J92" s="64">
        <v>0.21</v>
      </c>
      <c r="K92" s="64">
        <v>55.04</v>
      </c>
      <c r="L92" s="64">
        <v>23.03</v>
      </c>
      <c r="M92" s="64">
        <v>57.85</v>
      </c>
      <c r="N92" s="64">
        <v>14.8</v>
      </c>
      <c r="O92" s="64">
        <v>0</v>
      </c>
      <c r="P92" s="64">
        <v>1.1399999999999999</v>
      </c>
      <c r="Q92" s="64">
        <v>5.21</v>
      </c>
      <c r="R92" s="198"/>
      <c r="S92" s="198"/>
      <c r="T92" s="198"/>
      <c r="U92" s="198"/>
    </row>
    <row r="93" spans="1:26" s="12" customFormat="1" x14ac:dyDescent="0.25">
      <c r="A93" s="213" t="s">
        <v>2539</v>
      </c>
      <c r="B93" s="64">
        <v>9.59</v>
      </c>
      <c r="C93" s="64">
        <v>64.540000000000006</v>
      </c>
      <c r="D93" s="64">
        <v>43.95</v>
      </c>
      <c r="E93" s="64">
        <v>0.09</v>
      </c>
      <c r="F93" s="64">
        <v>3.44</v>
      </c>
      <c r="G93" s="64">
        <v>96.2</v>
      </c>
      <c r="H93" s="64">
        <v>34.31</v>
      </c>
      <c r="I93" s="64">
        <v>1.44</v>
      </c>
      <c r="J93" s="64">
        <v>0.13</v>
      </c>
      <c r="K93" s="64">
        <v>25.21</v>
      </c>
      <c r="L93" s="64">
        <v>22.92</v>
      </c>
      <c r="M93" s="64">
        <v>58.57</v>
      </c>
      <c r="N93" s="64">
        <v>15.1</v>
      </c>
      <c r="O93" s="64">
        <v>0</v>
      </c>
      <c r="P93" s="64">
        <v>1.17</v>
      </c>
      <c r="Q93" s="64">
        <v>5.21</v>
      </c>
      <c r="R93" s="198"/>
      <c r="S93" s="198"/>
      <c r="T93" s="198"/>
      <c r="U93" s="198"/>
    </row>
    <row r="94" spans="1:26" s="12" customFormat="1" x14ac:dyDescent="0.25">
      <c r="A94" s="213" t="s">
        <v>2540</v>
      </c>
      <c r="B94" s="64">
        <v>9.8000000000000007</v>
      </c>
      <c r="C94" s="64">
        <v>64.959999999999994</v>
      </c>
      <c r="D94" s="64">
        <v>44.35</v>
      </c>
      <c r="E94" s="64">
        <v>0.14000000000000001</v>
      </c>
      <c r="F94" s="64">
        <v>3.51</v>
      </c>
      <c r="G94" s="64">
        <v>92.2</v>
      </c>
      <c r="H94" s="64">
        <v>36.96</v>
      </c>
      <c r="I94" s="64">
        <v>1.52</v>
      </c>
      <c r="J94" s="64">
        <v>0.23</v>
      </c>
      <c r="K94" s="64">
        <v>78.38</v>
      </c>
      <c r="L94" s="64">
        <v>22.65</v>
      </c>
      <c r="M94" s="64">
        <v>59.58</v>
      </c>
      <c r="N94" s="64">
        <v>14.9</v>
      </c>
      <c r="O94" s="64">
        <v>0</v>
      </c>
      <c r="P94" s="64">
        <v>1.21</v>
      </c>
      <c r="Q94" s="64">
        <v>5.21</v>
      </c>
      <c r="R94" s="198"/>
      <c r="S94" s="198"/>
      <c r="T94" s="198"/>
      <c r="U94" s="198"/>
    </row>
    <row r="95" spans="1:26" s="12" customFormat="1" x14ac:dyDescent="0.25">
      <c r="A95" s="213" t="s">
        <v>2541</v>
      </c>
      <c r="B95" s="64">
        <v>9.5</v>
      </c>
      <c r="C95" s="64">
        <v>65.12</v>
      </c>
      <c r="D95" s="64">
        <v>44.2</v>
      </c>
      <c r="E95" s="64">
        <v>0.16</v>
      </c>
      <c r="F95" s="64">
        <v>3.5</v>
      </c>
      <c r="G95" s="64">
        <v>91.4</v>
      </c>
      <c r="H95" s="64">
        <v>36.96</v>
      </c>
      <c r="I95" s="64">
        <v>1.55</v>
      </c>
      <c r="J95" s="64">
        <v>0.17</v>
      </c>
      <c r="K95" s="64">
        <v>25.24</v>
      </c>
      <c r="L95" s="64">
        <v>22.55</v>
      </c>
      <c r="M95" s="64">
        <v>60.46</v>
      </c>
      <c r="N95" s="64">
        <v>14.6</v>
      </c>
      <c r="O95" s="64">
        <v>0</v>
      </c>
      <c r="P95" s="64">
        <v>1.22</v>
      </c>
      <c r="Q95" s="64">
        <v>5.21</v>
      </c>
      <c r="R95" s="198"/>
      <c r="S95" s="198"/>
      <c r="T95" s="198"/>
      <c r="U95" s="198"/>
    </row>
    <row r="96" spans="1:26" s="12" customFormat="1" x14ac:dyDescent="0.25">
      <c r="A96" s="213" t="s">
        <v>2542</v>
      </c>
      <c r="B96" s="64">
        <v>9.08</v>
      </c>
      <c r="C96" s="64">
        <v>64.959999999999994</v>
      </c>
      <c r="D96" s="64">
        <v>43.78</v>
      </c>
      <c r="E96" s="64">
        <v>0.21</v>
      </c>
      <c r="F96" s="64">
        <v>3.43</v>
      </c>
      <c r="G96" s="64">
        <v>91.4</v>
      </c>
      <c r="H96" s="64">
        <v>36.96</v>
      </c>
      <c r="I96" s="64">
        <v>1.49</v>
      </c>
      <c r="J96" s="64">
        <v>0.24</v>
      </c>
      <c r="K96" s="64">
        <v>18.09</v>
      </c>
      <c r="L96" s="64">
        <v>22.37</v>
      </c>
      <c r="M96" s="64">
        <v>61.49</v>
      </c>
      <c r="N96" s="64">
        <v>14.7</v>
      </c>
      <c r="O96" s="64">
        <v>0</v>
      </c>
      <c r="P96" s="64">
        <v>1.23</v>
      </c>
      <c r="Q96" s="64">
        <v>5.21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2543</v>
      </c>
      <c r="B97" s="64">
        <v>8.9</v>
      </c>
      <c r="C97" s="64">
        <v>63.99</v>
      </c>
      <c r="D97" s="64">
        <v>43.1</v>
      </c>
      <c r="E97" s="64">
        <v>0.11</v>
      </c>
      <c r="F97" s="64">
        <v>3.35</v>
      </c>
      <c r="G97" s="64">
        <v>91.4</v>
      </c>
      <c r="H97" s="64">
        <v>36.96</v>
      </c>
      <c r="I97" s="64">
        <v>1.56</v>
      </c>
      <c r="J97" s="64">
        <v>0.17</v>
      </c>
      <c r="K97" s="64">
        <v>21.52</v>
      </c>
      <c r="L97" s="64">
        <v>22.17</v>
      </c>
      <c r="M97" s="64">
        <v>62.51</v>
      </c>
      <c r="N97" s="64">
        <v>14.7</v>
      </c>
      <c r="O97" s="64">
        <v>0</v>
      </c>
      <c r="P97" s="64">
        <v>1.23</v>
      </c>
      <c r="Q97" s="64">
        <v>5.21</v>
      </c>
      <c r="R97" s="198"/>
      <c r="S97" s="198"/>
      <c r="T97" s="198"/>
      <c r="U97" s="198"/>
    </row>
    <row r="98" spans="1:33" s="12" customFormat="1" x14ac:dyDescent="0.25">
      <c r="A98" s="213" t="s">
        <v>2544</v>
      </c>
      <c r="B98" s="64">
        <v>9.0399999999999991</v>
      </c>
      <c r="C98" s="64">
        <v>60.14</v>
      </c>
      <c r="D98" s="64">
        <v>41.09</v>
      </c>
      <c r="E98" s="64">
        <v>0.16</v>
      </c>
      <c r="F98" s="64">
        <v>3.49</v>
      </c>
      <c r="G98" s="64">
        <v>89.75</v>
      </c>
      <c r="H98" s="64">
        <v>34.340000000000003</v>
      </c>
      <c r="I98" s="64">
        <v>1.47</v>
      </c>
      <c r="J98" s="64">
        <v>0.31</v>
      </c>
      <c r="K98" s="64">
        <v>79.72</v>
      </c>
      <c r="L98" s="64">
        <v>22.1</v>
      </c>
      <c r="M98" s="64">
        <v>63.43</v>
      </c>
      <c r="N98" s="64">
        <v>14.4</v>
      </c>
      <c r="O98" s="64">
        <v>0</v>
      </c>
      <c r="P98" s="64">
        <v>1.22</v>
      </c>
      <c r="Q98" s="64">
        <v>5.21</v>
      </c>
      <c r="R98" s="198"/>
      <c r="S98" s="198"/>
      <c r="T98" s="198"/>
      <c r="U98" s="198"/>
    </row>
    <row r="99" spans="1:33" s="12" customFormat="1" x14ac:dyDescent="0.25">
      <c r="A99" s="213" t="s">
        <v>2545</v>
      </c>
      <c r="B99" s="64">
        <v>9.01</v>
      </c>
      <c r="C99" s="64">
        <v>59.09</v>
      </c>
      <c r="D99" s="64">
        <v>40.479999999999997</v>
      </c>
      <c r="E99" s="64">
        <v>0.09</v>
      </c>
      <c r="F99" s="64">
        <v>3.67</v>
      </c>
      <c r="G99" s="64">
        <v>89.41</v>
      </c>
      <c r="H99" s="64">
        <v>34.340000000000003</v>
      </c>
      <c r="I99" s="64">
        <v>1.48</v>
      </c>
      <c r="J99" s="64">
        <v>0.61</v>
      </c>
      <c r="K99" s="64">
        <v>89.39</v>
      </c>
      <c r="L99" s="64">
        <v>22.19</v>
      </c>
      <c r="M99" s="64">
        <v>63.63</v>
      </c>
      <c r="N99" s="64">
        <v>14.1</v>
      </c>
      <c r="O99" s="64">
        <v>0</v>
      </c>
      <c r="P99" s="64">
        <v>1.2</v>
      </c>
      <c r="Q99" s="64">
        <v>5.21</v>
      </c>
      <c r="R99" s="198"/>
      <c r="S99" s="198"/>
      <c r="T99" s="198"/>
      <c r="U99" s="198"/>
    </row>
    <row r="100" spans="1:33" s="12" customFormat="1" x14ac:dyDescent="0.25">
      <c r="A100" s="213" t="s">
        <v>2546</v>
      </c>
      <c r="B100" s="64">
        <v>8.6199999999999992</v>
      </c>
      <c r="C100" s="64">
        <v>58.41</v>
      </c>
      <c r="D100" s="64">
        <v>39.79</v>
      </c>
      <c r="E100" s="64">
        <v>0.11</v>
      </c>
      <c r="F100" s="64">
        <v>3.72</v>
      </c>
      <c r="G100" s="64">
        <v>89.41</v>
      </c>
      <c r="H100" s="64">
        <v>34.340000000000003</v>
      </c>
      <c r="I100" s="64">
        <v>1.52</v>
      </c>
      <c r="J100" s="64">
        <v>0.41</v>
      </c>
      <c r="K100" s="64">
        <v>47.08</v>
      </c>
      <c r="L100" s="64">
        <v>22.06</v>
      </c>
      <c r="M100" s="64">
        <v>64.75</v>
      </c>
      <c r="N100" s="64">
        <v>14.5</v>
      </c>
      <c r="O100" s="64">
        <v>0</v>
      </c>
      <c r="P100" s="64">
        <v>1.18</v>
      </c>
      <c r="Q100" s="64">
        <v>5.21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2547</v>
      </c>
      <c r="B101" s="64">
        <v>8.2200000000000006</v>
      </c>
      <c r="C101" s="64">
        <v>58.26</v>
      </c>
      <c r="D101" s="64">
        <v>39.39</v>
      </c>
      <c r="E101" s="64">
        <v>0.08</v>
      </c>
      <c r="F101" s="64">
        <v>3.8</v>
      </c>
      <c r="G101" s="64">
        <v>89.41</v>
      </c>
      <c r="H101" s="64">
        <v>34.340000000000003</v>
      </c>
      <c r="I101" s="64">
        <v>1.51</v>
      </c>
      <c r="J101" s="64">
        <v>0.38</v>
      </c>
      <c r="K101" s="64">
        <v>18.52</v>
      </c>
      <c r="L101" s="64">
        <v>21.77</v>
      </c>
      <c r="M101" s="64">
        <v>66.290000000000006</v>
      </c>
      <c r="N101" s="64">
        <v>14.9</v>
      </c>
      <c r="O101" s="64">
        <v>0</v>
      </c>
      <c r="P101" s="64">
        <v>1.1599999999999999</v>
      </c>
      <c r="Q101" s="64">
        <v>5.21</v>
      </c>
      <c r="R101" s="198"/>
      <c r="S101" s="198"/>
      <c r="T101" s="198"/>
      <c r="U101" s="198"/>
    </row>
    <row r="102" spans="1:33" s="12" customFormat="1" x14ac:dyDescent="0.25">
      <c r="A102" s="213" t="s">
        <v>2548</v>
      </c>
      <c r="B102" s="64">
        <v>8.07</v>
      </c>
      <c r="C102" s="64">
        <v>57.78</v>
      </c>
      <c r="D102" s="64">
        <v>39</v>
      </c>
      <c r="E102" s="64">
        <v>0.11</v>
      </c>
      <c r="F102" s="64">
        <v>3.71</v>
      </c>
      <c r="G102" s="64">
        <v>89.11</v>
      </c>
      <c r="H102" s="64">
        <v>32.799999999999997</v>
      </c>
      <c r="I102" s="64">
        <v>1.42</v>
      </c>
      <c r="J102" s="64">
        <v>0.37</v>
      </c>
      <c r="K102" s="64">
        <v>16.27</v>
      </c>
      <c r="L102" s="64">
        <v>21.34</v>
      </c>
      <c r="M102" s="64">
        <v>69.12</v>
      </c>
      <c r="N102" s="64">
        <v>15.1</v>
      </c>
      <c r="O102" s="64">
        <v>0</v>
      </c>
      <c r="P102" s="64">
        <v>1.1399999999999999</v>
      </c>
      <c r="Q102" s="64">
        <v>5.21</v>
      </c>
      <c r="R102" s="198"/>
      <c r="S102" s="198"/>
      <c r="T102" s="198"/>
      <c r="U102" s="198"/>
    </row>
    <row r="103" spans="1:33" s="12" customFormat="1" x14ac:dyDescent="0.25">
      <c r="A103" s="213" t="s">
        <v>2549</v>
      </c>
      <c r="B103" s="64">
        <v>8.14</v>
      </c>
      <c r="C103" s="64">
        <v>57.38</v>
      </c>
      <c r="D103" s="64">
        <v>38.840000000000003</v>
      </c>
      <c r="E103" s="64">
        <v>0.08</v>
      </c>
      <c r="F103" s="64">
        <v>3.83</v>
      </c>
      <c r="G103" s="64">
        <v>89.05</v>
      </c>
      <c r="H103" s="64">
        <v>32.799999999999997</v>
      </c>
      <c r="I103" s="64">
        <v>1.38</v>
      </c>
      <c r="J103" s="64">
        <v>0.38</v>
      </c>
      <c r="K103" s="64">
        <v>1.76</v>
      </c>
      <c r="L103" s="64">
        <v>20.93</v>
      </c>
      <c r="M103" s="64">
        <v>71.819999999999993</v>
      </c>
      <c r="N103" s="64">
        <v>15.1</v>
      </c>
      <c r="O103" s="64">
        <v>0</v>
      </c>
      <c r="P103" s="64">
        <v>1.1200000000000001</v>
      </c>
      <c r="Q103" s="64">
        <v>5.21</v>
      </c>
      <c r="R103" s="198"/>
      <c r="S103" s="198"/>
      <c r="T103" s="198"/>
      <c r="U103" s="198"/>
    </row>
    <row r="104" spans="1:33" s="12" customFormat="1" x14ac:dyDescent="0.25">
      <c r="A104" s="213" t="s">
        <v>2550</v>
      </c>
      <c r="B104" s="64">
        <v>8.09</v>
      </c>
      <c r="C104" s="64">
        <v>56.18</v>
      </c>
      <c r="D104" s="64">
        <v>38.14</v>
      </c>
      <c r="E104" s="64">
        <v>0.11</v>
      </c>
      <c r="F104" s="64">
        <v>3.89</v>
      </c>
      <c r="G104" s="64">
        <v>89.05</v>
      </c>
      <c r="H104" s="64">
        <v>32.799999999999997</v>
      </c>
      <c r="I104" s="64">
        <v>1.5</v>
      </c>
      <c r="J104" s="64">
        <v>0.52</v>
      </c>
      <c r="K104" s="64">
        <v>359.17</v>
      </c>
      <c r="L104" s="64">
        <v>20.61</v>
      </c>
      <c r="M104" s="64">
        <v>73.08</v>
      </c>
      <c r="N104" s="64">
        <v>15.3</v>
      </c>
      <c r="O104" s="64">
        <v>0</v>
      </c>
      <c r="P104" s="64">
        <v>1.0900000000000001</v>
      </c>
      <c r="Q104" s="64">
        <v>5.21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1.57</v>
      </c>
      <c r="C106" s="67">
        <f>MIN(C9:C104)</f>
        <v>45.38</v>
      </c>
      <c r="D106" s="67">
        <f t="shared" ref="D106:Q106" si="0">MIN(D9:D104)</f>
        <v>26.97</v>
      </c>
      <c r="E106" s="67">
        <f t="shared" si="0"/>
        <v>0.01</v>
      </c>
      <c r="F106" s="67">
        <f t="shared" si="0"/>
        <v>3.04</v>
      </c>
      <c r="G106" s="67">
        <f t="shared" si="0"/>
        <v>53</v>
      </c>
      <c r="H106" s="67">
        <f t="shared" si="0"/>
        <v>19.12</v>
      </c>
      <c r="I106" s="67">
        <f t="shared" si="0"/>
        <v>1.38</v>
      </c>
      <c r="J106" s="67">
        <f t="shared" si="0"/>
        <v>0.04</v>
      </c>
      <c r="K106" s="67">
        <f t="shared" si="0"/>
        <v>0.43</v>
      </c>
      <c r="L106" s="67">
        <f t="shared" si="0"/>
        <v>16.579999999999998</v>
      </c>
      <c r="M106" s="67">
        <f t="shared" si="0"/>
        <v>32.21</v>
      </c>
      <c r="N106" s="67">
        <f t="shared" si="0"/>
        <v>14</v>
      </c>
      <c r="O106" s="67">
        <f t="shared" si="0"/>
        <v>0</v>
      </c>
      <c r="P106" s="67">
        <f t="shared" si="0"/>
        <v>0.45</v>
      </c>
      <c r="Q106" s="67">
        <f t="shared" si="0"/>
        <v>5.21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24.02</v>
      </c>
      <c r="C107" s="66">
        <f t="shared" ref="C107:Q107" si="1">MAX(C9:C104)</f>
        <v>65.12</v>
      </c>
      <c r="D107" s="66">
        <f t="shared" si="1"/>
        <v>49.66</v>
      </c>
      <c r="E107" s="66">
        <f t="shared" si="1"/>
        <v>0.31</v>
      </c>
      <c r="F107" s="66">
        <f t="shared" si="1"/>
        <v>6.15</v>
      </c>
      <c r="G107" s="66">
        <f t="shared" si="1"/>
        <v>96.2</v>
      </c>
      <c r="H107" s="66">
        <f t="shared" si="1"/>
        <v>38.840000000000003</v>
      </c>
      <c r="I107" s="66">
        <f t="shared" si="1"/>
        <v>1.6</v>
      </c>
      <c r="J107" s="66">
        <f t="shared" si="1"/>
        <v>1.3</v>
      </c>
      <c r="K107" s="66">
        <f t="shared" si="1"/>
        <v>359.5</v>
      </c>
      <c r="L107" s="66">
        <f t="shared" si="1"/>
        <v>30.31</v>
      </c>
      <c r="M107" s="66">
        <f t="shared" si="1"/>
        <v>73.08</v>
      </c>
      <c r="N107" s="66">
        <f t="shared" si="1"/>
        <v>782.8</v>
      </c>
      <c r="O107" s="66">
        <f t="shared" si="1"/>
        <v>0</v>
      </c>
      <c r="P107" s="66">
        <f t="shared" si="1"/>
        <v>1.23</v>
      </c>
      <c r="Q107" s="66">
        <f t="shared" si="1"/>
        <v>5.26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9.258541666666666</v>
      </c>
      <c r="C108" s="67">
        <f t="shared" ref="C108:Q108" si="2">AVERAGE(C9:C104)</f>
        <v>52.098125000000017</v>
      </c>
      <c r="D108" s="67">
        <f t="shared" si="2"/>
        <v>36.822812499999991</v>
      </c>
      <c r="E108" s="67">
        <f t="shared" si="2"/>
        <v>0.13329545454545455</v>
      </c>
      <c r="F108" s="67">
        <f t="shared" si="2"/>
        <v>3.9849999999999999</v>
      </c>
      <c r="G108" s="67">
        <f t="shared" si="2"/>
        <v>69.489895833333321</v>
      </c>
      <c r="H108" s="67">
        <f t="shared" si="2"/>
        <v>27.153020833333343</v>
      </c>
      <c r="I108" s="67">
        <f t="shared" si="2"/>
        <v>1.5003124999999995</v>
      </c>
      <c r="J108" s="67">
        <f t="shared" si="2"/>
        <v>0.45812500000000012</v>
      </c>
      <c r="K108" s="67">
        <f t="shared" si="2"/>
        <v>187.43958333333333</v>
      </c>
      <c r="L108" s="67">
        <f t="shared" si="2"/>
        <v>22.89833333333333</v>
      </c>
      <c r="M108" s="67">
        <f t="shared" si="2"/>
        <v>49.083750000000009</v>
      </c>
      <c r="N108" s="67">
        <f t="shared" si="2"/>
        <v>212.80520833333321</v>
      </c>
      <c r="O108" s="67">
        <f t="shared" si="2"/>
        <v>0</v>
      </c>
      <c r="P108" s="67">
        <f t="shared" si="2"/>
        <v>0.6758333333333334</v>
      </c>
      <c r="Q108" s="67">
        <f t="shared" si="2"/>
        <v>5.2105208333333248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5.8614255458740185</v>
      </c>
      <c r="C109" s="67">
        <f t="shared" ref="C109:Q109" si="3">STDEV(C9:C104)</f>
        <v>5.2005129934206336</v>
      </c>
      <c r="D109" s="67">
        <f t="shared" si="3"/>
        <v>5.7034002237124373</v>
      </c>
      <c r="E109" s="67">
        <f t="shared" si="3"/>
        <v>7.0884746846011926E-2</v>
      </c>
      <c r="F109" s="67">
        <f t="shared" si="3"/>
        <v>0.89011530891109814</v>
      </c>
      <c r="G109" s="67">
        <f t="shared" si="3"/>
        <v>11.78598708500847</v>
      </c>
      <c r="H109" s="67">
        <f t="shared" si="3"/>
        <v>5.4535541515392447</v>
      </c>
      <c r="I109" s="67">
        <f t="shared" si="3"/>
        <v>4.4802563953886716E-2</v>
      </c>
      <c r="J109" s="67">
        <f t="shared" si="3"/>
        <v>0.30473564902957051</v>
      </c>
      <c r="K109" s="67">
        <f t="shared" si="3"/>
        <v>140.45035381279868</v>
      </c>
      <c r="L109" s="67">
        <f t="shared" si="3"/>
        <v>4.3616036806049596</v>
      </c>
      <c r="M109" s="67">
        <f t="shared" si="3"/>
        <v>11.118404869499228</v>
      </c>
      <c r="N109" s="67">
        <f t="shared" si="3"/>
        <v>282.47730914732608</v>
      </c>
      <c r="O109" s="67">
        <f t="shared" si="3"/>
        <v>0</v>
      </c>
      <c r="P109" s="67">
        <f t="shared" si="3"/>
        <v>0.25118945111384938</v>
      </c>
      <c r="Q109" s="67">
        <f t="shared" si="3"/>
        <v>5.1031036307982881E-3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COUNT(E9:E104)+8</f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2551</v>
      </c>
      <c r="B9" s="64">
        <v>7.86</v>
      </c>
      <c r="C9" s="64">
        <v>55.62</v>
      </c>
      <c r="D9" s="64">
        <v>37.65</v>
      </c>
      <c r="E9" s="64">
        <v>0.15</v>
      </c>
      <c r="F9" s="64">
        <v>3.54</v>
      </c>
      <c r="G9" s="64">
        <v>89.05</v>
      </c>
      <c r="H9" s="64">
        <v>32.799999999999997</v>
      </c>
      <c r="I9" s="64">
        <v>1.48</v>
      </c>
      <c r="J9" s="64">
        <v>1.43</v>
      </c>
      <c r="K9" s="64">
        <v>353.04</v>
      </c>
      <c r="L9" s="64">
        <v>20.21</v>
      </c>
      <c r="M9" s="64">
        <v>71.459999999999994</v>
      </c>
      <c r="N9" s="64">
        <v>15.4</v>
      </c>
      <c r="O9" s="64">
        <v>0</v>
      </c>
      <c r="P9" s="64">
        <v>1.05</v>
      </c>
      <c r="Q9" s="64">
        <v>5.21</v>
      </c>
      <c r="R9" s="198"/>
      <c r="S9" s="198"/>
      <c r="T9" s="198"/>
      <c r="U9" s="198"/>
    </row>
    <row r="10" spans="1:21" s="12" customFormat="1" x14ac:dyDescent="0.25">
      <c r="A10" s="213" t="s">
        <v>2552</v>
      </c>
      <c r="B10" s="64">
        <v>7.54</v>
      </c>
      <c r="C10" s="64">
        <v>54.86</v>
      </c>
      <c r="D10" s="64">
        <v>36.97</v>
      </c>
      <c r="E10" s="64">
        <v>0.28000000000000003</v>
      </c>
      <c r="F10" s="64">
        <v>3.52</v>
      </c>
      <c r="G10" s="64">
        <v>83.81</v>
      </c>
      <c r="H10" s="64">
        <v>32.86</v>
      </c>
      <c r="I10" s="64">
        <v>1.47</v>
      </c>
      <c r="J10" s="64">
        <v>1.24</v>
      </c>
      <c r="K10" s="64">
        <v>351.52</v>
      </c>
      <c r="L10" s="64">
        <v>19.739999999999998</v>
      </c>
      <c r="M10" s="64">
        <v>66.680000000000007</v>
      </c>
      <c r="N10" s="64">
        <v>15.3</v>
      </c>
      <c r="O10" s="64">
        <v>0</v>
      </c>
      <c r="P10" s="64">
        <v>0.99</v>
      </c>
      <c r="Q10" s="64">
        <v>5.21</v>
      </c>
      <c r="R10" s="198"/>
      <c r="S10" s="198"/>
      <c r="T10" s="198"/>
      <c r="U10" s="198"/>
    </row>
    <row r="11" spans="1:21" s="12" customFormat="1" x14ac:dyDescent="0.25">
      <c r="A11" s="213" t="s">
        <v>2553</v>
      </c>
      <c r="B11" s="64">
        <v>7.29</v>
      </c>
      <c r="C11" s="64">
        <v>55.44</v>
      </c>
      <c r="D11" s="64">
        <v>37.090000000000003</v>
      </c>
      <c r="E11" s="64">
        <v>0.28999999999999998</v>
      </c>
      <c r="F11" s="64">
        <v>3.43</v>
      </c>
      <c r="G11" s="64">
        <v>82.77</v>
      </c>
      <c r="H11" s="64">
        <v>32.86</v>
      </c>
      <c r="I11" s="64">
        <v>1.51</v>
      </c>
      <c r="J11" s="64">
        <v>1</v>
      </c>
      <c r="K11" s="64">
        <v>354.74</v>
      </c>
      <c r="L11" s="64">
        <v>19.489999999999998</v>
      </c>
      <c r="M11" s="64">
        <v>60.15</v>
      </c>
      <c r="N11" s="64">
        <v>15.2</v>
      </c>
      <c r="O11" s="64">
        <v>0</v>
      </c>
      <c r="P11" s="64">
        <v>0.95</v>
      </c>
      <c r="Q11" s="64">
        <v>5.21</v>
      </c>
      <c r="R11" s="198"/>
      <c r="S11" s="198"/>
      <c r="T11" s="198"/>
      <c r="U11" s="198"/>
    </row>
    <row r="12" spans="1:21" s="12" customFormat="1" x14ac:dyDescent="0.25">
      <c r="A12" s="213" t="s">
        <v>2554</v>
      </c>
      <c r="B12" s="64">
        <v>6.84</v>
      </c>
      <c r="C12" s="64">
        <v>55.3</v>
      </c>
      <c r="D12" s="64">
        <v>36.65</v>
      </c>
      <c r="E12" s="64">
        <v>0.23</v>
      </c>
      <c r="F12" s="64">
        <v>3.25</v>
      </c>
      <c r="G12" s="64">
        <v>82.77</v>
      </c>
      <c r="H12" s="64">
        <v>32.86</v>
      </c>
      <c r="I12" s="64">
        <v>1.53</v>
      </c>
      <c r="J12" s="64">
        <v>0.74</v>
      </c>
      <c r="K12" s="64">
        <v>355.98</v>
      </c>
      <c r="L12" s="64">
        <v>19.28</v>
      </c>
      <c r="M12" s="64">
        <v>58.12</v>
      </c>
      <c r="N12" s="64">
        <v>15.1</v>
      </c>
      <c r="O12" s="64">
        <v>0</v>
      </c>
      <c r="P12" s="64">
        <v>0.91</v>
      </c>
      <c r="Q12" s="64">
        <v>5.21</v>
      </c>
      <c r="R12" s="198"/>
      <c r="S12" s="198"/>
      <c r="T12" s="198"/>
      <c r="U12" s="198"/>
    </row>
    <row r="13" spans="1:21" s="12" customFormat="1" x14ac:dyDescent="0.25">
      <c r="A13" s="213" t="s">
        <v>2555</v>
      </c>
      <c r="B13" s="64">
        <v>6.38</v>
      </c>
      <c r="C13" s="64">
        <v>55.15</v>
      </c>
      <c r="D13" s="64">
        <v>36.200000000000003</v>
      </c>
      <c r="E13" s="64">
        <v>0.16</v>
      </c>
      <c r="F13" s="64">
        <v>3.44</v>
      </c>
      <c r="G13" s="64">
        <v>82.77</v>
      </c>
      <c r="H13" s="64">
        <v>32.86</v>
      </c>
      <c r="I13" s="64">
        <v>1.51</v>
      </c>
      <c r="J13" s="64">
        <v>0.4</v>
      </c>
      <c r="K13" s="64">
        <v>62.71</v>
      </c>
      <c r="L13" s="64">
        <v>19.059999999999999</v>
      </c>
      <c r="M13" s="64">
        <v>57.2</v>
      </c>
      <c r="N13" s="64">
        <v>14.7</v>
      </c>
      <c r="O13" s="64">
        <v>0</v>
      </c>
      <c r="P13" s="64">
        <v>0.72</v>
      </c>
      <c r="Q13" s="64">
        <v>5.21</v>
      </c>
      <c r="R13" s="198"/>
      <c r="S13" s="198"/>
      <c r="T13" s="198"/>
      <c r="U13" s="198"/>
    </row>
    <row r="14" spans="1:21" s="12" customFormat="1" x14ac:dyDescent="0.25">
      <c r="A14" s="213" t="s">
        <v>2556</v>
      </c>
      <c r="B14" s="64">
        <v>5.95</v>
      </c>
      <c r="C14" s="64">
        <v>54.01</v>
      </c>
      <c r="D14" s="64">
        <v>35.229999999999997</v>
      </c>
      <c r="E14" s="64">
        <v>0.18</v>
      </c>
      <c r="F14" s="64">
        <v>3.64</v>
      </c>
      <c r="G14" s="64">
        <v>72.98</v>
      </c>
      <c r="H14" s="64">
        <v>25.12</v>
      </c>
      <c r="I14" s="64">
        <v>1.51</v>
      </c>
      <c r="J14" s="64">
        <v>0.6</v>
      </c>
      <c r="K14" s="64">
        <v>351.54</v>
      </c>
      <c r="L14" s="64">
        <v>18.97</v>
      </c>
      <c r="M14" s="64">
        <v>57.56</v>
      </c>
      <c r="N14" s="64">
        <v>14.7</v>
      </c>
      <c r="O14" s="64">
        <v>0</v>
      </c>
      <c r="P14" s="64">
        <v>0.73</v>
      </c>
      <c r="Q14" s="64">
        <v>5.21</v>
      </c>
      <c r="R14" s="198"/>
      <c r="S14" s="198"/>
      <c r="T14" s="198"/>
      <c r="U14" s="198"/>
    </row>
    <row r="15" spans="1:21" s="12" customFormat="1" x14ac:dyDescent="0.25">
      <c r="A15" s="213" t="s">
        <v>2557</v>
      </c>
      <c r="B15" s="64">
        <v>5.69</v>
      </c>
      <c r="C15" s="64">
        <v>53.96</v>
      </c>
      <c r="D15" s="64">
        <v>34.99</v>
      </c>
      <c r="E15" s="64">
        <v>0.28000000000000003</v>
      </c>
      <c r="F15" s="64">
        <v>3.42</v>
      </c>
      <c r="G15" s="64">
        <v>71.02</v>
      </c>
      <c r="H15" s="64">
        <v>25.12</v>
      </c>
      <c r="I15" s="64">
        <v>1.47</v>
      </c>
      <c r="J15" s="64">
        <v>0.6</v>
      </c>
      <c r="K15" s="64">
        <v>4.1399999999999997</v>
      </c>
      <c r="L15" s="64">
        <v>18.84</v>
      </c>
      <c r="M15" s="64">
        <v>58.37</v>
      </c>
      <c r="N15" s="64">
        <v>14.8</v>
      </c>
      <c r="O15" s="64">
        <v>0</v>
      </c>
      <c r="P15" s="64">
        <v>0.69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3" t="s">
        <v>2558</v>
      </c>
      <c r="B16" s="64">
        <v>5.46</v>
      </c>
      <c r="C16" s="64">
        <v>53.72</v>
      </c>
      <c r="D16" s="64">
        <v>34.67</v>
      </c>
      <c r="E16" s="64">
        <v>0.2</v>
      </c>
      <c r="F16" s="64">
        <v>3.52</v>
      </c>
      <c r="G16" s="64">
        <v>71.02</v>
      </c>
      <c r="H16" s="64">
        <v>25.12</v>
      </c>
      <c r="I16" s="64">
        <v>1.48</v>
      </c>
      <c r="J16" s="64">
        <v>0.54</v>
      </c>
      <c r="K16" s="64">
        <v>5.81</v>
      </c>
      <c r="L16" s="64">
        <v>18.670000000000002</v>
      </c>
      <c r="M16" s="64">
        <v>59.76</v>
      </c>
      <c r="N16" s="64">
        <v>14.9</v>
      </c>
      <c r="O16" s="64">
        <v>0</v>
      </c>
      <c r="P16" s="64">
        <v>0.66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3" t="s">
        <v>2559</v>
      </c>
      <c r="B17" s="64">
        <v>5.2</v>
      </c>
      <c r="C17" s="64">
        <v>53.15</v>
      </c>
      <c r="D17" s="64">
        <v>34.15</v>
      </c>
      <c r="E17" s="64">
        <v>0.25</v>
      </c>
      <c r="F17" s="64">
        <v>3.7</v>
      </c>
      <c r="G17" s="64">
        <v>71.02</v>
      </c>
      <c r="H17" s="64">
        <v>25.12</v>
      </c>
      <c r="I17" s="64">
        <v>1.54</v>
      </c>
      <c r="J17" s="64">
        <v>0.43</v>
      </c>
      <c r="K17" s="64">
        <v>4.22</v>
      </c>
      <c r="L17" s="64">
        <v>18.36</v>
      </c>
      <c r="M17" s="64">
        <v>61.47</v>
      </c>
      <c r="N17" s="64">
        <v>14.8</v>
      </c>
      <c r="O17" s="64">
        <v>0</v>
      </c>
      <c r="P17" s="64">
        <v>0.63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3" t="s">
        <v>2560</v>
      </c>
      <c r="B18" s="64">
        <v>5.12</v>
      </c>
      <c r="C18" s="64">
        <v>52.98</v>
      </c>
      <c r="D18" s="64">
        <v>33.99</v>
      </c>
      <c r="E18" s="64">
        <v>0.19</v>
      </c>
      <c r="F18" s="64">
        <v>3.6</v>
      </c>
      <c r="G18" s="64">
        <v>62.43</v>
      </c>
      <c r="H18" s="64">
        <v>22.2</v>
      </c>
      <c r="I18" s="64">
        <v>1.42</v>
      </c>
      <c r="J18" s="64">
        <v>0.4</v>
      </c>
      <c r="K18" s="64">
        <v>64.13</v>
      </c>
      <c r="L18" s="64">
        <v>18.25</v>
      </c>
      <c r="M18" s="64">
        <v>63.56</v>
      </c>
      <c r="N18" s="64">
        <v>14.8</v>
      </c>
      <c r="O18" s="64">
        <v>0</v>
      </c>
      <c r="P18" s="64">
        <v>0.61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3" t="s">
        <v>2561</v>
      </c>
      <c r="B19" s="64">
        <v>5.01</v>
      </c>
      <c r="C19" s="64">
        <v>51.88</v>
      </c>
      <c r="D19" s="64">
        <v>33.29</v>
      </c>
      <c r="E19" s="64">
        <v>0.23</v>
      </c>
      <c r="F19" s="64">
        <v>3.58</v>
      </c>
      <c r="G19" s="64">
        <v>60.71</v>
      </c>
      <c r="H19" s="64">
        <v>22.2</v>
      </c>
      <c r="I19" s="64">
        <v>1.55</v>
      </c>
      <c r="J19" s="64">
        <v>0.96</v>
      </c>
      <c r="K19" s="64">
        <v>355.68</v>
      </c>
      <c r="L19" s="64">
        <v>18.2</v>
      </c>
      <c r="M19" s="64">
        <v>65.680000000000007</v>
      </c>
      <c r="N19" s="64">
        <v>14.7</v>
      </c>
      <c r="O19" s="64">
        <v>0</v>
      </c>
      <c r="P19" s="64">
        <v>0.57999999999999996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3" t="s">
        <v>2562</v>
      </c>
      <c r="B20" s="64">
        <v>4.87</v>
      </c>
      <c r="C20" s="64">
        <v>51.13</v>
      </c>
      <c r="D20" s="64">
        <v>32.770000000000003</v>
      </c>
      <c r="E20" s="64">
        <v>0.19</v>
      </c>
      <c r="F20" s="64">
        <v>3.7</v>
      </c>
      <c r="G20" s="64">
        <v>60.71</v>
      </c>
      <c r="H20" s="64">
        <v>22.2</v>
      </c>
      <c r="I20" s="64">
        <v>1.48</v>
      </c>
      <c r="J20" s="64">
        <v>1.33</v>
      </c>
      <c r="K20" s="64">
        <v>352.92</v>
      </c>
      <c r="L20" s="64">
        <v>18.05</v>
      </c>
      <c r="M20" s="64">
        <v>65.77</v>
      </c>
      <c r="N20" s="64">
        <v>15</v>
      </c>
      <c r="O20" s="64">
        <v>0</v>
      </c>
      <c r="P20" s="64">
        <v>0.56000000000000005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3" t="s">
        <v>2563</v>
      </c>
      <c r="B21" s="64">
        <v>4.87</v>
      </c>
      <c r="C21" s="64">
        <v>51.7</v>
      </c>
      <c r="D21" s="64">
        <v>33.090000000000003</v>
      </c>
      <c r="E21" s="64">
        <v>0.2</v>
      </c>
      <c r="F21" s="64">
        <v>3.83</v>
      </c>
      <c r="G21" s="64">
        <v>60.71</v>
      </c>
      <c r="H21" s="64">
        <v>22.2</v>
      </c>
      <c r="I21" s="64">
        <v>1.45</v>
      </c>
      <c r="J21" s="64">
        <v>1.08</v>
      </c>
      <c r="K21" s="64">
        <v>352.37</v>
      </c>
      <c r="L21" s="64">
        <v>17.8</v>
      </c>
      <c r="M21" s="64">
        <v>66.44</v>
      </c>
      <c r="N21" s="64">
        <v>15.1</v>
      </c>
      <c r="O21" s="64">
        <v>0</v>
      </c>
      <c r="P21" s="64">
        <v>0.53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3" t="s">
        <v>2564</v>
      </c>
      <c r="B22" s="64">
        <v>4.88</v>
      </c>
      <c r="C22" s="64">
        <v>51.71</v>
      </c>
      <c r="D22" s="64">
        <v>33.1</v>
      </c>
      <c r="E22" s="64">
        <v>0.18</v>
      </c>
      <c r="F22" s="64">
        <v>3.67</v>
      </c>
      <c r="G22" s="64">
        <v>57.54</v>
      </c>
      <c r="H22" s="64">
        <v>21.5</v>
      </c>
      <c r="I22" s="64">
        <v>1.44</v>
      </c>
      <c r="J22" s="64">
        <v>0.96</v>
      </c>
      <c r="K22" s="64">
        <v>353.04</v>
      </c>
      <c r="L22" s="64">
        <v>17.66</v>
      </c>
      <c r="M22" s="64">
        <v>67.19</v>
      </c>
      <c r="N22" s="64">
        <v>14.8</v>
      </c>
      <c r="O22" s="64">
        <v>0</v>
      </c>
      <c r="P22" s="64">
        <v>0.51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3" t="s">
        <v>2565</v>
      </c>
      <c r="B23" s="64">
        <v>5.0199999999999996</v>
      </c>
      <c r="C23" s="64">
        <v>51.71</v>
      </c>
      <c r="D23" s="64">
        <v>33.21</v>
      </c>
      <c r="E23" s="64">
        <v>0.18</v>
      </c>
      <c r="F23" s="64">
        <v>3.64</v>
      </c>
      <c r="G23" s="64">
        <v>56.9</v>
      </c>
      <c r="H23" s="64">
        <v>21.5</v>
      </c>
      <c r="I23" s="64">
        <v>1.51</v>
      </c>
      <c r="J23" s="64">
        <v>0.78</v>
      </c>
      <c r="K23" s="64">
        <v>352.38</v>
      </c>
      <c r="L23" s="64">
        <v>17.57</v>
      </c>
      <c r="M23" s="64">
        <v>67.459999999999994</v>
      </c>
      <c r="N23" s="64">
        <v>14.9</v>
      </c>
      <c r="O23" s="64">
        <v>0</v>
      </c>
      <c r="P23" s="64">
        <v>0.5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3" t="s">
        <v>2566</v>
      </c>
      <c r="B24" s="64">
        <v>5.21</v>
      </c>
      <c r="C24" s="64">
        <v>51.72</v>
      </c>
      <c r="D24" s="64">
        <v>33.36</v>
      </c>
      <c r="E24" s="64">
        <v>0.1</v>
      </c>
      <c r="F24" s="64">
        <v>3.72</v>
      </c>
      <c r="G24" s="64">
        <v>56.9</v>
      </c>
      <c r="H24" s="64">
        <v>21.5</v>
      </c>
      <c r="I24" s="64">
        <v>1.54</v>
      </c>
      <c r="J24" s="64">
        <v>0.91</v>
      </c>
      <c r="K24" s="64">
        <v>354.64</v>
      </c>
      <c r="L24" s="64">
        <v>17.420000000000002</v>
      </c>
      <c r="M24" s="64">
        <v>68.05</v>
      </c>
      <c r="N24" s="64">
        <v>14.8</v>
      </c>
      <c r="O24" s="64">
        <v>0</v>
      </c>
      <c r="P24" s="64">
        <v>0.48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3" t="s">
        <v>2567</v>
      </c>
      <c r="B25" s="64">
        <v>5.64</v>
      </c>
      <c r="C25" s="64">
        <v>51.3</v>
      </c>
      <c r="D25" s="64">
        <v>33.49</v>
      </c>
      <c r="E25" s="64">
        <v>0.13</v>
      </c>
      <c r="F25" s="64">
        <v>3.65</v>
      </c>
      <c r="G25" s="64">
        <v>56.9</v>
      </c>
      <c r="H25" s="64">
        <v>21.5</v>
      </c>
      <c r="I25" s="64">
        <v>1.51</v>
      </c>
      <c r="J25" s="64">
        <v>0.92</v>
      </c>
      <c r="K25" s="64">
        <v>354.58</v>
      </c>
      <c r="L25" s="64">
        <v>17.260000000000002</v>
      </c>
      <c r="M25" s="64">
        <v>68.209999999999994</v>
      </c>
      <c r="N25" s="64">
        <v>15</v>
      </c>
      <c r="O25" s="64">
        <v>0</v>
      </c>
      <c r="P25" s="64">
        <v>0.46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3" t="s">
        <v>2568</v>
      </c>
      <c r="B26" s="64">
        <v>6.27</v>
      </c>
      <c r="C26" s="64">
        <v>52.21</v>
      </c>
      <c r="D26" s="64">
        <v>34.49</v>
      </c>
      <c r="E26" s="64">
        <v>0.16</v>
      </c>
      <c r="F26" s="64">
        <v>3.75</v>
      </c>
      <c r="G26" s="64">
        <v>57.28</v>
      </c>
      <c r="H26" s="64">
        <v>17.04</v>
      </c>
      <c r="I26" s="64">
        <v>1.43</v>
      </c>
      <c r="J26" s="64">
        <v>1.54</v>
      </c>
      <c r="K26" s="64">
        <v>353.76</v>
      </c>
      <c r="L26" s="64">
        <v>17.04</v>
      </c>
      <c r="M26" s="64">
        <v>67.77</v>
      </c>
      <c r="N26" s="64">
        <v>15</v>
      </c>
      <c r="O26" s="64">
        <v>0</v>
      </c>
      <c r="P26" s="64">
        <v>0.46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3" t="s">
        <v>2569</v>
      </c>
      <c r="B27" s="64">
        <v>6.46</v>
      </c>
      <c r="C27" s="64">
        <v>52</v>
      </c>
      <c r="D27" s="64">
        <v>34.53</v>
      </c>
      <c r="E27" s="64">
        <v>0.23</v>
      </c>
      <c r="F27" s="64">
        <v>3.86</v>
      </c>
      <c r="G27" s="64">
        <v>57.35</v>
      </c>
      <c r="H27" s="64">
        <v>17.04</v>
      </c>
      <c r="I27" s="64">
        <v>1.52</v>
      </c>
      <c r="J27" s="64">
        <v>1.47</v>
      </c>
      <c r="K27" s="64">
        <v>354.24</v>
      </c>
      <c r="L27" s="64">
        <v>16.850000000000001</v>
      </c>
      <c r="M27" s="64">
        <v>66.989999999999995</v>
      </c>
      <c r="N27" s="64">
        <v>15</v>
      </c>
      <c r="O27" s="64">
        <v>0</v>
      </c>
      <c r="P27" s="64">
        <v>0.44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3" t="s">
        <v>2570</v>
      </c>
      <c r="B28" s="64">
        <v>6.33</v>
      </c>
      <c r="C28" s="64">
        <v>49.72</v>
      </c>
      <c r="D28" s="64">
        <v>33.159999999999997</v>
      </c>
      <c r="E28" s="64">
        <v>0.19</v>
      </c>
      <c r="F28" s="64">
        <v>3.78</v>
      </c>
      <c r="G28" s="64">
        <v>57.35</v>
      </c>
      <c r="H28" s="64">
        <v>17.04</v>
      </c>
      <c r="I28" s="64">
        <v>1.51</v>
      </c>
      <c r="J28" s="64">
        <v>1.18</v>
      </c>
      <c r="K28" s="64">
        <v>353.47</v>
      </c>
      <c r="L28" s="64">
        <v>16.72</v>
      </c>
      <c r="M28" s="64">
        <v>66.930000000000007</v>
      </c>
      <c r="N28" s="64">
        <v>15</v>
      </c>
      <c r="O28" s="64">
        <v>0</v>
      </c>
      <c r="P28" s="64">
        <v>0.43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3" t="s">
        <v>2571</v>
      </c>
      <c r="B29" s="64">
        <v>6.14</v>
      </c>
      <c r="C29" s="64">
        <v>49.73</v>
      </c>
      <c r="D29" s="64">
        <v>33.01</v>
      </c>
      <c r="E29" s="64">
        <v>0.24</v>
      </c>
      <c r="F29" s="64">
        <v>3.55</v>
      </c>
      <c r="G29" s="64">
        <v>57.35</v>
      </c>
      <c r="H29" s="64">
        <v>17.04</v>
      </c>
      <c r="I29" s="64">
        <v>1.49</v>
      </c>
      <c r="J29" s="64">
        <v>1.06</v>
      </c>
      <c r="K29" s="64">
        <v>352.97</v>
      </c>
      <c r="L29" s="64">
        <v>16.57</v>
      </c>
      <c r="M29" s="64">
        <v>66.84</v>
      </c>
      <c r="N29" s="64">
        <v>14.8</v>
      </c>
      <c r="O29" s="64">
        <v>0</v>
      </c>
      <c r="P29" s="64">
        <v>0.42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3" t="s">
        <v>2572</v>
      </c>
      <c r="B30" s="64">
        <v>6.11</v>
      </c>
      <c r="C30" s="64">
        <v>50.76</v>
      </c>
      <c r="D30" s="64">
        <v>33.56</v>
      </c>
      <c r="E30" s="64">
        <v>0.18</v>
      </c>
      <c r="F30" s="64">
        <v>3.54</v>
      </c>
      <c r="G30" s="64">
        <v>56.45</v>
      </c>
      <c r="H30" s="64">
        <v>36.72</v>
      </c>
      <c r="I30" s="64">
        <v>1.48</v>
      </c>
      <c r="J30" s="64">
        <v>1.01</v>
      </c>
      <c r="K30" s="64">
        <v>352.36</v>
      </c>
      <c r="L30" s="64">
        <v>16.62</v>
      </c>
      <c r="M30" s="64">
        <v>66.25</v>
      </c>
      <c r="N30" s="64">
        <v>14.8</v>
      </c>
      <c r="O30" s="64">
        <v>0</v>
      </c>
      <c r="P30" s="64">
        <v>0.42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3" t="s">
        <v>2573</v>
      </c>
      <c r="B31" s="64">
        <v>6.27</v>
      </c>
      <c r="C31" s="64">
        <v>51.29</v>
      </c>
      <c r="D31" s="64">
        <v>33.979999999999997</v>
      </c>
      <c r="E31" s="64">
        <v>0.21</v>
      </c>
      <c r="F31" s="64">
        <v>3.42</v>
      </c>
      <c r="G31" s="64">
        <v>56.27</v>
      </c>
      <c r="H31" s="64">
        <v>36.72</v>
      </c>
      <c r="I31" s="64">
        <v>1.52</v>
      </c>
      <c r="J31" s="64">
        <v>0.67</v>
      </c>
      <c r="K31" s="64">
        <v>351.66</v>
      </c>
      <c r="L31" s="64">
        <v>16.489999999999998</v>
      </c>
      <c r="M31" s="64">
        <v>66.09</v>
      </c>
      <c r="N31" s="64">
        <v>14.9</v>
      </c>
      <c r="O31" s="64">
        <v>0</v>
      </c>
      <c r="P31" s="64">
        <v>0.42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3" t="s">
        <v>2574</v>
      </c>
      <c r="B32" s="64">
        <v>6.62</v>
      </c>
      <c r="C32" s="64">
        <v>51.99</v>
      </c>
      <c r="D32" s="64">
        <v>34.64</v>
      </c>
      <c r="E32" s="64">
        <v>0.21</v>
      </c>
      <c r="F32" s="64">
        <v>3.52</v>
      </c>
      <c r="G32" s="64">
        <v>56.27</v>
      </c>
      <c r="H32" s="64">
        <v>36.72</v>
      </c>
      <c r="I32" s="64">
        <v>1.57</v>
      </c>
      <c r="J32" s="64">
        <v>0.8</v>
      </c>
      <c r="K32" s="64">
        <v>351.76</v>
      </c>
      <c r="L32" s="64">
        <v>16.46</v>
      </c>
      <c r="M32" s="64">
        <v>65.959999999999994</v>
      </c>
      <c r="N32" s="64">
        <v>14.9</v>
      </c>
      <c r="O32" s="64">
        <v>0</v>
      </c>
      <c r="P32" s="64">
        <v>0.42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3" t="s">
        <v>2575</v>
      </c>
      <c r="B33" s="64">
        <v>7.43</v>
      </c>
      <c r="C33" s="64">
        <v>52.17</v>
      </c>
      <c r="D33" s="64">
        <v>35.4</v>
      </c>
      <c r="E33" s="64">
        <v>0.23</v>
      </c>
      <c r="F33" s="64">
        <v>3.51</v>
      </c>
      <c r="G33" s="64">
        <v>56.27</v>
      </c>
      <c r="H33" s="64">
        <v>36.72</v>
      </c>
      <c r="I33" s="64">
        <v>1.49</v>
      </c>
      <c r="J33" s="64">
        <v>0.83</v>
      </c>
      <c r="K33" s="64">
        <v>352.13</v>
      </c>
      <c r="L33" s="64">
        <v>16.420000000000002</v>
      </c>
      <c r="M33" s="64">
        <v>65.11</v>
      </c>
      <c r="N33" s="64">
        <v>15.5</v>
      </c>
      <c r="O33" s="64">
        <v>0</v>
      </c>
      <c r="P33" s="64">
        <v>0.42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3" t="s">
        <v>2576</v>
      </c>
      <c r="B34" s="64">
        <v>7.94</v>
      </c>
      <c r="C34" s="64">
        <v>52.49</v>
      </c>
      <c r="D34" s="64">
        <v>35.979999999999997</v>
      </c>
      <c r="E34" s="64">
        <v>0.18</v>
      </c>
      <c r="F34" s="64">
        <v>3.63</v>
      </c>
      <c r="G34" s="64">
        <v>51.49</v>
      </c>
      <c r="H34" s="64">
        <v>40.590000000000003</v>
      </c>
      <c r="I34" s="64">
        <v>1.5</v>
      </c>
      <c r="J34" s="64">
        <v>0.82</v>
      </c>
      <c r="K34" s="64">
        <v>354.91</v>
      </c>
      <c r="L34" s="64">
        <v>16.39</v>
      </c>
      <c r="M34" s="64">
        <v>64.569999999999993</v>
      </c>
      <c r="N34" s="64">
        <v>20.2</v>
      </c>
      <c r="O34" s="64">
        <v>0</v>
      </c>
      <c r="P34" s="64">
        <v>0.42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3" t="s">
        <v>2577</v>
      </c>
      <c r="B35" s="64">
        <v>8.42</v>
      </c>
      <c r="C35" s="64">
        <v>52.8</v>
      </c>
      <c r="D35" s="64">
        <v>36.54</v>
      </c>
      <c r="E35" s="64">
        <v>0.17</v>
      </c>
      <c r="F35" s="64">
        <v>3.72</v>
      </c>
      <c r="G35" s="64">
        <v>50.53</v>
      </c>
      <c r="H35" s="64">
        <v>40.590000000000003</v>
      </c>
      <c r="I35" s="64">
        <v>1.52</v>
      </c>
      <c r="J35" s="64">
        <v>0.85</v>
      </c>
      <c r="K35" s="64">
        <v>351.92</v>
      </c>
      <c r="L35" s="64">
        <v>16.38</v>
      </c>
      <c r="M35" s="64">
        <v>63.78</v>
      </c>
      <c r="N35" s="64">
        <v>33.4</v>
      </c>
      <c r="O35" s="64">
        <v>0</v>
      </c>
      <c r="P35" s="64">
        <v>0.42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3" t="s">
        <v>2578</v>
      </c>
      <c r="B36" s="64">
        <v>9.1199999999999992</v>
      </c>
      <c r="C36" s="64">
        <v>52.98</v>
      </c>
      <c r="D36" s="64">
        <v>37.200000000000003</v>
      </c>
      <c r="E36" s="64">
        <v>0.19</v>
      </c>
      <c r="F36" s="64">
        <v>3.43</v>
      </c>
      <c r="G36" s="64">
        <v>50.53</v>
      </c>
      <c r="H36" s="64">
        <v>40.590000000000003</v>
      </c>
      <c r="I36" s="64">
        <v>1.49</v>
      </c>
      <c r="J36" s="64">
        <v>0.33</v>
      </c>
      <c r="K36" s="64">
        <v>11.97</v>
      </c>
      <c r="L36" s="64">
        <v>16.510000000000002</v>
      </c>
      <c r="M36" s="64">
        <v>63.08</v>
      </c>
      <c r="N36" s="64">
        <v>52.8</v>
      </c>
      <c r="O36" s="64">
        <v>0</v>
      </c>
      <c r="P36" s="64">
        <v>0.43</v>
      </c>
      <c r="Q36" s="64">
        <v>5.21</v>
      </c>
      <c r="R36" s="198"/>
      <c r="S36" s="198"/>
      <c r="T36" s="198"/>
      <c r="U36" s="198"/>
    </row>
    <row r="37" spans="1:21" s="12" customFormat="1" x14ac:dyDescent="0.25">
      <c r="A37" s="213" t="s">
        <v>2579</v>
      </c>
      <c r="B37" s="64">
        <v>10.07</v>
      </c>
      <c r="C37" s="64">
        <v>53.22</v>
      </c>
      <c r="D37" s="64">
        <v>38.090000000000003</v>
      </c>
      <c r="E37" s="64">
        <v>0.21</v>
      </c>
      <c r="F37" s="64">
        <v>3.25</v>
      </c>
      <c r="G37" s="64">
        <v>50.53</v>
      </c>
      <c r="H37" s="64">
        <v>40.590000000000003</v>
      </c>
      <c r="I37" s="64">
        <v>1.51</v>
      </c>
      <c r="J37" s="64">
        <v>0.32</v>
      </c>
      <c r="K37" s="64">
        <v>35.54</v>
      </c>
      <c r="L37" s="64">
        <v>16.940000000000001</v>
      </c>
      <c r="M37" s="64">
        <v>61.15</v>
      </c>
      <c r="N37" s="64">
        <v>81.599999999999994</v>
      </c>
      <c r="O37" s="64">
        <v>0</v>
      </c>
      <c r="P37" s="64">
        <v>0.48</v>
      </c>
      <c r="Q37" s="64">
        <v>5.21</v>
      </c>
      <c r="R37" s="198"/>
      <c r="S37" s="198"/>
      <c r="T37" s="198"/>
      <c r="U37" s="198"/>
    </row>
    <row r="38" spans="1:21" s="12" customFormat="1" x14ac:dyDescent="0.25">
      <c r="A38" s="213" t="s">
        <v>2580</v>
      </c>
      <c r="B38" s="64">
        <v>10.82</v>
      </c>
      <c r="C38" s="64">
        <v>52.76</v>
      </c>
      <c r="D38" s="64">
        <v>38.44</v>
      </c>
      <c r="E38" s="64">
        <v>0.18</v>
      </c>
      <c r="F38" s="64">
        <v>3.28</v>
      </c>
      <c r="G38" s="64">
        <v>52.37</v>
      </c>
      <c r="H38" s="64">
        <v>34.21</v>
      </c>
      <c r="I38" s="64">
        <v>1.53</v>
      </c>
      <c r="J38" s="64">
        <v>0.36</v>
      </c>
      <c r="K38" s="64">
        <v>41.23</v>
      </c>
      <c r="L38" s="64">
        <v>17.46</v>
      </c>
      <c r="M38" s="64">
        <v>59.44</v>
      </c>
      <c r="N38" s="64">
        <v>122.1</v>
      </c>
      <c r="O38" s="64">
        <v>0</v>
      </c>
      <c r="P38" s="64">
        <v>0.51</v>
      </c>
      <c r="Q38" s="64">
        <v>5.21</v>
      </c>
      <c r="R38" s="198"/>
      <c r="S38" s="198"/>
      <c r="T38" s="198"/>
      <c r="U38" s="198"/>
    </row>
    <row r="39" spans="1:21" s="12" customFormat="1" x14ac:dyDescent="0.25">
      <c r="A39" s="213" t="s">
        <v>2581</v>
      </c>
      <c r="B39" s="64">
        <v>11.37</v>
      </c>
      <c r="C39" s="64">
        <v>52.82</v>
      </c>
      <c r="D39" s="64">
        <v>38.92</v>
      </c>
      <c r="E39" s="64">
        <v>0.16</v>
      </c>
      <c r="F39" s="64">
        <v>3.13</v>
      </c>
      <c r="G39" s="64">
        <v>52.73</v>
      </c>
      <c r="H39" s="64">
        <v>34.21</v>
      </c>
      <c r="I39" s="64">
        <v>1.47</v>
      </c>
      <c r="J39" s="64">
        <v>0.28999999999999998</v>
      </c>
      <c r="K39" s="64">
        <v>21.07</v>
      </c>
      <c r="L39" s="64">
        <v>18.149999999999999</v>
      </c>
      <c r="M39" s="64">
        <v>57.17</v>
      </c>
      <c r="N39" s="64">
        <v>164.3</v>
      </c>
      <c r="O39" s="64">
        <v>0</v>
      </c>
      <c r="P39" s="64">
        <v>0.52</v>
      </c>
      <c r="Q39" s="64">
        <v>5.21</v>
      </c>
      <c r="R39" s="198"/>
      <c r="S39" s="198"/>
      <c r="T39" s="198"/>
      <c r="U39" s="198"/>
    </row>
    <row r="40" spans="1:21" s="12" customFormat="1" x14ac:dyDescent="0.25">
      <c r="A40" s="213" t="s">
        <v>2582</v>
      </c>
      <c r="B40" s="64">
        <v>12.12</v>
      </c>
      <c r="C40" s="64">
        <v>53.37</v>
      </c>
      <c r="D40" s="64">
        <v>39.82</v>
      </c>
      <c r="E40" s="64">
        <v>0.16</v>
      </c>
      <c r="F40" s="64">
        <v>3.74</v>
      </c>
      <c r="G40" s="64">
        <v>52.73</v>
      </c>
      <c r="H40" s="64">
        <v>34.21</v>
      </c>
      <c r="I40" s="64">
        <v>1.45</v>
      </c>
      <c r="J40" s="64">
        <v>0.69</v>
      </c>
      <c r="K40" s="64">
        <v>357.75</v>
      </c>
      <c r="L40" s="64">
        <v>19.190000000000001</v>
      </c>
      <c r="M40" s="64">
        <v>53.75</v>
      </c>
      <c r="N40" s="64">
        <v>209.8</v>
      </c>
      <c r="O40" s="64">
        <v>0</v>
      </c>
      <c r="P40" s="64">
        <v>0.53</v>
      </c>
      <c r="Q40" s="64">
        <v>5.21</v>
      </c>
      <c r="R40" s="198"/>
      <c r="S40" s="198"/>
      <c r="T40" s="198"/>
      <c r="U40" s="198"/>
    </row>
    <row r="41" spans="1:21" s="12" customFormat="1" x14ac:dyDescent="0.25">
      <c r="A41" s="213" t="s">
        <v>2583</v>
      </c>
      <c r="B41" s="64">
        <v>12.8</v>
      </c>
      <c r="C41" s="64">
        <v>53.41</v>
      </c>
      <c r="D41" s="64">
        <v>40.380000000000003</v>
      </c>
      <c r="E41" s="64">
        <v>0.15</v>
      </c>
      <c r="F41" s="64">
        <v>3.39</v>
      </c>
      <c r="G41" s="64">
        <v>52.73</v>
      </c>
      <c r="H41" s="64">
        <v>34.21</v>
      </c>
      <c r="I41" s="64">
        <v>1.54</v>
      </c>
      <c r="J41" s="64">
        <v>0.62</v>
      </c>
      <c r="K41" s="64">
        <v>7.77</v>
      </c>
      <c r="L41" s="64">
        <v>20.059999999999999</v>
      </c>
      <c r="M41" s="64">
        <v>52.07</v>
      </c>
      <c r="N41" s="64">
        <v>258.3</v>
      </c>
      <c r="O41" s="64">
        <v>0</v>
      </c>
      <c r="P41" s="64">
        <v>0.54</v>
      </c>
      <c r="Q41" s="64">
        <v>5.21</v>
      </c>
      <c r="R41" s="198"/>
      <c r="S41" s="198"/>
      <c r="T41" s="198"/>
      <c r="U41" s="198"/>
    </row>
    <row r="42" spans="1:21" s="12" customFormat="1" x14ac:dyDescent="0.25">
      <c r="A42" s="213" t="s">
        <v>2584</v>
      </c>
      <c r="B42" s="64">
        <v>13.07</v>
      </c>
      <c r="C42" s="64">
        <v>54.02</v>
      </c>
      <c r="D42" s="64">
        <v>40.94</v>
      </c>
      <c r="E42" s="64">
        <v>0.17</v>
      </c>
      <c r="F42" s="64">
        <v>3.33</v>
      </c>
      <c r="G42" s="64">
        <v>54.2</v>
      </c>
      <c r="H42" s="64">
        <v>26.21</v>
      </c>
      <c r="I42" s="64">
        <v>1.47</v>
      </c>
      <c r="J42" s="64">
        <v>0.89</v>
      </c>
      <c r="K42" s="64">
        <v>355.24</v>
      </c>
      <c r="L42" s="64">
        <v>21.02</v>
      </c>
      <c r="M42" s="64">
        <v>49.37</v>
      </c>
      <c r="N42" s="64">
        <v>307.7</v>
      </c>
      <c r="O42" s="64">
        <v>0</v>
      </c>
      <c r="P42" s="64">
        <v>0.54</v>
      </c>
      <c r="Q42" s="64">
        <v>5.21</v>
      </c>
      <c r="R42" s="198"/>
      <c r="S42" s="198"/>
      <c r="T42" s="198"/>
      <c r="U42" s="198"/>
    </row>
    <row r="43" spans="1:21" s="12" customFormat="1" x14ac:dyDescent="0.25">
      <c r="A43" s="213" t="s">
        <v>2585</v>
      </c>
      <c r="B43" s="64">
        <v>13.18</v>
      </c>
      <c r="C43" s="64">
        <v>54.33</v>
      </c>
      <c r="D43" s="64">
        <v>41.2</v>
      </c>
      <c r="E43" s="64">
        <v>0.14000000000000001</v>
      </c>
      <c r="F43" s="64">
        <v>3.64</v>
      </c>
      <c r="G43" s="64">
        <v>54.49</v>
      </c>
      <c r="H43" s="64">
        <v>26.21</v>
      </c>
      <c r="I43" s="64">
        <v>1.51</v>
      </c>
      <c r="J43" s="64">
        <v>0.63</v>
      </c>
      <c r="K43" s="64">
        <v>356.21</v>
      </c>
      <c r="L43" s="64">
        <v>21.93</v>
      </c>
      <c r="M43" s="64">
        <v>47.65</v>
      </c>
      <c r="N43" s="64">
        <v>357.4</v>
      </c>
      <c r="O43" s="64">
        <v>0</v>
      </c>
      <c r="P43" s="64">
        <v>0.54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3" t="s">
        <v>2586</v>
      </c>
      <c r="B44" s="64">
        <v>13.5</v>
      </c>
      <c r="C44" s="64">
        <v>54.64</v>
      </c>
      <c r="D44" s="64">
        <v>41.62</v>
      </c>
      <c r="E44" s="64">
        <v>0.16</v>
      </c>
      <c r="F44" s="64">
        <v>3.51</v>
      </c>
      <c r="G44" s="64">
        <v>54.49</v>
      </c>
      <c r="H44" s="64">
        <v>26.21</v>
      </c>
      <c r="I44" s="64">
        <v>1.44</v>
      </c>
      <c r="J44" s="64">
        <v>0.77</v>
      </c>
      <c r="K44" s="64">
        <v>357.34</v>
      </c>
      <c r="L44" s="64">
        <v>22.58</v>
      </c>
      <c r="M44" s="64">
        <v>46.67</v>
      </c>
      <c r="N44" s="64">
        <v>317.60000000000002</v>
      </c>
      <c r="O44" s="64">
        <v>0</v>
      </c>
      <c r="P44" s="64">
        <v>0.56000000000000005</v>
      </c>
      <c r="Q44" s="64">
        <v>5.21</v>
      </c>
      <c r="R44" s="198"/>
      <c r="S44" s="198"/>
      <c r="T44" s="198"/>
      <c r="U44" s="198"/>
    </row>
    <row r="45" spans="1:21" s="12" customFormat="1" x14ac:dyDescent="0.25">
      <c r="A45" s="213" t="s">
        <v>2587</v>
      </c>
      <c r="B45" s="64">
        <v>14.08</v>
      </c>
      <c r="C45" s="64">
        <v>55.14</v>
      </c>
      <c r="D45" s="64">
        <v>42.37</v>
      </c>
      <c r="E45" s="64">
        <v>0.15</v>
      </c>
      <c r="F45" s="64">
        <v>3.34</v>
      </c>
      <c r="G45" s="64">
        <v>54.49</v>
      </c>
      <c r="H45" s="64">
        <v>26.21</v>
      </c>
      <c r="I45" s="64">
        <v>1.49</v>
      </c>
      <c r="J45" s="64">
        <v>1.0900000000000001</v>
      </c>
      <c r="K45" s="64">
        <v>354.2</v>
      </c>
      <c r="L45" s="64">
        <v>23.39</v>
      </c>
      <c r="M45" s="64">
        <v>44.25</v>
      </c>
      <c r="N45" s="64">
        <v>460.8</v>
      </c>
      <c r="O45" s="64">
        <v>0</v>
      </c>
      <c r="P45" s="64">
        <v>0.57999999999999996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3" t="s">
        <v>2588</v>
      </c>
      <c r="B46" s="64">
        <v>14.13</v>
      </c>
      <c r="C46" s="64">
        <v>55.8</v>
      </c>
      <c r="D46" s="64">
        <v>42.77</v>
      </c>
      <c r="E46" s="64">
        <v>0.23</v>
      </c>
      <c r="F46" s="64">
        <v>3.46</v>
      </c>
      <c r="G46" s="64">
        <v>56.22</v>
      </c>
      <c r="H46" s="64">
        <v>23.32</v>
      </c>
      <c r="I46" s="64">
        <v>1.57</v>
      </c>
      <c r="J46" s="64">
        <v>0.69</v>
      </c>
      <c r="K46" s="64">
        <v>352.95</v>
      </c>
      <c r="L46" s="64">
        <v>24.34</v>
      </c>
      <c r="M46" s="64">
        <v>43.07</v>
      </c>
      <c r="N46" s="64">
        <v>447</v>
      </c>
      <c r="O46" s="64">
        <v>0</v>
      </c>
      <c r="P46" s="64">
        <v>0.59</v>
      </c>
      <c r="Q46" s="64">
        <v>5.21</v>
      </c>
      <c r="R46" s="198"/>
      <c r="S46" s="198"/>
      <c r="T46" s="198"/>
      <c r="U46" s="198"/>
    </row>
    <row r="47" spans="1:21" s="12" customFormat="1" x14ac:dyDescent="0.25">
      <c r="A47" s="213" t="s">
        <v>2589</v>
      </c>
      <c r="B47" s="64">
        <v>14.17</v>
      </c>
      <c r="C47" s="64">
        <v>56.35</v>
      </c>
      <c r="D47" s="64">
        <v>43.11</v>
      </c>
      <c r="E47" s="64">
        <v>0.16</v>
      </c>
      <c r="F47" s="64">
        <v>3.57</v>
      </c>
      <c r="G47" s="64">
        <v>56.57</v>
      </c>
      <c r="H47" s="64">
        <v>23.32</v>
      </c>
      <c r="I47" s="64">
        <v>1.52</v>
      </c>
      <c r="J47" s="64">
        <v>0.93</v>
      </c>
      <c r="K47" s="64">
        <v>347.91</v>
      </c>
      <c r="L47" s="64">
        <v>25.44</v>
      </c>
      <c r="M47" s="64">
        <v>41.21</v>
      </c>
      <c r="N47" s="64">
        <v>487.1</v>
      </c>
      <c r="O47" s="64">
        <v>0</v>
      </c>
      <c r="P47" s="64">
        <v>0.61</v>
      </c>
      <c r="Q47" s="64">
        <v>5.21</v>
      </c>
      <c r="R47" s="198"/>
      <c r="S47" s="198"/>
      <c r="T47" s="198"/>
      <c r="U47" s="198"/>
    </row>
    <row r="48" spans="1:21" s="12" customFormat="1" x14ac:dyDescent="0.25">
      <c r="A48" s="213" t="s">
        <v>2590</v>
      </c>
      <c r="B48" s="64">
        <v>13.93</v>
      </c>
      <c r="C48" s="64">
        <v>57.52</v>
      </c>
      <c r="D48" s="64">
        <v>43.57</v>
      </c>
      <c r="E48" s="64">
        <v>0.18</v>
      </c>
      <c r="F48" s="64">
        <v>3.43</v>
      </c>
      <c r="G48" s="64">
        <v>56.57</v>
      </c>
      <c r="H48" s="64">
        <v>23.32</v>
      </c>
      <c r="I48" s="64">
        <v>1.53</v>
      </c>
      <c r="J48" s="64">
        <v>0.8</v>
      </c>
      <c r="K48" s="64">
        <v>355.56</v>
      </c>
      <c r="L48" s="64">
        <v>24.87</v>
      </c>
      <c r="M48" s="64">
        <v>43.53</v>
      </c>
      <c r="N48" s="64">
        <v>367.8</v>
      </c>
      <c r="O48" s="64">
        <v>0</v>
      </c>
      <c r="P48" s="64">
        <v>0.62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3" t="s">
        <v>2591</v>
      </c>
      <c r="B49" s="64">
        <v>13.13</v>
      </c>
      <c r="C49" s="64">
        <v>57.98</v>
      </c>
      <c r="D49" s="64">
        <v>43.17</v>
      </c>
      <c r="E49" s="64">
        <v>0.15</v>
      </c>
      <c r="F49" s="64">
        <v>3.27</v>
      </c>
      <c r="G49" s="64">
        <v>56.57</v>
      </c>
      <c r="H49" s="64">
        <v>23.32</v>
      </c>
      <c r="I49" s="64">
        <v>1.46</v>
      </c>
      <c r="J49" s="64">
        <v>0.78</v>
      </c>
      <c r="K49" s="64">
        <v>357.99</v>
      </c>
      <c r="L49" s="64">
        <v>24.02</v>
      </c>
      <c r="M49" s="64">
        <v>45.78</v>
      </c>
      <c r="N49" s="64">
        <v>412.5</v>
      </c>
      <c r="O49" s="64">
        <v>0</v>
      </c>
      <c r="P49" s="64">
        <v>0.62</v>
      </c>
      <c r="Q49" s="64">
        <v>5.21</v>
      </c>
      <c r="R49" s="198"/>
      <c r="S49" s="198"/>
      <c r="T49" s="198"/>
      <c r="U49" s="198"/>
    </row>
    <row r="50" spans="1:21" s="12" customFormat="1" x14ac:dyDescent="0.25">
      <c r="A50" s="213" t="s">
        <v>2592</v>
      </c>
      <c r="B50" s="64">
        <v>12.5</v>
      </c>
      <c r="C50" s="64">
        <v>59.04</v>
      </c>
      <c r="D50" s="64">
        <v>43.25</v>
      </c>
      <c r="E50" s="64">
        <v>0.17</v>
      </c>
      <c r="F50" s="64">
        <v>3.28</v>
      </c>
      <c r="G50" s="64">
        <v>57.93</v>
      </c>
      <c r="H50" s="64">
        <v>23.37</v>
      </c>
      <c r="I50" s="64">
        <v>1.46</v>
      </c>
      <c r="J50" s="64">
        <v>1.29</v>
      </c>
      <c r="K50" s="64">
        <v>353.3</v>
      </c>
      <c r="L50" s="64">
        <v>24.74</v>
      </c>
      <c r="M50" s="64">
        <v>43.69</v>
      </c>
      <c r="N50" s="64">
        <v>523.29999999999995</v>
      </c>
      <c r="O50" s="64">
        <v>0</v>
      </c>
      <c r="P50" s="64">
        <v>0.64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3" t="s">
        <v>2593</v>
      </c>
      <c r="B51" s="64">
        <v>11.57</v>
      </c>
      <c r="C51" s="64">
        <v>59.67</v>
      </c>
      <c r="D51" s="64">
        <v>42.85</v>
      </c>
      <c r="E51" s="64">
        <v>0.22</v>
      </c>
      <c r="F51" s="64">
        <v>3.41</v>
      </c>
      <c r="G51" s="64">
        <v>58.21</v>
      </c>
      <c r="H51" s="64">
        <v>23.37</v>
      </c>
      <c r="I51" s="64">
        <v>1.46</v>
      </c>
      <c r="J51" s="64">
        <v>0.76</v>
      </c>
      <c r="K51" s="64">
        <v>353.34</v>
      </c>
      <c r="L51" s="64">
        <v>26.19</v>
      </c>
      <c r="M51" s="64">
        <v>40.54</v>
      </c>
      <c r="N51" s="64">
        <v>566</v>
      </c>
      <c r="O51" s="64">
        <v>0</v>
      </c>
      <c r="P51" s="64">
        <v>0.64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3" t="s">
        <v>2594</v>
      </c>
      <c r="B52" s="64">
        <v>10.47</v>
      </c>
      <c r="C52" s="64">
        <v>60.52</v>
      </c>
      <c r="D52" s="64">
        <v>42.44</v>
      </c>
      <c r="E52" s="64">
        <v>0.13</v>
      </c>
      <c r="F52" s="64">
        <v>3.77</v>
      </c>
      <c r="G52" s="64">
        <v>58.21</v>
      </c>
      <c r="H52" s="64">
        <v>23.37</v>
      </c>
      <c r="I52" s="64">
        <v>1.48</v>
      </c>
      <c r="J52" s="64">
        <v>1.51</v>
      </c>
      <c r="K52" s="64">
        <v>349.97</v>
      </c>
      <c r="L52" s="64">
        <v>26.58</v>
      </c>
      <c r="M52" s="64">
        <v>39.99</v>
      </c>
      <c r="N52" s="64">
        <v>482</v>
      </c>
      <c r="O52" s="64">
        <v>0</v>
      </c>
      <c r="P52" s="64">
        <v>0.65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3" t="s">
        <v>2595</v>
      </c>
      <c r="B53" s="64">
        <v>9.61</v>
      </c>
      <c r="C53" s="64">
        <v>61.42</v>
      </c>
      <c r="D53" s="64">
        <v>42.26</v>
      </c>
      <c r="E53" s="64">
        <v>0.15</v>
      </c>
      <c r="F53" s="64">
        <v>3.79</v>
      </c>
      <c r="G53" s="64">
        <v>58.21</v>
      </c>
      <c r="H53" s="64">
        <v>23.37</v>
      </c>
      <c r="I53" s="64">
        <v>1.57</v>
      </c>
      <c r="J53" s="64">
        <v>0.7</v>
      </c>
      <c r="K53" s="64">
        <v>354.61</v>
      </c>
      <c r="L53" s="64">
        <v>26.13</v>
      </c>
      <c r="M53" s="64">
        <v>41.44</v>
      </c>
      <c r="N53" s="64">
        <v>430.2</v>
      </c>
      <c r="O53" s="64">
        <v>0</v>
      </c>
      <c r="P53" s="64">
        <v>0.65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3" t="s">
        <v>2596</v>
      </c>
      <c r="B54" s="64">
        <v>8.81</v>
      </c>
      <c r="C54" s="64">
        <v>61.75</v>
      </c>
      <c r="D54" s="64">
        <v>41.79</v>
      </c>
      <c r="E54" s="64">
        <v>0.12</v>
      </c>
      <c r="F54" s="64">
        <v>3.66</v>
      </c>
      <c r="G54" s="64">
        <v>58.27</v>
      </c>
      <c r="H54" s="64">
        <v>17.32</v>
      </c>
      <c r="I54" s="64">
        <v>1.52</v>
      </c>
      <c r="J54" s="64">
        <v>0.75</v>
      </c>
      <c r="K54" s="64">
        <v>3.77</v>
      </c>
      <c r="L54" s="64">
        <v>26.49</v>
      </c>
      <c r="M54" s="64">
        <v>41.39</v>
      </c>
      <c r="N54" s="64">
        <v>551.6</v>
      </c>
      <c r="O54" s="64">
        <v>0</v>
      </c>
      <c r="P54" s="64">
        <v>0.67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3" t="s">
        <v>2597</v>
      </c>
      <c r="B55" s="64">
        <v>8.16</v>
      </c>
      <c r="C55" s="64">
        <v>61.98</v>
      </c>
      <c r="D55" s="64">
        <v>41.4</v>
      </c>
      <c r="E55" s="64">
        <v>0.17</v>
      </c>
      <c r="F55" s="64">
        <v>3.38</v>
      </c>
      <c r="G55" s="64">
        <v>58.28</v>
      </c>
      <c r="H55" s="64">
        <v>17.32</v>
      </c>
      <c r="I55" s="64">
        <v>1.5</v>
      </c>
      <c r="J55" s="64">
        <v>0.41</v>
      </c>
      <c r="K55" s="64">
        <v>16.600000000000001</v>
      </c>
      <c r="L55" s="64">
        <v>25.17</v>
      </c>
      <c r="M55" s="64">
        <v>45.85</v>
      </c>
      <c r="N55" s="64">
        <v>566.70000000000005</v>
      </c>
      <c r="O55" s="64">
        <v>0</v>
      </c>
      <c r="P55" s="64">
        <v>0.67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3" t="s">
        <v>2598</v>
      </c>
      <c r="B56" s="64">
        <v>7.75</v>
      </c>
      <c r="C56" s="64">
        <v>61.91</v>
      </c>
      <c r="D56" s="64">
        <v>41.02</v>
      </c>
      <c r="E56" s="64">
        <v>0.15</v>
      </c>
      <c r="F56" s="64">
        <v>3.5</v>
      </c>
      <c r="G56" s="64">
        <v>58.28</v>
      </c>
      <c r="H56" s="64">
        <v>17.32</v>
      </c>
      <c r="I56" s="64">
        <v>1.51</v>
      </c>
      <c r="J56" s="64">
        <v>1.06</v>
      </c>
      <c r="K56" s="64">
        <v>350.71</v>
      </c>
      <c r="L56" s="64">
        <v>27.77</v>
      </c>
      <c r="M56" s="64">
        <v>39.229999999999997</v>
      </c>
      <c r="N56" s="64">
        <v>441.6</v>
      </c>
      <c r="O56" s="64">
        <v>0</v>
      </c>
      <c r="P56" s="64">
        <v>0.67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3" t="s">
        <v>2599</v>
      </c>
      <c r="B57" s="64">
        <v>7.7</v>
      </c>
      <c r="C57" s="64">
        <v>61.31</v>
      </c>
      <c r="D57" s="64">
        <v>40.659999999999997</v>
      </c>
      <c r="E57" s="64">
        <v>0.2</v>
      </c>
      <c r="F57" s="64">
        <v>3.52</v>
      </c>
      <c r="G57" s="64">
        <v>58.28</v>
      </c>
      <c r="H57" s="64">
        <v>17.32</v>
      </c>
      <c r="I57" s="64">
        <v>1.53</v>
      </c>
      <c r="J57" s="64">
        <v>0.73</v>
      </c>
      <c r="K57" s="64">
        <v>357.33</v>
      </c>
      <c r="L57" s="64">
        <v>27.23</v>
      </c>
      <c r="M57" s="64">
        <v>41.47</v>
      </c>
      <c r="N57" s="64">
        <v>480.7</v>
      </c>
      <c r="O57" s="64">
        <v>0</v>
      </c>
      <c r="P57" s="64">
        <v>0.68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3" t="s">
        <v>2600</v>
      </c>
      <c r="B58" s="64">
        <v>7.76</v>
      </c>
      <c r="C58" s="64">
        <v>61.8</v>
      </c>
      <c r="D58" s="64">
        <v>40.98</v>
      </c>
      <c r="E58" s="64">
        <v>0.2</v>
      </c>
      <c r="F58" s="64">
        <v>3.51</v>
      </c>
      <c r="G58" s="64">
        <v>63.19</v>
      </c>
      <c r="H58" s="64">
        <v>24.75</v>
      </c>
      <c r="I58" s="64">
        <v>1.5</v>
      </c>
      <c r="J58" s="64">
        <v>0.88</v>
      </c>
      <c r="K58" s="64">
        <v>342.91</v>
      </c>
      <c r="L58" s="64">
        <v>28.42</v>
      </c>
      <c r="M58" s="64">
        <v>39.31</v>
      </c>
      <c r="N58" s="64">
        <v>368.3</v>
      </c>
      <c r="O58" s="64">
        <v>0</v>
      </c>
      <c r="P58" s="64">
        <v>0.68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3" t="s">
        <v>2601</v>
      </c>
      <c r="B59" s="64">
        <v>7.75</v>
      </c>
      <c r="C59" s="64">
        <v>61.73</v>
      </c>
      <c r="D59" s="64">
        <v>40.93</v>
      </c>
      <c r="E59" s="64">
        <v>0.16</v>
      </c>
      <c r="F59" s="64">
        <v>3.78</v>
      </c>
      <c r="G59" s="64">
        <v>64.17</v>
      </c>
      <c r="H59" s="64">
        <v>24.75</v>
      </c>
      <c r="I59" s="64">
        <v>1.45</v>
      </c>
      <c r="J59" s="64">
        <v>0.33</v>
      </c>
      <c r="K59" s="64">
        <v>357.47</v>
      </c>
      <c r="L59" s="64">
        <v>27.11</v>
      </c>
      <c r="M59" s="64">
        <v>42.97</v>
      </c>
      <c r="N59" s="64">
        <v>327.9</v>
      </c>
      <c r="O59" s="64">
        <v>0</v>
      </c>
      <c r="P59" s="64">
        <v>0.68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3" t="s">
        <v>2602</v>
      </c>
      <c r="B60" s="64">
        <v>7.66</v>
      </c>
      <c r="C60" s="64">
        <v>60.94</v>
      </c>
      <c r="D60" s="64">
        <v>40.43</v>
      </c>
      <c r="E60" s="64">
        <v>0.17</v>
      </c>
      <c r="F60" s="64">
        <v>3.85</v>
      </c>
      <c r="G60" s="64">
        <v>64.17</v>
      </c>
      <c r="H60" s="64">
        <v>24.75</v>
      </c>
      <c r="I60" s="64">
        <v>1.46</v>
      </c>
      <c r="J60" s="64">
        <v>0.67</v>
      </c>
      <c r="K60" s="64">
        <v>350.58</v>
      </c>
      <c r="L60" s="64">
        <v>27</v>
      </c>
      <c r="M60" s="64">
        <v>43.49</v>
      </c>
      <c r="N60" s="64">
        <v>457.4</v>
      </c>
      <c r="O60" s="64">
        <v>0</v>
      </c>
      <c r="P60" s="64">
        <v>0.68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3" t="s">
        <v>2603</v>
      </c>
      <c r="B61" s="64">
        <v>7.54</v>
      </c>
      <c r="C61" s="64">
        <v>60.22</v>
      </c>
      <c r="D61" s="64">
        <v>39.93</v>
      </c>
      <c r="E61" s="64">
        <v>0.2</v>
      </c>
      <c r="F61" s="64">
        <v>5.4</v>
      </c>
      <c r="G61" s="64">
        <v>64.17</v>
      </c>
      <c r="H61" s="64">
        <v>24.75</v>
      </c>
      <c r="I61" s="64">
        <v>1.47</v>
      </c>
      <c r="J61" s="64">
        <v>0.54</v>
      </c>
      <c r="K61" s="64">
        <v>56.25</v>
      </c>
      <c r="L61" s="64">
        <v>27.23</v>
      </c>
      <c r="M61" s="64">
        <v>43.6</v>
      </c>
      <c r="N61" s="64">
        <v>685.1</v>
      </c>
      <c r="O61" s="64">
        <v>0</v>
      </c>
      <c r="P61" s="64">
        <v>0.61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3" t="s">
        <v>2604</v>
      </c>
      <c r="B62" s="64">
        <v>3.57</v>
      </c>
      <c r="C62" s="64">
        <v>55.16</v>
      </c>
      <c r="D62" s="64">
        <v>33.950000000000003</v>
      </c>
      <c r="E62" s="64">
        <v>0.11</v>
      </c>
      <c r="F62" s="64">
        <v>18</v>
      </c>
      <c r="G62" s="64">
        <v>51.69</v>
      </c>
      <c r="H62" s="64">
        <v>22.07</v>
      </c>
      <c r="I62" s="64">
        <v>1.5</v>
      </c>
      <c r="J62" s="64">
        <v>0.69</v>
      </c>
      <c r="K62" s="64">
        <v>47.92</v>
      </c>
      <c r="L62" s="64">
        <v>26.17</v>
      </c>
      <c r="M62" s="64">
        <v>46.68</v>
      </c>
      <c r="N62" s="64">
        <v>640.9</v>
      </c>
      <c r="O62" s="64">
        <v>0</v>
      </c>
      <c r="P62" s="64">
        <v>0.56999999999999995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3" t="s">
        <v>2605</v>
      </c>
      <c r="B63" s="64">
        <v>2.0699999999999998</v>
      </c>
      <c r="C63" s="64">
        <v>57.96</v>
      </c>
      <c r="D63" s="64">
        <v>34.29</v>
      </c>
      <c r="E63" s="211" t="s">
        <v>40</v>
      </c>
      <c r="F63" s="64">
        <v>13.24</v>
      </c>
      <c r="G63" s="64">
        <v>49.19</v>
      </c>
      <c r="H63" s="64">
        <v>22.07</v>
      </c>
      <c r="I63" s="64">
        <v>1.48</v>
      </c>
      <c r="J63" s="64">
        <v>0.78</v>
      </c>
      <c r="K63" s="64">
        <v>1.02</v>
      </c>
      <c r="L63" s="64">
        <v>27.81</v>
      </c>
      <c r="M63" s="64">
        <v>41.28</v>
      </c>
      <c r="N63" s="64">
        <v>532.4</v>
      </c>
      <c r="O63" s="64">
        <v>0</v>
      </c>
      <c r="P63" s="64">
        <v>0.62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3" t="s">
        <v>2606</v>
      </c>
      <c r="B64" s="64">
        <v>2.2000000000000002</v>
      </c>
      <c r="C64" s="64">
        <v>59.6</v>
      </c>
      <c r="D64" s="64">
        <v>35.299999999999997</v>
      </c>
      <c r="E64" s="211" t="s">
        <v>40</v>
      </c>
      <c r="F64" s="64">
        <v>5.72</v>
      </c>
      <c r="G64" s="64">
        <v>49.19</v>
      </c>
      <c r="H64" s="64">
        <v>22.07</v>
      </c>
      <c r="I64" s="64">
        <v>1.47</v>
      </c>
      <c r="J64" s="64">
        <v>0.45</v>
      </c>
      <c r="K64" s="64">
        <v>37.090000000000003</v>
      </c>
      <c r="L64" s="64">
        <v>27.19</v>
      </c>
      <c r="M64" s="64">
        <v>42.74</v>
      </c>
      <c r="N64" s="64">
        <v>548.79999999999995</v>
      </c>
      <c r="O64" s="64">
        <v>0</v>
      </c>
      <c r="P64" s="64">
        <v>0.66</v>
      </c>
      <c r="Q64" s="211" t="s">
        <v>40</v>
      </c>
      <c r="R64" s="198"/>
      <c r="S64" s="198"/>
      <c r="T64" s="198"/>
      <c r="U64" s="198"/>
    </row>
    <row r="65" spans="1:21" s="12" customFormat="1" x14ac:dyDescent="0.25">
      <c r="A65" s="213" t="s">
        <v>2607</v>
      </c>
      <c r="B65" s="64">
        <v>3.94</v>
      </c>
      <c r="C65" s="64">
        <v>67.209999999999994</v>
      </c>
      <c r="D65" s="64">
        <v>40.9</v>
      </c>
      <c r="E65" s="211" t="s">
        <v>40</v>
      </c>
      <c r="F65" s="64">
        <v>10.24</v>
      </c>
      <c r="G65" s="64">
        <v>49.19</v>
      </c>
      <c r="H65" s="64">
        <v>22.07</v>
      </c>
      <c r="I65" s="64">
        <v>1.41</v>
      </c>
      <c r="J65" s="64">
        <v>0.71</v>
      </c>
      <c r="K65" s="64">
        <v>75.3</v>
      </c>
      <c r="L65" s="64">
        <v>26.02</v>
      </c>
      <c r="M65" s="64">
        <v>46.3</v>
      </c>
      <c r="N65" s="64">
        <v>503.1</v>
      </c>
      <c r="O65" s="64">
        <v>0</v>
      </c>
      <c r="P65" s="64">
        <v>0.63</v>
      </c>
      <c r="Q65" s="211" t="s">
        <v>40</v>
      </c>
      <c r="R65" s="198"/>
      <c r="S65" s="198"/>
      <c r="T65" s="198"/>
      <c r="U65" s="198"/>
    </row>
    <row r="66" spans="1:21" s="12" customFormat="1" x14ac:dyDescent="0.25">
      <c r="A66" s="213" t="s">
        <v>2608</v>
      </c>
      <c r="B66" s="64">
        <v>4.95</v>
      </c>
      <c r="C66" s="64">
        <v>74.95</v>
      </c>
      <c r="D66" s="64">
        <v>45.98</v>
      </c>
      <c r="E66" s="211" t="s">
        <v>40</v>
      </c>
      <c r="F66" s="64">
        <v>7.97</v>
      </c>
      <c r="G66" s="64">
        <v>68.78</v>
      </c>
      <c r="H66" s="64">
        <v>22.36</v>
      </c>
      <c r="I66" s="64">
        <v>1.46</v>
      </c>
      <c r="J66" s="64">
        <v>0.48</v>
      </c>
      <c r="K66" s="64">
        <v>42.32</v>
      </c>
      <c r="L66" s="64">
        <v>26.65</v>
      </c>
      <c r="M66" s="64">
        <v>44.08</v>
      </c>
      <c r="N66" s="64">
        <v>431.8</v>
      </c>
      <c r="O66" s="64">
        <v>0</v>
      </c>
      <c r="P66" s="64">
        <v>0.65</v>
      </c>
      <c r="Q66" s="211" t="s">
        <v>40</v>
      </c>
      <c r="R66" s="198"/>
      <c r="S66" s="198"/>
      <c r="T66" s="198"/>
      <c r="U66" s="198"/>
    </row>
    <row r="67" spans="1:21" s="12" customFormat="1" x14ac:dyDescent="0.25">
      <c r="A67" s="213" t="s">
        <v>2609</v>
      </c>
      <c r="B67" s="64">
        <v>4.96</v>
      </c>
      <c r="C67" s="64">
        <v>75.459999999999994</v>
      </c>
      <c r="D67" s="64">
        <v>46.26</v>
      </c>
      <c r="E67" s="211" t="s">
        <v>40</v>
      </c>
      <c r="F67" s="64">
        <v>5.95</v>
      </c>
      <c r="G67" s="64">
        <v>72.69</v>
      </c>
      <c r="H67" s="64">
        <v>22.36</v>
      </c>
      <c r="I67" s="64">
        <v>1.53</v>
      </c>
      <c r="J67" s="64">
        <v>0.65</v>
      </c>
      <c r="K67" s="64">
        <v>19.899999999999999</v>
      </c>
      <c r="L67" s="64">
        <v>26.53</v>
      </c>
      <c r="M67" s="64">
        <v>44.64</v>
      </c>
      <c r="N67" s="64">
        <v>365.6</v>
      </c>
      <c r="O67" s="64">
        <v>0</v>
      </c>
      <c r="P67" s="64">
        <v>0.75</v>
      </c>
      <c r="Q67" s="211" t="s">
        <v>40</v>
      </c>
      <c r="R67" s="198"/>
      <c r="S67" s="198"/>
      <c r="T67" s="198"/>
      <c r="U67" s="198"/>
    </row>
    <row r="68" spans="1:21" s="12" customFormat="1" x14ac:dyDescent="0.25">
      <c r="A68" s="213" t="s">
        <v>2610</v>
      </c>
      <c r="B68" s="64">
        <v>4.87</v>
      </c>
      <c r="C68" s="64">
        <v>68.41</v>
      </c>
      <c r="D68" s="64">
        <v>42.3</v>
      </c>
      <c r="E68" s="211" t="s">
        <v>40</v>
      </c>
      <c r="F68" s="64">
        <v>5.26</v>
      </c>
      <c r="G68" s="64">
        <v>72.69</v>
      </c>
      <c r="H68" s="64">
        <v>22.36</v>
      </c>
      <c r="I68" s="64">
        <v>1.55</v>
      </c>
      <c r="J68" s="64">
        <v>0.5</v>
      </c>
      <c r="K68" s="64">
        <v>31.55</v>
      </c>
      <c r="L68" s="64">
        <v>26.94</v>
      </c>
      <c r="M68" s="64">
        <v>43.41</v>
      </c>
      <c r="N68" s="64">
        <v>355.6</v>
      </c>
      <c r="O68" s="64">
        <v>0</v>
      </c>
      <c r="P68" s="64">
        <v>0.79</v>
      </c>
      <c r="Q68" s="211" t="s">
        <v>40</v>
      </c>
      <c r="R68" s="198"/>
      <c r="S68" s="198"/>
      <c r="T68" s="198"/>
      <c r="U68" s="198"/>
    </row>
    <row r="69" spans="1:21" s="12" customFormat="1" x14ac:dyDescent="0.25">
      <c r="A69" s="213" t="s">
        <v>2611</v>
      </c>
      <c r="B69" s="64">
        <v>5.03</v>
      </c>
      <c r="C69" s="64">
        <v>62.59</v>
      </c>
      <c r="D69" s="64">
        <v>39.22</v>
      </c>
      <c r="E69" s="211" t="s">
        <v>40</v>
      </c>
      <c r="F69" s="64">
        <v>5.37</v>
      </c>
      <c r="G69" s="64">
        <v>72.69</v>
      </c>
      <c r="H69" s="64">
        <v>22.36</v>
      </c>
      <c r="I69" s="64">
        <v>1.47</v>
      </c>
      <c r="J69" s="64">
        <v>1.44</v>
      </c>
      <c r="K69" s="64">
        <v>345.48</v>
      </c>
      <c r="L69" s="64">
        <v>27.61</v>
      </c>
      <c r="M69" s="64">
        <v>41.93</v>
      </c>
      <c r="N69" s="64">
        <v>303.8</v>
      </c>
      <c r="O69" s="64">
        <v>0</v>
      </c>
      <c r="P69" s="64">
        <v>0.81</v>
      </c>
      <c r="Q69" s="211" t="s">
        <v>40</v>
      </c>
      <c r="R69" s="198"/>
      <c r="S69" s="198"/>
      <c r="T69" s="198"/>
      <c r="U69" s="198"/>
    </row>
    <row r="70" spans="1:21" s="12" customFormat="1" x14ac:dyDescent="0.25">
      <c r="A70" s="213" t="s">
        <v>2612</v>
      </c>
      <c r="B70" s="64">
        <v>4.8899999999999997</v>
      </c>
      <c r="C70" s="64">
        <v>59.74</v>
      </c>
      <c r="D70" s="64">
        <v>37.54</v>
      </c>
      <c r="E70" s="64">
        <v>4.1100000000000003</v>
      </c>
      <c r="F70" s="64">
        <v>5.22</v>
      </c>
      <c r="G70" s="64">
        <v>67.11</v>
      </c>
      <c r="H70" s="64">
        <v>23.52</v>
      </c>
      <c r="I70" s="64">
        <v>1.45</v>
      </c>
      <c r="J70" s="64">
        <v>1</v>
      </c>
      <c r="K70" s="64">
        <v>356.15</v>
      </c>
      <c r="L70" s="64">
        <v>27.88</v>
      </c>
      <c r="M70" s="64">
        <v>41.5</v>
      </c>
      <c r="N70" s="64">
        <v>254.4</v>
      </c>
      <c r="O70" s="64">
        <v>0</v>
      </c>
      <c r="P70" s="64">
        <v>0.8</v>
      </c>
      <c r="Q70" s="64">
        <v>5.84</v>
      </c>
      <c r="R70" s="198"/>
      <c r="S70" s="198"/>
      <c r="T70" s="198"/>
      <c r="U70" s="198"/>
    </row>
    <row r="71" spans="1:21" s="12" customFormat="1" x14ac:dyDescent="0.25">
      <c r="A71" s="213" t="s">
        <v>2613</v>
      </c>
      <c r="B71" s="64">
        <v>5.0599999999999996</v>
      </c>
      <c r="C71" s="64">
        <v>55.79</v>
      </c>
      <c r="D71" s="64">
        <v>35.5</v>
      </c>
      <c r="E71" s="64">
        <v>4.04</v>
      </c>
      <c r="F71" s="64">
        <v>4.57</v>
      </c>
      <c r="G71" s="64">
        <v>65.989999999999995</v>
      </c>
      <c r="H71" s="64">
        <v>23.52</v>
      </c>
      <c r="I71" s="64">
        <v>1.54</v>
      </c>
      <c r="J71" s="64">
        <v>0.74</v>
      </c>
      <c r="K71" s="64">
        <v>89.22</v>
      </c>
      <c r="L71" s="64">
        <v>26.06</v>
      </c>
      <c r="M71" s="64">
        <v>46.49</v>
      </c>
      <c r="N71" s="64">
        <v>202.2</v>
      </c>
      <c r="O71" s="64">
        <v>0</v>
      </c>
      <c r="P71" s="64">
        <v>0.81</v>
      </c>
      <c r="Q71" s="64">
        <v>5.69</v>
      </c>
      <c r="R71" s="198"/>
      <c r="S71" s="198"/>
      <c r="T71" s="198"/>
      <c r="U71" s="198"/>
    </row>
    <row r="72" spans="1:21" s="12" customFormat="1" x14ac:dyDescent="0.25">
      <c r="A72" s="213" t="s">
        <v>2614</v>
      </c>
      <c r="B72" s="64">
        <v>4.88</v>
      </c>
      <c r="C72" s="64">
        <v>52.85</v>
      </c>
      <c r="D72" s="64">
        <v>33.72</v>
      </c>
      <c r="E72" s="64">
        <v>5.4</v>
      </c>
      <c r="F72" s="64">
        <v>9.19</v>
      </c>
      <c r="G72" s="64">
        <v>65.989999999999995</v>
      </c>
      <c r="H72" s="64">
        <v>23.52</v>
      </c>
      <c r="I72" s="64">
        <v>1.5</v>
      </c>
      <c r="J72" s="64">
        <v>0.66</v>
      </c>
      <c r="K72" s="64">
        <v>67.64</v>
      </c>
      <c r="L72" s="64">
        <v>25.23</v>
      </c>
      <c r="M72" s="64">
        <v>49.24</v>
      </c>
      <c r="N72" s="64">
        <v>185</v>
      </c>
      <c r="O72" s="64">
        <v>0</v>
      </c>
      <c r="P72" s="64">
        <v>0.78</v>
      </c>
      <c r="Q72" s="64">
        <v>5.28</v>
      </c>
      <c r="R72" s="198"/>
      <c r="S72" s="198"/>
      <c r="T72" s="198"/>
      <c r="U72" s="198"/>
    </row>
    <row r="73" spans="1:21" s="12" customFormat="1" x14ac:dyDescent="0.25">
      <c r="A73" s="213" t="s">
        <v>2615</v>
      </c>
      <c r="B73" s="64">
        <v>2.31</v>
      </c>
      <c r="C73" s="64">
        <v>57.48</v>
      </c>
      <c r="D73" s="64">
        <v>34.22</v>
      </c>
      <c r="E73" s="64">
        <v>8.1</v>
      </c>
      <c r="F73" s="64">
        <v>19.8</v>
      </c>
      <c r="G73" s="64">
        <v>65.989999999999995</v>
      </c>
      <c r="H73" s="64">
        <v>23.52</v>
      </c>
      <c r="I73" s="64">
        <v>1.51</v>
      </c>
      <c r="J73" s="64">
        <v>0.72</v>
      </c>
      <c r="K73" s="64">
        <v>2.1</v>
      </c>
      <c r="L73" s="64">
        <v>25.25</v>
      </c>
      <c r="M73" s="64">
        <v>48.94</v>
      </c>
      <c r="N73" s="64">
        <v>148.80000000000001</v>
      </c>
      <c r="O73" s="64">
        <v>0</v>
      </c>
      <c r="P73" s="64">
        <v>0.67</v>
      </c>
      <c r="Q73" s="64">
        <v>614.29999999999995</v>
      </c>
      <c r="R73" s="198"/>
      <c r="S73" s="198"/>
      <c r="T73" s="198"/>
      <c r="U73" s="198"/>
    </row>
    <row r="74" spans="1:21" s="12" customFormat="1" x14ac:dyDescent="0.25">
      <c r="A74" s="213" t="s">
        <v>2616</v>
      </c>
      <c r="B74" s="64">
        <v>1.57</v>
      </c>
      <c r="C74" s="64">
        <v>60.62</v>
      </c>
      <c r="D74" s="64">
        <v>35.36</v>
      </c>
      <c r="E74" s="64">
        <v>6.63</v>
      </c>
      <c r="F74" s="64">
        <v>8.41</v>
      </c>
      <c r="G74" s="64">
        <v>75.650000000000006</v>
      </c>
      <c r="H74" s="64">
        <v>23.75</v>
      </c>
      <c r="I74" s="64">
        <v>1.51</v>
      </c>
      <c r="J74" s="64">
        <v>0.85</v>
      </c>
      <c r="K74" s="64">
        <v>354.33</v>
      </c>
      <c r="L74" s="64">
        <v>25.49</v>
      </c>
      <c r="M74" s="64">
        <v>48.6</v>
      </c>
      <c r="N74" s="64">
        <v>117.7</v>
      </c>
      <c r="O74" s="64">
        <v>0</v>
      </c>
      <c r="P74" s="64">
        <v>0.65</v>
      </c>
      <c r="Q74" s="64">
        <v>92.79</v>
      </c>
      <c r="R74" s="198"/>
      <c r="S74" s="198"/>
      <c r="T74" s="198"/>
      <c r="U74" s="198"/>
    </row>
    <row r="75" spans="1:21" s="12" customFormat="1" x14ac:dyDescent="0.25">
      <c r="A75" s="213" t="s">
        <v>2617</v>
      </c>
      <c r="B75" s="64">
        <v>1.84</v>
      </c>
      <c r="C75" s="64">
        <v>59.2</v>
      </c>
      <c r="D75" s="64">
        <v>34.79</v>
      </c>
      <c r="E75" s="64">
        <v>8.07</v>
      </c>
      <c r="F75" s="64">
        <v>13.08</v>
      </c>
      <c r="G75" s="64">
        <v>77.58</v>
      </c>
      <c r="H75" s="64">
        <v>23.79</v>
      </c>
      <c r="I75" s="64">
        <v>1.43</v>
      </c>
      <c r="J75" s="64">
        <v>0.7</v>
      </c>
      <c r="K75" s="64">
        <v>356.07</v>
      </c>
      <c r="L75" s="64">
        <v>25.15</v>
      </c>
      <c r="M75" s="64">
        <v>49.97</v>
      </c>
      <c r="N75" s="64">
        <v>98.2</v>
      </c>
      <c r="O75" s="64">
        <v>0</v>
      </c>
      <c r="P75" s="64">
        <v>0.69</v>
      </c>
      <c r="Q75" s="64">
        <v>6.1</v>
      </c>
      <c r="R75" s="198"/>
      <c r="S75" s="198"/>
      <c r="T75" s="198"/>
      <c r="U75" s="198"/>
    </row>
    <row r="76" spans="1:21" s="12" customFormat="1" x14ac:dyDescent="0.25">
      <c r="A76" s="213" t="s">
        <v>2618</v>
      </c>
      <c r="B76" s="64">
        <v>4.4400000000000004</v>
      </c>
      <c r="C76" s="64">
        <v>67.28</v>
      </c>
      <c r="D76" s="64">
        <v>41.34</v>
      </c>
      <c r="E76" s="64">
        <v>8.4499999999999993</v>
      </c>
      <c r="F76" s="64">
        <v>19.45</v>
      </c>
      <c r="G76" s="64">
        <v>77.58</v>
      </c>
      <c r="H76" s="64">
        <v>23.79</v>
      </c>
      <c r="I76" s="64">
        <v>1.47</v>
      </c>
      <c r="J76" s="64">
        <v>0.85</v>
      </c>
      <c r="K76" s="64">
        <v>350.94</v>
      </c>
      <c r="L76" s="64">
        <v>24.85</v>
      </c>
      <c r="M76" s="64">
        <v>51.34</v>
      </c>
      <c r="N76" s="64">
        <v>77</v>
      </c>
      <c r="O76" s="64">
        <v>0</v>
      </c>
      <c r="P76" s="64">
        <v>0.75</v>
      </c>
      <c r="Q76" s="64">
        <v>5.0999999999999996</v>
      </c>
      <c r="R76" s="198"/>
      <c r="S76" s="198"/>
      <c r="T76" s="198"/>
      <c r="U76" s="198"/>
    </row>
    <row r="77" spans="1:21" s="12" customFormat="1" x14ac:dyDescent="0.25">
      <c r="A77" s="213" t="s">
        <v>2619</v>
      </c>
      <c r="B77" s="64">
        <v>2.15</v>
      </c>
      <c r="C77" s="64">
        <v>67.41</v>
      </c>
      <c r="D77" s="64">
        <v>39.58</v>
      </c>
      <c r="E77" s="64">
        <v>7.36</v>
      </c>
      <c r="F77" s="64">
        <v>15.45</v>
      </c>
      <c r="G77" s="64">
        <v>77.58</v>
      </c>
      <c r="H77" s="64">
        <v>23.79</v>
      </c>
      <c r="I77" s="64">
        <v>1.47</v>
      </c>
      <c r="J77" s="64">
        <v>0.57999999999999996</v>
      </c>
      <c r="K77" s="64">
        <v>4.17</v>
      </c>
      <c r="L77" s="64">
        <v>24.51</v>
      </c>
      <c r="M77" s="64">
        <v>52.9</v>
      </c>
      <c r="N77" s="64">
        <v>61</v>
      </c>
      <c r="O77" s="64">
        <v>0</v>
      </c>
      <c r="P77" s="64">
        <v>0.71</v>
      </c>
      <c r="Q77" s="64">
        <v>7.15</v>
      </c>
      <c r="R77" s="198"/>
      <c r="S77" s="198"/>
      <c r="T77" s="198"/>
      <c r="U77" s="198"/>
    </row>
    <row r="78" spans="1:21" s="12" customFormat="1" x14ac:dyDescent="0.25">
      <c r="A78" s="213" t="s">
        <v>2620</v>
      </c>
      <c r="B78" s="64">
        <v>1.32</v>
      </c>
      <c r="C78" s="64">
        <v>65.11</v>
      </c>
      <c r="D78" s="64">
        <v>37.64</v>
      </c>
      <c r="E78" s="64">
        <v>5.88</v>
      </c>
      <c r="F78" s="64">
        <v>6.3</v>
      </c>
      <c r="G78" s="64">
        <v>79.53</v>
      </c>
      <c r="H78" s="64">
        <v>26.06</v>
      </c>
      <c r="I78" s="64">
        <v>1.53</v>
      </c>
      <c r="J78" s="64">
        <v>0.56999999999999995</v>
      </c>
      <c r="K78" s="64">
        <v>344.2</v>
      </c>
      <c r="L78" s="64">
        <v>24.04</v>
      </c>
      <c r="M78" s="64">
        <v>59.59</v>
      </c>
      <c r="N78" s="64">
        <v>43.2</v>
      </c>
      <c r="O78" s="64">
        <v>0</v>
      </c>
      <c r="P78" s="64">
        <v>0.71</v>
      </c>
      <c r="Q78" s="64">
        <v>7.37</v>
      </c>
      <c r="R78" s="198"/>
      <c r="S78" s="198"/>
      <c r="T78" s="198"/>
      <c r="U78" s="198"/>
    </row>
    <row r="79" spans="1:21" s="12" customFormat="1" x14ac:dyDescent="0.25">
      <c r="A79" s="213" t="s">
        <v>2621</v>
      </c>
      <c r="B79" s="64">
        <v>2.0099999999999998</v>
      </c>
      <c r="C79" s="64">
        <v>63.19</v>
      </c>
      <c r="D79" s="64">
        <v>37.130000000000003</v>
      </c>
      <c r="E79" s="64">
        <v>5.18</v>
      </c>
      <c r="F79" s="64">
        <v>4.46</v>
      </c>
      <c r="G79" s="64">
        <v>79.92</v>
      </c>
      <c r="H79" s="64">
        <v>26.52</v>
      </c>
      <c r="I79" s="64">
        <v>1.6</v>
      </c>
      <c r="J79" s="64">
        <v>0.75</v>
      </c>
      <c r="K79" s="64">
        <v>348.87</v>
      </c>
      <c r="L79" s="64">
        <v>23.62</v>
      </c>
      <c r="M79" s="64">
        <v>61.54</v>
      </c>
      <c r="N79" s="64">
        <v>32.4</v>
      </c>
      <c r="O79" s="64">
        <v>0</v>
      </c>
      <c r="P79" s="64">
        <v>0.73</v>
      </c>
      <c r="Q79" s="64">
        <v>7.36</v>
      </c>
      <c r="R79" s="198"/>
      <c r="S79" s="198"/>
      <c r="T79" s="198"/>
      <c r="U79" s="198"/>
    </row>
    <row r="80" spans="1:21" s="12" customFormat="1" x14ac:dyDescent="0.25">
      <c r="A80" s="213" t="s">
        <v>2622</v>
      </c>
      <c r="B80" s="64">
        <v>2.87</v>
      </c>
      <c r="C80" s="64">
        <v>61.01</v>
      </c>
      <c r="D80" s="64">
        <v>36.619999999999997</v>
      </c>
      <c r="E80" s="64">
        <v>4.91</v>
      </c>
      <c r="F80" s="64">
        <v>4</v>
      </c>
      <c r="G80" s="64">
        <v>79.92</v>
      </c>
      <c r="H80" s="64">
        <v>26.52</v>
      </c>
      <c r="I80" s="64">
        <v>1.51</v>
      </c>
      <c r="J80" s="64">
        <v>0.46</v>
      </c>
      <c r="K80" s="64">
        <v>1</v>
      </c>
      <c r="L80" s="64">
        <v>23.46</v>
      </c>
      <c r="M80" s="64">
        <v>61.48</v>
      </c>
      <c r="N80" s="64">
        <v>26</v>
      </c>
      <c r="O80" s="64">
        <v>0</v>
      </c>
      <c r="P80" s="64">
        <v>0.74</v>
      </c>
      <c r="Q80" s="64">
        <v>7.6</v>
      </c>
      <c r="R80" s="198"/>
      <c r="S80" s="198"/>
      <c r="T80" s="198"/>
      <c r="U80" s="198"/>
    </row>
    <row r="81" spans="1:26" s="12" customFormat="1" x14ac:dyDescent="0.25">
      <c r="A81" s="213" t="s">
        <v>2623</v>
      </c>
      <c r="B81" s="64">
        <v>3.48</v>
      </c>
      <c r="C81" s="64">
        <v>59.53</v>
      </c>
      <c r="D81" s="64">
        <v>36.29</v>
      </c>
      <c r="E81" s="64">
        <v>4.71</v>
      </c>
      <c r="F81" s="64">
        <v>3.31</v>
      </c>
      <c r="G81" s="64">
        <v>79.92</v>
      </c>
      <c r="H81" s="64">
        <v>26.52</v>
      </c>
      <c r="I81" s="64">
        <v>1.54</v>
      </c>
      <c r="J81" s="64">
        <v>0.23</v>
      </c>
      <c r="K81" s="64">
        <v>20.420000000000002</v>
      </c>
      <c r="L81" s="64">
        <v>22.95</v>
      </c>
      <c r="M81" s="64">
        <v>63.7</v>
      </c>
      <c r="N81" s="64">
        <v>23.1</v>
      </c>
      <c r="O81" s="64">
        <v>0</v>
      </c>
      <c r="P81" s="64">
        <v>0.74</v>
      </c>
      <c r="Q81" s="64">
        <v>7.92</v>
      </c>
      <c r="R81" s="198"/>
      <c r="S81" s="198"/>
      <c r="T81" s="198"/>
      <c r="U81" s="198"/>
    </row>
    <row r="82" spans="1:26" s="12" customFormat="1" x14ac:dyDescent="0.25">
      <c r="A82" s="213" t="s">
        <v>2624</v>
      </c>
      <c r="B82" s="64">
        <v>3.94</v>
      </c>
      <c r="C82" s="64">
        <v>57.44</v>
      </c>
      <c r="D82" s="64">
        <v>35.51</v>
      </c>
      <c r="E82" s="64">
        <v>4.78</v>
      </c>
      <c r="F82" s="64">
        <v>3.37</v>
      </c>
      <c r="G82" s="64">
        <v>75.459999999999994</v>
      </c>
      <c r="H82" s="64">
        <v>26.67</v>
      </c>
      <c r="I82" s="64">
        <v>1.44</v>
      </c>
      <c r="J82" s="64">
        <v>0.2</v>
      </c>
      <c r="K82" s="64">
        <v>354.26</v>
      </c>
      <c r="L82" s="64">
        <v>22.82</v>
      </c>
      <c r="M82" s="64">
        <v>65.52</v>
      </c>
      <c r="N82" s="64">
        <v>22.6</v>
      </c>
      <c r="O82" s="64">
        <v>0</v>
      </c>
      <c r="P82" s="64">
        <v>0.74</v>
      </c>
      <c r="Q82" s="64">
        <v>7.58</v>
      </c>
      <c r="R82" s="198"/>
      <c r="S82" s="198"/>
      <c r="T82" s="198"/>
      <c r="U82" s="198"/>
    </row>
    <row r="83" spans="1:26" s="12" customFormat="1" x14ac:dyDescent="0.25">
      <c r="A83" s="213" t="s">
        <v>2625</v>
      </c>
      <c r="B83" s="64">
        <v>4.21</v>
      </c>
      <c r="C83" s="64">
        <v>55.39</v>
      </c>
      <c r="D83" s="64">
        <v>34.590000000000003</v>
      </c>
      <c r="E83" s="64">
        <v>5.0199999999999996</v>
      </c>
      <c r="F83" s="64">
        <v>3.59</v>
      </c>
      <c r="G83" s="64">
        <v>74.56</v>
      </c>
      <c r="H83" s="64">
        <v>26.7</v>
      </c>
      <c r="I83" s="64">
        <v>1.49</v>
      </c>
      <c r="J83" s="64">
        <v>0.26</v>
      </c>
      <c r="K83" s="64">
        <v>41.48</v>
      </c>
      <c r="L83" s="64">
        <v>22.84</v>
      </c>
      <c r="M83" s="64">
        <v>59.95</v>
      </c>
      <c r="N83" s="64">
        <v>22.8</v>
      </c>
      <c r="O83" s="64">
        <v>0</v>
      </c>
      <c r="P83" s="64">
        <v>0.75</v>
      </c>
      <c r="Q83" s="64">
        <v>7.28</v>
      </c>
      <c r="R83" s="198"/>
      <c r="S83" s="198"/>
      <c r="T83" s="198"/>
      <c r="U83" s="198"/>
    </row>
    <row r="84" spans="1:26" s="12" customFormat="1" x14ac:dyDescent="0.25">
      <c r="A84" s="213" t="s">
        <v>2626</v>
      </c>
      <c r="B84" s="64">
        <v>3.4</v>
      </c>
      <c r="C84" s="64">
        <v>36.93</v>
      </c>
      <c r="D84" s="64">
        <v>23.75</v>
      </c>
      <c r="E84" s="64">
        <v>4.8499999999999996</v>
      </c>
      <c r="F84" s="64">
        <v>3.04</v>
      </c>
      <c r="G84" s="64">
        <v>74.56</v>
      </c>
      <c r="H84" s="64">
        <v>26.7</v>
      </c>
      <c r="I84" s="64">
        <v>1.58</v>
      </c>
      <c r="J84" s="64">
        <v>0.22</v>
      </c>
      <c r="K84" s="64">
        <v>54.23</v>
      </c>
      <c r="L84" s="64">
        <v>22.84</v>
      </c>
      <c r="M84" s="64">
        <v>59.96</v>
      </c>
      <c r="N84" s="64">
        <v>22.8</v>
      </c>
      <c r="O84" s="64">
        <v>0</v>
      </c>
      <c r="P84" s="64">
        <v>0.78</v>
      </c>
      <c r="Q84" s="64">
        <v>7.07</v>
      </c>
      <c r="R84" s="198"/>
      <c r="S84" s="198"/>
      <c r="T84" s="198"/>
      <c r="U84" s="198"/>
    </row>
    <row r="85" spans="1:26" s="12" customFormat="1" x14ac:dyDescent="0.25">
      <c r="A85" s="213" t="s">
        <v>2627</v>
      </c>
      <c r="B85" s="64">
        <v>3.66</v>
      </c>
      <c r="C85" s="64">
        <v>35.369999999999997</v>
      </c>
      <c r="D85" s="64">
        <v>23.1</v>
      </c>
      <c r="E85" s="64">
        <v>5.07</v>
      </c>
      <c r="F85" s="64">
        <v>3.24</v>
      </c>
      <c r="G85" s="64">
        <v>74.56</v>
      </c>
      <c r="H85" s="64">
        <v>26.7</v>
      </c>
      <c r="I85" s="64">
        <v>1.49</v>
      </c>
      <c r="J85" s="64">
        <v>0.31</v>
      </c>
      <c r="K85" s="64">
        <v>28.54</v>
      </c>
      <c r="L85" s="64">
        <v>22.86</v>
      </c>
      <c r="M85" s="64">
        <v>60.16</v>
      </c>
      <c r="N85" s="64">
        <v>22.9</v>
      </c>
      <c r="O85" s="64">
        <v>0</v>
      </c>
      <c r="P85" s="64">
        <v>0.76</v>
      </c>
      <c r="Q85" s="64">
        <v>7</v>
      </c>
      <c r="R85" s="198"/>
      <c r="S85" s="198"/>
      <c r="T85" s="198"/>
      <c r="U85" s="198"/>
    </row>
    <row r="86" spans="1:26" s="12" customFormat="1" x14ac:dyDescent="0.25">
      <c r="A86" s="213" t="s">
        <v>2628</v>
      </c>
      <c r="B86" s="64">
        <v>3.93</v>
      </c>
      <c r="C86" s="64">
        <v>35.11</v>
      </c>
      <c r="D86" s="64">
        <v>23.17</v>
      </c>
      <c r="E86" s="64">
        <v>4.92</v>
      </c>
      <c r="F86" s="64">
        <v>3.2</v>
      </c>
      <c r="G86" s="64">
        <v>73.959999999999994</v>
      </c>
      <c r="H86" s="64">
        <v>24.93</v>
      </c>
      <c r="I86" s="64">
        <v>1.42</v>
      </c>
      <c r="J86" s="64">
        <v>0.18</v>
      </c>
      <c r="K86" s="64">
        <v>31.07</v>
      </c>
      <c r="L86" s="64">
        <v>22.83</v>
      </c>
      <c r="M86" s="64">
        <v>60.15</v>
      </c>
      <c r="N86" s="64">
        <v>23.1</v>
      </c>
      <c r="O86" s="64">
        <v>0</v>
      </c>
      <c r="P86" s="64">
        <v>0.8</v>
      </c>
      <c r="Q86" s="64">
        <v>6.97</v>
      </c>
      <c r="R86" s="198"/>
      <c r="S86" s="198"/>
      <c r="T86" s="198"/>
      <c r="U86" s="198"/>
    </row>
    <row r="87" spans="1:26" s="12" customFormat="1" x14ac:dyDescent="0.25">
      <c r="A87" s="213" t="s">
        <v>2629</v>
      </c>
      <c r="B87" s="64">
        <v>4.22</v>
      </c>
      <c r="C87" s="64">
        <v>35.19</v>
      </c>
      <c r="D87" s="64">
        <v>23.46</v>
      </c>
      <c r="E87" s="64">
        <v>4.76</v>
      </c>
      <c r="F87" s="64">
        <v>3.43</v>
      </c>
      <c r="G87" s="64">
        <v>73.84</v>
      </c>
      <c r="H87" s="64">
        <v>24.57</v>
      </c>
      <c r="I87" s="64">
        <v>1.49</v>
      </c>
      <c r="J87" s="64">
        <v>0.66</v>
      </c>
      <c r="K87" s="64">
        <v>90.13</v>
      </c>
      <c r="L87" s="64">
        <v>22.74</v>
      </c>
      <c r="M87" s="64">
        <v>60.2</v>
      </c>
      <c r="N87" s="64">
        <v>23.1</v>
      </c>
      <c r="O87" s="64">
        <v>0</v>
      </c>
      <c r="P87" s="64">
        <v>0.81</v>
      </c>
      <c r="Q87" s="64">
        <v>6.98</v>
      </c>
      <c r="R87" s="198"/>
      <c r="S87" s="198"/>
      <c r="T87" s="198"/>
      <c r="U87" s="198"/>
    </row>
    <row r="88" spans="1:26" s="12" customFormat="1" x14ac:dyDescent="0.25">
      <c r="A88" s="213" t="s">
        <v>2630</v>
      </c>
      <c r="B88" s="64">
        <v>4.1399999999999997</v>
      </c>
      <c r="C88" s="64">
        <v>34.520000000000003</v>
      </c>
      <c r="D88" s="64">
        <v>23.01</v>
      </c>
      <c r="E88" s="64">
        <v>4.1900000000000004</v>
      </c>
      <c r="F88" s="64">
        <v>3.47</v>
      </c>
      <c r="G88" s="64">
        <v>73.84</v>
      </c>
      <c r="H88" s="64">
        <v>24.57</v>
      </c>
      <c r="I88" s="64">
        <v>1.52</v>
      </c>
      <c r="J88" s="64">
        <v>0.85</v>
      </c>
      <c r="K88" s="64">
        <v>97.03</v>
      </c>
      <c r="L88" s="64">
        <v>22.6</v>
      </c>
      <c r="M88" s="64">
        <v>60.99</v>
      </c>
      <c r="N88" s="64">
        <v>23.1</v>
      </c>
      <c r="O88" s="64">
        <v>0</v>
      </c>
      <c r="P88" s="64">
        <v>0.8</v>
      </c>
      <c r="Q88" s="64">
        <v>6.95</v>
      </c>
      <c r="R88" s="198"/>
      <c r="S88" s="198"/>
      <c r="T88" s="198"/>
      <c r="U88" s="198"/>
    </row>
    <row r="89" spans="1:26" s="12" customFormat="1" x14ac:dyDescent="0.25">
      <c r="A89" s="213" t="s">
        <v>2631</v>
      </c>
      <c r="B89" s="64">
        <v>3.84</v>
      </c>
      <c r="C89" s="64">
        <v>33.880000000000003</v>
      </c>
      <c r="D89" s="64">
        <v>22.42</v>
      </c>
      <c r="E89" s="64">
        <v>4.41</v>
      </c>
      <c r="F89" s="64">
        <v>4.09</v>
      </c>
      <c r="G89" s="64">
        <v>73.84</v>
      </c>
      <c r="H89" s="64">
        <v>24.57</v>
      </c>
      <c r="I89" s="64">
        <v>1.42</v>
      </c>
      <c r="J89" s="64">
        <v>0.99</v>
      </c>
      <c r="K89" s="64">
        <v>100.46</v>
      </c>
      <c r="L89" s="64">
        <v>22.53</v>
      </c>
      <c r="M89" s="64">
        <v>61.51</v>
      </c>
      <c r="N89" s="64">
        <v>23.4</v>
      </c>
      <c r="O89" s="64">
        <v>0</v>
      </c>
      <c r="P89" s="64">
        <v>0.79</v>
      </c>
      <c r="Q89" s="64">
        <v>6.96</v>
      </c>
      <c r="R89" s="198"/>
      <c r="S89" s="198"/>
      <c r="T89" s="198"/>
      <c r="U89" s="198"/>
    </row>
    <row r="90" spans="1:26" s="12" customFormat="1" x14ac:dyDescent="0.25">
      <c r="A90" s="213" t="s">
        <v>2632</v>
      </c>
      <c r="B90" s="64">
        <v>3.55</v>
      </c>
      <c r="C90" s="64">
        <v>33.53</v>
      </c>
      <c r="D90" s="64">
        <v>22</v>
      </c>
      <c r="E90" s="64">
        <v>5.0599999999999996</v>
      </c>
      <c r="F90" s="64">
        <v>3.13</v>
      </c>
      <c r="G90" s="64">
        <v>72.16</v>
      </c>
      <c r="H90" s="64">
        <v>26.8</v>
      </c>
      <c r="I90" s="64">
        <v>1.48</v>
      </c>
      <c r="J90" s="64">
        <v>1.02</v>
      </c>
      <c r="K90" s="64">
        <v>91.92</v>
      </c>
      <c r="L90" s="64">
        <v>22.39</v>
      </c>
      <c r="M90" s="64">
        <v>62.33</v>
      </c>
      <c r="N90" s="64">
        <v>23.5</v>
      </c>
      <c r="O90" s="64">
        <v>0</v>
      </c>
      <c r="P90" s="64">
        <v>0.79</v>
      </c>
      <c r="Q90" s="64">
        <v>7.03</v>
      </c>
      <c r="R90" s="198"/>
      <c r="S90" s="198"/>
      <c r="T90" s="198"/>
      <c r="U90" s="198"/>
    </row>
    <row r="91" spans="1:26" s="12" customFormat="1" x14ac:dyDescent="0.25">
      <c r="A91" s="213" t="s">
        <v>2633</v>
      </c>
      <c r="B91" s="64">
        <v>3.32</v>
      </c>
      <c r="C91" s="64">
        <v>33.24</v>
      </c>
      <c r="D91" s="64">
        <v>21.66</v>
      </c>
      <c r="E91" s="64">
        <v>4.84</v>
      </c>
      <c r="F91" s="64">
        <v>3.85</v>
      </c>
      <c r="G91" s="64">
        <v>71.819999999999993</v>
      </c>
      <c r="H91" s="64">
        <v>27.25</v>
      </c>
      <c r="I91" s="64">
        <v>1.48</v>
      </c>
      <c r="J91" s="64">
        <v>1.02</v>
      </c>
      <c r="K91" s="64">
        <v>100.66</v>
      </c>
      <c r="L91" s="64">
        <v>22.18</v>
      </c>
      <c r="M91" s="64">
        <v>63.67</v>
      </c>
      <c r="N91" s="64">
        <v>23.4</v>
      </c>
      <c r="O91" s="64">
        <v>0</v>
      </c>
      <c r="P91" s="64">
        <v>0.78</v>
      </c>
      <c r="Q91" s="64">
        <v>7.06</v>
      </c>
      <c r="R91" s="198"/>
      <c r="S91" s="198"/>
      <c r="T91" s="198"/>
      <c r="U91" s="198"/>
    </row>
    <row r="92" spans="1:26" s="12" customFormat="1" x14ac:dyDescent="0.25">
      <c r="A92" s="213" t="s">
        <v>2634</v>
      </c>
      <c r="B92" s="64">
        <v>3.07</v>
      </c>
      <c r="C92" s="64">
        <v>32.200000000000003</v>
      </c>
      <c r="D92" s="64">
        <v>20.88</v>
      </c>
      <c r="E92" s="64">
        <v>4.7699999999999996</v>
      </c>
      <c r="F92" s="64">
        <v>3.53</v>
      </c>
      <c r="G92" s="64">
        <v>71.819999999999993</v>
      </c>
      <c r="H92" s="64">
        <v>27.25</v>
      </c>
      <c r="I92" s="64">
        <v>1.47</v>
      </c>
      <c r="J92" s="64">
        <v>0.69</v>
      </c>
      <c r="K92" s="64">
        <v>90.28</v>
      </c>
      <c r="L92" s="64">
        <v>21.99</v>
      </c>
      <c r="M92" s="64">
        <v>65.03</v>
      </c>
      <c r="N92" s="64">
        <v>23.4</v>
      </c>
      <c r="O92" s="64">
        <v>0</v>
      </c>
      <c r="P92" s="64">
        <v>0.77</v>
      </c>
      <c r="Q92" s="64">
        <v>7.08</v>
      </c>
      <c r="R92" s="198"/>
      <c r="S92" s="198"/>
      <c r="T92" s="198"/>
      <c r="U92" s="198"/>
    </row>
    <row r="93" spans="1:26" s="12" customFormat="1" x14ac:dyDescent="0.25">
      <c r="A93" s="213" t="s">
        <v>2635</v>
      </c>
      <c r="B93" s="64">
        <v>2.95</v>
      </c>
      <c r="C93" s="64">
        <v>33.44</v>
      </c>
      <c r="D93" s="64">
        <v>21.47</v>
      </c>
      <c r="E93" s="64">
        <v>4.63</v>
      </c>
      <c r="F93" s="64">
        <v>3.2</v>
      </c>
      <c r="G93" s="64">
        <v>71.819999999999993</v>
      </c>
      <c r="H93" s="64">
        <v>27.25</v>
      </c>
      <c r="I93" s="64">
        <v>1.54</v>
      </c>
      <c r="J93" s="64">
        <v>1.27</v>
      </c>
      <c r="K93" s="64">
        <v>97.27</v>
      </c>
      <c r="L93" s="64">
        <v>21.85</v>
      </c>
      <c r="M93" s="64">
        <v>66.22</v>
      </c>
      <c r="N93" s="64">
        <v>23.4</v>
      </c>
      <c r="O93" s="64">
        <v>0</v>
      </c>
      <c r="P93" s="64">
        <v>0.76</v>
      </c>
      <c r="Q93" s="64">
        <v>7.11</v>
      </c>
      <c r="R93" s="198"/>
      <c r="S93" s="198"/>
      <c r="T93" s="198"/>
      <c r="U93" s="198"/>
    </row>
    <row r="94" spans="1:26" s="12" customFormat="1" x14ac:dyDescent="0.25">
      <c r="A94" s="213" t="s">
        <v>2636</v>
      </c>
      <c r="B94" s="64">
        <v>2.91</v>
      </c>
      <c r="C94" s="64">
        <v>32.56</v>
      </c>
      <c r="D94" s="64">
        <v>20.95</v>
      </c>
      <c r="E94" s="64">
        <v>4.4800000000000004</v>
      </c>
      <c r="F94" s="64">
        <v>3.79</v>
      </c>
      <c r="G94" s="64">
        <v>71.010000000000005</v>
      </c>
      <c r="H94" s="64">
        <v>24.5</v>
      </c>
      <c r="I94" s="64">
        <v>1.47</v>
      </c>
      <c r="J94" s="64">
        <v>0.99</v>
      </c>
      <c r="K94" s="64">
        <v>90.45</v>
      </c>
      <c r="L94" s="64">
        <v>21.72</v>
      </c>
      <c r="M94" s="64">
        <v>67.2</v>
      </c>
      <c r="N94" s="64">
        <v>23.6</v>
      </c>
      <c r="O94" s="64">
        <v>0</v>
      </c>
      <c r="P94" s="64">
        <v>0.75</v>
      </c>
      <c r="Q94" s="64">
        <v>7.24</v>
      </c>
      <c r="R94" s="198"/>
      <c r="S94" s="198"/>
      <c r="T94" s="198"/>
      <c r="U94" s="198"/>
    </row>
    <row r="95" spans="1:26" s="12" customFormat="1" x14ac:dyDescent="0.25">
      <c r="A95" s="213" t="s">
        <v>2637</v>
      </c>
      <c r="B95" s="64">
        <v>3.01</v>
      </c>
      <c r="C95" s="64">
        <v>32.53</v>
      </c>
      <c r="D95" s="64">
        <v>21.02</v>
      </c>
      <c r="E95" s="64">
        <v>4.76</v>
      </c>
      <c r="F95" s="64">
        <v>3.27</v>
      </c>
      <c r="G95" s="64">
        <v>70.849999999999994</v>
      </c>
      <c r="H95" s="64">
        <v>23.95</v>
      </c>
      <c r="I95" s="64">
        <v>1.57</v>
      </c>
      <c r="J95" s="64">
        <v>0.55000000000000004</v>
      </c>
      <c r="K95" s="64">
        <v>86.27</v>
      </c>
      <c r="L95" s="64">
        <v>21.57</v>
      </c>
      <c r="M95" s="64">
        <v>68.22</v>
      </c>
      <c r="N95" s="64">
        <v>23.7</v>
      </c>
      <c r="O95" s="64">
        <v>0</v>
      </c>
      <c r="P95" s="64">
        <v>0.74</v>
      </c>
      <c r="Q95" s="64">
        <v>7.33</v>
      </c>
      <c r="R95" s="198"/>
      <c r="S95" s="198"/>
      <c r="T95" s="198"/>
      <c r="U95" s="198"/>
    </row>
    <row r="96" spans="1:26" s="12" customFormat="1" x14ac:dyDescent="0.25">
      <c r="A96" s="213" t="s">
        <v>2638</v>
      </c>
      <c r="B96" s="64">
        <v>3.23</v>
      </c>
      <c r="C96" s="64">
        <v>31.93</v>
      </c>
      <c r="D96" s="64">
        <v>20.85</v>
      </c>
      <c r="E96" s="64">
        <v>4.53</v>
      </c>
      <c r="F96" s="64">
        <v>3.63</v>
      </c>
      <c r="G96" s="64">
        <v>70.849999999999994</v>
      </c>
      <c r="H96" s="64">
        <v>23.95</v>
      </c>
      <c r="I96" s="64">
        <v>1.45</v>
      </c>
      <c r="J96" s="64">
        <v>0.37</v>
      </c>
      <c r="K96" s="64">
        <v>72.03</v>
      </c>
      <c r="L96" s="64">
        <v>21.36</v>
      </c>
      <c r="M96" s="64">
        <v>69.33</v>
      </c>
      <c r="N96" s="64">
        <v>23.7</v>
      </c>
      <c r="O96" s="64">
        <v>0</v>
      </c>
      <c r="P96" s="64">
        <v>0.73</v>
      </c>
      <c r="Q96" s="64">
        <v>7.45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2639</v>
      </c>
      <c r="B97" s="64">
        <v>3.67</v>
      </c>
      <c r="C97" s="64">
        <v>32.61</v>
      </c>
      <c r="D97" s="64">
        <v>21.58</v>
      </c>
      <c r="E97" s="64">
        <v>4.4800000000000004</v>
      </c>
      <c r="F97" s="64">
        <v>3.09</v>
      </c>
      <c r="G97" s="64">
        <v>70.849999999999994</v>
      </c>
      <c r="H97" s="64">
        <v>23.95</v>
      </c>
      <c r="I97" s="64">
        <v>1.46</v>
      </c>
      <c r="J97" s="64">
        <v>0.98</v>
      </c>
      <c r="K97" s="64">
        <v>99.48</v>
      </c>
      <c r="L97" s="64">
        <v>21.31</v>
      </c>
      <c r="M97" s="64">
        <v>69.84</v>
      </c>
      <c r="N97" s="64">
        <v>23.5</v>
      </c>
      <c r="O97" s="64">
        <v>0</v>
      </c>
      <c r="P97" s="64">
        <v>0.73</v>
      </c>
      <c r="Q97" s="64">
        <v>7.57</v>
      </c>
      <c r="R97" s="198"/>
      <c r="S97" s="198"/>
      <c r="T97" s="198"/>
      <c r="U97" s="198"/>
    </row>
    <row r="98" spans="1:33" s="12" customFormat="1" x14ac:dyDescent="0.25">
      <c r="A98" s="213" t="s">
        <v>2640</v>
      </c>
      <c r="B98" s="64">
        <v>3.91</v>
      </c>
      <c r="C98" s="64">
        <v>32.24</v>
      </c>
      <c r="D98" s="64">
        <v>21.57</v>
      </c>
      <c r="E98" s="64">
        <v>4.3600000000000003</v>
      </c>
      <c r="F98" s="64">
        <v>3.65</v>
      </c>
      <c r="G98" s="64">
        <v>67.88</v>
      </c>
      <c r="H98" s="64">
        <v>26.36</v>
      </c>
      <c r="I98" s="64">
        <v>1.61</v>
      </c>
      <c r="J98" s="64">
        <v>1.04</v>
      </c>
      <c r="K98" s="64">
        <v>103.55</v>
      </c>
      <c r="L98" s="64">
        <v>21.21</v>
      </c>
      <c r="M98" s="64">
        <v>70.83</v>
      </c>
      <c r="N98" s="64">
        <v>23.7</v>
      </c>
      <c r="O98" s="64">
        <v>0</v>
      </c>
      <c r="P98" s="64">
        <v>0.72</v>
      </c>
      <c r="Q98" s="64">
        <v>7.64</v>
      </c>
      <c r="R98" s="198"/>
      <c r="S98" s="198"/>
      <c r="T98" s="198"/>
      <c r="U98" s="198"/>
    </row>
    <row r="99" spans="1:33" s="12" customFormat="1" x14ac:dyDescent="0.25">
      <c r="A99" s="213" t="s">
        <v>2641</v>
      </c>
      <c r="B99" s="64">
        <v>3.97</v>
      </c>
      <c r="C99" s="64">
        <v>32.01</v>
      </c>
      <c r="D99" s="64">
        <v>21.49</v>
      </c>
      <c r="E99" s="64">
        <v>4.43</v>
      </c>
      <c r="F99" s="64">
        <v>3.47</v>
      </c>
      <c r="G99" s="64">
        <v>67.290000000000006</v>
      </c>
      <c r="H99" s="64">
        <v>26.85</v>
      </c>
      <c r="I99" s="64">
        <v>1.48</v>
      </c>
      <c r="J99" s="64">
        <v>1.24</v>
      </c>
      <c r="K99" s="64">
        <v>102.08</v>
      </c>
      <c r="L99" s="64">
        <v>21.1</v>
      </c>
      <c r="M99" s="64">
        <v>71.61</v>
      </c>
      <c r="N99" s="64">
        <v>23.8</v>
      </c>
      <c r="O99" s="64">
        <v>0</v>
      </c>
      <c r="P99" s="64">
        <v>0.72</v>
      </c>
      <c r="Q99" s="64">
        <v>7.74</v>
      </c>
      <c r="R99" s="198"/>
      <c r="S99" s="198"/>
      <c r="T99" s="198"/>
      <c r="U99" s="198"/>
    </row>
    <row r="100" spans="1:33" s="12" customFormat="1" x14ac:dyDescent="0.25">
      <c r="A100" s="213" t="s">
        <v>2642</v>
      </c>
      <c r="B100" s="64">
        <v>4</v>
      </c>
      <c r="C100" s="64">
        <v>31.97</v>
      </c>
      <c r="D100" s="64">
        <v>21.5</v>
      </c>
      <c r="E100" s="64">
        <v>4.34</v>
      </c>
      <c r="F100" s="64">
        <v>3.03</v>
      </c>
      <c r="G100" s="64">
        <v>67.290000000000006</v>
      </c>
      <c r="H100" s="64">
        <v>26.85</v>
      </c>
      <c r="I100" s="64">
        <v>1.45</v>
      </c>
      <c r="J100" s="64">
        <v>1.76</v>
      </c>
      <c r="K100" s="64">
        <v>99.76</v>
      </c>
      <c r="L100" s="64">
        <v>21.09</v>
      </c>
      <c r="M100" s="64">
        <v>71.739999999999995</v>
      </c>
      <c r="N100" s="64">
        <v>23.8</v>
      </c>
      <c r="O100" s="64">
        <v>0</v>
      </c>
      <c r="P100" s="64">
        <v>0.7</v>
      </c>
      <c r="Q100" s="64">
        <v>7.82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2643</v>
      </c>
      <c r="B101" s="64">
        <v>3.89</v>
      </c>
      <c r="C101" s="64">
        <v>33.14</v>
      </c>
      <c r="D101" s="64">
        <v>22.06</v>
      </c>
      <c r="E101" s="64">
        <v>4.7300000000000004</v>
      </c>
      <c r="F101" s="64">
        <v>3.73</v>
      </c>
      <c r="G101" s="64">
        <v>67.290000000000006</v>
      </c>
      <c r="H101" s="64">
        <v>26.85</v>
      </c>
      <c r="I101" s="64">
        <v>1.59</v>
      </c>
      <c r="J101" s="64">
        <v>1.74</v>
      </c>
      <c r="K101" s="64">
        <v>105.47</v>
      </c>
      <c r="L101" s="64">
        <v>20.97</v>
      </c>
      <c r="M101" s="64">
        <v>72.62</v>
      </c>
      <c r="N101" s="64">
        <v>24.1</v>
      </c>
      <c r="O101" s="64">
        <v>0</v>
      </c>
      <c r="P101" s="64">
        <v>0.69</v>
      </c>
      <c r="Q101" s="64">
        <v>7.88</v>
      </c>
      <c r="R101" s="198"/>
      <c r="S101" s="198"/>
      <c r="T101" s="198"/>
      <c r="U101" s="198"/>
    </row>
    <row r="102" spans="1:33" s="12" customFormat="1" x14ac:dyDescent="0.25">
      <c r="A102" s="213" t="s">
        <v>2644</v>
      </c>
      <c r="B102" s="64">
        <v>3.54</v>
      </c>
      <c r="C102" s="64">
        <v>33.369999999999997</v>
      </c>
      <c r="D102" s="64">
        <v>21.89</v>
      </c>
      <c r="E102" s="64">
        <v>4.53</v>
      </c>
      <c r="F102" s="64">
        <v>3.83</v>
      </c>
      <c r="G102" s="64">
        <v>63.05</v>
      </c>
      <c r="H102" s="64">
        <v>25.96</v>
      </c>
      <c r="I102" s="64">
        <v>1.57</v>
      </c>
      <c r="J102" s="64">
        <v>1.64</v>
      </c>
      <c r="K102" s="64">
        <v>102.98</v>
      </c>
      <c r="L102" s="64">
        <v>20.93</v>
      </c>
      <c r="M102" s="64">
        <v>73.319999999999993</v>
      </c>
      <c r="N102" s="64">
        <v>24.5</v>
      </c>
      <c r="O102" s="64">
        <v>0</v>
      </c>
      <c r="P102" s="64">
        <v>0.66</v>
      </c>
      <c r="Q102" s="64">
        <v>7.96</v>
      </c>
      <c r="R102" s="198"/>
      <c r="S102" s="198"/>
      <c r="T102" s="198"/>
      <c r="U102" s="198"/>
    </row>
    <row r="103" spans="1:33" s="12" customFormat="1" x14ac:dyDescent="0.25">
      <c r="A103" s="213" t="s">
        <v>2645</v>
      </c>
      <c r="B103" s="64">
        <v>3.35</v>
      </c>
      <c r="C103" s="64">
        <v>34.049999999999997</v>
      </c>
      <c r="D103" s="64">
        <v>22.12</v>
      </c>
      <c r="E103" s="64">
        <v>4.47</v>
      </c>
      <c r="F103" s="64">
        <v>3.36</v>
      </c>
      <c r="G103" s="64">
        <v>62.2</v>
      </c>
      <c r="H103" s="64">
        <v>25.78</v>
      </c>
      <c r="I103" s="64">
        <v>1.47</v>
      </c>
      <c r="J103" s="64">
        <v>1.51</v>
      </c>
      <c r="K103" s="64">
        <v>105.44</v>
      </c>
      <c r="L103" s="64">
        <v>20.88</v>
      </c>
      <c r="M103" s="64">
        <v>74.180000000000007</v>
      </c>
      <c r="N103" s="64">
        <v>24.9</v>
      </c>
      <c r="O103" s="64">
        <v>0</v>
      </c>
      <c r="P103" s="64">
        <v>0.64</v>
      </c>
      <c r="Q103" s="64">
        <v>8.02</v>
      </c>
      <c r="R103" s="198"/>
      <c r="S103" s="198"/>
      <c r="T103" s="198"/>
      <c r="U103" s="198"/>
    </row>
    <row r="104" spans="1:33" s="12" customFormat="1" x14ac:dyDescent="0.25">
      <c r="A104" s="213" t="s">
        <v>2646</v>
      </c>
      <c r="B104" s="64">
        <v>3.14</v>
      </c>
      <c r="C104" s="64">
        <v>33.06</v>
      </c>
      <c r="D104" s="64">
        <v>21.41</v>
      </c>
      <c r="E104" s="64">
        <v>3.93</v>
      </c>
      <c r="F104" s="64">
        <v>3.93</v>
      </c>
      <c r="G104" s="64">
        <v>62.2</v>
      </c>
      <c r="H104" s="64">
        <v>25.78</v>
      </c>
      <c r="I104" s="64">
        <v>1.39</v>
      </c>
      <c r="J104" s="64">
        <v>1.0900000000000001</v>
      </c>
      <c r="K104" s="64">
        <v>92.56</v>
      </c>
      <c r="L104" s="64">
        <v>20.79</v>
      </c>
      <c r="M104" s="64">
        <v>74.83</v>
      </c>
      <c r="N104" s="64">
        <v>25.1</v>
      </c>
      <c r="O104" s="64">
        <v>0</v>
      </c>
      <c r="P104" s="64">
        <v>0.63</v>
      </c>
      <c r="Q104" s="64">
        <v>8.0399999999999991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1.32</v>
      </c>
      <c r="C106" s="67">
        <f>MIN(C9:C104)</f>
        <v>31.93</v>
      </c>
      <c r="D106" s="67">
        <f t="shared" ref="D106:Q106" si="0">MIN(D9:D104)</f>
        <v>20.85</v>
      </c>
      <c r="E106" s="67">
        <f t="shared" si="0"/>
        <v>0.1</v>
      </c>
      <c r="F106" s="67">
        <f t="shared" si="0"/>
        <v>3.03</v>
      </c>
      <c r="G106" s="67">
        <f t="shared" si="0"/>
        <v>49.19</v>
      </c>
      <c r="H106" s="67">
        <f t="shared" si="0"/>
        <v>17.04</v>
      </c>
      <c r="I106" s="67">
        <f t="shared" si="0"/>
        <v>1.39</v>
      </c>
      <c r="J106" s="67">
        <f t="shared" si="0"/>
        <v>0.18</v>
      </c>
      <c r="K106" s="67">
        <f t="shared" si="0"/>
        <v>1</v>
      </c>
      <c r="L106" s="67">
        <f t="shared" si="0"/>
        <v>16.38</v>
      </c>
      <c r="M106" s="67">
        <f t="shared" si="0"/>
        <v>39.229999999999997</v>
      </c>
      <c r="N106" s="67">
        <f t="shared" si="0"/>
        <v>14.7</v>
      </c>
      <c r="O106" s="67">
        <f t="shared" si="0"/>
        <v>0</v>
      </c>
      <c r="P106" s="67">
        <f t="shared" si="0"/>
        <v>0.42</v>
      </c>
      <c r="Q106" s="67">
        <f t="shared" si="0"/>
        <v>5.0999999999999996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14.17</v>
      </c>
      <c r="C107" s="66">
        <f t="shared" ref="C107:Q107" si="1">MAX(C9:C104)</f>
        <v>75.459999999999994</v>
      </c>
      <c r="D107" s="66">
        <f t="shared" si="1"/>
        <v>46.26</v>
      </c>
      <c r="E107" s="66">
        <f t="shared" si="1"/>
        <v>8.4499999999999993</v>
      </c>
      <c r="F107" s="66">
        <f t="shared" si="1"/>
        <v>19.8</v>
      </c>
      <c r="G107" s="66">
        <f t="shared" si="1"/>
        <v>89.05</v>
      </c>
      <c r="H107" s="66">
        <f t="shared" si="1"/>
        <v>40.590000000000003</v>
      </c>
      <c r="I107" s="66">
        <f t="shared" si="1"/>
        <v>1.61</v>
      </c>
      <c r="J107" s="66">
        <f t="shared" si="1"/>
        <v>1.76</v>
      </c>
      <c r="K107" s="66">
        <f t="shared" si="1"/>
        <v>357.99</v>
      </c>
      <c r="L107" s="66">
        <f t="shared" si="1"/>
        <v>28.42</v>
      </c>
      <c r="M107" s="66">
        <f t="shared" si="1"/>
        <v>74.83</v>
      </c>
      <c r="N107" s="66">
        <f t="shared" si="1"/>
        <v>685.1</v>
      </c>
      <c r="O107" s="66">
        <f t="shared" si="1"/>
        <v>0</v>
      </c>
      <c r="P107" s="66">
        <f t="shared" si="1"/>
        <v>1.05</v>
      </c>
      <c r="Q107" s="66">
        <f t="shared" si="1"/>
        <v>614.29999999999995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6.2588541666666657</v>
      </c>
      <c r="C108" s="67">
        <f t="shared" ref="C108:Q108" si="2">AVERAGE(C9:C104)</f>
        <v>51.910312499999996</v>
      </c>
      <c r="D108" s="67">
        <f t="shared" si="2"/>
        <v>34.313749999999999</v>
      </c>
      <c r="E108" s="67">
        <f t="shared" si="2"/>
        <v>2.1251685393258426</v>
      </c>
      <c r="F108" s="67">
        <f t="shared" si="2"/>
        <v>4.736041666666666</v>
      </c>
      <c r="G108" s="67">
        <f t="shared" si="2"/>
        <v>64.74041666666669</v>
      </c>
      <c r="H108" s="67">
        <f t="shared" si="2"/>
        <v>25.842916666666657</v>
      </c>
      <c r="I108" s="67">
        <f t="shared" si="2"/>
        <v>1.4956249999999998</v>
      </c>
      <c r="J108" s="67">
        <f t="shared" si="2"/>
        <v>0.81</v>
      </c>
      <c r="K108" s="67">
        <f t="shared" si="2"/>
        <v>204.22166666666649</v>
      </c>
      <c r="L108" s="67">
        <f t="shared" si="2"/>
        <v>22.016041666666656</v>
      </c>
      <c r="M108" s="67">
        <f t="shared" si="2"/>
        <v>56.982708333333299</v>
      </c>
      <c r="N108" s="67">
        <f t="shared" si="2"/>
        <v>165.08333333333334</v>
      </c>
      <c r="O108" s="67">
        <f t="shared" si="2"/>
        <v>0</v>
      </c>
      <c r="P108" s="67">
        <f t="shared" si="2"/>
        <v>0.65333333333333321</v>
      </c>
      <c r="Q108" s="67">
        <f t="shared" si="2"/>
        <v>13.653444444444439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3.3969918177834555</v>
      </c>
      <c r="C109" s="67">
        <f t="shared" ref="C109:Q109" si="3">STDEV(C9:C104)</f>
        <v>10.963672785793488</v>
      </c>
      <c r="D109" s="67">
        <f t="shared" si="3"/>
        <v>7.316999133236882</v>
      </c>
      <c r="E109" s="67">
        <f t="shared" si="3"/>
        <v>2.5311258330306972</v>
      </c>
      <c r="F109" s="67">
        <f t="shared" si="3"/>
        <v>3.3607910970849719</v>
      </c>
      <c r="G109" s="67">
        <f t="shared" si="3"/>
        <v>9.7849947332547416</v>
      </c>
      <c r="H109" s="67">
        <f t="shared" si="3"/>
        <v>5.459648517059037</v>
      </c>
      <c r="I109" s="67">
        <f t="shared" si="3"/>
        <v>4.3837318876908893E-2</v>
      </c>
      <c r="J109" s="67">
        <f t="shared" si="3"/>
        <v>0.36126094956998966</v>
      </c>
      <c r="K109" s="67">
        <f t="shared" si="3"/>
        <v>151.9828390705012</v>
      </c>
      <c r="L109" s="67">
        <f t="shared" si="3"/>
        <v>3.6182192419001482</v>
      </c>
      <c r="M109" s="67">
        <f t="shared" si="3"/>
        <v>10.645443154521296</v>
      </c>
      <c r="N109" s="67">
        <f t="shared" si="3"/>
        <v>200.4020163080973</v>
      </c>
      <c r="O109" s="67">
        <f t="shared" si="3"/>
        <v>0</v>
      </c>
      <c r="P109" s="67">
        <f t="shared" si="3"/>
        <v>0.13326401706992799</v>
      </c>
      <c r="Q109" s="67">
        <f t="shared" si="3"/>
        <v>64.684525321690231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COUNT(E9:E104)+7</f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2647</v>
      </c>
      <c r="B9" s="64">
        <v>2.99</v>
      </c>
      <c r="C9" s="64">
        <v>32.49</v>
      </c>
      <c r="D9" s="64">
        <v>20.97</v>
      </c>
      <c r="E9" s="64">
        <v>4.76</v>
      </c>
      <c r="F9" s="64">
        <v>3.14</v>
      </c>
      <c r="G9" s="64">
        <v>62.2</v>
      </c>
      <c r="H9" s="64">
        <v>25.78</v>
      </c>
      <c r="I9" s="64">
        <v>1.57</v>
      </c>
      <c r="J9" s="64">
        <v>1</v>
      </c>
      <c r="K9" s="64">
        <v>97.9</v>
      </c>
      <c r="L9" s="64">
        <v>20.61</v>
      </c>
      <c r="M9" s="64">
        <v>75.88</v>
      </c>
      <c r="N9" s="64">
        <v>25</v>
      </c>
      <c r="O9" s="64">
        <v>0</v>
      </c>
      <c r="P9" s="64">
        <v>0.62</v>
      </c>
      <c r="Q9" s="64">
        <v>8.1</v>
      </c>
      <c r="R9" s="198"/>
      <c r="S9" s="198"/>
      <c r="T9" s="198"/>
      <c r="U9" s="198"/>
    </row>
    <row r="10" spans="1:21" s="12" customFormat="1" x14ac:dyDescent="0.25">
      <c r="A10" s="213" t="s">
        <v>2648</v>
      </c>
      <c r="B10" s="64">
        <v>3</v>
      </c>
      <c r="C10" s="64">
        <v>32.06</v>
      </c>
      <c r="D10" s="64">
        <v>20.75</v>
      </c>
      <c r="E10" s="64">
        <v>5.08</v>
      </c>
      <c r="F10" s="64">
        <v>3.6</v>
      </c>
      <c r="G10" s="64">
        <v>60.69</v>
      </c>
      <c r="H10" s="64">
        <v>25.6</v>
      </c>
      <c r="I10" s="64">
        <v>1.49</v>
      </c>
      <c r="J10" s="64">
        <v>0.79</v>
      </c>
      <c r="K10" s="64">
        <v>97.48</v>
      </c>
      <c r="L10" s="64">
        <v>20.41</v>
      </c>
      <c r="M10" s="64">
        <v>77.16</v>
      </c>
      <c r="N10" s="64">
        <v>24.8</v>
      </c>
      <c r="O10" s="64">
        <v>0</v>
      </c>
      <c r="P10" s="64">
        <v>0.61</v>
      </c>
      <c r="Q10" s="64">
        <v>8.16</v>
      </c>
      <c r="R10" s="198"/>
      <c r="S10" s="198"/>
      <c r="T10" s="198"/>
      <c r="U10" s="198"/>
    </row>
    <row r="11" spans="1:21" s="12" customFormat="1" x14ac:dyDescent="0.25">
      <c r="A11" s="213" t="s">
        <v>2649</v>
      </c>
      <c r="B11" s="64">
        <v>3.01</v>
      </c>
      <c r="C11" s="64">
        <v>32.03</v>
      </c>
      <c r="D11" s="64">
        <v>20.74</v>
      </c>
      <c r="E11" s="64">
        <v>4.7699999999999996</v>
      </c>
      <c r="F11" s="64">
        <v>3.64</v>
      </c>
      <c r="G11" s="64">
        <v>60.39</v>
      </c>
      <c r="H11" s="64">
        <v>25.56</v>
      </c>
      <c r="I11" s="64">
        <v>1.45</v>
      </c>
      <c r="J11" s="64">
        <v>0.42</v>
      </c>
      <c r="K11" s="64">
        <v>75.260000000000005</v>
      </c>
      <c r="L11" s="64">
        <v>20.34</v>
      </c>
      <c r="M11" s="64">
        <v>77.83</v>
      </c>
      <c r="N11" s="64">
        <v>24.9</v>
      </c>
      <c r="O11" s="64">
        <v>0</v>
      </c>
      <c r="P11" s="64">
        <v>0.6</v>
      </c>
      <c r="Q11" s="64">
        <v>8.1999999999999993</v>
      </c>
      <c r="R11" s="198"/>
      <c r="S11" s="198"/>
      <c r="T11" s="198"/>
      <c r="U11" s="198"/>
    </row>
    <row r="12" spans="1:21" s="12" customFormat="1" x14ac:dyDescent="0.25">
      <c r="A12" s="213" t="s">
        <v>2650</v>
      </c>
      <c r="B12" s="64">
        <v>3.06</v>
      </c>
      <c r="C12" s="64">
        <v>32.020000000000003</v>
      </c>
      <c r="D12" s="64">
        <v>20.77</v>
      </c>
      <c r="E12" s="64">
        <v>4.8099999999999996</v>
      </c>
      <c r="F12" s="64">
        <v>3.21</v>
      </c>
      <c r="G12" s="64">
        <v>60.39</v>
      </c>
      <c r="H12" s="64">
        <v>25.56</v>
      </c>
      <c r="I12" s="64">
        <v>1.52</v>
      </c>
      <c r="J12" s="64">
        <v>0.87</v>
      </c>
      <c r="K12" s="64">
        <v>97.91</v>
      </c>
      <c r="L12" s="64">
        <v>20.3</v>
      </c>
      <c r="M12" s="64">
        <v>78.180000000000007</v>
      </c>
      <c r="N12" s="64">
        <v>25.2</v>
      </c>
      <c r="O12" s="64">
        <v>0</v>
      </c>
      <c r="P12" s="64">
        <v>0.59</v>
      </c>
      <c r="Q12" s="64">
        <v>8.25</v>
      </c>
      <c r="R12" s="198"/>
      <c r="S12" s="198"/>
      <c r="T12" s="198"/>
      <c r="U12" s="198"/>
    </row>
    <row r="13" spans="1:21" s="12" customFormat="1" x14ac:dyDescent="0.25">
      <c r="A13" s="213" t="s">
        <v>2651</v>
      </c>
      <c r="B13" s="64">
        <v>3.01</v>
      </c>
      <c r="C13" s="64">
        <v>30.58</v>
      </c>
      <c r="D13" s="64">
        <v>19.920000000000002</v>
      </c>
      <c r="E13" s="64">
        <v>4.6399999999999997</v>
      </c>
      <c r="F13" s="64">
        <v>3.47</v>
      </c>
      <c r="G13" s="64">
        <v>60.39</v>
      </c>
      <c r="H13" s="64">
        <v>25.56</v>
      </c>
      <c r="I13" s="64">
        <v>1.5</v>
      </c>
      <c r="J13" s="64">
        <v>0.75</v>
      </c>
      <c r="K13" s="64">
        <v>87.55</v>
      </c>
      <c r="L13" s="64">
        <v>20.23</v>
      </c>
      <c r="M13" s="64">
        <v>78.03</v>
      </c>
      <c r="N13" s="64">
        <v>25.3</v>
      </c>
      <c r="O13" s="64">
        <v>0</v>
      </c>
      <c r="P13" s="64">
        <v>0.54</v>
      </c>
      <c r="Q13" s="64">
        <v>8.27</v>
      </c>
      <c r="R13" s="198"/>
      <c r="S13" s="198"/>
      <c r="T13" s="198"/>
      <c r="U13" s="198"/>
    </row>
    <row r="14" spans="1:21" s="12" customFormat="1" x14ac:dyDescent="0.25">
      <c r="A14" s="213" t="s">
        <v>2652</v>
      </c>
      <c r="B14" s="64">
        <v>3.05</v>
      </c>
      <c r="C14" s="64">
        <v>30.69</v>
      </c>
      <c r="D14" s="64">
        <v>20.02</v>
      </c>
      <c r="E14" s="64">
        <v>4.57</v>
      </c>
      <c r="F14" s="64">
        <v>3.45</v>
      </c>
      <c r="G14" s="64">
        <v>57.88</v>
      </c>
      <c r="H14" s="64">
        <v>24.82</v>
      </c>
      <c r="I14" s="64">
        <v>1.51</v>
      </c>
      <c r="J14" s="64">
        <v>0.38</v>
      </c>
      <c r="K14" s="64">
        <v>65.45</v>
      </c>
      <c r="L14" s="64">
        <v>20.18</v>
      </c>
      <c r="M14" s="64">
        <v>78.7</v>
      </c>
      <c r="N14" s="64">
        <v>25.2</v>
      </c>
      <c r="O14" s="64">
        <v>0</v>
      </c>
      <c r="P14" s="64">
        <v>0.56999999999999995</v>
      </c>
      <c r="Q14" s="64">
        <v>8.31</v>
      </c>
      <c r="R14" s="198"/>
      <c r="S14" s="198"/>
      <c r="T14" s="198"/>
      <c r="U14" s="198"/>
    </row>
    <row r="15" spans="1:21" s="12" customFormat="1" x14ac:dyDescent="0.25">
      <c r="A15" s="213" t="s">
        <v>2653</v>
      </c>
      <c r="B15" s="64">
        <v>3.08</v>
      </c>
      <c r="C15" s="64">
        <v>31.1</v>
      </c>
      <c r="D15" s="64">
        <v>20.27</v>
      </c>
      <c r="E15" s="64">
        <v>4.43</v>
      </c>
      <c r="F15" s="64">
        <v>3.86</v>
      </c>
      <c r="G15" s="64">
        <v>57.38</v>
      </c>
      <c r="H15" s="64">
        <v>24.67</v>
      </c>
      <c r="I15" s="64">
        <v>1.43</v>
      </c>
      <c r="J15" s="64">
        <v>0.47</v>
      </c>
      <c r="K15" s="64">
        <v>74.849999999999994</v>
      </c>
      <c r="L15" s="64">
        <v>20.100000000000001</v>
      </c>
      <c r="M15" s="64">
        <v>78.86</v>
      </c>
      <c r="N15" s="64">
        <v>25.2</v>
      </c>
      <c r="O15" s="64">
        <v>0</v>
      </c>
      <c r="P15" s="64">
        <v>0.56000000000000005</v>
      </c>
      <c r="Q15" s="64">
        <v>8.33</v>
      </c>
      <c r="R15" s="198"/>
      <c r="S15" s="198"/>
      <c r="T15" s="198"/>
      <c r="U15" s="198"/>
    </row>
    <row r="16" spans="1:21" s="12" customFormat="1" x14ac:dyDescent="0.25">
      <c r="A16" s="213" t="s">
        <v>2654</v>
      </c>
      <c r="B16" s="64">
        <v>3.15</v>
      </c>
      <c r="C16" s="64">
        <v>31.53</v>
      </c>
      <c r="D16" s="64">
        <v>20.57</v>
      </c>
      <c r="E16" s="64">
        <v>4.3600000000000003</v>
      </c>
      <c r="F16" s="64">
        <v>3.31</v>
      </c>
      <c r="G16" s="64">
        <v>57.38</v>
      </c>
      <c r="H16" s="64">
        <v>24.67</v>
      </c>
      <c r="I16" s="64">
        <v>1.52</v>
      </c>
      <c r="J16" s="64">
        <v>0.36</v>
      </c>
      <c r="K16" s="64">
        <v>37.799999999999997</v>
      </c>
      <c r="L16" s="64">
        <v>20.07</v>
      </c>
      <c r="M16" s="64">
        <v>78.47</v>
      </c>
      <c r="N16" s="64">
        <v>25.4</v>
      </c>
      <c r="O16" s="64">
        <v>0</v>
      </c>
      <c r="P16" s="64">
        <v>0.55000000000000004</v>
      </c>
      <c r="Q16" s="64">
        <v>8.3699999999999992</v>
      </c>
      <c r="R16" s="198"/>
      <c r="S16" s="198"/>
      <c r="T16" s="198"/>
      <c r="U16" s="198"/>
    </row>
    <row r="17" spans="1:21" s="12" customFormat="1" x14ac:dyDescent="0.25">
      <c r="A17" s="213" t="s">
        <v>2655</v>
      </c>
      <c r="B17" s="64">
        <v>3.38</v>
      </c>
      <c r="C17" s="64">
        <v>29.89</v>
      </c>
      <c r="D17" s="64">
        <v>19.850000000000001</v>
      </c>
      <c r="E17" s="64">
        <v>4.8099999999999996</v>
      </c>
      <c r="F17" s="64">
        <v>3.53</v>
      </c>
      <c r="G17" s="64">
        <v>57.38</v>
      </c>
      <c r="H17" s="64">
        <v>24.67</v>
      </c>
      <c r="I17" s="64">
        <v>1.53</v>
      </c>
      <c r="J17" s="64">
        <v>0.42</v>
      </c>
      <c r="K17" s="64">
        <v>9.0399999999999991</v>
      </c>
      <c r="L17" s="64">
        <v>19.96</v>
      </c>
      <c r="M17" s="64">
        <v>78.83</v>
      </c>
      <c r="N17" s="64">
        <v>25.3</v>
      </c>
      <c r="O17" s="64">
        <v>0</v>
      </c>
      <c r="P17" s="64">
        <v>0.54</v>
      </c>
      <c r="Q17" s="64">
        <v>8.41</v>
      </c>
      <c r="R17" s="198"/>
      <c r="S17" s="198"/>
      <c r="T17" s="198"/>
      <c r="U17" s="198"/>
    </row>
    <row r="18" spans="1:21" s="12" customFormat="1" x14ac:dyDescent="0.25">
      <c r="A18" s="213" t="s">
        <v>2656</v>
      </c>
      <c r="B18" s="64">
        <v>3.61</v>
      </c>
      <c r="C18" s="64">
        <v>30.05</v>
      </c>
      <c r="D18" s="64">
        <v>20.13</v>
      </c>
      <c r="E18" s="64">
        <v>4.87</v>
      </c>
      <c r="F18" s="64">
        <v>3.53</v>
      </c>
      <c r="G18" s="64">
        <v>56.66</v>
      </c>
      <c r="H18" s="64">
        <v>25.29</v>
      </c>
      <c r="I18" s="64">
        <v>1.44</v>
      </c>
      <c r="J18" s="64">
        <v>0.47</v>
      </c>
      <c r="K18" s="64">
        <v>354.86</v>
      </c>
      <c r="L18" s="64">
        <v>20.010000000000002</v>
      </c>
      <c r="M18" s="64">
        <v>78.459999999999994</v>
      </c>
      <c r="N18" s="64">
        <v>25.4</v>
      </c>
      <c r="O18" s="64">
        <v>0</v>
      </c>
      <c r="P18" s="64">
        <v>0.53</v>
      </c>
      <c r="Q18" s="64">
        <v>8.42</v>
      </c>
      <c r="R18" s="198"/>
      <c r="S18" s="198"/>
      <c r="T18" s="198"/>
      <c r="U18" s="198"/>
    </row>
    <row r="19" spans="1:21" s="12" customFormat="1" x14ac:dyDescent="0.25">
      <c r="A19" s="213" t="s">
        <v>2657</v>
      </c>
      <c r="B19" s="64">
        <v>3.76</v>
      </c>
      <c r="C19" s="64">
        <v>29.71</v>
      </c>
      <c r="D19" s="64">
        <v>20.04</v>
      </c>
      <c r="E19" s="64">
        <v>4.53</v>
      </c>
      <c r="F19" s="64">
        <v>3.73</v>
      </c>
      <c r="G19" s="64">
        <v>56.51</v>
      </c>
      <c r="H19" s="64">
        <v>25.41</v>
      </c>
      <c r="I19" s="64">
        <v>1.5</v>
      </c>
      <c r="J19" s="64">
        <v>0.39</v>
      </c>
      <c r="K19" s="64">
        <v>40.46</v>
      </c>
      <c r="L19" s="64">
        <v>19.920000000000002</v>
      </c>
      <c r="M19" s="64">
        <v>79.05</v>
      </c>
      <c r="N19" s="64">
        <v>25.6</v>
      </c>
      <c r="O19" s="64">
        <v>0</v>
      </c>
      <c r="P19" s="64">
        <v>0.52</v>
      </c>
      <c r="Q19" s="64">
        <v>8.44</v>
      </c>
      <c r="R19" s="198"/>
      <c r="S19" s="198"/>
      <c r="T19" s="198"/>
      <c r="U19" s="198"/>
    </row>
    <row r="20" spans="1:21" s="12" customFormat="1" x14ac:dyDescent="0.25">
      <c r="A20" s="213" t="s">
        <v>2658</v>
      </c>
      <c r="B20" s="64">
        <v>4.0599999999999996</v>
      </c>
      <c r="C20" s="64">
        <v>30.94</v>
      </c>
      <c r="D20" s="64">
        <v>20.98</v>
      </c>
      <c r="E20" s="64">
        <v>4.7699999999999996</v>
      </c>
      <c r="F20" s="64">
        <v>3.07</v>
      </c>
      <c r="G20" s="64">
        <v>56.51</v>
      </c>
      <c r="H20" s="64">
        <v>25.41</v>
      </c>
      <c r="I20" s="64">
        <v>1.51</v>
      </c>
      <c r="J20" s="64">
        <v>0.34</v>
      </c>
      <c r="K20" s="64">
        <v>55.38</v>
      </c>
      <c r="L20" s="64">
        <v>19.739999999999998</v>
      </c>
      <c r="M20" s="64">
        <v>79.900000000000006</v>
      </c>
      <c r="N20" s="64">
        <v>25.7</v>
      </c>
      <c r="O20" s="64">
        <v>0</v>
      </c>
      <c r="P20" s="64">
        <v>0.52</v>
      </c>
      <c r="Q20" s="64">
        <v>8.44</v>
      </c>
      <c r="R20" s="198"/>
      <c r="S20" s="198"/>
      <c r="T20" s="198"/>
      <c r="U20" s="198"/>
    </row>
    <row r="21" spans="1:21" s="12" customFormat="1" x14ac:dyDescent="0.25">
      <c r="A21" s="213" t="s">
        <v>2659</v>
      </c>
      <c r="B21" s="64">
        <v>4.3</v>
      </c>
      <c r="C21" s="64">
        <v>31.05</v>
      </c>
      <c r="D21" s="64">
        <v>21.23</v>
      </c>
      <c r="E21" s="64">
        <v>4.59</v>
      </c>
      <c r="F21" s="64">
        <v>3.2</v>
      </c>
      <c r="G21" s="64">
        <v>56.51</v>
      </c>
      <c r="H21" s="64">
        <v>25.41</v>
      </c>
      <c r="I21" s="64">
        <v>1.45</v>
      </c>
      <c r="J21" s="64">
        <v>0.39</v>
      </c>
      <c r="K21" s="64">
        <v>8.7799999999999994</v>
      </c>
      <c r="L21" s="64">
        <v>19.510000000000002</v>
      </c>
      <c r="M21" s="64">
        <v>80.95</v>
      </c>
      <c r="N21" s="64">
        <v>25.6</v>
      </c>
      <c r="O21" s="64">
        <v>0</v>
      </c>
      <c r="P21" s="64">
        <v>0.51</v>
      </c>
      <c r="Q21" s="64">
        <v>8.4499999999999993</v>
      </c>
      <c r="R21" s="198"/>
      <c r="S21" s="198"/>
      <c r="T21" s="198"/>
      <c r="U21" s="198"/>
    </row>
    <row r="22" spans="1:21" s="12" customFormat="1" x14ac:dyDescent="0.25">
      <c r="A22" s="213" t="s">
        <v>2660</v>
      </c>
      <c r="B22" s="64">
        <v>4.51</v>
      </c>
      <c r="C22" s="64">
        <v>31.5</v>
      </c>
      <c r="D22" s="64">
        <v>21.65</v>
      </c>
      <c r="E22" s="64">
        <v>4.7</v>
      </c>
      <c r="F22" s="64">
        <v>3.88</v>
      </c>
      <c r="G22" s="64">
        <v>56.28</v>
      </c>
      <c r="H22" s="64">
        <v>24.12</v>
      </c>
      <c r="I22" s="64">
        <v>1.58</v>
      </c>
      <c r="J22" s="64">
        <v>0.78</v>
      </c>
      <c r="K22" s="64">
        <v>357.82</v>
      </c>
      <c r="L22" s="64">
        <v>19.350000000000001</v>
      </c>
      <c r="M22" s="64">
        <v>81.23</v>
      </c>
      <c r="N22" s="64">
        <v>25.4</v>
      </c>
      <c r="O22" s="64">
        <v>0</v>
      </c>
      <c r="P22" s="64">
        <v>0.5</v>
      </c>
      <c r="Q22" s="64">
        <v>8.49</v>
      </c>
      <c r="R22" s="198"/>
      <c r="S22" s="198"/>
      <c r="T22" s="198"/>
      <c r="U22" s="198"/>
    </row>
    <row r="23" spans="1:21" s="12" customFormat="1" x14ac:dyDescent="0.25">
      <c r="A23" s="213" t="s">
        <v>2661</v>
      </c>
      <c r="B23" s="64">
        <v>4.7300000000000004</v>
      </c>
      <c r="C23" s="64">
        <v>34.14</v>
      </c>
      <c r="D23" s="64">
        <v>23.28</v>
      </c>
      <c r="E23" s="64">
        <v>4.6900000000000004</v>
      </c>
      <c r="F23" s="64">
        <v>2.95</v>
      </c>
      <c r="G23" s="64">
        <v>56.23</v>
      </c>
      <c r="H23" s="64">
        <v>23.87</v>
      </c>
      <c r="I23" s="64">
        <v>1.52</v>
      </c>
      <c r="J23" s="64">
        <v>0.32</v>
      </c>
      <c r="K23" s="64">
        <v>7.19</v>
      </c>
      <c r="L23" s="64">
        <v>19.16</v>
      </c>
      <c r="M23" s="64">
        <v>81.94</v>
      </c>
      <c r="N23" s="64">
        <v>25.6</v>
      </c>
      <c r="O23" s="64">
        <v>0</v>
      </c>
      <c r="P23" s="64">
        <v>0.5</v>
      </c>
      <c r="Q23" s="64">
        <v>8.52</v>
      </c>
      <c r="R23" s="198"/>
      <c r="S23" s="198"/>
      <c r="T23" s="198"/>
      <c r="U23" s="198"/>
    </row>
    <row r="24" spans="1:21" s="12" customFormat="1" x14ac:dyDescent="0.25">
      <c r="A24" s="213" t="s">
        <v>2662</v>
      </c>
      <c r="B24" s="64">
        <v>4.82</v>
      </c>
      <c r="C24" s="64">
        <v>35</v>
      </c>
      <c r="D24" s="64">
        <v>23.83</v>
      </c>
      <c r="E24" s="64">
        <v>4.1500000000000004</v>
      </c>
      <c r="F24" s="64">
        <v>3.67</v>
      </c>
      <c r="G24" s="64">
        <v>56.23</v>
      </c>
      <c r="H24" s="64">
        <v>23.87</v>
      </c>
      <c r="I24" s="64">
        <v>1.51</v>
      </c>
      <c r="J24" s="64">
        <v>0.61</v>
      </c>
      <c r="K24" s="64">
        <v>79.56</v>
      </c>
      <c r="L24" s="64">
        <v>18.940000000000001</v>
      </c>
      <c r="M24" s="64">
        <v>83.44</v>
      </c>
      <c r="N24" s="64">
        <v>25.7</v>
      </c>
      <c r="O24" s="64">
        <v>0</v>
      </c>
      <c r="P24" s="64">
        <v>0.5</v>
      </c>
      <c r="Q24" s="64">
        <v>8.5399999999999991</v>
      </c>
      <c r="R24" s="198"/>
      <c r="S24" s="198"/>
      <c r="T24" s="198"/>
      <c r="U24" s="198"/>
    </row>
    <row r="25" spans="1:21" s="12" customFormat="1" x14ac:dyDescent="0.25">
      <c r="A25" s="213" t="s">
        <v>2663</v>
      </c>
      <c r="B25" s="64">
        <v>4.78</v>
      </c>
      <c r="C25" s="64">
        <v>34.950000000000003</v>
      </c>
      <c r="D25" s="64">
        <v>23.77</v>
      </c>
      <c r="E25" s="64">
        <v>3.83</v>
      </c>
      <c r="F25" s="64">
        <v>3.17</v>
      </c>
      <c r="G25" s="64">
        <v>56.23</v>
      </c>
      <c r="H25" s="64">
        <v>23.87</v>
      </c>
      <c r="I25" s="64">
        <v>1.49</v>
      </c>
      <c r="J25" s="64">
        <v>0.39</v>
      </c>
      <c r="K25" s="64">
        <v>46.4</v>
      </c>
      <c r="L25" s="64">
        <v>18.64</v>
      </c>
      <c r="M25" s="64">
        <v>85.75</v>
      </c>
      <c r="N25" s="64">
        <v>26</v>
      </c>
      <c r="O25" s="64">
        <v>0</v>
      </c>
      <c r="P25" s="64">
        <v>0.49</v>
      </c>
      <c r="Q25" s="64">
        <v>8.59</v>
      </c>
      <c r="R25" s="198"/>
      <c r="S25" s="198"/>
      <c r="T25" s="198"/>
      <c r="U25" s="198"/>
    </row>
    <row r="26" spans="1:21" s="12" customFormat="1" x14ac:dyDescent="0.25">
      <c r="A26" s="213" t="s">
        <v>2664</v>
      </c>
      <c r="B26" s="64">
        <v>4.8499999999999996</v>
      </c>
      <c r="C26" s="64">
        <v>35.090000000000003</v>
      </c>
      <c r="D26" s="64">
        <v>23.9</v>
      </c>
      <c r="E26" s="64">
        <v>3.73</v>
      </c>
      <c r="F26" s="64">
        <v>3.44</v>
      </c>
      <c r="G26" s="64">
        <v>55.14</v>
      </c>
      <c r="H26" s="64">
        <v>25.51</v>
      </c>
      <c r="I26" s="64">
        <v>1.55</v>
      </c>
      <c r="J26" s="64">
        <v>0.31</v>
      </c>
      <c r="K26" s="64">
        <v>39.049999999999997</v>
      </c>
      <c r="L26" s="64">
        <v>18.36</v>
      </c>
      <c r="M26" s="64">
        <v>87.9</v>
      </c>
      <c r="N26" s="64">
        <v>25.8</v>
      </c>
      <c r="O26" s="64">
        <v>0</v>
      </c>
      <c r="P26" s="64">
        <v>0.49</v>
      </c>
      <c r="Q26" s="64">
        <v>8.67</v>
      </c>
      <c r="R26" s="198"/>
      <c r="S26" s="198"/>
      <c r="T26" s="198"/>
      <c r="U26" s="198"/>
    </row>
    <row r="27" spans="1:21" s="12" customFormat="1" x14ac:dyDescent="0.25">
      <c r="A27" s="213" t="s">
        <v>2665</v>
      </c>
      <c r="B27" s="64">
        <v>4.95</v>
      </c>
      <c r="C27" s="64">
        <v>35.31</v>
      </c>
      <c r="D27" s="64">
        <v>24.11</v>
      </c>
      <c r="E27" s="64">
        <v>3.85</v>
      </c>
      <c r="F27" s="64">
        <v>3.21</v>
      </c>
      <c r="G27" s="64">
        <v>54.92</v>
      </c>
      <c r="H27" s="64">
        <v>25.83</v>
      </c>
      <c r="I27" s="64">
        <v>1.51</v>
      </c>
      <c r="J27" s="64">
        <v>0.3</v>
      </c>
      <c r="K27" s="64">
        <v>55.73</v>
      </c>
      <c r="L27" s="64">
        <v>18.18</v>
      </c>
      <c r="M27" s="64">
        <v>89.29</v>
      </c>
      <c r="N27" s="64">
        <v>25.6</v>
      </c>
      <c r="O27" s="64">
        <v>0</v>
      </c>
      <c r="P27" s="64">
        <v>0.5</v>
      </c>
      <c r="Q27" s="64">
        <v>8.7100000000000009</v>
      </c>
      <c r="R27" s="198"/>
      <c r="S27" s="198"/>
      <c r="T27" s="198"/>
      <c r="U27" s="198"/>
    </row>
    <row r="28" spans="1:21" s="12" customFormat="1" x14ac:dyDescent="0.25">
      <c r="A28" s="213" t="s">
        <v>2666</v>
      </c>
      <c r="B28" s="64">
        <v>5.05</v>
      </c>
      <c r="C28" s="64">
        <v>34.869999999999997</v>
      </c>
      <c r="D28" s="64">
        <v>23.94</v>
      </c>
      <c r="E28" s="64">
        <v>3.62</v>
      </c>
      <c r="F28" s="64">
        <v>3.64</v>
      </c>
      <c r="G28" s="64">
        <v>54.92</v>
      </c>
      <c r="H28" s="64">
        <v>25.83</v>
      </c>
      <c r="I28" s="64">
        <v>1.55</v>
      </c>
      <c r="J28" s="64">
        <v>0.23</v>
      </c>
      <c r="K28" s="64">
        <v>4.79</v>
      </c>
      <c r="L28" s="64">
        <v>18.059999999999999</v>
      </c>
      <c r="M28" s="64">
        <v>90.21</v>
      </c>
      <c r="N28" s="64">
        <v>25.5</v>
      </c>
      <c r="O28" s="64">
        <v>0</v>
      </c>
      <c r="P28" s="64">
        <v>0.5</v>
      </c>
      <c r="Q28" s="64">
        <v>8.6999999999999993</v>
      </c>
      <c r="R28" s="198"/>
      <c r="S28" s="198"/>
      <c r="T28" s="198"/>
      <c r="U28" s="198"/>
    </row>
    <row r="29" spans="1:21" s="12" customFormat="1" x14ac:dyDescent="0.25">
      <c r="A29" s="213" t="s">
        <v>2667</v>
      </c>
      <c r="B29" s="64">
        <v>5.18</v>
      </c>
      <c r="C29" s="64">
        <v>34.54</v>
      </c>
      <c r="D29" s="64">
        <v>23.86</v>
      </c>
      <c r="E29" s="64">
        <v>3.68</v>
      </c>
      <c r="F29" s="64">
        <v>3.41</v>
      </c>
      <c r="G29" s="64">
        <v>54.92</v>
      </c>
      <c r="H29" s="64">
        <v>25.83</v>
      </c>
      <c r="I29" s="64">
        <v>1.52</v>
      </c>
      <c r="J29" s="64">
        <v>0.38</v>
      </c>
      <c r="K29" s="64">
        <v>67.540000000000006</v>
      </c>
      <c r="L29" s="64">
        <v>17.96</v>
      </c>
      <c r="M29" s="64">
        <v>91</v>
      </c>
      <c r="N29" s="64">
        <v>25.6</v>
      </c>
      <c r="O29" s="64">
        <v>0</v>
      </c>
      <c r="P29" s="64">
        <v>0.5</v>
      </c>
      <c r="Q29" s="64">
        <v>8.7200000000000006</v>
      </c>
      <c r="R29" s="198"/>
      <c r="S29" s="198"/>
      <c r="T29" s="198"/>
      <c r="U29" s="198"/>
    </row>
    <row r="30" spans="1:21" s="12" customFormat="1" x14ac:dyDescent="0.25">
      <c r="A30" s="213" t="s">
        <v>2668</v>
      </c>
      <c r="B30" s="64">
        <v>5.44</v>
      </c>
      <c r="C30" s="64">
        <v>34.56</v>
      </c>
      <c r="D30" s="64">
        <v>24.08</v>
      </c>
      <c r="E30" s="64">
        <v>3.91</v>
      </c>
      <c r="F30" s="64">
        <v>3.45</v>
      </c>
      <c r="G30" s="64">
        <v>61.74</v>
      </c>
      <c r="H30" s="64">
        <v>25.71</v>
      </c>
      <c r="I30" s="64">
        <v>1.45</v>
      </c>
      <c r="J30" s="64">
        <v>0.28000000000000003</v>
      </c>
      <c r="K30" s="64">
        <v>27.51</v>
      </c>
      <c r="L30" s="64">
        <v>17.79</v>
      </c>
      <c r="M30" s="64">
        <v>92.38</v>
      </c>
      <c r="N30" s="64">
        <v>25.6</v>
      </c>
      <c r="O30" s="64">
        <v>0</v>
      </c>
      <c r="P30" s="64">
        <v>0.5</v>
      </c>
      <c r="Q30" s="64">
        <v>8.77</v>
      </c>
      <c r="R30" s="198"/>
      <c r="S30" s="198"/>
      <c r="T30" s="198"/>
      <c r="U30" s="198"/>
    </row>
    <row r="31" spans="1:21" s="12" customFormat="1" x14ac:dyDescent="0.25">
      <c r="A31" s="213" t="s">
        <v>2669</v>
      </c>
      <c r="B31" s="64">
        <v>5.69</v>
      </c>
      <c r="C31" s="64">
        <v>34.630000000000003</v>
      </c>
      <c r="D31" s="64">
        <v>24.32</v>
      </c>
      <c r="E31" s="64">
        <v>4.07</v>
      </c>
      <c r="F31" s="64">
        <v>3.04</v>
      </c>
      <c r="G31" s="64">
        <v>63.21</v>
      </c>
      <c r="H31" s="64">
        <v>25.68</v>
      </c>
      <c r="I31" s="64">
        <v>1.43</v>
      </c>
      <c r="J31" s="64">
        <v>0.28000000000000003</v>
      </c>
      <c r="K31" s="64">
        <v>9.76</v>
      </c>
      <c r="L31" s="64">
        <v>17.760000000000002</v>
      </c>
      <c r="M31" s="64">
        <v>92.92</v>
      </c>
      <c r="N31" s="64">
        <v>25.6</v>
      </c>
      <c r="O31" s="64">
        <v>0</v>
      </c>
      <c r="P31" s="64">
        <v>0.5</v>
      </c>
      <c r="Q31" s="64">
        <v>8.77</v>
      </c>
      <c r="R31" s="198"/>
      <c r="S31" s="198"/>
      <c r="T31" s="198"/>
      <c r="U31" s="198"/>
    </row>
    <row r="32" spans="1:21" s="12" customFormat="1" x14ac:dyDescent="0.25">
      <c r="A32" s="213" t="s">
        <v>2670</v>
      </c>
      <c r="B32" s="64">
        <v>6.01</v>
      </c>
      <c r="C32" s="64">
        <v>33.6</v>
      </c>
      <c r="D32" s="64">
        <v>24</v>
      </c>
      <c r="E32" s="64">
        <v>3.61</v>
      </c>
      <c r="F32" s="64">
        <v>3.67</v>
      </c>
      <c r="G32" s="64">
        <v>63.21</v>
      </c>
      <c r="H32" s="64">
        <v>25.68</v>
      </c>
      <c r="I32" s="64">
        <v>1.49</v>
      </c>
      <c r="J32" s="64">
        <v>0.33</v>
      </c>
      <c r="K32" s="64">
        <v>4.8</v>
      </c>
      <c r="L32" s="64">
        <v>17.760000000000002</v>
      </c>
      <c r="M32" s="64">
        <v>93.25</v>
      </c>
      <c r="N32" s="64">
        <v>25.6</v>
      </c>
      <c r="O32" s="64">
        <v>0</v>
      </c>
      <c r="P32" s="64">
        <v>0.51</v>
      </c>
      <c r="Q32" s="64">
        <v>8.77</v>
      </c>
      <c r="R32" s="198"/>
      <c r="S32" s="198"/>
      <c r="T32" s="198"/>
      <c r="U32" s="198"/>
    </row>
    <row r="33" spans="1:21" s="12" customFormat="1" x14ac:dyDescent="0.25">
      <c r="A33" s="213" t="s">
        <v>2671</v>
      </c>
      <c r="B33" s="64">
        <v>6.55</v>
      </c>
      <c r="C33" s="64">
        <v>34.130000000000003</v>
      </c>
      <c r="D33" s="64">
        <v>24.74</v>
      </c>
      <c r="E33" s="64">
        <v>3.84</v>
      </c>
      <c r="F33" s="64">
        <v>4.17</v>
      </c>
      <c r="G33" s="64">
        <v>63.21</v>
      </c>
      <c r="H33" s="64">
        <v>25.68</v>
      </c>
      <c r="I33" s="64">
        <v>1.49</v>
      </c>
      <c r="J33" s="64">
        <v>0.27</v>
      </c>
      <c r="K33" s="64">
        <v>15.43</v>
      </c>
      <c r="L33" s="64">
        <v>17.68</v>
      </c>
      <c r="M33" s="64">
        <v>93.91</v>
      </c>
      <c r="N33" s="64">
        <v>26.4</v>
      </c>
      <c r="O33" s="64">
        <v>0</v>
      </c>
      <c r="P33" s="64">
        <v>0.51</v>
      </c>
      <c r="Q33" s="64">
        <v>8.7899999999999991</v>
      </c>
      <c r="R33" s="198"/>
      <c r="S33" s="198"/>
      <c r="T33" s="198"/>
      <c r="U33" s="198"/>
    </row>
    <row r="34" spans="1:21" s="12" customFormat="1" x14ac:dyDescent="0.25">
      <c r="A34" s="213" t="s">
        <v>2672</v>
      </c>
      <c r="B34" s="64">
        <v>7.09</v>
      </c>
      <c r="C34" s="64">
        <v>36.06</v>
      </c>
      <c r="D34" s="64">
        <v>26.24</v>
      </c>
      <c r="E34" s="64">
        <v>3.78</v>
      </c>
      <c r="F34" s="64">
        <v>3.48</v>
      </c>
      <c r="G34" s="64">
        <v>77.819999999999993</v>
      </c>
      <c r="H34" s="64">
        <v>24.97</v>
      </c>
      <c r="I34" s="64">
        <v>1.45</v>
      </c>
      <c r="J34" s="64">
        <v>0.25</v>
      </c>
      <c r="K34" s="64">
        <v>27.95</v>
      </c>
      <c r="L34" s="64">
        <v>17.649999999999999</v>
      </c>
      <c r="M34" s="64">
        <v>94.12</v>
      </c>
      <c r="N34" s="64">
        <v>31.1</v>
      </c>
      <c r="O34" s="64">
        <v>0</v>
      </c>
      <c r="P34" s="64">
        <v>0.51</v>
      </c>
      <c r="Q34" s="64">
        <v>8.8699999999999992</v>
      </c>
      <c r="R34" s="198"/>
      <c r="S34" s="198"/>
      <c r="T34" s="198"/>
      <c r="U34" s="198"/>
    </row>
    <row r="35" spans="1:21" s="12" customFormat="1" x14ac:dyDescent="0.25">
      <c r="A35" s="213" t="s">
        <v>2673</v>
      </c>
      <c r="B35" s="64">
        <v>7.65</v>
      </c>
      <c r="C35" s="64">
        <v>35.549999999999997</v>
      </c>
      <c r="D35" s="64">
        <v>26.4</v>
      </c>
      <c r="E35" s="64">
        <v>3.78</v>
      </c>
      <c r="F35" s="64">
        <v>3.11</v>
      </c>
      <c r="G35" s="64">
        <v>80.739999999999995</v>
      </c>
      <c r="H35" s="64">
        <v>24.83</v>
      </c>
      <c r="I35" s="64">
        <v>1.48</v>
      </c>
      <c r="J35" s="64">
        <v>0.36</v>
      </c>
      <c r="K35" s="64">
        <v>77.78</v>
      </c>
      <c r="L35" s="64">
        <v>17.61</v>
      </c>
      <c r="M35" s="64">
        <v>94.61</v>
      </c>
      <c r="N35" s="64">
        <v>44.8</v>
      </c>
      <c r="O35" s="64">
        <v>0</v>
      </c>
      <c r="P35" s="64">
        <v>0.52</v>
      </c>
      <c r="Q35" s="64">
        <v>8.93</v>
      </c>
      <c r="R35" s="198"/>
      <c r="S35" s="198"/>
      <c r="T35" s="198"/>
      <c r="U35" s="198"/>
    </row>
    <row r="36" spans="1:21" s="12" customFormat="1" x14ac:dyDescent="0.25">
      <c r="A36" s="213" t="s">
        <v>2674</v>
      </c>
      <c r="B36" s="64">
        <v>8.42</v>
      </c>
      <c r="C36" s="64">
        <v>35.22</v>
      </c>
      <c r="D36" s="64">
        <v>26.84</v>
      </c>
      <c r="E36" s="64">
        <v>3.55</v>
      </c>
      <c r="F36" s="64">
        <v>3.53</v>
      </c>
      <c r="G36" s="64">
        <v>80.739999999999995</v>
      </c>
      <c r="H36" s="64">
        <v>24.83</v>
      </c>
      <c r="I36" s="64">
        <v>1.52</v>
      </c>
      <c r="J36" s="64">
        <v>0.56999999999999995</v>
      </c>
      <c r="K36" s="64">
        <v>353.15</v>
      </c>
      <c r="L36" s="64">
        <v>17.86</v>
      </c>
      <c r="M36" s="64">
        <v>93.64</v>
      </c>
      <c r="N36" s="64">
        <v>66.2</v>
      </c>
      <c r="O36" s="64">
        <v>0</v>
      </c>
      <c r="P36" s="64">
        <v>0.52</v>
      </c>
      <c r="Q36" s="64">
        <v>8.92</v>
      </c>
      <c r="R36" s="198"/>
      <c r="S36" s="198"/>
      <c r="T36" s="198"/>
      <c r="U36" s="198"/>
    </row>
    <row r="37" spans="1:21" s="12" customFormat="1" x14ac:dyDescent="0.25">
      <c r="A37" s="213" t="s">
        <v>2675</v>
      </c>
      <c r="B37" s="64">
        <v>9.35</v>
      </c>
      <c r="C37" s="64">
        <v>35.28</v>
      </c>
      <c r="D37" s="64">
        <v>27.61</v>
      </c>
      <c r="E37" s="64">
        <v>3.63</v>
      </c>
      <c r="F37" s="64">
        <v>3.18</v>
      </c>
      <c r="G37" s="64">
        <v>80.739999999999995</v>
      </c>
      <c r="H37" s="64">
        <v>24.83</v>
      </c>
      <c r="I37" s="64">
        <v>1.39</v>
      </c>
      <c r="J37" s="64">
        <v>0.69</v>
      </c>
      <c r="K37" s="64">
        <v>351.14</v>
      </c>
      <c r="L37" s="64">
        <v>18.420000000000002</v>
      </c>
      <c r="M37" s="64">
        <v>91</v>
      </c>
      <c r="N37" s="64">
        <v>91.6</v>
      </c>
      <c r="O37" s="64">
        <v>0</v>
      </c>
      <c r="P37" s="64">
        <v>0.52</v>
      </c>
      <c r="Q37" s="64">
        <v>8.9499999999999993</v>
      </c>
      <c r="R37" s="198"/>
      <c r="S37" s="198"/>
      <c r="T37" s="198"/>
      <c r="U37" s="198"/>
    </row>
    <row r="38" spans="1:21" s="12" customFormat="1" x14ac:dyDescent="0.25">
      <c r="A38" s="213" t="s">
        <v>2676</v>
      </c>
      <c r="B38" s="64">
        <v>10.210000000000001</v>
      </c>
      <c r="C38" s="64">
        <v>35.82</v>
      </c>
      <c r="D38" s="64">
        <v>28.6</v>
      </c>
      <c r="E38" s="64">
        <v>4.1399999999999997</v>
      </c>
      <c r="F38" s="64">
        <v>3.05</v>
      </c>
      <c r="G38" s="64">
        <v>75.650000000000006</v>
      </c>
      <c r="H38" s="64">
        <v>26.5</v>
      </c>
      <c r="I38" s="64">
        <v>1.48</v>
      </c>
      <c r="J38" s="64">
        <v>0.68</v>
      </c>
      <c r="K38" s="64">
        <v>354.97</v>
      </c>
      <c r="L38" s="64">
        <v>18.95</v>
      </c>
      <c r="M38" s="64">
        <v>88.39</v>
      </c>
      <c r="N38" s="64">
        <v>122.1</v>
      </c>
      <c r="O38" s="64">
        <v>0</v>
      </c>
      <c r="P38" s="64">
        <v>0.54</v>
      </c>
      <c r="Q38" s="64">
        <v>8.99</v>
      </c>
      <c r="R38" s="198"/>
      <c r="S38" s="198"/>
      <c r="T38" s="198"/>
      <c r="U38" s="198"/>
    </row>
    <row r="39" spans="1:21" s="12" customFormat="1" x14ac:dyDescent="0.25">
      <c r="A39" s="213" t="s">
        <v>2677</v>
      </c>
      <c r="B39" s="64">
        <v>10.61</v>
      </c>
      <c r="C39" s="64">
        <v>34.619999999999997</v>
      </c>
      <c r="D39" s="64">
        <v>28.24</v>
      </c>
      <c r="E39" s="64">
        <v>3.82</v>
      </c>
      <c r="F39" s="64">
        <v>3.2</v>
      </c>
      <c r="G39" s="64">
        <v>74.63</v>
      </c>
      <c r="H39" s="64">
        <v>26.83</v>
      </c>
      <c r="I39" s="64">
        <v>1.44</v>
      </c>
      <c r="J39" s="64">
        <v>0.43</v>
      </c>
      <c r="K39" s="64">
        <v>42.97</v>
      </c>
      <c r="L39" s="64">
        <v>19.16</v>
      </c>
      <c r="M39" s="64">
        <v>88.12</v>
      </c>
      <c r="N39" s="64">
        <v>158.30000000000001</v>
      </c>
      <c r="O39" s="64">
        <v>0</v>
      </c>
      <c r="P39" s="64">
        <v>0.56000000000000005</v>
      </c>
      <c r="Q39" s="64">
        <v>9</v>
      </c>
      <c r="R39" s="198"/>
      <c r="S39" s="198"/>
      <c r="T39" s="198"/>
      <c r="U39" s="198"/>
    </row>
    <row r="40" spans="1:21" s="12" customFormat="1" x14ac:dyDescent="0.25">
      <c r="A40" s="213" t="s">
        <v>2678</v>
      </c>
      <c r="B40" s="64">
        <v>11.22</v>
      </c>
      <c r="C40" s="64">
        <v>35.31</v>
      </c>
      <c r="D40" s="64">
        <v>29.13</v>
      </c>
      <c r="E40" s="64">
        <v>3.69</v>
      </c>
      <c r="F40" s="64">
        <v>3.47</v>
      </c>
      <c r="G40" s="64">
        <v>74.63</v>
      </c>
      <c r="H40" s="64">
        <v>26.83</v>
      </c>
      <c r="I40" s="64">
        <v>1.56</v>
      </c>
      <c r="J40" s="64">
        <v>0.37</v>
      </c>
      <c r="K40" s="64">
        <v>76.069999999999993</v>
      </c>
      <c r="L40" s="64">
        <v>19.350000000000001</v>
      </c>
      <c r="M40" s="64">
        <v>88</v>
      </c>
      <c r="N40" s="64">
        <v>195.2</v>
      </c>
      <c r="O40" s="64">
        <v>0</v>
      </c>
      <c r="P40" s="64">
        <v>0.56999999999999995</v>
      </c>
      <c r="Q40" s="64">
        <v>9.0299999999999994</v>
      </c>
      <c r="R40" s="198"/>
      <c r="S40" s="198"/>
      <c r="T40" s="198"/>
      <c r="U40" s="198"/>
    </row>
    <row r="41" spans="1:21" s="12" customFormat="1" x14ac:dyDescent="0.25">
      <c r="A41" s="213" t="s">
        <v>2679</v>
      </c>
      <c r="B41" s="64">
        <v>11.58</v>
      </c>
      <c r="C41" s="64">
        <v>35.78</v>
      </c>
      <c r="D41" s="64">
        <v>29.68</v>
      </c>
      <c r="E41" s="64">
        <v>4.59</v>
      </c>
      <c r="F41" s="64">
        <v>2.91</v>
      </c>
      <c r="G41" s="64">
        <v>74.63</v>
      </c>
      <c r="H41" s="64">
        <v>26.83</v>
      </c>
      <c r="I41" s="64">
        <v>1.51</v>
      </c>
      <c r="J41" s="64">
        <v>0.57999999999999996</v>
      </c>
      <c r="K41" s="64">
        <v>84.06</v>
      </c>
      <c r="L41" s="64">
        <v>19.829999999999998</v>
      </c>
      <c r="M41" s="64">
        <v>86.39</v>
      </c>
      <c r="N41" s="64">
        <v>249.8</v>
      </c>
      <c r="O41" s="64">
        <v>0</v>
      </c>
      <c r="P41" s="64">
        <v>0.56999999999999995</v>
      </c>
      <c r="Q41" s="64">
        <v>9.0500000000000007</v>
      </c>
      <c r="R41" s="198"/>
      <c r="S41" s="198"/>
      <c r="T41" s="198"/>
      <c r="U41" s="198"/>
    </row>
    <row r="42" spans="1:21" s="12" customFormat="1" x14ac:dyDescent="0.25">
      <c r="A42" s="213" t="s">
        <v>2680</v>
      </c>
      <c r="B42" s="64">
        <v>11.92</v>
      </c>
      <c r="C42" s="64">
        <v>37.67</v>
      </c>
      <c r="D42" s="64">
        <v>31</v>
      </c>
      <c r="E42" s="64">
        <v>4.6100000000000003</v>
      </c>
      <c r="F42" s="64">
        <v>3.13</v>
      </c>
      <c r="G42" s="64">
        <v>68.34</v>
      </c>
      <c r="H42" s="64">
        <v>26.98</v>
      </c>
      <c r="I42" s="64">
        <v>1.45</v>
      </c>
      <c r="J42" s="64">
        <v>1.1399999999999999</v>
      </c>
      <c r="K42" s="64">
        <v>96.89</v>
      </c>
      <c r="L42" s="64">
        <v>20.239999999999998</v>
      </c>
      <c r="M42" s="64">
        <v>85.67</v>
      </c>
      <c r="N42" s="64">
        <v>301.60000000000002</v>
      </c>
      <c r="O42" s="64">
        <v>0</v>
      </c>
      <c r="P42" s="64">
        <v>0.57999999999999996</v>
      </c>
      <c r="Q42" s="64">
        <v>9.06</v>
      </c>
      <c r="R42" s="198"/>
      <c r="S42" s="198"/>
      <c r="T42" s="198"/>
      <c r="U42" s="198"/>
    </row>
    <row r="43" spans="1:21" s="12" customFormat="1" x14ac:dyDescent="0.25">
      <c r="A43" s="213" t="s">
        <v>2681</v>
      </c>
      <c r="B43" s="64">
        <v>11.58</v>
      </c>
      <c r="C43" s="64">
        <v>38.17</v>
      </c>
      <c r="D43" s="64">
        <v>31</v>
      </c>
      <c r="E43" s="64">
        <v>4.4800000000000004</v>
      </c>
      <c r="F43" s="64">
        <v>3.56</v>
      </c>
      <c r="G43" s="64">
        <v>67.09</v>
      </c>
      <c r="H43" s="64">
        <v>27.01</v>
      </c>
      <c r="I43" s="64">
        <v>1.51</v>
      </c>
      <c r="J43" s="64">
        <v>1.1599999999999999</v>
      </c>
      <c r="K43" s="64">
        <v>95.58</v>
      </c>
      <c r="L43" s="64">
        <v>20.28</v>
      </c>
      <c r="M43" s="64">
        <v>86.43</v>
      </c>
      <c r="N43" s="64">
        <v>330.4</v>
      </c>
      <c r="O43" s="64">
        <v>0</v>
      </c>
      <c r="P43" s="64">
        <v>0.57999999999999996</v>
      </c>
      <c r="Q43" s="64">
        <v>9.08</v>
      </c>
      <c r="R43" s="198"/>
      <c r="S43" s="198"/>
      <c r="T43" s="198"/>
      <c r="U43" s="198"/>
    </row>
    <row r="44" spans="1:21" s="12" customFormat="1" x14ac:dyDescent="0.25">
      <c r="A44" s="213" t="s">
        <v>2682</v>
      </c>
      <c r="B44" s="64">
        <v>10.91</v>
      </c>
      <c r="C44" s="64">
        <v>38.18</v>
      </c>
      <c r="D44" s="64">
        <v>30.47</v>
      </c>
      <c r="E44" s="64">
        <v>4.46</v>
      </c>
      <c r="F44" s="64">
        <v>3.41</v>
      </c>
      <c r="G44" s="64">
        <v>67.09</v>
      </c>
      <c r="H44" s="64">
        <v>27.01</v>
      </c>
      <c r="I44" s="64">
        <v>1.45</v>
      </c>
      <c r="J44" s="64">
        <v>0.93</v>
      </c>
      <c r="K44" s="64">
        <v>96.25</v>
      </c>
      <c r="L44" s="64">
        <v>20.399999999999999</v>
      </c>
      <c r="M44" s="64">
        <v>86.1</v>
      </c>
      <c r="N44" s="64">
        <v>271.5</v>
      </c>
      <c r="O44" s="64">
        <v>0</v>
      </c>
      <c r="P44" s="64">
        <v>0.57999999999999996</v>
      </c>
      <c r="Q44" s="64">
        <v>9.15</v>
      </c>
      <c r="R44" s="198"/>
      <c r="S44" s="198"/>
      <c r="T44" s="198"/>
      <c r="U44" s="198"/>
    </row>
    <row r="45" spans="1:21" s="12" customFormat="1" x14ac:dyDescent="0.25">
      <c r="A45" s="213" t="s">
        <v>2683</v>
      </c>
      <c r="B45" s="64">
        <v>10.65</v>
      </c>
      <c r="C45" s="64">
        <v>38.299999999999997</v>
      </c>
      <c r="D45" s="64">
        <v>30.32</v>
      </c>
      <c r="E45" s="64">
        <v>4.59</v>
      </c>
      <c r="F45" s="64">
        <v>3.57</v>
      </c>
      <c r="G45" s="64">
        <v>67.09</v>
      </c>
      <c r="H45" s="64">
        <v>27.01</v>
      </c>
      <c r="I45" s="64">
        <v>1.5</v>
      </c>
      <c r="J45" s="64">
        <v>0.67</v>
      </c>
      <c r="K45" s="64">
        <v>79.819999999999993</v>
      </c>
      <c r="L45" s="64">
        <v>21.19</v>
      </c>
      <c r="M45" s="64">
        <v>82.88</v>
      </c>
      <c r="N45" s="64">
        <v>265.7</v>
      </c>
      <c r="O45" s="64">
        <v>0</v>
      </c>
      <c r="P45" s="64">
        <v>0.57999999999999996</v>
      </c>
      <c r="Q45" s="64">
        <v>9.14</v>
      </c>
      <c r="R45" s="198"/>
      <c r="S45" s="198"/>
      <c r="T45" s="198"/>
      <c r="U45" s="198"/>
    </row>
    <row r="46" spans="1:21" s="12" customFormat="1" x14ac:dyDescent="0.25">
      <c r="A46" s="213" t="s">
        <v>2684</v>
      </c>
      <c r="B46" s="64">
        <v>10.56</v>
      </c>
      <c r="C46" s="64">
        <v>37.770000000000003</v>
      </c>
      <c r="D46" s="64">
        <v>29.96</v>
      </c>
      <c r="E46" s="64">
        <v>4.58</v>
      </c>
      <c r="F46" s="64">
        <v>3.83</v>
      </c>
      <c r="G46" s="64">
        <v>62.89</v>
      </c>
      <c r="H46" s="64">
        <v>24.9</v>
      </c>
      <c r="I46" s="64">
        <v>1.46</v>
      </c>
      <c r="J46" s="64">
        <v>1</v>
      </c>
      <c r="K46" s="64">
        <v>89.45</v>
      </c>
      <c r="L46" s="64">
        <v>21.3</v>
      </c>
      <c r="M46" s="64">
        <v>83.71</v>
      </c>
      <c r="N46" s="64">
        <v>359.9</v>
      </c>
      <c r="O46" s="64">
        <v>0</v>
      </c>
      <c r="P46" s="64">
        <v>0.57999999999999996</v>
      </c>
      <c r="Q46" s="64">
        <v>9.15</v>
      </c>
      <c r="R46" s="198"/>
      <c r="S46" s="198"/>
      <c r="T46" s="198"/>
      <c r="U46" s="198"/>
    </row>
    <row r="47" spans="1:21" s="12" customFormat="1" x14ac:dyDescent="0.25">
      <c r="A47" s="213" t="s">
        <v>2685</v>
      </c>
      <c r="B47" s="64">
        <v>10.16</v>
      </c>
      <c r="C47" s="64">
        <v>37.729999999999997</v>
      </c>
      <c r="D47" s="64">
        <v>29.61</v>
      </c>
      <c r="E47" s="64">
        <v>4.3499999999999996</v>
      </c>
      <c r="F47" s="64">
        <v>3.23</v>
      </c>
      <c r="G47" s="64">
        <v>62.05</v>
      </c>
      <c r="H47" s="64">
        <v>24.47</v>
      </c>
      <c r="I47" s="64">
        <v>1.48</v>
      </c>
      <c r="J47" s="64">
        <v>0.46</v>
      </c>
      <c r="K47" s="64">
        <v>28.56</v>
      </c>
      <c r="L47" s="64">
        <v>22.02</v>
      </c>
      <c r="M47" s="64">
        <v>80.349999999999994</v>
      </c>
      <c r="N47" s="64">
        <v>347.1</v>
      </c>
      <c r="O47" s="64">
        <v>0</v>
      </c>
      <c r="P47" s="64">
        <v>0.57999999999999996</v>
      </c>
      <c r="Q47" s="64">
        <v>9.15</v>
      </c>
      <c r="R47" s="198"/>
      <c r="S47" s="198"/>
      <c r="T47" s="198"/>
      <c r="U47" s="198"/>
    </row>
    <row r="48" spans="1:21" s="12" customFormat="1" x14ac:dyDescent="0.25">
      <c r="A48" s="213" t="s">
        <v>2686</v>
      </c>
      <c r="B48" s="64">
        <v>10.16</v>
      </c>
      <c r="C48" s="64">
        <v>37.46</v>
      </c>
      <c r="D48" s="64">
        <v>29.47</v>
      </c>
      <c r="E48" s="64">
        <v>4.57</v>
      </c>
      <c r="F48" s="64">
        <v>3.5</v>
      </c>
      <c r="G48" s="64">
        <v>62.05</v>
      </c>
      <c r="H48" s="64">
        <v>24.47</v>
      </c>
      <c r="I48" s="64">
        <v>1.48</v>
      </c>
      <c r="J48" s="64">
        <v>0.51</v>
      </c>
      <c r="K48" s="64">
        <v>52.56</v>
      </c>
      <c r="L48" s="64">
        <v>22.93</v>
      </c>
      <c r="M48" s="64">
        <v>76.37</v>
      </c>
      <c r="N48" s="64">
        <v>372.9</v>
      </c>
      <c r="O48" s="64">
        <v>0</v>
      </c>
      <c r="P48" s="64">
        <v>0.59</v>
      </c>
      <c r="Q48" s="64">
        <v>9.14</v>
      </c>
      <c r="R48" s="198"/>
      <c r="S48" s="198"/>
      <c r="T48" s="198"/>
      <c r="U48" s="198"/>
    </row>
    <row r="49" spans="1:21" s="12" customFormat="1" x14ac:dyDescent="0.25">
      <c r="A49" s="213" t="s">
        <v>2687</v>
      </c>
      <c r="B49" s="64">
        <v>10.07</v>
      </c>
      <c r="C49" s="64">
        <v>37.119999999999997</v>
      </c>
      <c r="D49" s="64">
        <v>29.21</v>
      </c>
      <c r="E49" s="64">
        <v>4.8</v>
      </c>
      <c r="F49" s="64">
        <v>3.18</v>
      </c>
      <c r="G49" s="64">
        <v>62.05</v>
      </c>
      <c r="H49" s="64">
        <v>24.47</v>
      </c>
      <c r="I49" s="64">
        <v>1.47</v>
      </c>
      <c r="J49" s="64">
        <v>0.41</v>
      </c>
      <c r="K49" s="64">
        <v>38.15</v>
      </c>
      <c r="L49" s="64">
        <v>23.72</v>
      </c>
      <c r="M49" s="64">
        <v>73.260000000000005</v>
      </c>
      <c r="N49" s="64">
        <v>581.29999999999995</v>
      </c>
      <c r="O49" s="64">
        <v>0</v>
      </c>
      <c r="P49" s="64">
        <v>0.6</v>
      </c>
      <c r="Q49" s="64">
        <v>9.14</v>
      </c>
      <c r="R49" s="198"/>
      <c r="S49" s="198"/>
      <c r="T49" s="198"/>
      <c r="U49" s="198"/>
    </row>
    <row r="50" spans="1:21" s="12" customFormat="1" x14ac:dyDescent="0.25">
      <c r="A50" s="213" t="s">
        <v>2688</v>
      </c>
      <c r="B50" s="64">
        <v>10.210000000000001</v>
      </c>
      <c r="C50" s="64">
        <v>37.11</v>
      </c>
      <c r="D50" s="64">
        <v>29.31</v>
      </c>
      <c r="E50" s="64">
        <v>4.68</v>
      </c>
      <c r="F50" s="64">
        <v>3.37</v>
      </c>
      <c r="G50" s="64">
        <v>58.77</v>
      </c>
      <c r="H50" s="64">
        <v>25.09</v>
      </c>
      <c r="I50" s="64">
        <v>1.44</v>
      </c>
      <c r="J50" s="64">
        <v>0.47</v>
      </c>
      <c r="K50" s="64">
        <v>70.92</v>
      </c>
      <c r="L50" s="64">
        <v>24.49</v>
      </c>
      <c r="M50" s="64">
        <v>70.52</v>
      </c>
      <c r="N50" s="64">
        <v>552.6</v>
      </c>
      <c r="O50" s="64">
        <v>0</v>
      </c>
      <c r="P50" s="64">
        <v>0.61</v>
      </c>
      <c r="Q50" s="64">
        <v>9.11</v>
      </c>
      <c r="R50" s="198"/>
      <c r="S50" s="198"/>
      <c r="T50" s="198"/>
      <c r="U50" s="198"/>
    </row>
    <row r="51" spans="1:21" s="12" customFormat="1" x14ac:dyDescent="0.25">
      <c r="A51" s="213" t="s">
        <v>2689</v>
      </c>
      <c r="B51" s="64">
        <v>10.220000000000001</v>
      </c>
      <c r="C51" s="64">
        <v>36.57</v>
      </c>
      <c r="D51" s="64">
        <v>29.01</v>
      </c>
      <c r="E51" s="64">
        <v>4.49</v>
      </c>
      <c r="F51" s="64">
        <v>3.68</v>
      </c>
      <c r="G51" s="64">
        <v>58.11</v>
      </c>
      <c r="H51" s="64">
        <v>25.21</v>
      </c>
      <c r="I51" s="64">
        <v>1.57</v>
      </c>
      <c r="J51" s="64">
        <v>0.73</v>
      </c>
      <c r="K51" s="64">
        <v>89.62</v>
      </c>
      <c r="L51" s="64">
        <v>24.18</v>
      </c>
      <c r="M51" s="64">
        <v>71.790000000000006</v>
      </c>
      <c r="N51" s="64">
        <v>620.1</v>
      </c>
      <c r="O51" s="64">
        <v>0</v>
      </c>
      <c r="P51" s="64">
        <v>0.61</v>
      </c>
      <c r="Q51" s="64">
        <v>9.1199999999999992</v>
      </c>
      <c r="R51" s="198"/>
      <c r="S51" s="198"/>
      <c r="T51" s="198"/>
      <c r="U51" s="198"/>
    </row>
    <row r="52" spans="1:21" s="12" customFormat="1" x14ac:dyDescent="0.25">
      <c r="A52" s="213" t="s">
        <v>2690</v>
      </c>
      <c r="B52" s="64">
        <v>12.72</v>
      </c>
      <c r="C52" s="64">
        <v>50.88</v>
      </c>
      <c r="D52" s="64">
        <v>38.93</v>
      </c>
      <c r="E52" s="64">
        <v>4.5199999999999996</v>
      </c>
      <c r="F52" s="64">
        <v>3.59</v>
      </c>
      <c r="G52" s="64">
        <v>58.11</v>
      </c>
      <c r="H52" s="64">
        <v>25.21</v>
      </c>
      <c r="I52" s="64">
        <v>1.5</v>
      </c>
      <c r="J52" s="64">
        <v>0.52</v>
      </c>
      <c r="K52" s="64">
        <v>79.819999999999993</v>
      </c>
      <c r="L52" s="64">
        <v>24.84</v>
      </c>
      <c r="M52" s="64">
        <v>68.38</v>
      </c>
      <c r="N52" s="64">
        <v>570</v>
      </c>
      <c r="O52" s="64">
        <v>0</v>
      </c>
      <c r="P52" s="64">
        <v>0.61</v>
      </c>
      <c r="Q52" s="64">
        <v>9.1300000000000008</v>
      </c>
      <c r="R52" s="198"/>
      <c r="S52" s="198"/>
      <c r="T52" s="198"/>
      <c r="U52" s="198"/>
    </row>
    <row r="53" spans="1:21" s="12" customFormat="1" x14ac:dyDescent="0.25">
      <c r="A53" s="213" t="s">
        <v>2691</v>
      </c>
      <c r="B53" s="64">
        <v>12.43</v>
      </c>
      <c r="C53" s="64">
        <v>49.32</v>
      </c>
      <c r="D53" s="64">
        <v>37.840000000000003</v>
      </c>
      <c r="E53" s="64">
        <v>4.4800000000000004</v>
      </c>
      <c r="F53" s="64">
        <v>3.35</v>
      </c>
      <c r="G53" s="64">
        <v>58.11</v>
      </c>
      <c r="H53" s="64">
        <v>25.21</v>
      </c>
      <c r="I53" s="64">
        <v>1.53</v>
      </c>
      <c r="J53" s="64">
        <v>0.66</v>
      </c>
      <c r="K53" s="64">
        <v>99.62</v>
      </c>
      <c r="L53" s="64">
        <v>24.69</v>
      </c>
      <c r="M53" s="64">
        <v>68.97</v>
      </c>
      <c r="N53" s="64">
        <v>640.6</v>
      </c>
      <c r="O53" s="64">
        <v>0</v>
      </c>
      <c r="P53" s="64">
        <v>0.61</v>
      </c>
      <c r="Q53" s="64">
        <v>9.07</v>
      </c>
      <c r="R53" s="198"/>
      <c r="S53" s="198"/>
      <c r="T53" s="198"/>
      <c r="U53" s="198"/>
    </row>
    <row r="54" spans="1:21" s="12" customFormat="1" x14ac:dyDescent="0.25">
      <c r="A54" s="213" t="s">
        <v>2692</v>
      </c>
      <c r="B54" s="64">
        <v>11.97</v>
      </c>
      <c r="C54" s="64">
        <v>48.91</v>
      </c>
      <c r="D54" s="64">
        <v>37.24</v>
      </c>
      <c r="E54" s="64">
        <v>4.71</v>
      </c>
      <c r="F54" s="64">
        <v>3.8</v>
      </c>
      <c r="G54" s="64">
        <v>56.26</v>
      </c>
      <c r="H54" s="64">
        <v>24.02</v>
      </c>
      <c r="I54" s="64">
        <v>1.52</v>
      </c>
      <c r="J54" s="64">
        <v>0.51</v>
      </c>
      <c r="K54" s="64">
        <v>20.8</v>
      </c>
      <c r="L54" s="64">
        <v>27.33</v>
      </c>
      <c r="M54" s="64">
        <v>58.42</v>
      </c>
      <c r="N54" s="64">
        <v>582.6</v>
      </c>
      <c r="O54" s="64">
        <v>0</v>
      </c>
      <c r="P54" s="64">
        <v>0.6</v>
      </c>
      <c r="Q54" s="64">
        <v>9.09</v>
      </c>
      <c r="R54" s="198"/>
      <c r="S54" s="198"/>
      <c r="T54" s="198"/>
      <c r="U54" s="198"/>
    </row>
    <row r="55" spans="1:21" s="12" customFormat="1" x14ac:dyDescent="0.25">
      <c r="A55" s="213" t="s">
        <v>2693</v>
      </c>
      <c r="B55" s="64">
        <v>11.81</v>
      </c>
      <c r="C55" s="64">
        <v>49.49</v>
      </c>
      <c r="D55" s="64">
        <v>37.43</v>
      </c>
      <c r="E55" s="64">
        <v>4.37</v>
      </c>
      <c r="F55" s="64">
        <v>3.27</v>
      </c>
      <c r="G55" s="64">
        <v>55.89</v>
      </c>
      <c r="H55" s="64">
        <v>23.78</v>
      </c>
      <c r="I55" s="64">
        <v>1.5</v>
      </c>
      <c r="J55" s="64">
        <v>0.6</v>
      </c>
      <c r="K55" s="64">
        <v>78.849999999999994</v>
      </c>
      <c r="L55" s="64">
        <v>26.38</v>
      </c>
      <c r="M55" s="64">
        <v>62.59</v>
      </c>
      <c r="N55" s="64">
        <v>760.9</v>
      </c>
      <c r="O55" s="64">
        <v>0</v>
      </c>
      <c r="P55" s="64">
        <v>0.61</v>
      </c>
      <c r="Q55" s="64">
        <v>9.09</v>
      </c>
      <c r="R55" s="198"/>
      <c r="S55" s="198"/>
      <c r="T55" s="198"/>
      <c r="U55" s="198"/>
    </row>
    <row r="56" spans="1:21" s="12" customFormat="1" x14ac:dyDescent="0.25">
      <c r="A56" s="213" t="s">
        <v>2694</v>
      </c>
      <c r="B56" s="64">
        <v>11.43</v>
      </c>
      <c r="C56" s="64">
        <v>48.67</v>
      </c>
      <c r="D56" s="64">
        <v>36.67</v>
      </c>
      <c r="E56" s="64">
        <v>4.5599999999999996</v>
      </c>
      <c r="F56" s="64">
        <v>3.54</v>
      </c>
      <c r="G56" s="64">
        <v>55.89</v>
      </c>
      <c r="H56" s="64">
        <v>23.78</v>
      </c>
      <c r="I56" s="64">
        <v>1.51</v>
      </c>
      <c r="J56" s="64">
        <v>0.46</v>
      </c>
      <c r="K56" s="64">
        <v>4.4800000000000004</v>
      </c>
      <c r="L56" s="64">
        <v>27.54</v>
      </c>
      <c r="M56" s="64">
        <v>57.9</v>
      </c>
      <c r="N56" s="64">
        <v>738</v>
      </c>
      <c r="O56" s="64">
        <v>0</v>
      </c>
      <c r="P56" s="64">
        <v>0.6</v>
      </c>
      <c r="Q56" s="64">
        <v>9.0500000000000007</v>
      </c>
      <c r="R56" s="198"/>
      <c r="S56" s="198"/>
      <c r="T56" s="198"/>
      <c r="U56" s="198"/>
    </row>
    <row r="57" spans="1:21" s="12" customFormat="1" x14ac:dyDescent="0.25">
      <c r="A57" s="213" t="s">
        <v>2695</v>
      </c>
      <c r="B57" s="64">
        <v>11</v>
      </c>
      <c r="C57" s="64">
        <v>48.79</v>
      </c>
      <c r="D57" s="64">
        <v>36.4</v>
      </c>
      <c r="E57" s="64">
        <v>4.12</v>
      </c>
      <c r="F57" s="64">
        <v>3.05</v>
      </c>
      <c r="G57" s="64">
        <v>55.89</v>
      </c>
      <c r="H57" s="64">
        <v>23.78</v>
      </c>
      <c r="I57" s="64">
        <v>1.49</v>
      </c>
      <c r="J57" s="64">
        <v>0.49</v>
      </c>
      <c r="K57" s="64">
        <v>45.07</v>
      </c>
      <c r="L57" s="64">
        <v>28.34</v>
      </c>
      <c r="M57" s="64">
        <v>54.77</v>
      </c>
      <c r="N57" s="64">
        <v>592.5</v>
      </c>
      <c r="O57" s="64">
        <v>0</v>
      </c>
      <c r="P57" s="64">
        <v>0.6</v>
      </c>
      <c r="Q57" s="64">
        <v>9.01</v>
      </c>
      <c r="R57" s="198"/>
      <c r="S57" s="198"/>
      <c r="T57" s="198"/>
      <c r="U57" s="198"/>
    </row>
    <row r="58" spans="1:21" s="12" customFormat="1" x14ac:dyDescent="0.25">
      <c r="A58" s="213" t="s">
        <v>2696</v>
      </c>
      <c r="B58" s="64">
        <v>10.45</v>
      </c>
      <c r="C58" s="64">
        <v>49.11</v>
      </c>
      <c r="D58" s="64">
        <v>36.14</v>
      </c>
      <c r="E58" s="64">
        <v>4.62</v>
      </c>
      <c r="F58" s="64">
        <v>3.38</v>
      </c>
      <c r="G58" s="64">
        <v>54.09</v>
      </c>
      <c r="H58" s="64">
        <v>23.25</v>
      </c>
      <c r="I58" s="64">
        <v>1.53</v>
      </c>
      <c r="J58" s="64">
        <v>0.62</v>
      </c>
      <c r="K58" s="64">
        <v>31.66</v>
      </c>
      <c r="L58" s="64">
        <v>28.2</v>
      </c>
      <c r="M58" s="64">
        <v>55.12</v>
      </c>
      <c r="N58" s="64">
        <v>639</v>
      </c>
      <c r="O58" s="64">
        <v>0</v>
      </c>
      <c r="P58" s="64">
        <v>0.6</v>
      </c>
      <c r="Q58" s="64">
        <v>9.1</v>
      </c>
      <c r="R58" s="198"/>
      <c r="S58" s="198"/>
      <c r="T58" s="198"/>
      <c r="U58" s="198"/>
    </row>
    <row r="59" spans="1:21" s="12" customFormat="1" x14ac:dyDescent="0.25">
      <c r="A59" s="213" t="s">
        <v>2697</v>
      </c>
      <c r="B59" s="64">
        <v>9.9</v>
      </c>
      <c r="C59" s="64">
        <v>49.16</v>
      </c>
      <c r="D59" s="64">
        <v>35.72</v>
      </c>
      <c r="E59" s="64">
        <v>4.45</v>
      </c>
      <c r="F59" s="64">
        <v>3.87</v>
      </c>
      <c r="G59" s="64">
        <v>53.73</v>
      </c>
      <c r="H59" s="64">
        <v>23.13</v>
      </c>
      <c r="I59" s="64">
        <v>1.51</v>
      </c>
      <c r="J59" s="64">
        <v>0.53</v>
      </c>
      <c r="K59" s="64">
        <v>55.72</v>
      </c>
      <c r="L59" s="64">
        <v>27.37</v>
      </c>
      <c r="M59" s="64">
        <v>57.18</v>
      </c>
      <c r="N59" s="64">
        <v>614.6</v>
      </c>
      <c r="O59" s="64">
        <v>0</v>
      </c>
      <c r="P59" s="64">
        <v>0.6</v>
      </c>
      <c r="Q59" s="64">
        <v>8.99</v>
      </c>
      <c r="R59" s="198"/>
      <c r="S59" s="198"/>
      <c r="T59" s="198"/>
      <c r="U59" s="198"/>
    </row>
    <row r="60" spans="1:21" s="12" customFormat="1" x14ac:dyDescent="0.25">
      <c r="A60" s="213" t="s">
        <v>2698</v>
      </c>
      <c r="B60" s="64">
        <v>9.26</v>
      </c>
      <c r="C60" s="64">
        <v>51.48</v>
      </c>
      <c r="D60" s="64">
        <v>36.479999999999997</v>
      </c>
      <c r="E60" s="64">
        <v>4.33</v>
      </c>
      <c r="F60" s="64">
        <v>4.1900000000000004</v>
      </c>
      <c r="G60" s="64">
        <v>53.73</v>
      </c>
      <c r="H60" s="64">
        <v>23.13</v>
      </c>
      <c r="I60" s="64">
        <v>1.51</v>
      </c>
      <c r="J60" s="64">
        <v>0.68</v>
      </c>
      <c r="K60" s="64">
        <v>77.25</v>
      </c>
      <c r="L60" s="64">
        <v>27.3</v>
      </c>
      <c r="M60" s="64">
        <v>57.07</v>
      </c>
      <c r="N60" s="64">
        <v>698.5</v>
      </c>
      <c r="O60" s="64">
        <v>0</v>
      </c>
      <c r="P60" s="64">
        <v>0.6</v>
      </c>
      <c r="Q60" s="64">
        <v>8.9700000000000006</v>
      </c>
      <c r="R60" s="198"/>
      <c r="S60" s="198"/>
      <c r="T60" s="198"/>
      <c r="U60" s="198"/>
    </row>
    <row r="61" spans="1:21" s="12" customFormat="1" x14ac:dyDescent="0.25">
      <c r="A61" s="213" t="s">
        <v>2699</v>
      </c>
      <c r="B61" s="64">
        <v>8.16</v>
      </c>
      <c r="C61" s="64">
        <v>49.41</v>
      </c>
      <c r="D61" s="64">
        <v>34.450000000000003</v>
      </c>
      <c r="E61" s="64">
        <v>4.1900000000000004</v>
      </c>
      <c r="F61" s="64">
        <v>4.12</v>
      </c>
      <c r="G61" s="64">
        <v>53.73</v>
      </c>
      <c r="H61" s="64">
        <v>23.13</v>
      </c>
      <c r="I61" s="64">
        <v>1.47</v>
      </c>
      <c r="J61" s="64">
        <v>0.42</v>
      </c>
      <c r="K61" s="64">
        <v>56.1</v>
      </c>
      <c r="L61" s="64">
        <v>27.93</v>
      </c>
      <c r="M61" s="64">
        <v>54.56</v>
      </c>
      <c r="N61" s="64">
        <v>690.3</v>
      </c>
      <c r="O61" s="64">
        <v>0</v>
      </c>
      <c r="P61" s="64">
        <v>0.56999999999999995</v>
      </c>
      <c r="Q61" s="64">
        <v>8.9</v>
      </c>
      <c r="R61" s="198"/>
      <c r="S61" s="198"/>
      <c r="T61" s="198"/>
      <c r="U61" s="198"/>
    </row>
    <row r="62" spans="1:21" s="12" customFormat="1" x14ac:dyDescent="0.25">
      <c r="A62" s="213" t="s">
        <v>2700</v>
      </c>
      <c r="B62" s="64">
        <v>7.1</v>
      </c>
      <c r="C62" s="64">
        <v>48.34</v>
      </c>
      <c r="D62" s="64">
        <v>33.020000000000003</v>
      </c>
      <c r="E62" s="64">
        <v>4.59</v>
      </c>
      <c r="F62" s="64">
        <v>3.79</v>
      </c>
      <c r="G62" s="64">
        <v>50.94</v>
      </c>
      <c r="H62" s="64">
        <v>21.74</v>
      </c>
      <c r="I62" s="64">
        <v>1.53</v>
      </c>
      <c r="J62" s="64">
        <v>0.32</v>
      </c>
      <c r="K62" s="64">
        <v>67.8</v>
      </c>
      <c r="L62" s="64">
        <v>27.94</v>
      </c>
      <c r="M62" s="64">
        <v>55.01</v>
      </c>
      <c r="N62" s="64">
        <v>601.29999999999995</v>
      </c>
      <c r="O62" s="64">
        <v>0</v>
      </c>
      <c r="P62" s="64">
        <v>0.6</v>
      </c>
      <c r="Q62" s="64">
        <v>8.8699999999999992</v>
      </c>
      <c r="R62" s="198"/>
      <c r="S62" s="198"/>
      <c r="T62" s="198"/>
      <c r="U62" s="198"/>
    </row>
    <row r="63" spans="1:21" s="12" customFormat="1" x14ac:dyDescent="0.25">
      <c r="A63" s="213" t="s">
        <v>2701</v>
      </c>
      <c r="B63" s="64">
        <v>6.31</v>
      </c>
      <c r="C63" s="64">
        <v>47.47</v>
      </c>
      <c r="D63" s="64">
        <v>31.9</v>
      </c>
      <c r="E63" s="64">
        <v>4.5999999999999996</v>
      </c>
      <c r="F63" s="64">
        <v>3.69</v>
      </c>
      <c r="G63" s="64">
        <v>50.38</v>
      </c>
      <c r="H63" s="64">
        <v>21.46</v>
      </c>
      <c r="I63" s="64">
        <v>1.5</v>
      </c>
      <c r="J63" s="64">
        <v>1.2</v>
      </c>
      <c r="K63" s="64">
        <v>111.88</v>
      </c>
      <c r="L63" s="64">
        <v>26.83</v>
      </c>
      <c r="M63" s="64">
        <v>57.3</v>
      </c>
      <c r="N63" s="64">
        <v>530.29999999999995</v>
      </c>
      <c r="O63" s="64">
        <v>0</v>
      </c>
      <c r="P63" s="64">
        <v>0.59</v>
      </c>
      <c r="Q63" s="64">
        <v>8.84</v>
      </c>
      <c r="R63" s="198"/>
      <c r="S63" s="198"/>
      <c r="T63" s="198"/>
      <c r="U63" s="198"/>
    </row>
    <row r="64" spans="1:21" s="12" customFormat="1" x14ac:dyDescent="0.25">
      <c r="A64" s="213" t="s">
        <v>2702</v>
      </c>
      <c r="B64" s="64">
        <v>5.38</v>
      </c>
      <c r="C64" s="64">
        <v>47.02</v>
      </c>
      <c r="D64" s="64">
        <v>30.91</v>
      </c>
      <c r="E64" s="64">
        <v>4.53</v>
      </c>
      <c r="F64" s="64">
        <v>4.07</v>
      </c>
      <c r="G64" s="64">
        <v>50.38</v>
      </c>
      <c r="H64" s="64">
        <v>21.46</v>
      </c>
      <c r="I64" s="64">
        <v>1.5</v>
      </c>
      <c r="J64" s="64">
        <v>0.46</v>
      </c>
      <c r="K64" s="64">
        <v>359.82</v>
      </c>
      <c r="L64" s="64">
        <v>29.46</v>
      </c>
      <c r="M64" s="64">
        <v>49.08</v>
      </c>
      <c r="N64" s="64">
        <v>604.4</v>
      </c>
      <c r="O64" s="64">
        <v>0</v>
      </c>
      <c r="P64" s="64">
        <v>0.57999999999999996</v>
      </c>
      <c r="Q64" s="64">
        <v>8.7899999999999991</v>
      </c>
      <c r="R64" s="198"/>
      <c r="S64" s="198"/>
      <c r="T64" s="198"/>
      <c r="U64" s="198"/>
    </row>
    <row r="65" spans="1:21" s="12" customFormat="1" x14ac:dyDescent="0.25">
      <c r="A65" s="213" t="s">
        <v>2703</v>
      </c>
      <c r="B65" s="64">
        <v>4.7</v>
      </c>
      <c r="C65" s="64">
        <v>46.24</v>
      </c>
      <c r="D65" s="64">
        <v>29.93</v>
      </c>
      <c r="E65" s="64">
        <v>4.22</v>
      </c>
      <c r="F65" s="64">
        <v>4.03</v>
      </c>
      <c r="G65" s="64">
        <v>50.38</v>
      </c>
      <c r="H65" s="64">
        <v>21.46</v>
      </c>
      <c r="I65" s="64">
        <v>1.54</v>
      </c>
      <c r="J65" s="64">
        <v>0.56000000000000005</v>
      </c>
      <c r="K65" s="64">
        <v>79.31</v>
      </c>
      <c r="L65" s="64">
        <v>28.11</v>
      </c>
      <c r="M65" s="64">
        <v>53.43</v>
      </c>
      <c r="N65" s="64">
        <v>514.5</v>
      </c>
      <c r="O65" s="64">
        <v>0</v>
      </c>
      <c r="P65" s="64">
        <v>0.57999999999999996</v>
      </c>
      <c r="Q65" s="64">
        <v>8.7200000000000006</v>
      </c>
      <c r="R65" s="198"/>
      <c r="S65" s="198"/>
      <c r="T65" s="198"/>
      <c r="U65" s="198"/>
    </row>
    <row r="66" spans="1:21" s="12" customFormat="1" x14ac:dyDescent="0.25">
      <c r="A66" s="213" t="s">
        <v>2704</v>
      </c>
      <c r="B66" s="64">
        <v>4.51</v>
      </c>
      <c r="C66" s="64">
        <v>45.96</v>
      </c>
      <c r="D66" s="64">
        <v>29.63</v>
      </c>
      <c r="E66" s="64">
        <v>4.24</v>
      </c>
      <c r="F66" s="64">
        <v>3.95</v>
      </c>
      <c r="G66" s="64">
        <v>51.98</v>
      </c>
      <c r="H66" s="64">
        <v>20.350000000000001</v>
      </c>
      <c r="I66" s="64">
        <v>1.54</v>
      </c>
      <c r="J66" s="64">
        <v>0.5</v>
      </c>
      <c r="K66" s="64">
        <v>354.66</v>
      </c>
      <c r="L66" s="64">
        <v>29.11</v>
      </c>
      <c r="M66" s="64">
        <v>48.92</v>
      </c>
      <c r="N66" s="64">
        <v>374.1</v>
      </c>
      <c r="O66" s="64">
        <v>0</v>
      </c>
      <c r="P66" s="64">
        <v>0.57999999999999996</v>
      </c>
      <c r="Q66" s="64">
        <v>8.67</v>
      </c>
      <c r="R66" s="198"/>
      <c r="S66" s="198"/>
      <c r="T66" s="198"/>
      <c r="U66" s="198"/>
    </row>
    <row r="67" spans="1:21" s="12" customFormat="1" x14ac:dyDescent="0.25">
      <c r="A67" s="213" t="s">
        <v>2705</v>
      </c>
      <c r="B67" s="64">
        <v>4.49</v>
      </c>
      <c r="C67" s="64">
        <v>46.91</v>
      </c>
      <c r="D67" s="64">
        <v>30.14</v>
      </c>
      <c r="E67" s="64">
        <v>4.29</v>
      </c>
      <c r="F67" s="64">
        <v>4.34</v>
      </c>
      <c r="G67" s="64">
        <v>52.3</v>
      </c>
      <c r="H67" s="64">
        <v>20.12</v>
      </c>
      <c r="I67" s="64">
        <v>1.51</v>
      </c>
      <c r="J67" s="64">
        <v>1.01</v>
      </c>
      <c r="K67" s="64">
        <v>349.07</v>
      </c>
      <c r="L67" s="64">
        <v>30.04</v>
      </c>
      <c r="M67" s="64">
        <v>46.05</v>
      </c>
      <c r="N67" s="64">
        <v>350.5</v>
      </c>
      <c r="O67" s="64">
        <v>0</v>
      </c>
      <c r="P67" s="64">
        <v>0.59</v>
      </c>
      <c r="Q67" s="64">
        <v>8.65</v>
      </c>
      <c r="R67" s="198"/>
      <c r="S67" s="198"/>
      <c r="T67" s="198"/>
      <c r="U67" s="198"/>
    </row>
    <row r="68" spans="1:21" s="12" customFormat="1" x14ac:dyDescent="0.25">
      <c r="A68" s="213" t="s">
        <v>2706</v>
      </c>
      <c r="B68" s="64">
        <v>4.5</v>
      </c>
      <c r="C68" s="64">
        <v>47.27</v>
      </c>
      <c r="D68" s="64">
        <v>30.34</v>
      </c>
      <c r="E68" s="64">
        <v>4.53</v>
      </c>
      <c r="F68" s="64">
        <v>4.18</v>
      </c>
      <c r="G68" s="64">
        <v>52.3</v>
      </c>
      <c r="H68" s="64">
        <v>20.12</v>
      </c>
      <c r="I68" s="64">
        <v>1.51</v>
      </c>
      <c r="J68" s="64">
        <v>0.52</v>
      </c>
      <c r="K68" s="64">
        <v>61.62</v>
      </c>
      <c r="L68" s="64">
        <v>29.39</v>
      </c>
      <c r="M68" s="64">
        <v>48.07</v>
      </c>
      <c r="N68" s="64">
        <v>450.6</v>
      </c>
      <c r="O68" s="64">
        <v>0</v>
      </c>
      <c r="P68" s="64">
        <v>0.59</v>
      </c>
      <c r="Q68" s="64">
        <v>8.6300000000000008</v>
      </c>
      <c r="R68" s="198"/>
      <c r="S68" s="198"/>
      <c r="T68" s="198"/>
      <c r="U68" s="198"/>
    </row>
    <row r="69" spans="1:21" s="12" customFormat="1" x14ac:dyDescent="0.25">
      <c r="A69" s="213" t="s">
        <v>2707</v>
      </c>
      <c r="B69" s="64">
        <v>4.2</v>
      </c>
      <c r="C69" s="64">
        <v>47.22</v>
      </c>
      <c r="D69" s="64">
        <v>30.07</v>
      </c>
      <c r="E69" s="64">
        <v>4.58</v>
      </c>
      <c r="F69" s="64">
        <v>4.13</v>
      </c>
      <c r="G69" s="64">
        <v>52.3</v>
      </c>
      <c r="H69" s="64">
        <v>20.12</v>
      </c>
      <c r="I69" s="64">
        <v>1.55</v>
      </c>
      <c r="J69" s="64">
        <v>0.56000000000000005</v>
      </c>
      <c r="K69" s="64">
        <v>103.61</v>
      </c>
      <c r="L69" s="64">
        <v>27.42</v>
      </c>
      <c r="M69" s="64">
        <v>53.1</v>
      </c>
      <c r="N69" s="64">
        <v>341.5</v>
      </c>
      <c r="O69" s="64">
        <v>0</v>
      </c>
      <c r="P69" s="64">
        <v>0.57999999999999996</v>
      </c>
      <c r="Q69" s="64">
        <v>8.61</v>
      </c>
      <c r="R69" s="198"/>
      <c r="S69" s="198"/>
      <c r="T69" s="198"/>
      <c r="U69" s="198"/>
    </row>
    <row r="70" spans="1:21" s="12" customFormat="1" x14ac:dyDescent="0.25">
      <c r="A70" s="213" t="s">
        <v>2708</v>
      </c>
      <c r="B70" s="64">
        <v>3.8</v>
      </c>
      <c r="C70" s="64">
        <v>47.74</v>
      </c>
      <c r="D70" s="64">
        <v>30.04</v>
      </c>
      <c r="E70" s="64">
        <v>4.3</v>
      </c>
      <c r="F70" s="64">
        <v>3.97</v>
      </c>
      <c r="G70" s="64">
        <v>50.35</v>
      </c>
      <c r="H70" s="64">
        <v>20.149999999999999</v>
      </c>
      <c r="I70" s="64">
        <v>1.49</v>
      </c>
      <c r="J70" s="64">
        <v>0.57999999999999996</v>
      </c>
      <c r="K70" s="64">
        <v>355.36</v>
      </c>
      <c r="L70" s="64">
        <v>28.44</v>
      </c>
      <c r="M70" s="64">
        <v>49.46</v>
      </c>
      <c r="N70" s="64">
        <v>307.39999999999998</v>
      </c>
      <c r="O70" s="64">
        <v>0</v>
      </c>
      <c r="P70" s="64">
        <v>0.56999999999999995</v>
      </c>
      <c r="Q70" s="64">
        <v>8.6199999999999992</v>
      </c>
      <c r="R70" s="198"/>
      <c r="S70" s="198"/>
      <c r="T70" s="198"/>
      <c r="U70" s="198"/>
    </row>
    <row r="71" spans="1:21" s="12" customFormat="1" x14ac:dyDescent="0.25">
      <c r="A71" s="213" t="s">
        <v>2709</v>
      </c>
      <c r="B71" s="64">
        <v>3.7</v>
      </c>
      <c r="C71" s="64">
        <v>49.08</v>
      </c>
      <c r="D71" s="64">
        <v>30.7</v>
      </c>
      <c r="E71" s="64">
        <v>4.26</v>
      </c>
      <c r="F71" s="64">
        <v>4.05</v>
      </c>
      <c r="G71" s="64">
        <v>49.96</v>
      </c>
      <c r="H71" s="64">
        <v>20.149999999999999</v>
      </c>
      <c r="I71" s="64">
        <v>1.49</v>
      </c>
      <c r="J71" s="64">
        <v>0.95</v>
      </c>
      <c r="K71" s="64">
        <v>100.99</v>
      </c>
      <c r="L71" s="64">
        <v>27.51</v>
      </c>
      <c r="M71" s="64">
        <v>52.7</v>
      </c>
      <c r="N71" s="64">
        <v>281.60000000000002</v>
      </c>
      <c r="O71" s="64">
        <v>0</v>
      </c>
      <c r="P71" s="64">
        <v>0.56000000000000005</v>
      </c>
      <c r="Q71" s="64">
        <v>8.64</v>
      </c>
      <c r="R71" s="198"/>
      <c r="S71" s="198"/>
      <c r="T71" s="198"/>
      <c r="U71" s="198"/>
    </row>
    <row r="72" spans="1:21" s="12" customFormat="1" x14ac:dyDescent="0.25">
      <c r="A72" s="213" t="s">
        <v>2710</v>
      </c>
      <c r="B72" s="64">
        <v>3.8</v>
      </c>
      <c r="C72" s="64">
        <v>48.27</v>
      </c>
      <c r="D72" s="64">
        <v>30.33</v>
      </c>
      <c r="E72" s="64">
        <v>3.38</v>
      </c>
      <c r="F72" s="64">
        <v>4.05</v>
      </c>
      <c r="G72" s="64">
        <v>49.96</v>
      </c>
      <c r="H72" s="64">
        <v>20.149999999999999</v>
      </c>
      <c r="I72" s="64">
        <v>1.52</v>
      </c>
      <c r="J72" s="64">
        <v>0.75</v>
      </c>
      <c r="K72" s="64">
        <v>348.99</v>
      </c>
      <c r="L72" s="64">
        <v>27.67</v>
      </c>
      <c r="M72" s="64">
        <v>52.07</v>
      </c>
      <c r="N72" s="64">
        <v>244.8</v>
      </c>
      <c r="O72" s="64">
        <v>0</v>
      </c>
      <c r="P72" s="64">
        <v>0.56000000000000005</v>
      </c>
      <c r="Q72" s="64">
        <v>8.66</v>
      </c>
      <c r="R72" s="198"/>
      <c r="S72" s="198"/>
      <c r="T72" s="198"/>
      <c r="U72" s="198"/>
    </row>
    <row r="73" spans="1:21" s="12" customFormat="1" x14ac:dyDescent="0.25">
      <c r="A73" s="213" t="s">
        <v>2711</v>
      </c>
      <c r="B73" s="64">
        <v>4.12</v>
      </c>
      <c r="C73" s="64">
        <v>48.84</v>
      </c>
      <c r="D73" s="64">
        <v>30.9</v>
      </c>
      <c r="E73" s="64">
        <v>3.27</v>
      </c>
      <c r="F73" s="64">
        <v>3.86</v>
      </c>
      <c r="G73" s="64">
        <v>49.96</v>
      </c>
      <c r="H73" s="64">
        <v>20.149999999999999</v>
      </c>
      <c r="I73" s="64">
        <v>1.52</v>
      </c>
      <c r="J73" s="64">
        <v>0.99</v>
      </c>
      <c r="K73" s="64">
        <v>352.81</v>
      </c>
      <c r="L73" s="64">
        <v>28.02</v>
      </c>
      <c r="M73" s="64">
        <v>51.17</v>
      </c>
      <c r="N73" s="64">
        <v>202.1</v>
      </c>
      <c r="O73" s="64">
        <v>0</v>
      </c>
      <c r="P73" s="64">
        <v>0.56999999999999995</v>
      </c>
      <c r="Q73" s="64">
        <v>8.73</v>
      </c>
      <c r="R73" s="198"/>
      <c r="S73" s="198"/>
      <c r="T73" s="198"/>
      <c r="U73" s="198"/>
    </row>
    <row r="74" spans="1:21" s="12" customFormat="1" x14ac:dyDescent="0.25">
      <c r="A74" s="213" t="s">
        <v>2712</v>
      </c>
      <c r="B74" s="64">
        <v>4.4800000000000004</v>
      </c>
      <c r="C74" s="64">
        <v>49.48</v>
      </c>
      <c r="D74" s="64">
        <v>31.55</v>
      </c>
      <c r="E74" s="64">
        <v>3.23</v>
      </c>
      <c r="F74" s="64">
        <v>3.7</v>
      </c>
      <c r="G74" s="64">
        <v>49.66</v>
      </c>
      <c r="H74" s="64">
        <v>21.07</v>
      </c>
      <c r="I74" s="64">
        <v>1.55</v>
      </c>
      <c r="J74" s="64">
        <v>0.92</v>
      </c>
      <c r="K74" s="64">
        <v>354.7</v>
      </c>
      <c r="L74" s="64">
        <v>27.41</v>
      </c>
      <c r="M74" s="64">
        <v>52.97</v>
      </c>
      <c r="N74" s="64">
        <v>193.9</v>
      </c>
      <c r="O74" s="64">
        <v>0</v>
      </c>
      <c r="P74" s="64">
        <v>0.56999999999999995</v>
      </c>
      <c r="Q74" s="64">
        <v>8.7799999999999994</v>
      </c>
      <c r="R74" s="198"/>
      <c r="S74" s="198"/>
      <c r="T74" s="198"/>
      <c r="U74" s="198"/>
    </row>
    <row r="75" spans="1:21" s="12" customFormat="1" x14ac:dyDescent="0.25">
      <c r="A75" s="213" t="s">
        <v>2713</v>
      </c>
      <c r="B75" s="64">
        <v>4.96</v>
      </c>
      <c r="C75" s="64">
        <v>50.77</v>
      </c>
      <c r="D75" s="64">
        <v>32.64</v>
      </c>
      <c r="E75" s="64">
        <v>3.36</v>
      </c>
      <c r="F75" s="64">
        <v>3.99</v>
      </c>
      <c r="G75" s="64">
        <v>49.6</v>
      </c>
      <c r="H75" s="64">
        <v>21.25</v>
      </c>
      <c r="I75" s="64">
        <v>1.55</v>
      </c>
      <c r="J75" s="64">
        <v>1.47</v>
      </c>
      <c r="K75" s="64">
        <v>350.74</v>
      </c>
      <c r="L75" s="64">
        <v>27.08</v>
      </c>
      <c r="M75" s="64">
        <v>54.83</v>
      </c>
      <c r="N75" s="64">
        <v>151.30000000000001</v>
      </c>
      <c r="O75" s="64">
        <v>0</v>
      </c>
      <c r="P75" s="64">
        <v>0.57999999999999996</v>
      </c>
      <c r="Q75" s="64">
        <v>8.8000000000000007</v>
      </c>
      <c r="R75" s="198"/>
      <c r="S75" s="198"/>
      <c r="T75" s="198"/>
      <c r="U75" s="198"/>
    </row>
    <row r="76" spans="1:21" s="12" customFormat="1" x14ac:dyDescent="0.25">
      <c r="A76" s="213" t="s">
        <v>2714</v>
      </c>
      <c r="B76" s="64">
        <v>5.1100000000000003</v>
      </c>
      <c r="C76" s="64">
        <v>52.27</v>
      </c>
      <c r="D76" s="64">
        <v>33.590000000000003</v>
      </c>
      <c r="E76" s="64">
        <v>3.53</v>
      </c>
      <c r="F76" s="64">
        <v>4.3</v>
      </c>
      <c r="G76" s="64">
        <v>49.6</v>
      </c>
      <c r="H76" s="64">
        <v>21.25</v>
      </c>
      <c r="I76" s="64">
        <v>1.5</v>
      </c>
      <c r="J76" s="64">
        <v>1.57</v>
      </c>
      <c r="K76" s="64">
        <v>353.53</v>
      </c>
      <c r="L76" s="64">
        <v>26.25</v>
      </c>
      <c r="M76" s="64">
        <v>57.91</v>
      </c>
      <c r="N76" s="64">
        <v>121.5</v>
      </c>
      <c r="O76" s="64">
        <v>0</v>
      </c>
      <c r="P76" s="64">
        <v>0.61</v>
      </c>
      <c r="Q76" s="64">
        <v>8.81</v>
      </c>
      <c r="R76" s="198"/>
      <c r="S76" s="198"/>
      <c r="T76" s="198"/>
      <c r="U76" s="198"/>
    </row>
    <row r="77" spans="1:21" s="12" customFormat="1" x14ac:dyDescent="0.25">
      <c r="A77" s="213" t="s">
        <v>2715</v>
      </c>
      <c r="B77" s="64">
        <v>5.27</v>
      </c>
      <c r="C77" s="64">
        <v>54.08</v>
      </c>
      <c r="D77" s="64">
        <v>34.71</v>
      </c>
      <c r="E77" s="64">
        <v>3.56</v>
      </c>
      <c r="F77" s="64">
        <v>3.82</v>
      </c>
      <c r="G77" s="64">
        <v>49.6</v>
      </c>
      <c r="H77" s="64">
        <v>21.25</v>
      </c>
      <c r="I77" s="64">
        <v>1.47</v>
      </c>
      <c r="J77" s="64">
        <v>1.53</v>
      </c>
      <c r="K77" s="64">
        <v>352.53</v>
      </c>
      <c r="L77" s="64">
        <v>25.78</v>
      </c>
      <c r="M77" s="64">
        <v>59.49</v>
      </c>
      <c r="N77" s="64">
        <v>114.4</v>
      </c>
      <c r="O77" s="64">
        <v>0</v>
      </c>
      <c r="P77" s="64">
        <v>0.63</v>
      </c>
      <c r="Q77" s="64">
        <v>8.81</v>
      </c>
      <c r="R77" s="198"/>
      <c r="S77" s="198"/>
      <c r="T77" s="198"/>
      <c r="U77" s="198"/>
    </row>
    <row r="78" spans="1:21" s="12" customFormat="1" x14ac:dyDescent="0.25">
      <c r="A78" s="213" t="s">
        <v>2716</v>
      </c>
      <c r="B78" s="64">
        <v>5.43</v>
      </c>
      <c r="C78" s="64">
        <v>56.36</v>
      </c>
      <c r="D78" s="64">
        <v>36.1</v>
      </c>
      <c r="E78" s="64">
        <v>3.56</v>
      </c>
      <c r="F78" s="64">
        <v>3.5</v>
      </c>
      <c r="G78" s="64">
        <v>61.48</v>
      </c>
      <c r="H78" s="64">
        <v>31.32</v>
      </c>
      <c r="I78" s="64">
        <v>1.44</v>
      </c>
      <c r="J78" s="64">
        <v>1.33</v>
      </c>
      <c r="K78" s="64">
        <v>352.59</v>
      </c>
      <c r="L78" s="64">
        <v>25.42</v>
      </c>
      <c r="M78" s="64">
        <v>60.38</v>
      </c>
      <c r="N78" s="64">
        <v>97.7</v>
      </c>
      <c r="O78" s="64">
        <v>0</v>
      </c>
      <c r="P78" s="64">
        <v>0.66</v>
      </c>
      <c r="Q78" s="64">
        <v>8.7799999999999994</v>
      </c>
      <c r="R78" s="198"/>
      <c r="S78" s="198"/>
      <c r="T78" s="198"/>
      <c r="U78" s="198"/>
    </row>
    <row r="79" spans="1:21" s="12" customFormat="1" x14ac:dyDescent="0.25">
      <c r="A79" s="213" t="s">
        <v>2717</v>
      </c>
      <c r="B79" s="64">
        <v>5.57</v>
      </c>
      <c r="C79" s="64">
        <v>59.13</v>
      </c>
      <c r="D79" s="64">
        <v>37.75</v>
      </c>
      <c r="E79" s="64">
        <v>3.36</v>
      </c>
      <c r="F79" s="64">
        <v>4.03</v>
      </c>
      <c r="G79" s="64">
        <v>63.85</v>
      </c>
      <c r="H79" s="64">
        <v>33.340000000000003</v>
      </c>
      <c r="I79" s="64">
        <v>1.49</v>
      </c>
      <c r="J79" s="64">
        <v>1.58</v>
      </c>
      <c r="K79" s="64">
        <v>353.51</v>
      </c>
      <c r="L79" s="64">
        <v>25.07</v>
      </c>
      <c r="M79" s="64">
        <v>61.67</v>
      </c>
      <c r="N79" s="64">
        <v>80.3</v>
      </c>
      <c r="O79" s="64">
        <v>0</v>
      </c>
      <c r="P79" s="64">
        <v>0.7</v>
      </c>
      <c r="Q79" s="64">
        <v>8.7799999999999994</v>
      </c>
      <c r="R79" s="198"/>
      <c r="S79" s="198"/>
      <c r="T79" s="198"/>
      <c r="U79" s="198"/>
    </row>
    <row r="80" spans="1:21" s="12" customFormat="1" x14ac:dyDescent="0.25">
      <c r="A80" s="213" t="s">
        <v>2718</v>
      </c>
      <c r="B80" s="64">
        <v>5.66</v>
      </c>
      <c r="C80" s="64">
        <v>60.67</v>
      </c>
      <c r="D80" s="64">
        <v>38.67</v>
      </c>
      <c r="E80" s="64">
        <v>3.35</v>
      </c>
      <c r="F80" s="64">
        <v>4.08</v>
      </c>
      <c r="G80" s="64">
        <v>63.85</v>
      </c>
      <c r="H80" s="64">
        <v>33.340000000000003</v>
      </c>
      <c r="I80" s="64">
        <v>1.49</v>
      </c>
      <c r="J80" s="64">
        <v>1.1399999999999999</v>
      </c>
      <c r="K80" s="64">
        <v>353.17</v>
      </c>
      <c r="L80" s="64">
        <v>24.7</v>
      </c>
      <c r="M80" s="64">
        <v>63.18</v>
      </c>
      <c r="N80" s="64">
        <v>71.900000000000006</v>
      </c>
      <c r="O80" s="64">
        <v>0</v>
      </c>
      <c r="P80" s="64">
        <v>0.75</v>
      </c>
      <c r="Q80" s="64">
        <v>8.7799999999999994</v>
      </c>
      <c r="R80" s="198"/>
      <c r="S80" s="198"/>
      <c r="T80" s="198"/>
      <c r="U80" s="198"/>
    </row>
    <row r="81" spans="1:26" s="12" customFormat="1" x14ac:dyDescent="0.25">
      <c r="A81" s="213" t="s">
        <v>2719</v>
      </c>
      <c r="B81" s="64">
        <v>5.85</v>
      </c>
      <c r="C81" s="64">
        <v>61.49</v>
      </c>
      <c r="D81" s="64">
        <v>39.270000000000003</v>
      </c>
      <c r="E81" s="64">
        <v>3.82</v>
      </c>
      <c r="F81" s="64">
        <v>3.63</v>
      </c>
      <c r="G81" s="64">
        <v>63.85</v>
      </c>
      <c r="H81" s="64">
        <v>33.340000000000003</v>
      </c>
      <c r="I81" s="64">
        <v>1.56</v>
      </c>
      <c r="J81" s="64">
        <v>0.78</v>
      </c>
      <c r="K81" s="64">
        <v>351.55</v>
      </c>
      <c r="L81" s="64">
        <v>24.44</v>
      </c>
      <c r="M81" s="64">
        <v>64.540000000000006</v>
      </c>
      <c r="N81" s="64">
        <v>69</v>
      </c>
      <c r="O81" s="64">
        <v>0</v>
      </c>
      <c r="P81" s="64">
        <v>0.79</v>
      </c>
      <c r="Q81" s="64">
        <v>8.8000000000000007</v>
      </c>
      <c r="R81" s="198"/>
      <c r="S81" s="198"/>
      <c r="T81" s="198"/>
      <c r="U81" s="198"/>
    </row>
    <row r="82" spans="1:26" s="12" customFormat="1" x14ac:dyDescent="0.25">
      <c r="A82" s="213" t="s">
        <v>2720</v>
      </c>
      <c r="B82" s="64">
        <v>6.13</v>
      </c>
      <c r="C82" s="64">
        <v>61.48</v>
      </c>
      <c r="D82" s="64">
        <v>39.49</v>
      </c>
      <c r="E82" s="64">
        <v>3.5</v>
      </c>
      <c r="F82" s="64">
        <v>3.87</v>
      </c>
      <c r="G82" s="64">
        <v>72.77</v>
      </c>
      <c r="H82" s="64">
        <v>35.75</v>
      </c>
      <c r="I82" s="64">
        <v>1.61</v>
      </c>
      <c r="J82" s="64">
        <v>0.89</v>
      </c>
      <c r="K82" s="64">
        <v>353.14</v>
      </c>
      <c r="L82" s="64">
        <v>24.3</v>
      </c>
      <c r="M82" s="64">
        <v>65.23</v>
      </c>
      <c r="N82" s="64">
        <v>68.400000000000006</v>
      </c>
      <c r="O82" s="64">
        <v>0</v>
      </c>
      <c r="P82" s="64">
        <v>0.83</v>
      </c>
      <c r="Q82" s="64">
        <v>8.82</v>
      </c>
      <c r="R82" s="198"/>
      <c r="S82" s="198"/>
      <c r="T82" s="198"/>
      <c r="U82" s="198"/>
    </row>
    <row r="83" spans="1:26" s="12" customFormat="1" x14ac:dyDescent="0.25">
      <c r="A83" s="213" t="s">
        <v>2721</v>
      </c>
      <c r="B83" s="64">
        <v>6.83</v>
      </c>
      <c r="C83" s="64">
        <v>61.78</v>
      </c>
      <c r="D83" s="64">
        <v>40.22</v>
      </c>
      <c r="E83" s="64">
        <v>3.36</v>
      </c>
      <c r="F83" s="64">
        <v>3.85</v>
      </c>
      <c r="G83" s="64">
        <v>74.56</v>
      </c>
      <c r="H83" s="64">
        <v>36.229999999999997</v>
      </c>
      <c r="I83" s="64">
        <v>1.53</v>
      </c>
      <c r="J83" s="64">
        <v>0.95</v>
      </c>
      <c r="K83" s="64">
        <v>353.31</v>
      </c>
      <c r="L83" s="64">
        <v>24.29</v>
      </c>
      <c r="M83" s="64">
        <v>65.17</v>
      </c>
      <c r="N83" s="64">
        <v>68.7</v>
      </c>
      <c r="O83" s="64">
        <v>0</v>
      </c>
      <c r="P83" s="64">
        <v>0.88</v>
      </c>
      <c r="Q83" s="64">
        <v>8.82</v>
      </c>
      <c r="R83" s="198"/>
      <c r="S83" s="198"/>
      <c r="T83" s="198"/>
      <c r="U83" s="198"/>
    </row>
    <row r="84" spans="1:26" s="12" customFormat="1" x14ac:dyDescent="0.25">
      <c r="A84" s="213" t="s">
        <v>2722</v>
      </c>
      <c r="B84" s="64">
        <v>7.43</v>
      </c>
      <c r="C84" s="64">
        <v>61.4</v>
      </c>
      <c r="D84" s="64">
        <v>40.49</v>
      </c>
      <c r="E84" s="64">
        <v>3.55</v>
      </c>
      <c r="F84" s="64">
        <v>3.7</v>
      </c>
      <c r="G84" s="64">
        <v>74.56</v>
      </c>
      <c r="H84" s="64">
        <v>36.229999999999997</v>
      </c>
      <c r="I84" s="64">
        <v>1.49</v>
      </c>
      <c r="J84" s="64">
        <v>0.79</v>
      </c>
      <c r="K84" s="64">
        <v>352.99</v>
      </c>
      <c r="L84" s="64">
        <v>24.19</v>
      </c>
      <c r="M84" s="64">
        <v>64.95</v>
      </c>
      <c r="N84" s="64">
        <v>68.8</v>
      </c>
      <c r="O84" s="64">
        <v>0</v>
      </c>
      <c r="P84" s="64">
        <v>0.92</v>
      </c>
      <c r="Q84" s="64">
        <v>8.83</v>
      </c>
      <c r="R84" s="198"/>
      <c r="S84" s="198"/>
      <c r="T84" s="198"/>
      <c r="U84" s="198"/>
    </row>
    <row r="85" spans="1:26" s="12" customFormat="1" x14ac:dyDescent="0.25">
      <c r="A85" s="213" t="s">
        <v>2723</v>
      </c>
      <c r="B85" s="64">
        <v>8</v>
      </c>
      <c r="C85" s="64">
        <v>60.3</v>
      </c>
      <c r="D85" s="64">
        <v>40.340000000000003</v>
      </c>
      <c r="E85" s="64">
        <v>3.8</v>
      </c>
      <c r="F85" s="64">
        <v>3.53</v>
      </c>
      <c r="G85" s="64">
        <v>74.56</v>
      </c>
      <c r="H85" s="64">
        <v>36.229999999999997</v>
      </c>
      <c r="I85" s="64">
        <v>1.49</v>
      </c>
      <c r="J85" s="64">
        <v>0.98</v>
      </c>
      <c r="K85" s="64">
        <v>354.78</v>
      </c>
      <c r="L85" s="64">
        <v>24.08</v>
      </c>
      <c r="M85" s="64">
        <v>65.33</v>
      </c>
      <c r="N85" s="64">
        <v>68.8</v>
      </c>
      <c r="O85" s="64">
        <v>0</v>
      </c>
      <c r="P85" s="64">
        <v>0.88</v>
      </c>
      <c r="Q85" s="64">
        <v>8.69</v>
      </c>
      <c r="R85" s="198"/>
      <c r="S85" s="198"/>
      <c r="T85" s="198"/>
      <c r="U85" s="198"/>
    </row>
    <row r="86" spans="1:26" s="12" customFormat="1" x14ac:dyDescent="0.25">
      <c r="A86" s="213" t="s">
        <v>2724</v>
      </c>
      <c r="B86" s="64">
        <v>8.1300000000000008</v>
      </c>
      <c r="C86" s="64">
        <v>60.9</v>
      </c>
      <c r="D86" s="64">
        <v>40.770000000000003</v>
      </c>
      <c r="E86" s="64">
        <v>3.56</v>
      </c>
      <c r="F86" s="64">
        <v>3.3</v>
      </c>
      <c r="G86" s="64">
        <v>74.56</v>
      </c>
      <c r="H86" s="64">
        <v>34.51</v>
      </c>
      <c r="I86" s="64">
        <v>1.46</v>
      </c>
      <c r="J86" s="64">
        <v>0.71</v>
      </c>
      <c r="K86" s="64">
        <v>348.33</v>
      </c>
      <c r="L86" s="64">
        <v>23.96</v>
      </c>
      <c r="M86" s="64">
        <v>66</v>
      </c>
      <c r="N86" s="64">
        <v>68.900000000000006</v>
      </c>
      <c r="O86" s="64">
        <v>0</v>
      </c>
      <c r="P86" s="64">
        <v>0.95</v>
      </c>
      <c r="Q86" s="64">
        <v>8.77</v>
      </c>
      <c r="R86" s="198"/>
      <c r="S86" s="198"/>
      <c r="T86" s="198"/>
      <c r="U86" s="198"/>
    </row>
    <row r="87" spans="1:26" s="12" customFormat="1" x14ac:dyDescent="0.25">
      <c r="A87" s="213" t="s">
        <v>2725</v>
      </c>
      <c r="B87" s="64">
        <v>8.24</v>
      </c>
      <c r="C87" s="64">
        <v>60.31</v>
      </c>
      <c r="D87" s="64">
        <v>40.54</v>
      </c>
      <c r="E87" s="64">
        <v>3.9</v>
      </c>
      <c r="F87" s="64">
        <v>3.58</v>
      </c>
      <c r="G87" s="64">
        <v>74.56</v>
      </c>
      <c r="H87" s="64">
        <v>34.17</v>
      </c>
      <c r="I87" s="64">
        <v>1.55</v>
      </c>
      <c r="J87" s="64">
        <v>0.65</v>
      </c>
      <c r="K87" s="64">
        <v>353.95</v>
      </c>
      <c r="L87" s="64">
        <v>23.71</v>
      </c>
      <c r="M87" s="64">
        <v>66.86</v>
      </c>
      <c r="N87" s="64">
        <v>68.8</v>
      </c>
      <c r="O87" s="64">
        <v>0</v>
      </c>
      <c r="P87" s="64">
        <v>0.97</v>
      </c>
      <c r="Q87" s="64">
        <v>8.85</v>
      </c>
      <c r="R87" s="198"/>
      <c r="S87" s="198"/>
      <c r="T87" s="198"/>
      <c r="U87" s="198"/>
    </row>
    <row r="88" spans="1:26" s="12" customFormat="1" x14ac:dyDescent="0.25">
      <c r="A88" s="213" t="s">
        <v>2726</v>
      </c>
      <c r="B88" s="64">
        <v>8.31</v>
      </c>
      <c r="C88" s="64">
        <v>60.27</v>
      </c>
      <c r="D88" s="64">
        <v>40.57</v>
      </c>
      <c r="E88" s="64">
        <v>5.46</v>
      </c>
      <c r="F88" s="64">
        <v>3.67</v>
      </c>
      <c r="G88" s="64">
        <v>74.56</v>
      </c>
      <c r="H88" s="64">
        <v>34.17</v>
      </c>
      <c r="I88" s="64">
        <v>1.48</v>
      </c>
      <c r="J88" s="64">
        <v>0.39</v>
      </c>
      <c r="K88" s="64">
        <v>356.36</v>
      </c>
      <c r="L88" s="64">
        <v>23.56</v>
      </c>
      <c r="M88" s="64">
        <v>68.2</v>
      </c>
      <c r="N88" s="64">
        <v>68.900000000000006</v>
      </c>
      <c r="O88" s="64">
        <v>0</v>
      </c>
      <c r="P88" s="64">
        <v>1</v>
      </c>
      <c r="Q88" s="64">
        <v>8.85</v>
      </c>
      <c r="R88" s="198"/>
      <c r="S88" s="198"/>
      <c r="T88" s="198"/>
      <c r="U88" s="198"/>
    </row>
    <row r="89" spans="1:26" s="12" customFormat="1" x14ac:dyDescent="0.25">
      <c r="A89" s="213" t="s">
        <v>2727</v>
      </c>
      <c r="B89" s="64">
        <v>8.4</v>
      </c>
      <c r="C89" s="64">
        <v>59.41</v>
      </c>
      <c r="D89" s="64">
        <v>40.17</v>
      </c>
      <c r="E89" s="64">
        <v>4.99</v>
      </c>
      <c r="F89" s="64">
        <v>3.7</v>
      </c>
      <c r="G89" s="64">
        <v>74.56</v>
      </c>
      <c r="H89" s="64">
        <v>34.17</v>
      </c>
      <c r="I89" s="64">
        <v>1.5</v>
      </c>
      <c r="J89" s="64">
        <v>0.67</v>
      </c>
      <c r="K89" s="64">
        <v>83.98</v>
      </c>
      <c r="L89" s="64">
        <v>23.28</v>
      </c>
      <c r="M89" s="64">
        <v>68.69</v>
      </c>
      <c r="N89" s="64">
        <v>68.7</v>
      </c>
      <c r="O89" s="64">
        <v>0</v>
      </c>
      <c r="P89" s="64">
        <v>1.02</v>
      </c>
      <c r="Q89" s="64">
        <v>8.84</v>
      </c>
      <c r="R89" s="198"/>
      <c r="S89" s="198"/>
      <c r="T89" s="198"/>
      <c r="U89" s="198"/>
    </row>
    <row r="90" spans="1:26" s="12" customFormat="1" x14ac:dyDescent="0.25">
      <c r="A90" s="213" t="s">
        <v>2728</v>
      </c>
      <c r="B90" s="64">
        <v>8.5</v>
      </c>
      <c r="C90" s="64">
        <v>58.55</v>
      </c>
      <c r="D90" s="64">
        <v>39.78</v>
      </c>
      <c r="E90" s="64">
        <v>4.6900000000000004</v>
      </c>
      <c r="F90" s="64">
        <v>4.04</v>
      </c>
      <c r="G90" s="64">
        <v>76.06</v>
      </c>
      <c r="H90" s="64">
        <v>33.340000000000003</v>
      </c>
      <c r="I90" s="64">
        <v>1.49</v>
      </c>
      <c r="J90" s="64">
        <v>0.28000000000000003</v>
      </c>
      <c r="K90" s="64">
        <v>26.25</v>
      </c>
      <c r="L90" s="64">
        <v>23.2</v>
      </c>
      <c r="M90" s="64">
        <v>69.42</v>
      </c>
      <c r="N90" s="64">
        <v>68.8</v>
      </c>
      <c r="O90" s="64">
        <v>0</v>
      </c>
      <c r="P90" s="64">
        <v>1.02</v>
      </c>
      <c r="Q90" s="64">
        <v>8.9</v>
      </c>
      <c r="R90" s="198"/>
      <c r="S90" s="198"/>
      <c r="T90" s="198"/>
      <c r="U90" s="198"/>
    </row>
    <row r="91" spans="1:26" s="12" customFormat="1" x14ac:dyDescent="0.25">
      <c r="A91" s="213" t="s">
        <v>2729</v>
      </c>
      <c r="B91" s="64">
        <v>9.0399999999999991</v>
      </c>
      <c r="C91" s="64">
        <v>58.47</v>
      </c>
      <c r="D91" s="64">
        <v>40.159999999999997</v>
      </c>
      <c r="E91" s="64">
        <v>4.82</v>
      </c>
      <c r="F91" s="64">
        <v>3.74</v>
      </c>
      <c r="G91" s="64">
        <v>76.36</v>
      </c>
      <c r="H91" s="64">
        <v>33.17</v>
      </c>
      <c r="I91" s="64">
        <v>1.43</v>
      </c>
      <c r="J91" s="64">
        <v>0.4</v>
      </c>
      <c r="K91" s="64">
        <v>354.74</v>
      </c>
      <c r="L91" s="64">
        <v>23.25</v>
      </c>
      <c r="M91" s="64">
        <v>69.27</v>
      </c>
      <c r="N91" s="64">
        <v>68.8</v>
      </c>
      <c r="O91" s="64">
        <v>0</v>
      </c>
      <c r="P91" s="64">
        <v>1.03</v>
      </c>
      <c r="Q91" s="64">
        <v>8.9600000000000009</v>
      </c>
      <c r="R91" s="198"/>
      <c r="S91" s="198"/>
      <c r="T91" s="198"/>
      <c r="U91" s="198"/>
    </row>
    <row r="92" spans="1:26" s="12" customFormat="1" x14ac:dyDescent="0.25">
      <c r="A92" s="213" t="s">
        <v>2730</v>
      </c>
      <c r="B92" s="64">
        <v>9.3800000000000008</v>
      </c>
      <c r="C92" s="64">
        <v>57.88</v>
      </c>
      <c r="D92" s="64">
        <v>40.11</v>
      </c>
      <c r="E92" s="64">
        <v>4.7</v>
      </c>
      <c r="F92" s="64">
        <v>3.43</v>
      </c>
      <c r="G92" s="64">
        <v>76.36</v>
      </c>
      <c r="H92" s="64">
        <v>33.17</v>
      </c>
      <c r="I92" s="64">
        <v>1.49</v>
      </c>
      <c r="J92" s="64">
        <v>0.28000000000000003</v>
      </c>
      <c r="K92" s="64">
        <v>32.22</v>
      </c>
      <c r="L92" s="64">
        <v>23.18</v>
      </c>
      <c r="M92" s="64">
        <v>69.069999999999993</v>
      </c>
      <c r="N92" s="64">
        <v>68.8</v>
      </c>
      <c r="O92" s="64">
        <v>0</v>
      </c>
      <c r="P92" s="64">
        <v>1.04</v>
      </c>
      <c r="Q92" s="64">
        <v>9.0399999999999991</v>
      </c>
      <c r="R92" s="198"/>
      <c r="S92" s="198"/>
      <c r="T92" s="198"/>
      <c r="U92" s="198"/>
    </row>
    <row r="93" spans="1:26" s="12" customFormat="1" x14ac:dyDescent="0.25">
      <c r="A93" s="213" t="s">
        <v>2731</v>
      </c>
      <c r="B93" s="64">
        <v>9.48</v>
      </c>
      <c r="C93" s="64">
        <v>56.36</v>
      </c>
      <c r="D93" s="64">
        <v>39.35</v>
      </c>
      <c r="E93" s="64">
        <v>4.55</v>
      </c>
      <c r="F93" s="64">
        <v>3.74</v>
      </c>
      <c r="G93" s="64">
        <v>76.36</v>
      </c>
      <c r="H93" s="64">
        <v>33.17</v>
      </c>
      <c r="I93" s="64">
        <v>1.48</v>
      </c>
      <c r="J93" s="64">
        <v>0.56000000000000005</v>
      </c>
      <c r="K93" s="64">
        <v>88.89</v>
      </c>
      <c r="L93" s="64">
        <v>22.98</v>
      </c>
      <c r="M93" s="64">
        <v>70.010000000000005</v>
      </c>
      <c r="N93" s="64">
        <v>68.400000000000006</v>
      </c>
      <c r="O93" s="64">
        <v>0</v>
      </c>
      <c r="P93" s="64">
        <v>1.04</v>
      </c>
      <c r="Q93" s="64">
        <v>9.0299999999999994</v>
      </c>
      <c r="R93" s="198"/>
      <c r="S93" s="198"/>
      <c r="T93" s="198"/>
      <c r="U93" s="198"/>
    </row>
    <row r="94" spans="1:26" s="12" customFormat="1" x14ac:dyDescent="0.25">
      <c r="A94" s="213" t="s">
        <v>2732</v>
      </c>
      <c r="B94" s="64">
        <v>9.4</v>
      </c>
      <c r="C94" s="64">
        <v>55.87</v>
      </c>
      <c r="D94" s="64">
        <v>39.020000000000003</v>
      </c>
      <c r="E94" s="64">
        <v>4.97</v>
      </c>
      <c r="F94" s="64">
        <v>3.43</v>
      </c>
      <c r="G94" s="64">
        <v>74.87</v>
      </c>
      <c r="H94" s="64">
        <v>33.04</v>
      </c>
      <c r="I94" s="64">
        <v>1.53</v>
      </c>
      <c r="J94" s="64">
        <v>1.05</v>
      </c>
      <c r="K94" s="64">
        <v>93.52</v>
      </c>
      <c r="L94" s="64">
        <v>22.93</v>
      </c>
      <c r="M94" s="64">
        <v>70.14</v>
      </c>
      <c r="N94" s="64">
        <v>68</v>
      </c>
      <c r="O94" s="64">
        <v>0</v>
      </c>
      <c r="P94" s="64">
        <v>1.03</v>
      </c>
      <c r="Q94" s="64">
        <v>9.01</v>
      </c>
      <c r="R94" s="198"/>
      <c r="S94" s="198"/>
      <c r="T94" s="198"/>
      <c r="U94" s="198"/>
    </row>
    <row r="95" spans="1:26" s="12" customFormat="1" x14ac:dyDescent="0.25">
      <c r="A95" s="213" t="s">
        <v>2733</v>
      </c>
      <c r="B95" s="64">
        <v>9.08</v>
      </c>
      <c r="C95" s="64">
        <v>53.77</v>
      </c>
      <c r="D95" s="64">
        <v>37.61</v>
      </c>
      <c r="E95" s="64">
        <v>4.55</v>
      </c>
      <c r="F95" s="64">
        <v>3.57</v>
      </c>
      <c r="G95" s="64">
        <v>74.569999999999993</v>
      </c>
      <c r="H95" s="64">
        <v>33.01</v>
      </c>
      <c r="I95" s="64">
        <v>1.51</v>
      </c>
      <c r="J95" s="64">
        <v>0.88</v>
      </c>
      <c r="K95" s="64">
        <v>93.14</v>
      </c>
      <c r="L95" s="64">
        <v>22.86</v>
      </c>
      <c r="M95" s="64">
        <v>70.23</v>
      </c>
      <c r="N95" s="64">
        <v>67.900000000000006</v>
      </c>
      <c r="O95" s="64">
        <v>0</v>
      </c>
      <c r="P95" s="64">
        <v>1.02</v>
      </c>
      <c r="Q95" s="64">
        <v>8.9700000000000006</v>
      </c>
      <c r="R95" s="198"/>
      <c r="S95" s="198"/>
      <c r="T95" s="198"/>
      <c r="U95" s="198"/>
    </row>
    <row r="96" spans="1:26" s="12" customFormat="1" x14ac:dyDescent="0.25">
      <c r="A96" s="213" t="s">
        <v>2734</v>
      </c>
      <c r="B96" s="64">
        <v>8.7899999999999991</v>
      </c>
      <c r="C96" s="64">
        <v>52.84</v>
      </c>
      <c r="D96" s="64">
        <v>36.86</v>
      </c>
      <c r="E96" s="64">
        <v>4.75</v>
      </c>
      <c r="F96" s="64">
        <v>3.73</v>
      </c>
      <c r="G96" s="64">
        <v>74.569999999999993</v>
      </c>
      <c r="H96" s="64">
        <v>33.01</v>
      </c>
      <c r="I96" s="64">
        <v>1.51</v>
      </c>
      <c r="J96" s="64">
        <v>0.64</v>
      </c>
      <c r="K96" s="64">
        <v>93.31</v>
      </c>
      <c r="L96" s="64">
        <v>22.75</v>
      </c>
      <c r="M96" s="64">
        <v>71.09</v>
      </c>
      <c r="N96" s="64">
        <v>67.900000000000006</v>
      </c>
      <c r="O96" s="64">
        <v>0</v>
      </c>
      <c r="P96" s="64">
        <v>1</v>
      </c>
      <c r="Q96" s="64">
        <v>8.9499999999999993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2735</v>
      </c>
      <c r="B97" s="64">
        <v>8.7899999999999991</v>
      </c>
      <c r="C97" s="64">
        <v>53.1</v>
      </c>
      <c r="D97" s="64">
        <v>36.99</v>
      </c>
      <c r="E97" s="64">
        <v>4.58</v>
      </c>
      <c r="F97" s="64">
        <v>3.62</v>
      </c>
      <c r="G97" s="64">
        <v>74.569999999999993</v>
      </c>
      <c r="H97" s="64">
        <v>33.01</v>
      </c>
      <c r="I97" s="64">
        <v>1.49</v>
      </c>
      <c r="J97" s="64">
        <v>0.21</v>
      </c>
      <c r="K97" s="64">
        <v>50.35</v>
      </c>
      <c r="L97" s="64">
        <v>22.48</v>
      </c>
      <c r="M97" s="64">
        <v>72.48</v>
      </c>
      <c r="N97" s="64">
        <v>68.099999999999994</v>
      </c>
      <c r="O97" s="64">
        <v>0</v>
      </c>
      <c r="P97" s="64">
        <v>1</v>
      </c>
      <c r="Q97" s="64">
        <v>8.8699999999999992</v>
      </c>
      <c r="R97" s="198"/>
      <c r="S97" s="198"/>
      <c r="T97" s="198"/>
      <c r="U97" s="198"/>
    </row>
    <row r="98" spans="1:33" s="12" customFormat="1" x14ac:dyDescent="0.25">
      <c r="A98" s="213" t="s">
        <v>2736</v>
      </c>
      <c r="B98" s="64">
        <v>8.73</v>
      </c>
      <c r="C98" s="64">
        <v>54.08</v>
      </c>
      <c r="D98" s="64">
        <v>37.49</v>
      </c>
      <c r="E98" s="64">
        <v>4.6399999999999997</v>
      </c>
      <c r="F98" s="64">
        <v>3.43</v>
      </c>
      <c r="G98" s="64">
        <v>71.569999999999993</v>
      </c>
      <c r="H98" s="64">
        <v>33.75</v>
      </c>
      <c r="I98" s="64">
        <v>1.52</v>
      </c>
      <c r="J98" s="64">
        <v>0.32</v>
      </c>
      <c r="K98" s="64">
        <v>69.31</v>
      </c>
      <c r="L98" s="64">
        <v>22.36</v>
      </c>
      <c r="M98" s="64">
        <v>72.97</v>
      </c>
      <c r="N98" s="64">
        <v>67.400000000000006</v>
      </c>
      <c r="O98" s="64">
        <v>0</v>
      </c>
      <c r="P98" s="64">
        <v>0.98</v>
      </c>
      <c r="Q98" s="64">
        <v>8.84</v>
      </c>
      <c r="R98" s="198"/>
      <c r="S98" s="198"/>
      <c r="T98" s="198"/>
      <c r="U98" s="198"/>
    </row>
    <row r="99" spans="1:33" s="12" customFormat="1" x14ac:dyDescent="0.25">
      <c r="A99" s="213" t="s">
        <v>2737</v>
      </c>
      <c r="B99" s="64">
        <v>8.7200000000000006</v>
      </c>
      <c r="C99" s="64">
        <v>54.88</v>
      </c>
      <c r="D99" s="64">
        <v>37.93</v>
      </c>
      <c r="E99" s="64">
        <v>4.71</v>
      </c>
      <c r="F99" s="64">
        <v>3.29</v>
      </c>
      <c r="G99" s="64">
        <v>70.97</v>
      </c>
      <c r="H99" s="64">
        <v>33.9</v>
      </c>
      <c r="I99" s="64">
        <v>1.45</v>
      </c>
      <c r="J99" s="64">
        <v>0.43</v>
      </c>
      <c r="K99" s="64">
        <v>78.209999999999994</v>
      </c>
      <c r="L99" s="64">
        <v>22.19</v>
      </c>
      <c r="M99" s="64">
        <v>73.95</v>
      </c>
      <c r="N99" s="64">
        <v>67.599999999999994</v>
      </c>
      <c r="O99" s="64">
        <v>0</v>
      </c>
      <c r="P99" s="64">
        <v>0.96</v>
      </c>
      <c r="Q99" s="64">
        <v>8.85</v>
      </c>
      <c r="R99" s="198"/>
      <c r="S99" s="198"/>
      <c r="T99" s="198"/>
      <c r="U99" s="198"/>
    </row>
    <row r="100" spans="1:33" s="12" customFormat="1" x14ac:dyDescent="0.25">
      <c r="A100" s="213" t="s">
        <v>2738</v>
      </c>
      <c r="B100" s="64">
        <v>8.66</v>
      </c>
      <c r="C100" s="64">
        <v>54.75</v>
      </c>
      <c r="D100" s="64">
        <v>37.81</v>
      </c>
      <c r="E100" s="64">
        <v>4.8</v>
      </c>
      <c r="F100" s="64">
        <v>3.51</v>
      </c>
      <c r="G100" s="64">
        <v>70.97</v>
      </c>
      <c r="H100" s="64">
        <v>33.9</v>
      </c>
      <c r="I100" s="64">
        <v>1.49</v>
      </c>
      <c r="J100" s="64">
        <v>0.5</v>
      </c>
      <c r="K100" s="64">
        <v>91.73</v>
      </c>
      <c r="L100" s="64">
        <v>22.09</v>
      </c>
      <c r="M100" s="64">
        <v>74.459999999999994</v>
      </c>
      <c r="N100" s="64">
        <v>67.400000000000006</v>
      </c>
      <c r="O100" s="64">
        <v>0</v>
      </c>
      <c r="P100" s="64">
        <v>0.95</v>
      </c>
      <c r="Q100" s="64">
        <v>8.86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2739</v>
      </c>
      <c r="B101" s="64">
        <v>8.4499999999999993</v>
      </c>
      <c r="C101" s="64">
        <v>54.42</v>
      </c>
      <c r="D101" s="64">
        <v>37.450000000000003</v>
      </c>
      <c r="E101" s="64">
        <v>4.7</v>
      </c>
      <c r="F101" s="64">
        <v>3.18</v>
      </c>
      <c r="G101" s="64">
        <v>70.97</v>
      </c>
      <c r="H101" s="64">
        <v>33.9</v>
      </c>
      <c r="I101" s="64">
        <v>1.46</v>
      </c>
      <c r="J101" s="64">
        <v>0.31</v>
      </c>
      <c r="K101" s="64">
        <v>85.09</v>
      </c>
      <c r="L101" s="64">
        <v>21.98</v>
      </c>
      <c r="M101" s="64">
        <v>75.209999999999994</v>
      </c>
      <c r="N101" s="64">
        <v>67.7</v>
      </c>
      <c r="O101" s="64">
        <v>0</v>
      </c>
      <c r="P101" s="64">
        <v>0.92</v>
      </c>
      <c r="Q101" s="64">
        <v>8.8800000000000008</v>
      </c>
      <c r="R101" s="198"/>
      <c r="S101" s="198"/>
      <c r="T101" s="198"/>
      <c r="U101" s="198"/>
    </row>
    <row r="102" spans="1:33" s="12" customFormat="1" x14ac:dyDescent="0.25">
      <c r="A102" s="213" t="s">
        <v>2740</v>
      </c>
      <c r="B102" s="64">
        <v>7.93</v>
      </c>
      <c r="C102" s="64">
        <v>54.59</v>
      </c>
      <c r="D102" s="64">
        <v>37.130000000000003</v>
      </c>
      <c r="E102" s="64">
        <v>5</v>
      </c>
      <c r="F102" s="64">
        <v>3.42</v>
      </c>
      <c r="G102" s="64">
        <v>69.14</v>
      </c>
      <c r="H102" s="64">
        <v>28.92</v>
      </c>
      <c r="I102" s="64">
        <v>1.45</v>
      </c>
      <c r="J102" s="64">
        <v>0.34</v>
      </c>
      <c r="K102" s="64">
        <v>100.91</v>
      </c>
      <c r="L102" s="64">
        <v>21.78</v>
      </c>
      <c r="M102" s="64">
        <v>76.239999999999995</v>
      </c>
      <c r="N102" s="64">
        <v>67.7</v>
      </c>
      <c r="O102" s="64">
        <v>0</v>
      </c>
      <c r="P102" s="64">
        <v>0.91</v>
      </c>
      <c r="Q102" s="64">
        <v>8.91</v>
      </c>
      <c r="R102" s="198"/>
      <c r="S102" s="198"/>
      <c r="T102" s="198"/>
      <c r="U102" s="198"/>
    </row>
    <row r="103" spans="1:33" s="12" customFormat="1" x14ac:dyDescent="0.25">
      <c r="A103" s="213" t="s">
        <v>2741</v>
      </c>
      <c r="B103" s="64">
        <v>7.5</v>
      </c>
      <c r="C103" s="64">
        <v>53.93</v>
      </c>
      <c r="D103" s="64">
        <v>36.42</v>
      </c>
      <c r="E103" s="64">
        <v>4.63</v>
      </c>
      <c r="F103" s="64">
        <v>3.35</v>
      </c>
      <c r="G103" s="64">
        <v>68.77</v>
      </c>
      <c r="H103" s="64">
        <v>27.92</v>
      </c>
      <c r="I103" s="64">
        <v>1.51</v>
      </c>
      <c r="J103" s="64">
        <v>0.44</v>
      </c>
      <c r="K103" s="64">
        <v>103.76</v>
      </c>
      <c r="L103" s="64">
        <v>21.67</v>
      </c>
      <c r="M103" s="64">
        <v>77.209999999999994</v>
      </c>
      <c r="N103" s="64">
        <v>67.400000000000006</v>
      </c>
      <c r="O103" s="64">
        <v>0</v>
      </c>
      <c r="P103" s="64">
        <v>0.88</v>
      </c>
      <c r="Q103" s="64">
        <v>8.92</v>
      </c>
      <c r="R103" s="198"/>
      <c r="S103" s="198"/>
      <c r="T103" s="198"/>
      <c r="U103" s="198"/>
    </row>
    <row r="104" spans="1:33" s="12" customFormat="1" x14ac:dyDescent="0.25">
      <c r="A104" s="213" t="s">
        <v>2742</v>
      </c>
      <c r="B104" s="64">
        <v>7.08</v>
      </c>
      <c r="C104" s="64">
        <v>53.43</v>
      </c>
      <c r="D104" s="64">
        <v>35.81</v>
      </c>
      <c r="E104" s="64">
        <v>4.18</v>
      </c>
      <c r="F104" s="64">
        <v>3.72</v>
      </c>
      <c r="G104" s="64">
        <v>68.77</v>
      </c>
      <c r="H104" s="64">
        <v>27.92</v>
      </c>
      <c r="I104" s="64">
        <v>1.46</v>
      </c>
      <c r="J104" s="64">
        <v>0.35</v>
      </c>
      <c r="K104" s="64">
        <v>124.38</v>
      </c>
      <c r="L104" s="64">
        <v>21.72</v>
      </c>
      <c r="M104" s="64">
        <v>76.760000000000005</v>
      </c>
      <c r="N104" s="64">
        <v>67</v>
      </c>
      <c r="O104" s="64">
        <v>0</v>
      </c>
      <c r="P104" s="64">
        <v>0.86</v>
      </c>
      <c r="Q104" s="64">
        <v>8.91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2.99</v>
      </c>
      <c r="C106" s="67">
        <f>MIN(C9:C104)</f>
        <v>29.71</v>
      </c>
      <c r="D106" s="67">
        <f t="shared" ref="D106:Q106" si="0">MIN(D9:D104)</f>
        <v>19.850000000000001</v>
      </c>
      <c r="E106" s="67">
        <f t="shared" si="0"/>
        <v>3.23</v>
      </c>
      <c r="F106" s="67">
        <f t="shared" si="0"/>
        <v>2.91</v>
      </c>
      <c r="G106" s="67">
        <f t="shared" si="0"/>
        <v>49.6</v>
      </c>
      <c r="H106" s="67">
        <f t="shared" si="0"/>
        <v>20.12</v>
      </c>
      <c r="I106" s="67">
        <f t="shared" si="0"/>
        <v>1.39</v>
      </c>
      <c r="J106" s="67">
        <f t="shared" si="0"/>
        <v>0.21</v>
      </c>
      <c r="K106" s="67">
        <f t="shared" si="0"/>
        <v>4.4800000000000004</v>
      </c>
      <c r="L106" s="67">
        <f t="shared" si="0"/>
        <v>17.61</v>
      </c>
      <c r="M106" s="67">
        <f t="shared" si="0"/>
        <v>46.05</v>
      </c>
      <c r="N106" s="67">
        <f t="shared" si="0"/>
        <v>24.8</v>
      </c>
      <c r="O106" s="67">
        <f t="shared" si="0"/>
        <v>0</v>
      </c>
      <c r="P106" s="67">
        <f t="shared" si="0"/>
        <v>0.49</v>
      </c>
      <c r="Q106" s="67">
        <f t="shared" si="0"/>
        <v>8.1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12.72</v>
      </c>
      <c r="C107" s="66">
        <f t="shared" ref="C107:Q107" si="1">MAX(C9:C104)</f>
        <v>61.78</v>
      </c>
      <c r="D107" s="66">
        <f t="shared" si="1"/>
        <v>40.770000000000003</v>
      </c>
      <c r="E107" s="66">
        <f t="shared" si="1"/>
        <v>5.46</v>
      </c>
      <c r="F107" s="66">
        <f t="shared" si="1"/>
        <v>4.34</v>
      </c>
      <c r="G107" s="66">
        <f t="shared" si="1"/>
        <v>80.739999999999995</v>
      </c>
      <c r="H107" s="66">
        <f t="shared" si="1"/>
        <v>36.229999999999997</v>
      </c>
      <c r="I107" s="66">
        <f t="shared" si="1"/>
        <v>1.61</v>
      </c>
      <c r="J107" s="66">
        <f t="shared" si="1"/>
        <v>1.58</v>
      </c>
      <c r="K107" s="66">
        <f t="shared" si="1"/>
        <v>359.82</v>
      </c>
      <c r="L107" s="66">
        <f t="shared" si="1"/>
        <v>30.04</v>
      </c>
      <c r="M107" s="66">
        <f t="shared" si="1"/>
        <v>94.61</v>
      </c>
      <c r="N107" s="66">
        <f t="shared" si="1"/>
        <v>760.9</v>
      </c>
      <c r="O107" s="66">
        <f t="shared" si="1"/>
        <v>0</v>
      </c>
      <c r="P107" s="66">
        <f t="shared" si="1"/>
        <v>1.04</v>
      </c>
      <c r="Q107" s="66">
        <f t="shared" si="1"/>
        <v>9.15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7.163125</v>
      </c>
      <c r="C108" s="67">
        <f t="shared" ref="C108:Q108" si="2">AVERAGE(C9:C104)</f>
        <v>44.778958333333343</v>
      </c>
      <c r="D108" s="67">
        <f t="shared" si="2"/>
        <v>31.10229166666667</v>
      </c>
      <c r="E108" s="67">
        <f t="shared" si="2"/>
        <v>4.2766666666666673</v>
      </c>
      <c r="F108" s="67">
        <f t="shared" si="2"/>
        <v>3.589062500000002</v>
      </c>
      <c r="G108" s="67">
        <f t="shared" si="2"/>
        <v>62.701041666666733</v>
      </c>
      <c r="H108" s="67">
        <f t="shared" si="2"/>
        <v>26.682916666666685</v>
      </c>
      <c r="I108" s="67">
        <f t="shared" si="2"/>
        <v>1.4984374999999996</v>
      </c>
      <c r="J108" s="67">
        <f t="shared" si="2"/>
        <v>0.62677083333333361</v>
      </c>
      <c r="K108" s="67">
        <f t="shared" si="2"/>
        <v>145.67135416666662</v>
      </c>
      <c r="L108" s="67">
        <f t="shared" si="2"/>
        <v>22.868750000000006</v>
      </c>
      <c r="M108" s="67">
        <f t="shared" si="2"/>
        <v>71.980208333333323</v>
      </c>
      <c r="N108" s="67">
        <f t="shared" si="2"/>
        <v>202.06458333333342</v>
      </c>
      <c r="O108" s="67">
        <f t="shared" si="2"/>
        <v>0</v>
      </c>
      <c r="P108" s="67">
        <f t="shared" si="2"/>
        <v>0.66447916666666684</v>
      </c>
      <c r="Q108" s="67">
        <f t="shared" si="2"/>
        <v>8.799062499999998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2.8089040052173986</v>
      </c>
      <c r="C109" s="67">
        <f t="shared" ref="C109:Q109" si="3">STDEV(C9:C104)</f>
        <v>10.299583382393507</v>
      </c>
      <c r="D109" s="67">
        <f t="shared" si="3"/>
        <v>6.6570039853828318</v>
      </c>
      <c r="E109" s="67">
        <f t="shared" si="3"/>
        <v>0.50702157468197295</v>
      </c>
      <c r="F109" s="67">
        <f t="shared" si="3"/>
        <v>0.33062963259116446</v>
      </c>
      <c r="G109" s="67">
        <f t="shared" si="3"/>
        <v>9.352372339528868</v>
      </c>
      <c r="H109" s="67">
        <f t="shared" si="3"/>
        <v>4.6339120489271695</v>
      </c>
      <c r="I109" s="67">
        <f t="shared" si="3"/>
        <v>3.8122465403237688E-2</v>
      </c>
      <c r="J109" s="67">
        <f t="shared" si="3"/>
        <v>0.32030740100776728</v>
      </c>
      <c r="K109" s="67">
        <f t="shared" si="3"/>
        <v>133.34442809680021</v>
      </c>
      <c r="L109" s="67">
        <f t="shared" si="3"/>
        <v>3.5251117936732816</v>
      </c>
      <c r="M109" s="67">
        <f t="shared" si="3"/>
        <v>13.254896928596526</v>
      </c>
      <c r="N109" s="67">
        <f t="shared" si="3"/>
        <v>221.59701070526347</v>
      </c>
      <c r="O109" s="67">
        <f t="shared" si="3"/>
        <v>0</v>
      </c>
      <c r="P109" s="67">
        <f t="shared" si="3"/>
        <v>0.17646153474798293</v>
      </c>
      <c r="Q109" s="67">
        <f t="shared" si="3"/>
        <v>0.25026755419792351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2743</v>
      </c>
      <c r="B9" s="64">
        <v>6.37</v>
      </c>
      <c r="C9" s="64">
        <v>52.61</v>
      </c>
      <c r="D9" s="64">
        <v>34.79</v>
      </c>
      <c r="E9" s="64">
        <v>3.18</v>
      </c>
      <c r="F9" s="64">
        <v>3.49</v>
      </c>
      <c r="G9" s="64">
        <v>68.77</v>
      </c>
      <c r="H9" s="64">
        <v>27.92</v>
      </c>
      <c r="I9" s="64">
        <v>1.51</v>
      </c>
      <c r="J9" s="64">
        <v>0.24</v>
      </c>
      <c r="K9" s="64">
        <v>67.81</v>
      </c>
      <c r="L9" s="64">
        <v>21.5</v>
      </c>
      <c r="M9" s="64">
        <v>78.89</v>
      </c>
      <c r="N9" s="64">
        <v>66.900000000000006</v>
      </c>
      <c r="O9" s="64">
        <v>0</v>
      </c>
      <c r="P9" s="64">
        <v>0.83</v>
      </c>
      <c r="Q9" s="64">
        <v>8.89</v>
      </c>
      <c r="R9" s="198"/>
      <c r="S9" s="198"/>
      <c r="T9" s="198"/>
      <c r="U9" s="198"/>
    </row>
    <row r="10" spans="1:21" s="12" customFormat="1" x14ac:dyDescent="0.25">
      <c r="A10" s="213" t="s">
        <v>2744</v>
      </c>
      <c r="B10" s="64">
        <v>5.91</v>
      </c>
      <c r="C10" s="64">
        <v>51.94</v>
      </c>
      <c r="D10" s="64">
        <v>34.049999999999997</v>
      </c>
      <c r="E10" s="64">
        <v>3.3</v>
      </c>
      <c r="F10" s="64">
        <v>3.87</v>
      </c>
      <c r="G10" s="64">
        <v>64.63</v>
      </c>
      <c r="H10" s="64">
        <v>28.26</v>
      </c>
      <c r="I10" s="64">
        <v>1.49</v>
      </c>
      <c r="J10" s="64">
        <v>0.47</v>
      </c>
      <c r="K10" s="64">
        <v>119.8</v>
      </c>
      <c r="L10" s="64">
        <v>21.45</v>
      </c>
      <c r="M10" s="64">
        <v>79.09</v>
      </c>
      <c r="N10" s="64">
        <v>66.5</v>
      </c>
      <c r="O10" s="64">
        <v>0</v>
      </c>
      <c r="P10" s="64">
        <v>0.81</v>
      </c>
      <c r="Q10" s="64">
        <v>8.9</v>
      </c>
      <c r="R10" s="198"/>
      <c r="S10" s="198"/>
      <c r="T10" s="198"/>
      <c r="U10" s="198"/>
    </row>
    <row r="11" spans="1:21" s="12" customFormat="1" x14ac:dyDescent="0.25">
      <c r="A11" s="213" t="s">
        <v>2745</v>
      </c>
      <c r="B11" s="64">
        <v>5.51</v>
      </c>
      <c r="C11" s="64">
        <v>50.85</v>
      </c>
      <c r="D11" s="64">
        <v>33.130000000000003</v>
      </c>
      <c r="E11" s="64">
        <v>3.26</v>
      </c>
      <c r="F11" s="64">
        <v>3.61</v>
      </c>
      <c r="G11" s="64">
        <v>63.8</v>
      </c>
      <c r="H11" s="64">
        <v>28.33</v>
      </c>
      <c r="I11" s="64">
        <v>1.54</v>
      </c>
      <c r="J11" s="64">
        <v>0.44</v>
      </c>
      <c r="K11" s="64">
        <v>105.87</v>
      </c>
      <c r="L11" s="64">
        <v>21.53</v>
      </c>
      <c r="M11" s="64">
        <v>78.63</v>
      </c>
      <c r="N11" s="64">
        <v>67.3</v>
      </c>
      <c r="O11" s="64">
        <v>0</v>
      </c>
      <c r="P11" s="64">
        <v>0.79</v>
      </c>
      <c r="Q11" s="64">
        <v>8.8699999999999992</v>
      </c>
      <c r="R11" s="198"/>
      <c r="S11" s="198"/>
      <c r="T11" s="198"/>
      <c r="U11" s="198"/>
    </row>
    <row r="12" spans="1:21" s="12" customFormat="1" x14ac:dyDescent="0.25">
      <c r="A12" s="213" t="s">
        <v>2746</v>
      </c>
      <c r="B12" s="64">
        <v>5.35</v>
      </c>
      <c r="C12" s="64">
        <v>47.09</v>
      </c>
      <c r="D12" s="64">
        <v>30.92</v>
      </c>
      <c r="E12" s="64">
        <v>3.31</v>
      </c>
      <c r="F12" s="64">
        <v>3.98</v>
      </c>
      <c r="G12" s="64">
        <v>63.8</v>
      </c>
      <c r="H12" s="64">
        <v>28.33</v>
      </c>
      <c r="I12" s="64">
        <v>1.5</v>
      </c>
      <c r="J12" s="64">
        <v>0.37</v>
      </c>
      <c r="K12" s="64">
        <v>165.47</v>
      </c>
      <c r="L12" s="64">
        <v>21.38</v>
      </c>
      <c r="M12" s="64">
        <v>79.97</v>
      </c>
      <c r="N12" s="64">
        <v>67.7</v>
      </c>
      <c r="O12" s="64">
        <v>0</v>
      </c>
      <c r="P12" s="64">
        <v>0.77</v>
      </c>
      <c r="Q12" s="64">
        <v>8.84</v>
      </c>
      <c r="R12" s="198"/>
      <c r="S12" s="198"/>
      <c r="T12" s="198"/>
      <c r="U12" s="198"/>
    </row>
    <row r="13" spans="1:21" s="12" customFormat="1" x14ac:dyDescent="0.25">
      <c r="A13" s="213" t="s">
        <v>2747</v>
      </c>
      <c r="B13" s="64">
        <v>5.49</v>
      </c>
      <c r="C13" s="64">
        <v>47.42</v>
      </c>
      <c r="D13" s="64">
        <v>31.22</v>
      </c>
      <c r="E13" s="64">
        <v>3.31</v>
      </c>
      <c r="F13" s="64">
        <v>3.82</v>
      </c>
      <c r="G13" s="64">
        <v>63.8</v>
      </c>
      <c r="H13" s="64">
        <v>28.33</v>
      </c>
      <c r="I13" s="64">
        <v>1.48</v>
      </c>
      <c r="J13" s="64">
        <v>0.09</v>
      </c>
      <c r="K13" s="64">
        <v>206.71</v>
      </c>
      <c r="L13" s="64">
        <v>21.26</v>
      </c>
      <c r="M13" s="64">
        <v>80.819999999999993</v>
      </c>
      <c r="N13" s="64">
        <v>68.599999999999994</v>
      </c>
      <c r="O13" s="64">
        <v>0</v>
      </c>
      <c r="P13" s="64">
        <v>0.72</v>
      </c>
      <c r="Q13" s="64">
        <v>8.91</v>
      </c>
      <c r="R13" s="198"/>
      <c r="S13" s="198"/>
      <c r="T13" s="198"/>
      <c r="U13" s="198"/>
    </row>
    <row r="14" spans="1:21" s="12" customFormat="1" x14ac:dyDescent="0.25">
      <c r="A14" s="213" t="s">
        <v>2748</v>
      </c>
      <c r="B14" s="64">
        <v>5.61</v>
      </c>
      <c r="C14" s="64">
        <v>47.24</v>
      </c>
      <c r="D14" s="64">
        <v>31.21</v>
      </c>
      <c r="E14" s="64">
        <v>3.06</v>
      </c>
      <c r="F14" s="64">
        <v>3.97</v>
      </c>
      <c r="G14" s="64">
        <v>63.81</v>
      </c>
      <c r="H14" s="64">
        <v>28.98</v>
      </c>
      <c r="I14" s="64">
        <v>1.46</v>
      </c>
      <c r="J14" s="64">
        <v>0.02</v>
      </c>
      <c r="K14" s="64">
        <v>4.3</v>
      </c>
      <c r="L14" s="64">
        <v>20.9</v>
      </c>
      <c r="M14" s="64">
        <v>83.08</v>
      </c>
      <c r="N14" s="64">
        <v>69.400000000000006</v>
      </c>
      <c r="O14" s="64">
        <v>0</v>
      </c>
      <c r="P14" s="64">
        <v>0.75</v>
      </c>
      <c r="Q14" s="64">
        <v>8.9</v>
      </c>
      <c r="R14" s="198"/>
      <c r="S14" s="198"/>
      <c r="T14" s="198"/>
      <c r="U14" s="198"/>
    </row>
    <row r="15" spans="1:21" s="12" customFormat="1" x14ac:dyDescent="0.25">
      <c r="A15" s="213" t="s">
        <v>2749</v>
      </c>
      <c r="B15" s="64">
        <v>5.79</v>
      </c>
      <c r="C15" s="64">
        <v>47.41</v>
      </c>
      <c r="D15" s="64">
        <v>31.45</v>
      </c>
      <c r="E15" s="64">
        <v>2.95</v>
      </c>
      <c r="F15" s="64">
        <v>3.37</v>
      </c>
      <c r="G15" s="64">
        <v>63.82</v>
      </c>
      <c r="H15" s="64">
        <v>29.11</v>
      </c>
      <c r="I15" s="64">
        <v>1.47</v>
      </c>
      <c r="J15" s="64">
        <v>0.01</v>
      </c>
      <c r="K15" s="64">
        <v>306.66000000000003</v>
      </c>
      <c r="L15" s="64">
        <v>20.66</v>
      </c>
      <c r="M15" s="64">
        <v>85.01</v>
      </c>
      <c r="N15" s="64">
        <v>69.3</v>
      </c>
      <c r="O15" s="64">
        <v>0</v>
      </c>
      <c r="P15" s="64">
        <v>0.73</v>
      </c>
      <c r="Q15" s="64">
        <v>8.92</v>
      </c>
      <c r="R15" s="198"/>
      <c r="S15" s="198"/>
      <c r="T15" s="198"/>
      <c r="U15" s="198"/>
    </row>
    <row r="16" spans="1:21" s="12" customFormat="1" x14ac:dyDescent="0.25">
      <c r="A16" s="213" t="s">
        <v>2750</v>
      </c>
      <c r="B16" s="64">
        <v>6.2</v>
      </c>
      <c r="C16" s="64">
        <v>46.29</v>
      </c>
      <c r="D16" s="64">
        <v>31.16</v>
      </c>
      <c r="E16" s="64">
        <v>2.76</v>
      </c>
      <c r="F16" s="64">
        <v>3.52</v>
      </c>
      <c r="G16" s="64">
        <v>63.82</v>
      </c>
      <c r="H16" s="64">
        <v>29.11</v>
      </c>
      <c r="I16" s="64">
        <v>1.56</v>
      </c>
      <c r="J16" s="64">
        <v>0.22</v>
      </c>
      <c r="K16" s="64">
        <v>353.19</v>
      </c>
      <c r="L16" s="64">
        <v>20.51</v>
      </c>
      <c r="M16" s="64">
        <v>87.51</v>
      </c>
      <c r="N16" s="64">
        <v>69.599999999999994</v>
      </c>
      <c r="O16" s="64">
        <v>0</v>
      </c>
      <c r="P16" s="64">
        <v>0.72</v>
      </c>
      <c r="Q16" s="64">
        <v>8.91</v>
      </c>
      <c r="R16" s="198"/>
      <c r="S16" s="198"/>
      <c r="T16" s="198"/>
      <c r="U16" s="198"/>
    </row>
    <row r="17" spans="1:21" s="12" customFormat="1" x14ac:dyDescent="0.25">
      <c r="A17" s="213" t="s">
        <v>2751</v>
      </c>
      <c r="B17" s="64">
        <v>6.63</v>
      </c>
      <c r="C17" s="64">
        <v>46.18</v>
      </c>
      <c r="D17" s="64">
        <v>31.44</v>
      </c>
      <c r="E17" s="64">
        <v>3.08</v>
      </c>
      <c r="F17" s="64">
        <v>3.37</v>
      </c>
      <c r="G17" s="64">
        <v>63.82</v>
      </c>
      <c r="H17" s="64">
        <v>29.11</v>
      </c>
      <c r="I17" s="64">
        <v>1.43</v>
      </c>
      <c r="J17" s="64">
        <v>0.11</v>
      </c>
      <c r="K17" s="64">
        <v>312.67</v>
      </c>
      <c r="L17" s="64">
        <v>20.22</v>
      </c>
      <c r="M17" s="64">
        <v>88.54</v>
      </c>
      <c r="N17" s="64">
        <v>70.099999999999994</v>
      </c>
      <c r="O17" s="64">
        <v>0</v>
      </c>
      <c r="P17" s="64">
        <v>0.71</v>
      </c>
      <c r="Q17" s="64">
        <v>8.9</v>
      </c>
      <c r="R17" s="198"/>
      <c r="S17" s="198"/>
      <c r="T17" s="198"/>
      <c r="U17" s="198"/>
    </row>
    <row r="18" spans="1:21" s="12" customFormat="1" x14ac:dyDescent="0.25">
      <c r="A18" s="213" t="s">
        <v>2752</v>
      </c>
      <c r="B18" s="64">
        <v>7.05</v>
      </c>
      <c r="C18" s="64">
        <v>46.15</v>
      </c>
      <c r="D18" s="64">
        <v>31.77</v>
      </c>
      <c r="E18" s="64">
        <v>3.24</v>
      </c>
      <c r="F18" s="64">
        <v>3.21</v>
      </c>
      <c r="G18" s="64">
        <v>60.93</v>
      </c>
      <c r="H18" s="64">
        <v>28.93</v>
      </c>
      <c r="I18" s="64">
        <v>1.54</v>
      </c>
      <c r="J18" s="64">
        <v>0.21</v>
      </c>
      <c r="K18" s="64">
        <v>160.82</v>
      </c>
      <c r="L18" s="64">
        <v>20.11</v>
      </c>
      <c r="M18" s="64">
        <v>89.83</v>
      </c>
      <c r="N18" s="64">
        <v>70.099999999999994</v>
      </c>
      <c r="O18" s="64">
        <v>0</v>
      </c>
      <c r="P18" s="64">
        <v>0.7</v>
      </c>
      <c r="Q18" s="64">
        <v>8.8800000000000008</v>
      </c>
      <c r="R18" s="198"/>
      <c r="S18" s="198"/>
      <c r="T18" s="198"/>
      <c r="U18" s="198"/>
    </row>
    <row r="19" spans="1:21" s="12" customFormat="1" x14ac:dyDescent="0.25">
      <c r="A19" s="213" t="s">
        <v>2753</v>
      </c>
      <c r="B19" s="64">
        <v>7.33</v>
      </c>
      <c r="C19" s="64">
        <v>48.76</v>
      </c>
      <c r="D19" s="64">
        <v>33.44</v>
      </c>
      <c r="E19" s="64">
        <v>3.02</v>
      </c>
      <c r="F19" s="64">
        <v>3.38</v>
      </c>
      <c r="G19" s="64">
        <v>60.35</v>
      </c>
      <c r="H19" s="64">
        <v>28.89</v>
      </c>
      <c r="I19" s="64">
        <v>1.55</v>
      </c>
      <c r="J19" s="64">
        <v>0.11</v>
      </c>
      <c r="K19" s="64">
        <v>169.52</v>
      </c>
      <c r="L19" s="64">
        <v>20.350000000000001</v>
      </c>
      <c r="M19" s="64">
        <v>88.58</v>
      </c>
      <c r="N19" s="64">
        <v>70.5</v>
      </c>
      <c r="O19" s="64">
        <v>0</v>
      </c>
      <c r="P19" s="64">
        <v>0.69</v>
      </c>
      <c r="Q19" s="64">
        <v>8.84</v>
      </c>
      <c r="R19" s="198"/>
      <c r="S19" s="198"/>
      <c r="T19" s="198"/>
      <c r="U19" s="198"/>
    </row>
    <row r="20" spans="1:21" s="12" customFormat="1" x14ac:dyDescent="0.25">
      <c r="A20" s="213" t="s">
        <v>2754</v>
      </c>
      <c r="B20" s="64">
        <v>7</v>
      </c>
      <c r="C20" s="64">
        <v>51.41</v>
      </c>
      <c r="D20" s="64">
        <v>34.630000000000003</v>
      </c>
      <c r="E20" s="64">
        <v>3.31</v>
      </c>
      <c r="F20" s="64">
        <v>3.67</v>
      </c>
      <c r="G20" s="64">
        <v>60.35</v>
      </c>
      <c r="H20" s="64">
        <v>28.89</v>
      </c>
      <c r="I20" s="64">
        <v>1.5</v>
      </c>
      <c r="J20" s="64">
        <v>0.17</v>
      </c>
      <c r="K20" s="64">
        <v>349.45</v>
      </c>
      <c r="L20" s="64">
        <v>20.09</v>
      </c>
      <c r="M20" s="64">
        <v>91.14</v>
      </c>
      <c r="N20" s="64">
        <v>70.7</v>
      </c>
      <c r="O20" s="64">
        <v>0</v>
      </c>
      <c r="P20" s="64">
        <v>0.67</v>
      </c>
      <c r="Q20" s="64">
        <v>8.91</v>
      </c>
      <c r="R20" s="198"/>
      <c r="S20" s="198"/>
      <c r="T20" s="198"/>
      <c r="U20" s="198"/>
    </row>
    <row r="21" spans="1:21" s="12" customFormat="1" x14ac:dyDescent="0.25">
      <c r="A21" s="213" t="s">
        <v>2755</v>
      </c>
      <c r="B21" s="64">
        <v>6.7</v>
      </c>
      <c r="C21" s="64">
        <v>50.92</v>
      </c>
      <c r="D21" s="64">
        <v>34.119999999999997</v>
      </c>
      <c r="E21" s="64">
        <v>2.97</v>
      </c>
      <c r="F21" s="64">
        <v>3.8</v>
      </c>
      <c r="G21" s="64">
        <v>60.35</v>
      </c>
      <c r="H21" s="64">
        <v>28.89</v>
      </c>
      <c r="I21" s="64">
        <v>1.56</v>
      </c>
      <c r="J21" s="64">
        <v>0.17</v>
      </c>
      <c r="K21" s="64">
        <v>231.26</v>
      </c>
      <c r="L21" s="64">
        <v>19.77</v>
      </c>
      <c r="M21" s="64">
        <v>94.63</v>
      </c>
      <c r="N21" s="64">
        <v>71</v>
      </c>
      <c r="O21" s="64">
        <v>0</v>
      </c>
      <c r="P21" s="64">
        <v>0.66</v>
      </c>
      <c r="Q21" s="64">
        <v>8.94</v>
      </c>
      <c r="R21" s="198"/>
      <c r="S21" s="198"/>
      <c r="T21" s="198"/>
      <c r="U21" s="198"/>
    </row>
    <row r="22" spans="1:21" s="12" customFormat="1" x14ac:dyDescent="0.25">
      <c r="A22" s="213" t="s">
        <v>2756</v>
      </c>
      <c r="B22" s="64">
        <v>6.56</v>
      </c>
      <c r="C22" s="64">
        <v>50.8</v>
      </c>
      <c r="D22" s="64">
        <v>33.94</v>
      </c>
      <c r="E22" s="64">
        <v>3.11</v>
      </c>
      <c r="F22" s="64">
        <v>3.67</v>
      </c>
      <c r="G22" s="64">
        <v>58.21</v>
      </c>
      <c r="H22" s="64">
        <v>26.44</v>
      </c>
      <c r="I22" s="64">
        <v>1.43</v>
      </c>
      <c r="J22" s="64">
        <v>0.12</v>
      </c>
      <c r="K22" s="64">
        <v>328.12</v>
      </c>
      <c r="L22" s="64">
        <v>19.579999999999998</v>
      </c>
      <c r="M22" s="64">
        <v>95.4</v>
      </c>
      <c r="N22" s="64">
        <v>71.599999999999994</v>
      </c>
      <c r="O22" s="64">
        <v>0</v>
      </c>
      <c r="P22" s="64">
        <v>0.65</v>
      </c>
      <c r="Q22" s="64">
        <v>8.99</v>
      </c>
      <c r="R22" s="198"/>
      <c r="S22" s="198"/>
      <c r="T22" s="198"/>
      <c r="U22" s="198"/>
    </row>
    <row r="23" spans="1:21" s="12" customFormat="1" x14ac:dyDescent="0.25">
      <c r="A23" s="213" t="s">
        <v>2757</v>
      </c>
      <c r="B23" s="64">
        <v>6.55</v>
      </c>
      <c r="C23" s="64">
        <v>50.51</v>
      </c>
      <c r="D23" s="64">
        <v>33.770000000000003</v>
      </c>
      <c r="E23" s="64">
        <v>3.19</v>
      </c>
      <c r="F23" s="64">
        <v>3.5</v>
      </c>
      <c r="G23" s="64">
        <v>57.79</v>
      </c>
      <c r="H23" s="64">
        <v>25.94</v>
      </c>
      <c r="I23" s="64">
        <v>1.44</v>
      </c>
      <c r="J23" s="64">
        <v>0.03</v>
      </c>
      <c r="K23" s="64">
        <v>31.44</v>
      </c>
      <c r="L23" s="64">
        <v>19.440000000000001</v>
      </c>
      <c r="M23" s="64">
        <v>96.55</v>
      </c>
      <c r="N23" s="64">
        <v>71.599999999999994</v>
      </c>
      <c r="O23" s="64">
        <v>0</v>
      </c>
      <c r="P23" s="64">
        <v>0.64</v>
      </c>
      <c r="Q23" s="64">
        <v>9</v>
      </c>
      <c r="R23" s="198"/>
      <c r="S23" s="198"/>
      <c r="T23" s="198"/>
      <c r="U23" s="198"/>
    </row>
    <row r="24" spans="1:21" s="12" customFormat="1" x14ac:dyDescent="0.25">
      <c r="A24" s="213" t="s">
        <v>2758</v>
      </c>
      <c r="B24" s="64">
        <v>6.58</v>
      </c>
      <c r="C24" s="64">
        <v>49.86</v>
      </c>
      <c r="D24" s="64">
        <v>33.44</v>
      </c>
      <c r="E24" s="64">
        <v>3.21</v>
      </c>
      <c r="F24" s="64">
        <v>3.74</v>
      </c>
      <c r="G24" s="64">
        <v>57.79</v>
      </c>
      <c r="H24" s="64">
        <v>25.94</v>
      </c>
      <c r="I24" s="64">
        <v>1.55</v>
      </c>
      <c r="J24" s="64">
        <v>0.05</v>
      </c>
      <c r="K24" s="64">
        <v>347.28</v>
      </c>
      <c r="L24" s="64">
        <v>19.53</v>
      </c>
      <c r="M24" s="64">
        <v>95.92</v>
      </c>
      <c r="N24" s="64">
        <v>71.8</v>
      </c>
      <c r="O24" s="64">
        <v>0</v>
      </c>
      <c r="P24" s="64">
        <v>0.63</v>
      </c>
      <c r="Q24" s="64">
        <v>9.02</v>
      </c>
      <c r="R24" s="198"/>
      <c r="S24" s="198"/>
      <c r="T24" s="198"/>
      <c r="U24" s="198"/>
    </row>
    <row r="25" spans="1:21" s="12" customFormat="1" x14ac:dyDescent="0.25">
      <c r="A25" s="213" t="s">
        <v>2759</v>
      </c>
      <c r="B25" s="64">
        <v>7.19</v>
      </c>
      <c r="C25" s="64">
        <v>49.39</v>
      </c>
      <c r="D25" s="64">
        <v>33.67</v>
      </c>
      <c r="E25" s="64">
        <v>3.69</v>
      </c>
      <c r="F25" s="64">
        <v>3.03</v>
      </c>
      <c r="G25" s="64">
        <v>57.79</v>
      </c>
      <c r="H25" s="64">
        <v>25.94</v>
      </c>
      <c r="I25" s="64">
        <v>1.51</v>
      </c>
      <c r="J25" s="64">
        <v>0.1</v>
      </c>
      <c r="K25" s="64">
        <v>273.48</v>
      </c>
      <c r="L25" s="64">
        <v>19.41</v>
      </c>
      <c r="M25" s="64">
        <v>97.44</v>
      </c>
      <c r="N25" s="64">
        <v>72.2</v>
      </c>
      <c r="O25" s="64">
        <v>0</v>
      </c>
      <c r="P25" s="64">
        <v>0.64</v>
      </c>
      <c r="Q25" s="64">
        <v>8.98</v>
      </c>
      <c r="R25" s="198"/>
      <c r="S25" s="198"/>
      <c r="T25" s="198"/>
      <c r="U25" s="198"/>
    </row>
    <row r="26" spans="1:21" s="12" customFormat="1" x14ac:dyDescent="0.25">
      <c r="A26" s="213" t="s">
        <v>2760</v>
      </c>
      <c r="B26" s="64">
        <v>8.2100000000000009</v>
      </c>
      <c r="C26" s="64">
        <v>49.74</v>
      </c>
      <c r="D26" s="64">
        <v>34.68</v>
      </c>
      <c r="E26" s="64">
        <v>3.84</v>
      </c>
      <c r="F26" s="64">
        <v>3.07</v>
      </c>
      <c r="G26" s="64">
        <v>56.7</v>
      </c>
      <c r="H26" s="64">
        <v>28.89</v>
      </c>
      <c r="I26" s="64">
        <v>1.47</v>
      </c>
      <c r="J26" s="64">
        <v>0.09</v>
      </c>
      <c r="K26" s="64">
        <v>25.5</v>
      </c>
      <c r="L26" s="64">
        <v>19.45</v>
      </c>
      <c r="M26" s="64">
        <v>97.47</v>
      </c>
      <c r="N26" s="64">
        <v>72.400000000000006</v>
      </c>
      <c r="O26" s="64">
        <v>0</v>
      </c>
      <c r="P26" s="64">
        <v>0.65</v>
      </c>
      <c r="Q26" s="64">
        <v>8.99</v>
      </c>
      <c r="R26" s="198"/>
      <c r="S26" s="198"/>
      <c r="T26" s="198"/>
      <c r="U26" s="198"/>
    </row>
    <row r="27" spans="1:21" s="12" customFormat="1" x14ac:dyDescent="0.25">
      <c r="A27" s="213" t="s">
        <v>2761</v>
      </c>
      <c r="B27" s="64">
        <v>9.14</v>
      </c>
      <c r="C27" s="64">
        <v>49.84</v>
      </c>
      <c r="D27" s="64">
        <v>35.49</v>
      </c>
      <c r="E27" s="64">
        <v>3.63</v>
      </c>
      <c r="F27" s="64">
        <v>3.58</v>
      </c>
      <c r="G27" s="64">
        <v>56.49</v>
      </c>
      <c r="H27" s="64">
        <v>29.48</v>
      </c>
      <c r="I27" s="64">
        <v>1.51</v>
      </c>
      <c r="J27" s="64">
        <v>0.26</v>
      </c>
      <c r="K27" s="64">
        <v>76.739999999999995</v>
      </c>
      <c r="L27" s="64">
        <v>19.7</v>
      </c>
      <c r="M27" s="64">
        <v>95.05</v>
      </c>
      <c r="N27" s="64">
        <v>72</v>
      </c>
      <c r="O27" s="64">
        <v>0</v>
      </c>
      <c r="P27" s="64">
        <v>0.65</v>
      </c>
      <c r="Q27" s="64">
        <v>8.99</v>
      </c>
      <c r="R27" s="198"/>
      <c r="S27" s="198"/>
      <c r="T27" s="198"/>
      <c r="U27" s="198"/>
    </row>
    <row r="28" spans="1:21" s="12" customFormat="1" x14ac:dyDescent="0.25">
      <c r="A28" s="213" t="s">
        <v>2762</v>
      </c>
      <c r="B28" s="64">
        <v>9.59</v>
      </c>
      <c r="C28" s="64">
        <v>48.69</v>
      </c>
      <c r="D28" s="64">
        <v>35.21</v>
      </c>
      <c r="E28" s="64">
        <v>4.1500000000000004</v>
      </c>
      <c r="F28" s="64">
        <v>3.65</v>
      </c>
      <c r="G28" s="64">
        <v>56.49</v>
      </c>
      <c r="H28" s="64">
        <v>29.48</v>
      </c>
      <c r="I28" s="64">
        <v>1.5</v>
      </c>
      <c r="J28" s="64">
        <v>0.19</v>
      </c>
      <c r="K28" s="64">
        <v>79.040000000000006</v>
      </c>
      <c r="L28" s="64">
        <v>19.899999999999999</v>
      </c>
      <c r="M28" s="64">
        <v>92.65</v>
      </c>
      <c r="N28" s="64">
        <v>73.099999999999994</v>
      </c>
      <c r="O28" s="64">
        <v>0</v>
      </c>
      <c r="P28" s="64">
        <v>0.64</v>
      </c>
      <c r="Q28" s="64">
        <v>8.98</v>
      </c>
      <c r="R28" s="198"/>
      <c r="S28" s="198"/>
      <c r="T28" s="198"/>
      <c r="U28" s="198"/>
    </row>
    <row r="29" spans="1:21" s="12" customFormat="1" x14ac:dyDescent="0.25">
      <c r="A29" s="213" t="s">
        <v>2763</v>
      </c>
      <c r="B29" s="64">
        <v>9.6999999999999993</v>
      </c>
      <c r="C29" s="64">
        <v>48.4</v>
      </c>
      <c r="D29" s="64">
        <v>35.130000000000003</v>
      </c>
      <c r="E29" s="64">
        <v>3.78</v>
      </c>
      <c r="F29" s="64">
        <v>3.73</v>
      </c>
      <c r="G29" s="64">
        <v>56.49</v>
      </c>
      <c r="H29" s="64">
        <v>29.48</v>
      </c>
      <c r="I29" s="64">
        <v>1.49</v>
      </c>
      <c r="J29" s="64">
        <v>0.28000000000000003</v>
      </c>
      <c r="K29" s="64">
        <v>80.86</v>
      </c>
      <c r="L29" s="64">
        <v>19.93</v>
      </c>
      <c r="M29" s="64">
        <v>91.81</v>
      </c>
      <c r="N29" s="64">
        <v>73.3</v>
      </c>
      <c r="O29" s="64">
        <v>0</v>
      </c>
      <c r="P29" s="64">
        <v>0.63</v>
      </c>
      <c r="Q29" s="64">
        <v>9</v>
      </c>
      <c r="R29" s="198"/>
      <c r="S29" s="198"/>
      <c r="T29" s="198"/>
      <c r="U29" s="198"/>
    </row>
    <row r="30" spans="1:21" s="12" customFormat="1" x14ac:dyDescent="0.25">
      <c r="A30" s="213" t="s">
        <v>2764</v>
      </c>
      <c r="B30" s="64">
        <v>9.76</v>
      </c>
      <c r="C30" s="64">
        <v>47.42</v>
      </c>
      <c r="D30" s="64">
        <v>34.64</v>
      </c>
      <c r="E30" s="64">
        <v>3.52</v>
      </c>
      <c r="F30" s="64">
        <v>2.99</v>
      </c>
      <c r="G30" s="64">
        <v>57.88</v>
      </c>
      <c r="H30" s="64">
        <v>30.52</v>
      </c>
      <c r="I30" s="64">
        <v>1.48</v>
      </c>
      <c r="J30" s="64">
        <v>0.18</v>
      </c>
      <c r="K30" s="64">
        <v>64.349999999999994</v>
      </c>
      <c r="L30" s="64">
        <v>19.8</v>
      </c>
      <c r="M30" s="64">
        <v>92.7</v>
      </c>
      <c r="N30" s="64">
        <v>73.8</v>
      </c>
      <c r="O30" s="64">
        <v>0</v>
      </c>
      <c r="P30" s="64">
        <v>0.63</v>
      </c>
      <c r="Q30" s="64">
        <v>9.02</v>
      </c>
      <c r="R30" s="198"/>
      <c r="S30" s="198"/>
      <c r="T30" s="198"/>
      <c r="U30" s="198"/>
    </row>
    <row r="31" spans="1:21" s="12" customFormat="1" x14ac:dyDescent="0.25">
      <c r="A31" s="213" t="s">
        <v>2765</v>
      </c>
      <c r="B31" s="64">
        <v>10.28</v>
      </c>
      <c r="C31" s="64">
        <v>46.08</v>
      </c>
      <c r="D31" s="64">
        <v>34.32</v>
      </c>
      <c r="E31" s="64">
        <v>3.71</v>
      </c>
      <c r="F31" s="64">
        <v>3.66</v>
      </c>
      <c r="G31" s="64">
        <v>58.16</v>
      </c>
      <c r="H31" s="64">
        <v>30.73</v>
      </c>
      <c r="I31" s="64">
        <v>1.53</v>
      </c>
      <c r="J31" s="64">
        <v>0.22</v>
      </c>
      <c r="K31" s="64">
        <v>59.19</v>
      </c>
      <c r="L31" s="64">
        <v>19.850000000000001</v>
      </c>
      <c r="M31" s="64">
        <v>92.84</v>
      </c>
      <c r="N31" s="64">
        <v>73.8</v>
      </c>
      <c r="O31" s="64">
        <v>0</v>
      </c>
      <c r="P31" s="64">
        <v>0.63</v>
      </c>
      <c r="Q31" s="64">
        <v>9.01</v>
      </c>
      <c r="R31" s="198"/>
      <c r="S31" s="198"/>
      <c r="T31" s="198"/>
      <c r="U31" s="198"/>
    </row>
    <row r="32" spans="1:21" s="12" customFormat="1" x14ac:dyDescent="0.25">
      <c r="A32" s="213" t="s">
        <v>2766</v>
      </c>
      <c r="B32" s="64">
        <v>11.03</v>
      </c>
      <c r="C32" s="64">
        <v>47.07</v>
      </c>
      <c r="D32" s="64">
        <v>35.47</v>
      </c>
      <c r="E32" s="64">
        <v>3.86</v>
      </c>
      <c r="F32" s="64">
        <v>3.02</v>
      </c>
      <c r="G32" s="64">
        <v>58.16</v>
      </c>
      <c r="H32" s="64">
        <v>30.73</v>
      </c>
      <c r="I32" s="64">
        <v>1.47</v>
      </c>
      <c r="J32" s="64">
        <v>0.18</v>
      </c>
      <c r="K32" s="64">
        <v>65.87</v>
      </c>
      <c r="L32" s="64">
        <v>19.71</v>
      </c>
      <c r="M32" s="64">
        <v>93.47</v>
      </c>
      <c r="N32" s="64">
        <v>74.2</v>
      </c>
      <c r="O32" s="64">
        <v>0</v>
      </c>
      <c r="P32" s="64">
        <v>0.64</v>
      </c>
      <c r="Q32" s="64">
        <v>8.98</v>
      </c>
      <c r="R32" s="198"/>
      <c r="S32" s="198"/>
      <c r="T32" s="198"/>
      <c r="U32" s="198"/>
    </row>
    <row r="33" spans="1:21" s="12" customFormat="1" x14ac:dyDescent="0.25">
      <c r="A33" s="213" t="s">
        <v>2767</v>
      </c>
      <c r="B33" s="64">
        <v>11.65</v>
      </c>
      <c r="C33" s="64">
        <v>46.68</v>
      </c>
      <c r="D33" s="64">
        <v>35.75</v>
      </c>
      <c r="E33" s="64">
        <v>3.85</v>
      </c>
      <c r="F33" s="64">
        <v>3.61</v>
      </c>
      <c r="G33" s="64">
        <v>58.16</v>
      </c>
      <c r="H33" s="64">
        <v>30.73</v>
      </c>
      <c r="I33" s="64">
        <v>1.53</v>
      </c>
      <c r="J33" s="64">
        <v>0.13</v>
      </c>
      <c r="K33" s="64">
        <v>45.77</v>
      </c>
      <c r="L33" s="64">
        <v>19.63</v>
      </c>
      <c r="M33" s="64">
        <v>93.64</v>
      </c>
      <c r="N33" s="64">
        <v>76.900000000000006</v>
      </c>
      <c r="O33" s="64">
        <v>0</v>
      </c>
      <c r="P33" s="64">
        <v>0.64</v>
      </c>
      <c r="Q33" s="64">
        <v>8.94</v>
      </c>
      <c r="R33" s="198"/>
      <c r="S33" s="198"/>
      <c r="T33" s="198"/>
      <c r="U33" s="198"/>
    </row>
    <row r="34" spans="1:21" s="12" customFormat="1" x14ac:dyDescent="0.25">
      <c r="A34" s="213" t="s">
        <v>2768</v>
      </c>
      <c r="B34" s="64">
        <v>12.74</v>
      </c>
      <c r="C34" s="64">
        <v>47.93</v>
      </c>
      <c r="D34" s="64">
        <v>37.31</v>
      </c>
      <c r="E34" s="64">
        <v>4</v>
      </c>
      <c r="F34" s="64">
        <v>4.1399999999999997</v>
      </c>
      <c r="G34" s="64">
        <v>64.88</v>
      </c>
      <c r="H34" s="64">
        <v>31.14</v>
      </c>
      <c r="I34" s="64">
        <v>1.51</v>
      </c>
      <c r="J34" s="64">
        <v>0.12</v>
      </c>
      <c r="K34" s="64">
        <v>25.29</v>
      </c>
      <c r="L34" s="64">
        <v>19.59</v>
      </c>
      <c r="M34" s="64">
        <v>94.28</v>
      </c>
      <c r="N34" s="64">
        <v>105.2</v>
      </c>
      <c r="O34" s="64">
        <v>0</v>
      </c>
      <c r="P34" s="64">
        <v>0.65</v>
      </c>
      <c r="Q34" s="64">
        <v>8.94</v>
      </c>
      <c r="R34" s="198"/>
      <c r="S34" s="198"/>
      <c r="T34" s="198"/>
      <c r="U34" s="198"/>
    </row>
    <row r="35" spans="1:21" s="12" customFormat="1" x14ac:dyDescent="0.25">
      <c r="A35" s="213" t="s">
        <v>2769</v>
      </c>
      <c r="B35" s="64">
        <v>14.31</v>
      </c>
      <c r="C35" s="64">
        <v>47.87</v>
      </c>
      <c r="D35" s="64">
        <v>38.54</v>
      </c>
      <c r="E35" s="64">
        <v>3.98</v>
      </c>
      <c r="F35" s="64">
        <v>3.43</v>
      </c>
      <c r="G35" s="64">
        <v>66.22</v>
      </c>
      <c r="H35" s="64">
        <v>31.22</v>
      </c>
      <c r="I35" s="64">
        <v>1.53</v>
      </c>
      <c r="J35" s="64">
        <v>0.09</v>
      </c>
      <c r="K35" s="64">
        <v>11.97</v>
      </c>
      <c r="L35" s="64">
        <v>19.690000000000001</v>
      </c>
      <c r="M35" s="64">
        <v>94.34</v>
      </c>
      <c r="N35" s="64">
        <v>102.1</v>
      </c>
      <c r="O35" s="64">
        <v>0</v>
      </c>
      <c r="P35" s="64">
        <v>0.66</v>
      </c>
      <c r="Q35" s="64">
        <v>8.94</v>
      </c>
      <c r="R35" s="198"/>
      <c r="S35" s="198"/>
      <c r="T35" s="198"/>
      <c r="U35" s="198"/>
    </row>
    <row r="36" spans="1:21" s="12" customFormat="1" x14ac:dyDescent="0.25">
      <c r="A36" s="213" t="s">
        <v>2770</v>
      </c>
      <c r="B36" s="64">
        <v>15.94</v>
      </c>
      <c r="C36" s="64">
        <v>47.69</v>
      </c>
      <c r="D36" s="64">
        <v>39.75</v>
      </c>
      <c r="E36" s="64">
        <v>3.86</v>
      </c>
      <c r="F36" s="64">
        <v>3.06</v>
      </c>
      <c r="G36" s="64">
        <v>66.22</v>
      </c>
      <c r="H36" s="64">
        <v>31.22</v>
      </c>
      <c r="I36" s="64">
        <v>1.57</v>
      </c>
      <c r="J36" s="64">
        <v>0.55000000000000004</v>
      </c>
      <c r="K36" s="64">
        <v>89.4</v>
      </c>
      <c r="L36" s="64">
        <v>20.23</v>
      </c>
      <c r="M36" s="64">
        <v>91.31</v>
      </c>
      <c r="N36" s="64">
        <v>138.6</v>
      </c>
      <c r="O36" s="64">
        <v>0</v>
      </c>
      <c r="P36" s="64">
        <v>0.67</v>
      </c>
      <c r="Q36" s="64">
        <v>8.94</v>
      </c>
      <c r="R36" s="198"/>
      <c r="S36" s="198"/>
      <c r="T36" s="198"/>
      <c r="U36" s="198"/>
    </row>
    <row r="37" spans="1:21" s="12" customFormat="1" x14ac:dyDescent="0.25">
      <c r="A37" s="213" t="s">
        <v>2771</v>
      </c>
      <c r="B37" s="64">
        <v>16.53</v>
      </c>
      <c r="C37" s="64">
        <v>50.02</v>
      </c>
      <c r="D37" s="64">
        <v>41.5</v>
      </c>
      <c r="E37" s="64">
        <v>4.05</v>
      </c>
      <c r="F37" s="64">
        <v>2.99</v>
      </c>
      <c r="G37" s="64">
        <v>66.22</v>
      </c>
      <c r="H37" s="64">
        <v>31.22</v>
      </c>
      <c r="I37" s="64">
        <v>1.56</v>
      </c>
      <c r="J37" s="64">
        <v>0.64</v>
      </c>
      <c r="K37" s="64">
        <v>92.81</v>
      </c>
      <c r="L37" s="64">
        <v>20.88</v>
      </c>
      <c r="M37" s="64">
        <v>87.98</v>
      </c>
      <c r="N37" s="64">
        <v>160.19999999999999</v>
      </c>
      <c r="O37" s="64">
        <v>0</v>
      </c>
      <c r="P37" s="64">
        <v>0.67</v>
      </c>
      <c r="Q37" s="64">
        <v>8.9700000000000006</v>
      </c>
      <c r="R37" s="198"/>
      <c r="S37" s="198"/>
      <c r="T37" s="198"/>
      <c r="U37" s="198"/>
    </row>
    <row r="38" spans="1:21" s="12" customFormat="1" x14ac:dyDescent="0.25">
      <c r="A38" s="213" t="s">
        <v>2772</v>
      </c>
      <c r="B38" s="64">
        <v>16.28</v>
      </c>
      <c r="C38" s="64">
        <v>50.54</v>
      </c>
      <c r="D38" s="64">
        <v>41.6</v>
      </c>
      <c r="E38" s="64">
        <v>4.09</v>
      </c>
      <c r="F38" s="64">
        <v>3.66</v>
      </c>
      <c r="G38" s="64">
        <v>69.73</v>
      </c>
      <c r="H38" s="64">
        <v>31.7</v>
      </c>
      <c r="I38" s="64">
        <v>1.43</v>
      </c>
      <c r="J38" s="64">
        <v>0.6</v>
      </c>
      <c r="K38" s="64">
        <v>92.15</v>
      </c>
      <c r="L38" s="64">
        <v>21.08</v>
      </c>
      <c r="M38" s="64">
        <v>86.77</v>
      </c>
      <c r="N38" s="64">
        <v>157</v>
      </c>
      <c r="O38" s="64">
        <v>0</v>
      </c>
      <c r="P38" s="64">
        <v>0.69</v>
      </c>
      <c r="Q38" s="64">
        <v>9.01</v>
      </c>
      <c r="R38" s="198"/>
      <c r="S38" s="198"/>
      <c r="T38" s="198"/>
      <c r="U38" s="198"/>
    </row>
    <row r="39" spans="1:21" s="12" customFormat="1" x14ac:dyDescent="0.25">
      <c r="A39" s="213" t="s">
        <v>2773</v>
      </c>
      <c r="B39" s="64">
        <v>15.58</v>
      </c>
      <c r="C39" s="64">
        <v>51.16</v>
      </c>
      <c r="D39" s="64">
        <v>41.37</v>
      </c>
      <c r="E39" s="64">
        <v>4.09</v>
      </c>
      <c r="F39" s="64">
        <v>3.35</v>
      </c>
      <c r="G39" s="64">
        <v>70.44</v>
      </c>
      <c r="H39" s="64">
        <v>31.8</v>
      </c>
      <c r="I39" s="64">
        <v>1.44</v>
      </c>
      <c r="J39" s="64">
        <v>0.91</v>
      </c>
      <c r="K39" s="64">
        <v>93.6</v>
      </c>
      <c r="L39" s="64">
        <v>21.01</v>
      </c>
      <c r="M39" s="64">
        <v>87.29</v>
      </c>
      <c r="N39" s="64">
        <v>173.9</v>
      </c>
      <c r="O39" s="64">
        <v>0</v>
      </c>
      <c r="P39" s="64">
        <v>0.68</v>
      </c>
      <c r="Q39" s="64">
        <v>9.0299999999999994</v>
      </c>
      <c r="R39" s="198"/>
      <c r="S39" s="198"/>
      <c r="T39" s="198"/>
      <c r="U39" s="198"/>
    </row>
    <row r="40" spans="1:21" s="12" customFormat="1" x14ac:dyDescent="0.25">
      <c r="A40" s="213" t="s">
        <v>2774</v>
      </c>
      <c r="B40" s="64">
        <v>14.68</v>
      </c>
      <c r="C40" s="64">
        <v>49.73</v>
      </c>
      <c r="D40" s="64">
        <v>39.86</v>
      </c>
      <c r="E40" s="64">
        <v>3.37</v>
      </c>
      <c r="F40" s="64">
        <v>3.59</v>
      </c>
      <c r="G40" s="64">
        <v>70.44</v>
      </c>
      <c r="H40" s="64">
        <v>31.8</v>
      </c>
      <c r="I40" s="64">
        <v>1.55</v>
      </c>
      <c r="J40" s="64">
        <v>0.49</v>
      </c>
      <c r="K40" s="64">
        <v>81.150000000000006</v>
      </c>
      <c r="L40" s="64">
        <v>21.29</v>
      </c>
      <c r="M40" s="64">
        <v>85.91</v>
      </c>
      <c r="N40" s="64">
        <v>201.7</v>
      </c>
      <c r="O40" s="64">
        <v>0</v>
      </c>
      <c r="P40" s="64">
        <v>0.67</v>
      </c>
      <c r="Q40" s="64">
        <v>9.0399999999999991</v>
      </c>
      <c r="R40" s="198"/>
      <c r="S40" s="198"/>
      <c r="T40" s="198"/>
      <c r="U40" s="198"/>
    </row>
    <row r="41" spans="1:21" s="12" customFormat="1" x14ac:dyDescent="0.25">
      <c r="A41" s="213" t="s">
        <v>2775</v>
      </c>
      <c r="B41" s="64">
        <v>14.13</v>
      </c>
      <c r="C41" s="64">
        <v>50.05</v>
      </c>
      <c r="D41" s="64">
        <v>39.6</v>
      </c>
      <c r="E41" s="64">
        <v>4.47</v>
      </c>
      <c r="F41" s="64">
        <v>3.55</v>
      </c>
      <c r="G41" s="64">
        <v>70.44</v>
      </c>
      <c r="H41" s="64">
        <v>31.8</v>
      </c>
      <c r="I41" s="64">
        <v>1.53</v>
      </c>
      <c r="J41" s="64">
        <v>0.52</v>
      </c>
      <c r="K41" s="64">
        <v>86.95</v>
      </c>
      <c r="L41" s="64">
        <v>21.67</v>
      </c>
      <c r="M41" s="64">
        <v>84.75</v>
      </c>
      <c r="N41" s="64">
        <v>218.2</v>
      </c>
      <c r="O41" s="64">
        <v>0</v>
      </c>
      <c r="P41" s="64">
        <v>0.67</v>
      </c>
      <c r="Q41" s="64">
        <v>9.02</v>
      </c>
      <c r="R41" s="198"/>
      <c r="S41" s="198"/>
      <c r="T41" s="198"/>
      <c r="U41" s="198"/>
    </row>
    <row r="42" spans="1:21" s="12" customFormat="1" x14ac:dyDescent="0.25">
      <c r="A42" s="213" t="s">
        <v>2776</v>
      </c>
      <c r="B42" s="64">
        <v>13.93</v>
      </c>
      <c r="C42" s="64">
        <v>49.51</v>
      </c>
      <c r="D42" s="64">
        <v>39.130000000000003</v>
      </c>
      <c r="E42" s="64">
        <v>4.08</v>
      </c>
      <c r="F42" s="64">
        <v>3.14</v>
      </c>
      <c r="G42" s="64">
        <v>66.28</v>
      </c>
      <c r="H42" s="64">
        <v>29.98</v>
      </c>
      <c r="I42" s="64">
        <v>1.45</v>
      </c>
      <c r="J42" s="64">
        <v>0.17</v>
      </c>
      <c r="K42" s="64">
        <v>62.77</v>
      </c>
      <c r="L42" s="64">
        <v>22.1</v>
      </c>
      <c r="M42" s="64">
        <v>82.88</v>
      </c>
      <c r="N42" s="64">
        <v>210.3</v>
      </c>
      <c r="O42" s="64">
        <v>0</v>
      </c>
      <c r="P42" s="64">
        <v>0.67</v>
      </c>
      <c r="Q42" s="64">
        <v>9.01</v>
      </c>
      <c r="R42" s="198"/>
      <c r="S42" s="198"/>
      <c r="T42" s="198"/>
      <c r="U42" s="198"/>
    </row>
    <row r="43" spans="1:21" s="12" customFormat="1" x14ac:dyDescent="0.25">
      <c r="A43" s="213" t="s">
        <v>2777</v>
      </c>
      <c r="B43" s="64">
        <v>14.4</v>
      </c>
      <c r="C43" s="64">
        <v>50.64</v>
      </c>
      <c r="D43" s="64">
        <v>40.14</v>
      </c>
      <c r="E43" s="64">
        <v>4.09</v>
      </c>
      <c r="F43" s="64">
        <v>3.16</v>
      </c>
      <c r="G43" s="64">
        <v>65.38</v>
      </c>
      <c r="H43" s="64">
        <v>29.62</v>
      </c>
      <c r="I43" s="64">
        <v>1.51</v>
      </c>
      <c r="J43" s="64">
        <v>0.41</v>
      </c>
      <c r="K43" s="64">
        <v>355.6</v>
      </c>
      <c r="L43" s="64">
        <v>24.51</v>
      </c>
      <c r="M43" s="64">
        <v>72.23</v>
      </c>
      <c r="N43" s="64">
        <v>397.9</v>
      </c>
      <c r="O43" s="64">
        <v>0</v>
      </c>
      <c r="P43" s="64">
        <v>0.67</v>
      </c>
      <c r="Q43" s="64">
        <v>9.01</v>
      </c>
      <c r="R43" s="198"/>
      <c r="S43" s="198"/>
      <c r="T43" s="198"/>
      <c r="U43" s="198"/>
    </row>
    <row r="44" spans="1:21" s="12" customFormat="1" x14ac:dyDescent="0.25">
      <c r="A44" s="213" t="s">
        <v>2778</v>
      </c>
      <c r="B44" s="64">
        <v>14.82</v>
      </c>
      <c r="C44" s="64">
        <v>51.97</v>
      </c>
      <c r="D44" s="64">
        <v>41.21</v>
      </c>
      <c r="E44" s="64">
        <v>4.3099999999999996</v>
      </c>
      <c r="F44" s="64">
        <v>3.27</v>
      </c>
      <c r="G44" s="64">
        <v>65.38</v>
      </c>
      <c r="H44" s="64">
        <v>29.62</v>
      </c>
      <c r="I44" s="64">
        <v>1.44</v>
      </c>
      <c r="J44" s="64">
        <v>0.43</v>
      </c>
      <c r="K44" s="64">
        <v>340.09</v>
      </c>
      <c r="L44" s="64">
        <v>27.23</v>
      </c>
      <c r="M44" s="64">
        <v>61.14</v>
      </c>
      <c r="N44" s="64">
        <v>452.9</v>
      </c>
      <c r="O44" s="64">
        <v>0</v>
      </c>
      <c r="P44" s="64">
        <v>0.68</v>
      </c>
      <c r="Q44" s="64">
        <v>9.0399999999999991</v>
      </c>
      <c r="R44" s="198"/>
      <c r="S44" s="198"/>
      <c r="T44" s="198"/>
      <c r="U44" s="198"/>
    </row>
    <row r="45" spans="1:21" s="12" customFormat="1" x14ac:dyDescent="0.25">
      <c r="A45" s="213" t="s">
        <v>2779</v>
      </c>
      <c r="B45" s="64">
        <v>14.97</v>
      </c>
      <c r="C45" s="64">
        <v>51.68</v>
      </c>
      <c r="D45" s="64">
        <v>41.17</v>
      </c>
      <c r="E45" s="64">
        <v>4.55</v>
      </c>
      <c r="F45" s="64">
        <v>3.54</v>
      </c>
      <c r="G45" s="64">
        <v>65.38</v>
      </c>
      <c r="H45" s="64">
        <v>29.62</v>
      </c>
      <c r="I45" s="64">
        <v>1.58</v>
      </c>
      <c r="J45" s="64">
        <v>0.45</v>
      </c>
      <c r="K45" s="64">
        <v>340.05</v>
      </c>
      <c r="L45" s="64">
        <v>29.17</v>
      </c>
      <c r="M45" s="64">
        <v>54.2</v>
      </c>
      <c r="N45" s="64">
        <v>490.7</v>
      </c>
      <c r="O45" s="64">
        <v>0</v>
      </c>
      <c r="P45" s="64">
        <v>0.69</v>
      </c>
      <c r="Q45" s="64">
        <v>9.0299999999999994</v>
      </c>
      <c r="R45" s="198"/>
      <c r="S45" s="198"/>
      <c r="T45" s="198"/>
      <c r="U45" s="198"/>
    </row>
    <row r="46" spans="1:21" s="12" customFormat="1" x14ac:dyDescent="0.25">
      <c r="A46" s="213" t="s">
        <v>2780</v>
      </c>
      <c r="B46" s="64">
        <v>15.1</v>
      </c>
      <c r="C46" s="64">
        <v>51.87</v>
      </c>
      <c r="D46" s="64">
        <v>41.38</v>
      </c>
      <c r="E46" s="64">
        <v>4.3899999999999997</v>
      </c>
      <c r="F46" s="64">
        <v>3.1</v>
      </c>
      <c r="G46" s="64">
        <v>66.94</v>
      </c>
      <c r="H46" s="64">
        <v>25.12</v>
      </c>
      <c r="I46" s="64">
        <v>1.46</v>
      </c>
      <c r="J46" s="64">
        <v>0.38</v>
      </c>
      <c r="K46" s="64">
        <v>352.32</v>
      </c>
      <c r="L46" s="64">
        <v>29.96</v>
      </c>
      <c r="M46" s="64">
        <v>51.58</v>
      </c>
      <c r="N46" s="64">
        <v>531.9</v>
      </c>
      <c r="O46" s="64">
        <v>0</v>
      </c>
      <c r="P46" s="64">
        <v>0.7</v>
      </c>
      <c r="Q46" s="64">
        <v>9.06</v>
      </c>
      <c r="R46" s="198"/>
      <c r="S46" s="198"/>
      <c r="T46" s="198"/>
      <c r="U46" s="198"/>
    </row>
    <row r="47" spans="1:21" s="12" customFormat="1" x14ac:dyDescent="0.25">
      <c r="A47" s="213" t="s">
        <v>2781</v>
      </c>
      <c r="B47" s="64">
        <v>15</v>
      </c>
      <c r="C47" s="64">
        <v>51.8</v>
      </c>
      <c r="D47" s="64">
        <v>41.26</v>
      </c>
      <c r="E47" s="64">
        <v>4.28</v>
      </c>
      <c r="F47" s="64">
        <v>3.32</v>
      </c>
      <c r="G47" s="64">
        <v>67.25</v>
      </c>
      <c r="H47" s="64">
        <v>24.22</v>
      </c>
      <c r="I47" s="64">
        <v>1.46</v>
      </c>
      <c r="J47" s="64">
        <v>0.52</v>
      </c>
      <c r="K47" s="64">
        <v>350.78</v>
      </c>
      <c r="L47" s="64">
        <v>29.97</v>
      </c>
      <c r="M47" s="64">
        <v>52.15</v>
      </c>
      <c r="N47" s="64">
        <v>558.79999999999995</v>
      </c>
      <c r="O47" s="64">
        <v>0</v>
      </c>
      <c r="P47" s="64">
        <v>0.71</v>
      </c>
      <c r="Q47" s="64">
        <v>9.0299999999999994</v>
      </c>
      <c r="R47" s="198"/>
      <c r="S47" s="198"/>
      <c r="T47" s="198"/>
      <c r="U47" s="198"/>
    </row>
    <row r="48" spans="1:21" s="12" customFormat="1" x14ac:dyDescent="0.25">
      <c r="A48" s="213" t="s">
        <v>2782</v>
      </c>
      <c r="B48" s="64">
        <v>14.71</v>
      </c>
      <c r="C48" s="64">
        <v>53.45</v>
      </c>
      <c r="D48" s="64">
        <v>41.94</v>
      </c>
      <c r="E48" s="64">
        <v>4.34</v>
      </c>
      <c r="F48" s="64">
        <v>3.36</v>
      </c>
      <c r="G48" s="64">
        <v>67.25</v>
      </c>
      <c r="H48" s="64">
        <v>24.22</v>
      </c>
      <c r="I48" s="64">
        <v>1.49</v>
      </c>
      <c r="J48" s="64">
        <v>0.34</v>
      </c>
      <c r="K48" s="64">
        <v>14.75</v>
      </c>
      <c r="L48" s="64">
        <v>30.79</v>
      </c>
      <c r="M48" s="64">
        <v>49.63</v>
      </c>
      <c r="N48" s="64">
        <v>597.9</v>
      </c>
      <c r="O48" s="64">
        <v>0</v>
      </c>
      <c r="P48" s="64">
        <v>0.72</v>
      </c>
      <c r="Q48" s="64">
        <v>9.01</v>
      </c>
      <c r="R48" s="198"/>
      <c r="S48" s="198"/>
      <c r="T48" s="198"/>
      <c r="U48" s="198"/>
    </row>
    <row r="49" spans="1:21" s="12" customFormat="1" x14ac:dyDescent="0.25">
      <c r="A49" s="213" t="s">
        <v>2783</v>
      </c>
      <c r="B49" s="64">
        <v>14.34</v>
      </c>
      <c r="C49" s="64">
        <v>52.64</v>
      </c>
      <c r="D49" s="64">
        <v>41.19</v>
      </c>
      <c r="E49" s="64">
        <v>4.24</v>
      </c>
      <c r="F49" s="64">
        <v>3.15</v>
      </c>
      <c r="G49" s="64">
        <v>67.25</v>
      </c>
      <c r="H49" s="64">
        <v>24.22</v>
      </c>
      <c r="I49" s="64">
        <v>1.56</v>
      </c>
      <c r="J49" s="64">
        <v>0.34</v>
      </c>
      <c r="K49" s="64">
        <v>163.19</v>
      </c>
      <c r="L49" s="64">
        <v>28.33</v>
      </c>
      <c r="M49" s="64">
        <v>56.69</v>
      </c>
      <c r="N49" s="64">
        <v>648.9</v>
      </c>
      <c r="O49" s="64">
        <v>0</v>
      </c>
      <c r="P49" s="64">
        <v>0.72</v>
      </c>
      <c r="Q49" s="64">
        <v>9.0299999999999994</v>
      </c>
      <c r="R49" s="198"/>
      <c r="S49" s="198"/>
      <c r="T49" s="198"/>
      <c r="U49" s="198"/>
    </row>
    <row r="50" spans="1:21" s="12" customFormat="1" x14ac:dyDescent="0.25">
      <c r="A50" s="213" t="s">
        <v>2784</v>
      </c>
      <c r="B50" s="64">
        <v>13.29</v>
      </c>
      <c r="C50" s="64">
        <v>53.56</v>
      </c>
      <c r="D50" s="64">
        <v>40.869999999999997</v>
      </c>
      <c r="E50" s="64">
        <v>3.95</v>
      </c>
      <c r="F50" s="64">
        <v>3.22</v>
      </c>
      <c r="G50" s="64">
        <v>66.48</v>
      </c>
      <c r="H50" s="64">
        <v>25.22</v>
      </c>
      <c r="I50" s="64">
        <v>1.43</v>
      </c>
      <c r="J50" s="64">
        <v>0.8</v>
      </c>
      <c r="K50" s="64">
        <v>146.32</v>
      </c>
      <c r="L50" s="64">
        <v>27.01</v>
      </c>
      <c r="M50" s="64">
        <v>62.28</v>
      </c>
      <c r="N50" s="64">
        <v>681.5</v>
      </c>
      <c r="O50" s="64">
        <v>0</v>
      </c>
      <c r="P50" s="64">
        <v>0.71</v>
      </c>
      <c r="Q50" s="64">
        <v>9.08</v>
      </c>
      <c r="R50" s="198"/>
      <c r="S50" s="198"/>
      <c r="T50" s="198"/>
      <c r="U50" s="198"/>
    </row>
    <row r="51" spans="1:21" s="12" customFormat="1" x14ac:dyDescent="0.25">
      <c r="A51" s="213" t="s">
        <v>2785</v>
      </c>
      <c r="B51" s="64">
        <v>12.3</v>
      </c>
      <c r="C51" s="64">
        <v>52.66</v>
      </c>
      <c r="D51" s="64">
        <v>39.57</v>
      </c>
      <c r="E51" s="64">
        <v>4</v>
      </c>
      <c r="F51" s="64">
        <v>3.72</v>
      </c>
      <c r="G51" s="64">
        <v>66.33</v>
      </c>
      <c r="H51" s="64">
        <v>25.42</v>
      </c>
      <c r="I51" s="64">
        <v>1.54</v>
      </c>
      <c r="J51" s="64">
        <v>0.28000000000000003</v>
      </c>
      <c r="K51" s="64">
        <v>306.3</v>
      </c>
      <c r="L51" s="64">
        <v>29.76</v>
      </c>
      <c r="M51" s="64">
        <v>52.49</v>
      </c>
      <c r="N51" s="64">
        <v>699</v>
      </c>
      <c r="O51" s="64">
        <v>0</v>
      </c>
      <c r="P51" s="64">
        <v>0.7</v>
      </c>
      <c r="Q51" s="64">
        <v>9.0500000000000007</v>
      </c>
      <c r="R51" s="198"/>
      <c r="S51" s="198"/>
      <c r="T51" s="198"/>
      <c r="U51" s="198"/>
    </row>
    <row r="52" spans="1:21" s="12" customFormat="1" x14ac:dyDescent="0.25">
      <c r="A52" s="213" t="s">
        <v>2786</v>
      </c>
      <c r="B52" s="64">
        <v>11.1</v>
      </c>
      <c r="C52" s="64">
        <v>51.43</v>
      </c>
      <c r="D52" s="64">
        <v>37.93</v>
      </c>
      <c r="E52" s="64">
        <v>3.92</v>
      </c>
      <c r="F52" s="64">
        <v>3.67</v>
      </c>
      <c r="G52" s="64">
        <v>66.33</v>
      </c>
      <c r="H52" s="64">
        <v>25.42</v>
      </c>
      <c r="I52" s="64">
        <v>1.44</v>
      </c>
      <c r="J52" s="64">
        <v>0.48</v>
      </c>
      <c r="K52" s="64">
        <v>149.91</v>
      </c>
      <c r="L52" s="64">
        <v>27.69</v>
      </c>
      <c r="M52" s="64">
        <v>59.13</v>
      </c>
      <c r="N52" s="64">
        <v>740.3</v>
      </c>
      <c r="O52" s="64">
        <v>0</v>
      </c>
      <c r="P52" s="64">
        <v>0.68</v>
      </c>
      <c r="Q52" s="64">
        <v>9.0399999999999991</v>
      </c>
      <c r="R52" s="198"/>
      <c r="S52" s="198"/>
      <c r="T52" s="198"/>
      <c r="U52" s="198"/>
    </row>
    <row r="53" spans="1:21" s="12" customFormat="1" x14ac:dyDescent="0.25">
      <c r="A53" s="213" t="s">
        <v>2787</v>
      </c>
      <c r="B53" s="64">
        <v>9.52</v>
      </c>
      <c r="C53" s="64">
        <v>50.26</v>
      </c>
      <c r="D53" s="64">
        <v>36.020000000000003</v>
      </c>
      <c r="E53" s="64">
        <v>4.29</v>
      </c>
      <c r="F53" s="64">
        <v>3.9</v>
      </c>
      <c r="G53" s="64">
        <v>66.33</v>
      </c>
      <c r="H53" s="64">
        <v>25.42</v>
      </c>
      <c r="I53" s="64">
        <v>1.5</v>
      </c>
      <c r="J53" s="64">
        <v>0.34</v>
      </c>
      <c r="K53" s="64">
        <v>177.78</v>
      </c>
      <c r="L53" s="64">
        <v>27.89</v>
      </c>
      <c r="M53" s="64">
        <v>58.15</v>
      </c>
      <c r="N53" s="64">
        <v>765.2</v>
      </c>
      <c r="O53" s="64">
        <v>0</v>
      </c>
      <c r="P53" s="64">
        <v>0.66</v>
      </c>
      <c r="Q53" s="64">
        <v>8.98</v>
      </c>
      <c r="R53" s="198"/>
      <c r="S53" s="198"/>
      <c r="T53" s="198"/>
      <c r="U53" s="198"/>
    </row>
    <row r="54" spans="1:21" s="12" customFormat="1" x14ac:dyDescent="0.25">
      <c r="A54" s="213" t="s">
        <v>2788</v>
      </c>
      <c r="B54" s="64">
        <v>6.1</v>
      </c>
      <c r="C54" s="64">
        <v>46.84</v>
      </c>
      <c r="D54" s="64">
        <v>31.39</v>
      </c>
      <c r="E54" s="64">
        <v>4.7300000000000004</v>
      </c>
      <c r="F54" s="64">
        <v>9.31</v>
      </c>
      <c r="G54" s="64">
        <v>56.22</v>
      </c>
      <c r="H54" s="64">
        <v>24.39</v>
      </c>
      <c r="I54" s="64">
        <v>1.48</v>
      </c>
      <c r="J54" s="64">
        <v>0.02</v>
      </c>
      <c r="K54" s="64">
        <v>252.82</v>
      </c>
      <c r="L54" s="64">
        <v>29.96</v>
      </c>
      <c r="M54" s="64">
        <v>51.31</v>
      </c>
      <c r="N54" s="64">
        <v>754.7</v>
      </c>
      <c r="O54" s="64">
        <v>0</v>
      </c>
      <c r="P54" s="64">
        <v>0.56999999999999995</v>
      </c>
      <c r="Q54" s="64">
        <v>8.9499999999999993</v>
      </c>
      <c r="R54" s="198"/>
      <c r="S54" s="198"/>
      <c r="T54" s="198"/>
      <c r="U54" s="198"/>
    </row>
    <row r="55" spans="1:21" s="12" customFormat="1" x14ac:dyDescent="0.25">
      <c r="A55" s="213" t="s">
        <v>2789</v>
      </c>
      <c r="B55" s="64">
        <v>2.61</v>
      </c>
      <c r="C55" s="64">
        <v>43.16</v>
      </c>
      <c r="D55" s="64">
        <v>26.56</v>
      </c>
      <c r="E55" s="64">
        <v>4.58</v>
      </c>
      <c r="F55" s="64">
        <v>8.9499999999999993</v>
      </c>
      <c r="G55" s="64">
        <v>54.2</v>
      </c>
      <c r="H55" s="64">
        <v>24.19</v>
      </c>
      <c r="I55" s="64">
        <v>1.49</v>
      </c>
      <c r="J55" s="64">
        <v>0.14000000000000001</v>
      </c>
      <c r="K55" s="64">
        <v>130.52000000000001</v>
      </c>
      <c r="L55" s="64">
        <v>30.15</v>
      </c>
      <c r="M55" s="64">
        <v>50.58</v>
      </c>
      <c r="N55" s="64">
        <v>734.3</v>
      </c>
      <c r="O55" s="64">
        <v>0</v>
      </c>
      <c r="P55" s="64">
        <v>0.5</v>
      </c>
      <c r="Q55" s="64">
        <v>8.7899999999999991</v>
      </c>
      <c r="R55" s="198"/>
      <c r="S55" s="198"/>
      <c r="T55" s="198"/>
      <c r="U55" s="198"/>
    </row>
    <row r="56" spans="1:21" s="12" customFormat="1" x14ac:dyDescent="0.25">
      <c r="A56" s="213" t="s">
        <v>2790</v>
      </c>
      <c r="B56" s="64">
        <v>2.2599999999999998</v>
      </c>
      <c r="C56" s="64">
        <v>42.49</v>
      </c>
      <c r="D56" s="64">
        <v>25.91</v>
      </c>
      <c r="E56" s="64">
        <v>3.66</v>
      </c>
      <c r="F56" s="64">
        <v>6.94</v>
      </c>
      <c r="G56" s="64">
        <v>54.2</v>
      </c>
      <c r="H56" s="64">
        <v>24.19</v>
      </c>
      <c r="I56" s="64">
        <v>1.53</v>
      </c>
      <c r="J56" s="64">
        <v>0.2</v>
      </c>
      <c r="K56" s="64">
        <v>193.82</v>
      </c>
      <c r="L56" s="64">
        <v>29.7</v>
      </c>
      <c r="M56" s="64">
        <v>49.72</v>
      </c>
      <c r="N56" s="64">
        <v>774.6</v>
      </c>
      <c r="O56" s="64">
        <v>0</v>
      </c>
      <c r="P56" s="64">
        <v>0.47</v>
      </c>
      <c r="Q56" s="64">
        <v>8.73</v>
      </c>
      <c r="R56" s="198"/>
      <c r="S56" s="198"/>
      <c r="T56" s="198"/>
      <c r="U56" s="198"/>
    </row>
    <row r="57" spans="1:21" s="12" customFormat="1" x14ac:dyDescent="0.25">
      <c r="A57" s="213" t="s">
        <v>2791</v>
      </c>
      <c r="B57" s="64">
        <v>2.25</v>
      </c>
      <c r="C57" s="64">
        <v>36.99</v>
      </c>
      <c r="D57" s="64">
        <v>22.87</v>
      </c>
      <c r="E57" s="64">
        <v>4.18</v>
      </c>
      <c r="F57" s="64">
        <v>6.06</v>
      </c>
      <c r="G57" s="64">
        <v>54.2</v>
      </c>
      <c r="H57" s="64">
        <v>24.19</v>
      </c>
      <c r="I57" s="64">
        <v>1.44</v>
      </c>
      <c r="J57" s="64">
        <v>0.55000000000000004</v>
      </c>
      <c r="K57" s="64">
        <v>175.14</v>
      </c>
      <c r="L57" s="64">
        <v>29.36</v>
      </c>
      <c r="M57" s="64">
        <v>49.62</v>
      </c>
      <c r="N57" s="64">
        <v>773.4</v>
      </c>
      <c r="O57" s="64">
        <v>0</v>
      </c>
      <c r="P57" s="64">
        <v>0.45</v>
      </c>
      <c r="Q57" s="64">
        <v>8.6199999999999992</v>
      </c>
      <c r="R57" s="198"/>
      <c r="S57" s="198"/>
      <c r="T57" s="198"/>
      <c r="U57" s="198"/>
    </row>
    <row r="58" spans="1:21" s="12" customFormat="1" x14ac:dyDescent="0.25">
      <c r="A58" s="213" t="s">
        <v>2792</v>
      </c>
      <c r="B58" s="64">
        <v>2.46</v>
      </c>
      <c r="C58" s="64">
        <v>34.85</v>
      </c>
      <c r="D58" s="64">
        <v>21.85</v>
      </c>
      <c r="E58" s="64">
        <v>4.0999999999999996</v>
      </c>
      <c r="F58" s="64">
        <v>4.6900000000000004</v>
      </c>
      <c r="G58" s="64">
        <v>46.38</v>
      </c>
      <c r="H58" s="64">
        <v>24.62</v>
      </c>
      <c r="I58" s="64">
        <v>1.5</v>
      </c>
      <c r="J58" s="64">
        <v>0.43</v>
      </c>
      <c r="K58" s="64">
        <v>165.44</v>
      </c>
      <c r="L58" s="64">
        <v>29.4</v>
      </c>
      <c r="M58" s="64">
        <v>47.42</v>
      </c>
      <c r="N58" s="64">
        <v>761.2</v>
      </c>
      <c r="O58" s="64">
        <v>0</v>
      </c>
      <c r="P58" s="64">
        <v>0.43</v>
      </c>
      <c r="Q58" s="64">
        <v>8.61</v>
      </c>
      <c r="R58" s="198"/>
      <c r="S58" s="198"/>
      <c r="T58" s="198"/>
      <c r="U58" s="198"/>
    </row>
    <row r="59" spans="1:21" s="12" customFormat="1" x14ac:dyDescent="0.25">
      <c r="A59" s="213" t="s">
        <v>2793</v>
      </c>
      <c r="B59" s="64">
        <v>2.5499999999999998</v>
      </c>
      <c r="C59" s="64">
        <v>33.94</v>
      </c>
      <c r="D59" s="64">
        <v>21.42</v>
      </c>
      <c r="E59" s="64">
        <v>4.07</v>
      </c>
      <c r="F59" s="64">
        <v>4.75</v>
      </c>
      <c r="G59" s="64">
        <v>44.82</v>
      </c>
      <c r="H59" s="64">
        <v>24.7</v>
      </c>
      <c r="I59" s="64">
        <v>1.57</v>
      </c>
      <c r="J59" s="64">
        <v>0.28999999999999998</v>
      </c>
      <c r="K59" s="64">
        <v>157.1</v>
      </c>
      <c r="L59" s="64">
        <v>29.85</v>
      </c>
      <c r="M59" s="64">
        <v>45.18</v>
      </c>
      <c r="N59" s="64">
        <v>754.3</v>
      </c>
      <c r="O59" s="64">
        <v>0</v>
      </c>
      <c r="P59" s="64">
        <v>0.42</v>
      </c>
      <c r="Q59" s="64">
        <v>8.56</v>
      </c>
      <c r="R59" s="198"/>
      <c r="S59" s="198"/>
      <c r="T59" s="198"/>
      <c r="U59" s="198"/>
    </row>
    <row r="60" spans="1:21" s="12" customFormat="1" x14ac:dyDescent="0.25">
      <c r="A60" s="213" t="s">
        <v>2794</v>
      </c>
      <c r="B60" s="64">
        <v>2.63</v>
      </c>
      <c r="C60" s="64">
        <v>32.86</v>
      </c>
      <c r="D60" s="64">
        <v>20.89</v>
      </c>
      <c r="E60" s="64">
        <v>3.98</v>
      </c>
      <c r="F60" s="64">
        <v>4.4400000000000004</v>
      </c>
      <c r="G60" s="64">
        <v>44.82</v>
      </c>
      <c r="H60" s="64">
        <v>24.7</v>
      </c>
      <c r="I60" s="64">
        <v>1.51</v>
      </c>
      <c r="J60" s="64">
        <v>0.3</v>
      </c>
      <c r="K60" s="64">
        <v>164.21</v>
      </c>
      <c r="L60" s="64">
        <v>30.55</v>
      </c>
      <c r="M60" s="64">
        <v>44.01</v>
      </c>
      <c r="N60" s="64">
        <v>727.1</v>
      </c>
      <c r="O60" s="64">
        <v>0</v>
      </c>
      <c r="P60" s="64">
        <v>0.41</v>
      </c>
      <c r="Q60" s="64">
        <v>8.51</v>
      </c>
      <c r="R60" s="198"/>
      <c r="S60" s="198"/>
      <c r="T60" s="198"/>
      <c r="U60" s="198"/>
    </row>
    <row r="61" spans="1:21" s="12" customFormat="1" x14ac:dyDescent="0.25">
      <c r="A61" s="213" t="s">
        <v>2795</v>
      </c>
      <c r="B61" s="64">
        <v>2.71</v>
      </c>
      <c r="C61" s="64">
        <v>32.1</v>
      </c>
      <c r="D61" s="64">
        <v>20.54</v>
      </c>
      <c r="E61" s="64">
        <v>4.0999999999999996</v>
      </c>
      <c r="F61" s="64">
        <v>4.8099999999999996</v>
      </c>
      <c r="G61" s="64">
        <v>44.82</v>
      </c>
      <c r="H61" s="64">
        <v>24.7</v>
      </c>
      <c r="I61" s="64">
        <v>1.54</v>
      </c>
      <c r="J61" s="64">
        <v>0.23</v>
      </c>
      <c r="K61" s="64">
        <v>73.66</v>
      </c>
      <c r="L61" s="64">
        <v>30.83</v>
      </c>
      <c r="M61" s="64">
        <v>44.32</v>
      </c>
      <c r="N61" s="64">
        <v>704.6</v>
      </c>
      <c r="O61" s="64">
        <v>0</v>
      </c>
      <c r="P61" s="64">
        <v>0.38</v>
      </c>
      <c r="Q61" s="64">
        <v>8.4600000000000009</v>
      </c>
      <c r="R61" s="198"/>
      <c r="S61" s="198"/>
      <c r="T61" s="198"/>
      <c r="U61" s="198"/>
    </row>
    <row r="62" spans="1:21" s="12" customFormat="1" x14ac:dyDescent="0.25">
      <c r="A62" s="213" t="s">
        <v>2796</v>
      </c>
      <c r="B62" s="64">
        <v>2.63</v>
      </c>
      <c r="C62" s="64">
        <v>32.56</v>
      </c>
      <c r="D62" s="64">
        <v>20.73</v>
      </c>
      <c r="E62" s="64">
        <v>4.3</v>
      </c>
      <c r="F62" s="64">
        <v>4.9000000000000004</v>
      </c>
      <c r="G62" s="64">
        <v>28.26</v>
      </c>
      <c r="H62" s="64">
        <v>17.62</v>
      </c>
      <c r="I62" s="64">
        <v>1.48</v>
      </c>
      <c r="J62" s="64">
        <v>0.25</v>
      </c>
      <c r="K62" s="64">
        <v>134.38999999999999</v>
      </c>
      <c r="L62" s="64">
        <v>30.25</v>
      </c>
      <c r="M62" s="64">
        <v>46.08</v>
      </c>
      <c r="N62" s="64">
        <v>635.5</v>
      </c>
      <c r="O62" s="64">
        <v>0</v>
      </c>
      <c r="P62" s="64">
        <v>0.4</v>
      </c>
      <c r="Q62" s="64">
        <v>8.43</v>
      </c>
      <c r="R62" s="198"/>
      <c r="S62" s="198"/>
      <c r="T62" s="198"/>
      <c r="U62" s="198"/>
    </row>
    <row r="63" spans="1:21" s="12" customFormat="1" x14ac:dyDescent="0.25">
      <c r="A63" s="213" t="s">
        <v>2797</v>
      </c>
      <c r="B63" s="64">
        <v>2.15</v>
      </c>
      <c r="C63" s="64">
        <v>33.19</v>
      </c>
      <c r="D63" s="64">
        <v>20.69</v>
      </c>
      <c r="E63" s="64">
        <v>4.8600000000000003</v>
      </c>
      <c r="F63" s="64">
        <v>12.16</v>
      </c>
      <c r="G63" s="64">
        <v>24.94</v>
      </c>
      <c r="H63" s="64">
        <v>16.309999999999999</v>
      </c>
      <c r="I63" s="64">
        <v>1.5</v>
      </c>
      <c r="J63" s="64">
        <v>0.74</v>
      </c>
      <c r="K63" s="64">
        <v>156.96</v>
      </c>
      <c r="L63" s="64">
        <v>30.36</v>
      </c>
      <c r="M63" s="64">
        <v>46.2</v>
      </c>
      <c r="N63" s="64">
        <v>506.7</v>
      </c>
      <c r="O63" s="64">
        <v>0</v>
      </c>
      <c r="P63" s="64">
        <v>0.41</v>
      </c>
      <c r="Q63" s="64">
        <v>8.3800000000000008</v>
      </c>
      <c r="R63" s="198"/>
      <c r="S63" s="198"/>
      <c r="T63" s="198"/>
      <c r="U63" s="198"/>
    </row>
    <row r="64" spans="1:21" s="12" customFormat="1" x14ac:dyDescent="0.25">
      <c r="A64" s="213" t="s">
        <v>2798</v>
      </c>
      <c r="B64" s="64">
        <v>1.47</v>
      </c>
      <c r="C64" s="64">
        <v>33.93</v>
      </c>
      <c r="D64" s="64">
        <v>20.55</v>
      </c>
      <c r="E64" s="64">
        <v>4.29</v>
      </c>
      <c r="F64" s="64">
        <v>10.28</v>
      </c>
      <c r="G64" s="64">
        <v>24.94</v>
      </c>
      <c r="H64" s="64">
        <v>16.309999999999999</v>
      </c>
      <c r="I64" s="64">
        <v>1.54</v>
      </c>
      <c r="J64" s="64">
        <v>0.53</v>
      </c>
      <c r="K64" s="64">
        <v>170.54</v>
      </c>
      <c r="L64" s="64">
        <v>29.26</v>
      </c>
      <c r="M64" s="64">
        <v>49.61</v>
      </c>
      <c r="N64" s="64">
        <v>517.4</v>
      </c>
      <c r="O64" s="64">
        <v>0</v>
      </c>
      <c r="P64" s="64">
        <v>0.4</v>
      </c>
      <c r="Q64" s="64">
        <v>8.3699999999999992</v>
      </c>
      <c r="R64" s="198"/>
      <c r="S64" s="198"/>
      <c r="T64" s="198"/>
      <c r="U64" s="198"/>
    </row>
    <row r="65" spans="1:21" s="12" customFormat="1" x14ac:dyDescent="0.25">
      <c r="A65" s="213" t="s">
        <v>2799</v>
      </c>
      <c r="B65" s="64">
        <v>1.55</v>
      </c>
      <c r="C65" s="64">
        <v>32.36</v>
      </c>
      <c r="D65" s="64">
        <v>19.75</v>
      </c>
      <c r="E65" s="64">
        <v>4.46</v>
      </c>
      <c r="F65" s="64">
        <v>6.45</v>
      </c>
      <c r="G65" s="64">
        <v>24.94</v>
      </c>
      <c r="H65" s="64">
        <v>16.309999999999999</v>
      </c>
      <c r="I65" s="64">
        <v>1.53</v>
      </c>
      <c r="J65" s="64">
        <v>0.13</v>
      </c>
      <c r="K65" s="64">
        <v>11.92</v>
      </c>
      <c r="L65" s="64">
        <v>31</v>
      </c>
      <c r="M65" s="64">
        <v>44.7</v>
      </c>
      <c r="N65" s="64">
        <v>579.5</v>
      </c>
      <c r="O65" s="64">
        <v>0</v>
      </c>
      <c r="P65" s="64">
        <v>0.4</v>
      </c>
      <c r="Q65" s="64">
        <v>8.2799999999999994</v>
      </c>
      <c r="R65" s="198"/>
      <c r="S65" s="198"/>
      <c r="T65" s="198"/>
      <c r="U65" s="198"/>
    </row>
    <row r="66" spans="1:21" s="12" customFormat="1" x14ac:dyDescent="0.25">
      <c r="A66" s="213" t="s">
        <v>2800</v>
      </c>
      <c r="B66" s="64">
        <v>1.88</v>
      </c>
      <c r="C66" s="64">
        <v>34.44</v>
      </c>
      <c r="D66" s="64">
        <v>21.17</v>
      </c>
      <c r="E66" s="64">
        <v>4.21</v>
      </c>
      <c r="F66" s="64">
        <v>5.08</v>
      </c>
      <c r="G66" s="64">
        <v>43.08</v>
      </c>
      <c r="H66" s="64">
        <v>16.09</v>
      </c>
      <c r="I66" s="64">
        <v>1.5</v>
      </c>
      <c r="J66" s="64">
        <v>0.14000000000000001</v>
      </c>
      <c r="K66" s="64">
        <v>297.39999999999998</v>
      </c>
      <c r="L66" s="64">
        <v>31.3</v>
      </c>
      <c r="M66" s="64">
        <v>43.87</v>
      </c>
      <c r="N66" s="64">
        <v>366.7</v>
      </c>
      <c r="O66" s="64">
        <v>0</v>
      </c>
      <c r="P66" s="64">
        <v>0.4</v>
      </c>
      <c r="Q66" s="64">
        <v>8.2799999999999994</v>
      </c>
      <c r="R66" s="198"/>
      <c r="S66" s="198"/>
      <c r="T66" s="198"/>
      <c r="U66" s="198"/>
    </row>
    <row r="67" spans="1:21" s="12" customFormat="1" x14ac:dyDescent="0.25">
      <c r="A67" s="213" t="s">
        <v>2801</v>
      </c>
      <c r="B67" s="64">
        <v>2.1</v>
      </c>
      <c r="C67" s="64">
        <v>36.479999999999997</v>
      </c>
      <c r="D67" s="64">
        <v>22.46</v>
      </c>
      <c r="E67" s="64">
        <v>4.28</v>
      </c>
      <c r="F67" s="64">
        <v>5.15</v>
      </c>
      <c r="G67" s="64">
        <v>46.7</v>
      </c>
      <c r="H67" s="64">
        <v>16.05</v>
      </c>
      <c r="I67" s="64">
        <v>1.46</v>
      </c>
      <c r="J67" s="64">
        <v>0.1</v>
      </c>
      <c r="K67" s="64">
        <v>221</v>
      </c>
      <c r="L67" s="64">
        <v>29.9</v>
      </c>
      <c r="M67" s="64">
        <v>46.45</v>
      </c>
      <c r="N67" s="64">
        <v>350.7</v>
      </c>
      <c r="O67" s="64">
        <v>0</v>
      </c>
      <c r="P67" s="64">
        <v>0.39</v>
      </c>
      <c r="Q67" s="64">
        <v>8.3800000000000008</v>
      </c>
      <c r="R67" s="198"/>
      <c r="S67" s="198"/>
      <c r="T67" s="198"/>
      <c r="U67" s="198"/>
    </row>
    <row r="68" spans="1:21" s="12" customFormat="1" x14ac:dyDescent="0.25">
      <c r="A68" s="213" t="s">
        <v>2802</v>
      </c>
      <c r="B68" s="64">
        <v>2.37</v>
      </c>
      <c r="C68" s="64">
        <v>35.43</v>
      </c>
      <c r="D68" s="64">
        <v>22.12</v>
      </c>
      <c r="E68" s="64">
        <v>4.08</v>
      </c>
      <c r="F68" s="64">
        <v>4.47</v>
      </c>
      <c r="G68" s="64">
        <v>46.7</v>
      </c>
      <c r="H68" s="64">
        <v>16.05</v>
      </c>
      <c r="I68" s="64">
        <v>1.64</v>
      </c>
      <c r="J68" s="64">
        <v>0.02</v>
      </c>
      <c r="K68" s="64">
        <v>43.41</v>
      </c>
      <c r="L68" s="64">
        <v>31.09</v>
      </c>
      <c r="M68" s="64">
        <v>41.02</v>
      </c>
      <c r="N68" s="64">
        <v>388.2</v>
      </c>
      <c r="O68" s="64">
        <v>0</v>
      </c>
      <c r="P68" s="64">
        <v>0.4</v>
      </c>
      <c r="Q68" s="6" t="s">
        <v>42</v>
      </c>
      <c r="R68" s="198"/>
      <c r="S68" s="198"/>
      <c r="T68" s="198"/>
      <c r="U68" s="198"/>
    </row>
    <row r="69" spans="1:21" s="12" customFormat="1" x14ac:dyDescent="0.25">
      <c r="A69" s="213" t="s">
        <v>2803</v>
      </c>
      <c r="B69" s="64">
        <v>2.72</v>
      </c>
      <c r="C69" s="64">
        <v>34.51</v>
      </c>
      <c r="D69" s="64">
        <v>21.87</v>
      </c>
      <c r="E69" s="64">
        <v>4.0999999999999996</v>
      </c>
      <c r="F69" s="64">
        <v>4.41</v>
      </c>
      <c r="G69" s="64">
        <v>46.7</v>
      </c>
      <c r="H69" s="64">
        <v>16.05</v>
      </c>
      <c r="I69" s="64">
        <v>1.46</v>
      </c>
      <c r="J69" s="64">
        <v>0.21</v>
      </c>
      <c r="K69" s="64">
        <v>353.18</v>
      </c>
      <c r="L69" s="64">
        <v>31.72</v>
      </c>
      <c r="M69" s="64">
        <v>40.299999999999997</v>
      </c>
      <c r="N69" s="64">
        <v>312</v>
      </c>
      <c r="O69" s="64">
        <v>0</v>
      </c>
      <c r="P69" s="64">
        <v>0.4</v>
      </c>
      <c r="Q69" s="64">
        <v>8.23</v>
      </c>
      <c r="R69" s="198"/>
      <c r="S69" s="198"/>
      <c r="T69" s="198"/>
      <c r="U69" s="198"/>
    </row>
    <row r="70" spans="1:21" s="12" customFormat="1" x14ac:dyDescent="0.25">
      <c r="A70" s="213" t="s">
        <v>2804</v>
      </c>
      <c r="B70" s="64">
        <v>2.36</v>
      </c>
      <c r="C70" s="64">
        <v>34.85</v>
      </c>
      <c r="D70" s="64">
        <v>21.77</v>
      </c>
      <c r="E70" s="64">
        <v>4.13</v>
      </c>
      <c r="F70" s="64">
        <v>6.29</v>
      </c>
      <c r="G70" s="64">
        <v>41.21</v>
      </c>
      <c r="H70" s="64">
        <v>17.55</v>
      </c>
      <c r="I70" s="64">
        <v>1.53</v>
      </c>
      <c r="J70" s="64">
        <v>0.28000000000000003</v>
      </c>
      <c r="K70" s="64">
        <v>125.52</v>
      </c>
      <c r="L70" s="64">
        <v>30.42</v>
      </c>
      <c r="M70" s="64">
        <v>42.41</v>
      </c>
      <c r="N70" s="64">
        <v>266.3</v>
      </c>
      <c r="O70" s="64">
        <v>0</v>
      </c>
      <c r="P70" s="64">
        <v>0.4</v>
      </c>
      <c r="Q70" s="64">
        <v>8.15</v>
      </c>
      <c r="R70" s="198"/>
      <c r="S70" s="198"/>
      <c r="T70" s="198"/>
      <c r="U70" s="198"/>
    </row>
    <row r="71" spans="1:21" s="12" customFormat="1" x14ac:dyDescent="0.25">
      <c r="A71" s="213" t="s">
        <v>2805</v>
      </c>
      <c r="B71" s="64">
        <v>2.1800000000000002</v>
      </c>
      <c r="C71" s="64">
        <v>34.96</v>
      </c>
      <c r="D71" s="64">
        <v>21.68</v>
      </c>
      <c r="E71" s="64">
        <v>4.05</v>
      </c>
      <c r="F71" s="64">
        <v>5.19</v>
      </c>
      <c r="G71" s="64">
        <v>40.11</v>
      </c>
      <c r="H71" s="64">
        <v>17.850000000000001</v>
      </c>
      <c r="I71" s="64">
        <v>1.53</v>
      </c>
      <c r="J71" s="64">
        <v>0.14000000000000001</v>
      </c>
      <c r="K71" s="64">
        <v>347.38</v>
      </c>
      <c r="L71" s="64">
        <v>30.01</v>
      </c>
      <c r="M71" s="64">
        <v>42.82</v>
      </c>
      <c r="N71" s="64">
        <v>220.1</v>
      </c>
      <c r="O71" s="64">
        <v>0</v>
      </c>
      <c r="P71" s="64">
        <v>0.4</v>
      </c>
      <c r="Q71" s="64">
        <v>8.1300000000000008</v>
      </c>
      <c r="R71" s="198"/>
      <c r="S71" s="198"/>
      <c r="T71" s="198"/>
      <c r="U71" s="198"/>
    </row>
    <row r="72" spans="1:21" s="12" customFormat="1" x14ac:dyDescent="0.25">
      <c r="A72" s="213" t="s">
        <v>2806</v>
      </c>
      <c r="B72" s="64">
        <v>2.19</v>
      </c>
      <c r="C72" s="64">
        <v>34.01</v>
      </c>
      <c r="D72" s="64">
        <v>21.18</v>
      </c>
      <c r="E72" s="64">
        <v>4.3899999999999997</v>
      </c>
      <c r="F72" s="64">
        <v>5.35</v>
      </c>
      <c r="G72" s="64">
        <v>40.11</v>
      </c>
      <c r="H72" s="64">
        <v>17.850000000000001</v>
      </c>
      <c r="I72" s="64">
        <v>1.48</v>
      </c>
      <c r="J72" s="64">
        <v>0.04</v>
      </c>
      <c r="K72" s="64">
        <v>337.94</v>
      </c>
      <c r="L72" s="64">
        <v>29.73</v>
      </c>
      <c r="M72" s="64">
        <v>44.08</v>
      </c>
      <c r="N72" s="64">
        <v>212</v>
      </c>
      <c r="O72" s="64">
        <v>0</v>
      </c>
      <c r="P72" s="64">
        <v>0.4</v>
      </c>
      <c r="Q72" s="64">
        <v>8.0399999999999991</v>
      </c>
      <c r="R72" s="198"/>
      <c r="S72" s="198"/>
      <c r="T72" s="198"/>
      <c r="U72" s="198"/>
    </row>
    <row r="73" spans="1:21" s="12" customFormat="1" x14ac:dyDescent="0.25">
      <c r="A73" s="213" t="s">
        <v>2807</v>
      </c>
      <c r="B73" s="64">
        <v>2.16</v>
      </c>
      <c r="C73" s="64">
        <v>33.380000000000003</v>
      </c>
      <c r="D73" s="64">
        <v>20.8</v>
      </c>
      <c r="E73" s="64">
        <v>4.42</v>
      </c>
      <c r="F73" s="64">
        <v>5.14</v>
      </c>
      <c r="G73" s="64">
        <v>40.11</v>
      </c>
      <c r="H73" s="64">
        <v>17.850000000000001</v>
      </c>
      <c r="I73" s="64">
        <v>1.49</v>
      </c>
      <c r="J73" s="64">
        <v>0.03</v>
      </c>
      <c r="K73" s="64">
        <v>121.7</v>
      </c>
      <c r="L73" s="64">
        <v>29.54</v>
      </c>
      <c r="M73" s="64">
        <v>44.1</v>
      </c>
      <c r="N73" s="64">
        <v>166.9</v>
      </c>
      <c r="O73" s="64">
        <v>0</v>
      </c>
      <c r="P73" s="64">
        <v>0.41</v>
      </c>
      <c r="Q73" s="64">
        <v>7.95</v>
      </c>
      <c r="R73" s="198"/>
      <c r="S73" s="198"/>
      <c r="T73" s="198"/>
      <c r="U73" s="198"/>
    </row>
    <row r="74" spans="1:21" s="12" customFormat="1" x14ac:dyDescent="0.25">
      <c r="A74" s="213" t="s">
        <v>2808</v>
      </c>
      <c r="B74" s="64">
        <v>2</v>
      </c>
      <c r="C74" s="64">
        <v>36.79</v>
      </c>
      <c r="D74" s="64">
        <v>22.55</v>
      </c>
      <c r="E74" s="64">
        <v>4.8</v>
      </c>
      <c r="F74" s="64">
        <v>10.6</v>
      </c>
      <c r="G74" s="64">
        <v>29.37</v>
      </c>
      <c r="H74" s="64">
        <v>16.73</v>
      </c>
      <c r="I74" s="64">
        <v>1.52</v>
      </c>
      <c r="J74" s="64">
        <v>0.25</v>
      </c>
      <c r="K74" s="64">
        <v>341.34</v>
      </c>
      <c r="L74" s="64">
        <v>29.42</v>
      </c>
      <c r="M74" s="64">
        <v>44.36</v>
      </c>
      <c r="N74" s="64">
        <v>129.80000000000001</v>
      </c>
      <c r="O74" s="64">
        <v>0</v>
      </c>
      <c r="P74" s="64">
        <v>0.43</v>
      </c>
      <c r="Q74" s="64">
        <v>7.96</v>
      </c>
      <c r="R74" s="198"/>
      <c r="S74" s="198"/>
      <c r="T74" s="198"/>
      <c r="U74" s="198"/>
    </row>
    <row r="75" spans="1:21" s="12" customFormat="1" x14ac:dyDescent="0.25">
      <c r="A75" s="213" t="s">
        <v>2809</v>
      </c>
      <c r="B75" s="64">
        <v>1.56</v>
      </c>
      <c r="C75" s="64">
        <v>38</v>
      </c>
      <c r="D75" s="64">
        <v>22.86</v>
      </c>
      <c r="E75" s="64">
        <v>4.8499999999999996</v>
      </c>
      <c r="F75" s="64">
        <v>7.71</v>
      </c>
      <c r="G75" s="64">
        <v>27.22</v>
      </c>
      <c r="H75" s="64">
        <v>16.510000000000002</v>
      </c>
      <c r="I75" s="64">
        <v>1.49</v>
      </c>
      <c r="J75" s="64">
        <v>0.26</v>
      </c>
      <c r="K75" s="64">
        <v>5.2</v>
      </c>
      <c r="L75" s="64">
        <v>29.18</v>
      </c>
      <c r="M75" s="64">
        <v>44.53</v>
      </c>
      <c r="N75" s="64">
        <v>109</v>
      </c>
      <c r="O75" s="64">
        <v>0</v>
      </c>
      <c r="P75" s="64">
        <v>0.45</v>
      </c>
      <c r="Q75" s="64">
        <v>7.92</v>
      </c>
      <c r="R75" s="198"/>
      <c r="S75" s="198"/>
      <c r="T75" s="198"/>
      <c r="U75" s="198"/>
    </row>
    <row r="76" spans="1:21" s="12" customFormat="1" x14ac:dyDescent="0.25">
      <c r="A76" s="213" t="s">
        <v>2810</v>
      </c>
      <c r="B76" s="64">
        <v>1.6</v>
      </c>
      <c r="C76" s="64">
        <v>36.24</v>
      </c>
      <c r="D76" s="64">
        <v>21.93</v>
      </c>
      <c r="E76" s="64">
        <v>4.6900000000000004</v>
      </c>
      <c r="F76" s="64">
        <v>6.08</v>
      </c>
      <c r="G76" s="64">
        <v>27.22</v>
      </c>
      <c r="H76" s="64">
        <v>16.510000000000002</v>
      </c>
      <c r="I76" s="64">
        <v>1.45</v>
      </c>
      <c r="J76" s="64">
        <v>0.25</v>
      </c>
      <c r="K76" s="64">
        <v>354.91</v>
      </c>
      <c r="L76" s="64">
        <v>28.8</v>
      </c>
      <c r="M76" s="64">
        <v>43.42</v>
      </c>
      <c r="N76" s="64">
        <v>88.6</v>
      </c>
      <c r="O76" s="64">
        <v>0</v>
      </c>
      <c r="P76" s="64">
        <v>0.46</v>
      </c>
      <c r="Q76" s="64">
        <v>7.92</v>
      </c>
      <c r="R76" s="198"/>
      <c r="S76" s="198"/>
      <c r="T76" s="198"/>
      <c r="U76" s="198"/>
    </row>
    <row r="77" spans="1:21" s="12" customFormat="1" x14ac:dyDescent="0.25">
      <c r="A77" s="213" t="s">
        <v>2811</v>
      </c>
      <c r="B77" s="64">
        <v>2.08</v>
      </c>
      <c r="C77" s="64">
        <v>34.86</v>
      </c>
      <c r="D77" s="64">
        <v>21.55</v>
      </c>
      <c r="E77" s="64">
        <v>4.37</v>
      </c>
      <c r="F77" s="64">
        <v>5.15</v>
      </c>
      <c r="G77" s="64">
        <v>27.22</v>
      </c>
      <c r="H77" s="64">
        <v>16.510000000000002</v>
      </c>
      <c r="I77" s="64">
        <v>1.57</v>
      </c>
      <c r="J77" s="64">
        <v>0.23</v>
      </c>
      <c r="K77" s="64">
        <v>357.46</v>
      </c>
      <c r="L77" s="64">
        <v>28.52</v>
      </c>
      <c r="M77" s="64">
        <v>43.35</v>
      </c>
      <c r="N77" s="64">
        <v>72.8</v>
      </c>
      <c r="O77" s="64">
        <v>0</v>
      </c>
      <c r="P77" s="64">
        <v>0.46</v>
      </c>
      <c r="Q77" s="64">
        <v>7.91</v>
      </c>
      <c r="R77" s="198"/>
      <c r="S77" s="198"/>
      <c r="T77" s="198"/>
      <c r="U77" s="198"/>
    </row>
    <row r="78" spans="1:21" s="12" customFormat="1" x14ac:dyDescent="0.25">
      <c r="A78" s="213" t="s">
        <v>2812</v>
      </c>
      <c r="B78" s="64">
        <v>2.41</v>
      </c>
      <c r="C78" s="64">
        <v>33.75</v>
      </c>
      <c r="D78" s="64">
        <v>21.2</v>
      </c>
      <c r="E78" s="64">
        <v>4.4800000000000004</v>
      </c>
      <c r="F78" s="64">
        <v>4.41</v>
      </c>
      <c r="G78" s="64">
        <v>29.39</v>
      </c>
      <c r="H78" s="64">
        <v>16.34</v>
      </c>
      <c r="I78" s="64">
        <v>1.44</v>
      </c>
      <c r="J78" s="64">
        <v>0.13</v>
      </c>
      <c r="K78" s="64">
        <v>20.09</v>
      </c>
      <c r="L78" s="64">
        <v>28.12</v>
      </c>
      <c r="M78" s="64">
        <v>44.18</v>
      </c>
      <c r="N78" s="64">
        <v>56.9</v>
      </c>
      <c r="O78" s="64">
        <v>0</v>
      </c>
      <c r="P78" s="64">
        <v>0.46</v>
      </c>
      <c r="Q78" s="64">
        <v>7.92</v>
      </c>
      <c r="R78" s="198"/>
      <c r="S78" s="198"/>
      <c r="T78" s="198"/>
      <c r="U78" s="198"/>
    </row>
    <row r="79" spans="1:21" s="12" customFormat="1" x14ac:dyDescent="0.25">
      <c r="A79" s="213" t="s">
        <v>2813</v>
      </c>
      <c r="B79" s="64">
        <v>2.4700000000000002</v>
      </c>
      <c r="C79" s="64">
        <v>34.770000000000003</v>
      </c>
      <c r="D79" s="64">
        <v>21.81</v>
      </c>
      <c r="E79" s="64">
        <v>4.49</v>
      </c>
      <c r="F79" s="64">
        <v>5.14</v>
      </c>
      <c r="G79" s="64">
        <v>29.82</v>
      </c>
      <c r="H79" s="64">
        <v>16.309999999999999</v>
      </c>
      <c r="I79" s="64">
        <v>1.51</v>
      </c>
      <c r="J79" s="64">
        <v>0.11</v>
      </c>
      <c r="K79" s="64">
        <v>358.24</v>
      </c>
      <c r="L79" s="64">
        <v>27.74</v>
      </c>
      <c r="M79" s="64">
        <v>46.19</v>
      </c>
      <c r="N79" s="64">
        <v>42.8</v>
      </c>
      <c r="O79" s="64">
        <v>0</v>
      </c>
      <c r="P79" s="64">
        <v>0.48</v>
      </c>
      <c r="Q79" s="64">
        <v>7.94</v>
      </c>
      <c r="R79" s="198"/>
      <c r="S79" s="198"/>
      <c r="T79" s="198"/>
      <c r="U79" s="198"/>
    </row>
    <row r="80" spans="1:21" s="12" customFormat="1" x14ac:dyDescent="0.25">
      <c r="A80" s="213" t="s">
        <v>2814</v>
      </c>
      <c r="B80" s="64">
        <v>2.54</v>
      </c>
      <c r="C80" s="64">
        <v>36.450000000000003</v>
      </c>
      <c r="D80" s="64">
        <v>22.8</v>
      </c>
      <c r="E80" s="64">
        <v>4.32</v>
      </c>
      <c r="F80" s="64">
        <v>4.58</v>
      </c>
      <c r="G80" s="64">
        <v>29.82</v>
      </c>
      <c r="H80" s="64">
        <v>16.309999999999999</v>
      </c>
      <c r="I80" s="64">
        <v>1.49</v>
      </c>
      <c r="J80" s="64">
        <v>0.08</v>
      </c>
      <c r="K80" s="64">
        <v>344.84</v>
      </c>
      <c r="L80" s="64">
        <v>27.37</v>
      </c>
      <c r="M80" s="64">
        <v>47.04</v>
      </c>
      <c r="N80" s="64">
        <v>32.200000000000003</v>
      </c>
      <c r="O80" s="64">
        <v>0</v>
      </c>
      <c r="P80" s="64">
        <v>0.51</v>
      </c>
      <c r="Q80" s="64">
        <v>7.94</v>
      </c>
      <c r="R80" s="198"/>
      <c r="S80" s="198"/>
      <c r="T80" s="198"/>
      <c r="U80" s="198"/>
    </row>
    <row r="81" spans="1:26" s="12" customFormat="1" x14ac:dyDescent="0.25">
      <c r="A81" s="213" t="s">
        <v>2815</v>
      </c>
      <c r="B81" s="64">
        <v>3.07</v>
      </c>
      <c r="C81" s="64">
        <v>36.92</v>
      </c>
      <c r="D81" s="64">
        <v>23.49</v>
      </c>
      <c r="E81" s="64">
        <v>4.24</v>
      </c>
      <c r="F81" s="64">
        <v>3.87</v>
      </c>
      <c r="G81" s="64">
        <v>29.82</v>
      </c>
      <c r="H81" s="64">
        <v>16.309999999999999</v>
      </c>
      <c r="I81" s="64">
        <v>1.57</v>
      </c>
      <c r="J81" s="64">
        <v>0.14000000000000001</v>
      </c>
      <c r="K81" s="64">
        <v>325.98</v>
      </c>
      <c r="L81" s="64">
        <v>26.86</v>
      </c>
      <c r="M81" s="64">
        <v>49.53</v>
      </c>
      <c r="N81" s="64">
        <v>28.4</v>
      </c>
      <c r="O81" s="64">
        <v>0</v>
      </c>
      <c r="P81" s="64">
        <v>0.53</v>
      </c>
      <c r="Q81" s="64">
        <v>7.9</v>
      </c>
      <c r="R81" s="198"/>
      <c r="S81" s="198"/>
      <c r="T81" s="198"/>
      <c r="U81" s="198"/>
    </row>
    <row r="82" spans="1:26" s="12" customFormat="1" x14ac:dyDescent="0.25">
      <c r="A82" s="213" t="s">
        <v>2816</v>
      </c>
      <c r="B82" s="64">
        <v>4.28</v>
      </c>
      <c r="C82" s="64">
        <v>37.75</v>
      </c>
      <c r="D82" s="64">
        <v>24.91</v>
      </c>
      <c r="E82" s="64">
        <v>4.4000000000000004</v>
      </c>
      <c r="F82" s="64">
        <v>3.58</v>
      </c>
      <c r="G82" s="64">
        <v>34.520000000000003</v>
      </c>
      <c r="H82" s="64">
        <v>17.190000000000001</v>
      </c>
      <c r="I82" s="64">
        <v>1.45</v>
      </c>
      <c r="J82" s="64">
        <v>0.31</v>
      </c>
      <c r="K82" s="64">
        <v>322.79000000000002</v>
      </c>
      <c r="L82" s="64">
        <v>26.35</v>
      </c>
      <c r="M82" s="64">
        <v>53.24</v>
      </c>
      <c r="N82" s="64">
        <v>27.5</v>
      </c>
      <c r="O82" s="64">
        <v>0</v>
      </c>
      <c r="P82" s="64">
        <v>0.57999999999999996</v>
      </c>
      <c r="Q82" s="64">
        <v>7.93</v>
      </c>
      <c r="R82" s="198"/>
      <c r="S82" s="198"/>
      <c r="T82" s="198"/>
      <c r="U82" s="198"/>
    </row>
    <row r="83" spans="1:26" s="12" customFormat="1" x14ac:dyDescent="0.25">
      <c r="A83" s="213" t="s">
        <v>2817</v>
      </c>
      <c r="B83" s="64">
        <v>5.8</v>
      </c>
      <c r="C83" s="64">
        <v>38.56</v>
      </c>
      <c r="D83" s="64">
        <v>26.57</v>
      </c>
      <c r="E83" s="64">
        <v>4.3899999999999997</v>
      </c>
      <c r="F83" s="64">
        <v>3.49</v>
      </c>
      <c r="G83" s="64">
        <v>35.46</v>
      </c>
      <c r="H83" s="64">
        <v>17.37</v>
      </c>
      <c r="I83" s="64">
        <v>1.53</v>
      </c>
      <c r="J83" s="64">
        <v>0.41</v>
      </c>
      <c r="K83" s="64">
        <v>340.36</v>
      </c>
      <c r="L83" s="64">
        <v>25.97</v>
      </c>
      <c r="M83" s="64">
        <v>57.2</v>
      </c>
      <c r="N83" s="64">
        <v>27.4</v>
      </c>
      <c r="O83" s="64">
        <v>0</v>
      </c>
      <c r="P83" s="64">
        <v>0.64</v>
      </c>
      <c r="Q83" s="64">
        <v>7.94</v>
      </c>
      <c r="R83" s="198"/>
      <c r="S83" s="198"/>
      <c r="T83" s="198"/>
      <c r="U83" s="198"/>
    </row>
    <row r="84" spans="1:26" s="12" customFormat="1" x14ac:dyDescent="0.25">
      <c r="A84" s="213" t="s">
        <v>2818</v>
      </c>
      <c r="B84" s="64">
        <v>7.04</v>
      </c>
      <c r="C84" s="64">
        <v>39.82</v>
      </c>
      <c r="D84" s="64">
        <v>28.27</v>
      </c>
      <c r="E84" s="64">
        <v>4.45</v>
      </c>
      <c r="F84" s="64">
        <v>3.83</v>
      </c>
      <c r="G84" s="64">
        <v>35.46</v>
      </c>
      <c r="H84" s="64">
        <v>17.37</v>
      </c>
      <c r="I84" s="64">
        <v>1.5</v>
      </c>
      <c r="J84" s="64">
        <v>0.16</v>
      </c>
      <c r="K84" s="64">
        <v>9.68</v>
      </c>
      <c r="L84" s="64">
        <v>25.67</v>
      </c>
      <c r="M84" s="64">
        <v>59.96</v>
      </c>
      <c r="N84" s="64">
        <v>27.8</v>
      </c>
      <c r="O84" s="64">
        <v>0</v>
      </c>
      <c r="P84" s="64">
        <v>0.74</v>
      </c>
      <c r="Q84" s="64">
        <v>7.94</v>
      </c>
      <c r="R84" s="198"/>
      <c r="S84" s="198"/>
      <c r="T84" s="198"/>
      <c r="U84" s="198"/>
    </row>
    <row r="85" spans="1:26" s="12" customFormat="1" x14ac:dyDescent="0.25">
      <c r="A85" s="213" t="s">
        <v>2819</v>
      </c>
      <c r="B85" s="64">
        <v>8.4600000000000009</v>
      </c>
      <c r="C85" s="64">
        <v>42.94</v>
      </c>
      <c r="D85" s="64">
        <v>31.13</v>
      </c>
      <c r="E85" s="64">
        <v>4.62</v>
      </c>
      <c r="F85" s="64">
        <v>3.81</v>
      </c>
      <c r="G85" s="64">
        <v>35.46</v>
      </c>
      <c r="H85" s="64">
        <v>17.37</v>
      </c>
      <c r="I85" s="64">
        <v>1.51</v>
      </c>
      <c r="J85" s="64">
        <v>0.18</v>
      </c>
      <c r="K85" s="64">
        <v>348.79</v>
      </c>
      <c r="L85" s="64">
        <v>25.38</v>
      </c>
      <c r="M85" s="64">
        <v>63.45</v>
      </c>
      <c r="N85" s="64">
        <v>27.8</v>
      </c>
      <c r="O85" s="64">
        <v>0</v>
      </c>
      <c r="P85" s="64">
        <v>0.68</v>
      </c>
      <c r="Q85" s="64">
        <v>8</v>
      </c>
      <c r="R85" s="198"/>
      <c r="S85" s="198"/>
      <c r="T85" s="198"/>
      <c r="U85" s="198"/>
    </row>
    <row r="86" spans="1:26" s="12" customFormat="1" x14ac:dyDescent="0.25">
      <c r="A86" s="213" t="s">
        <v>2820</v>
      </c>
      <c r="B86" s="64">
        <v>10.31</v>
      </c>
      <c r="C86" s="64">
        <v>43.27</v>
      </c>
      <c r="D86" s="64">
        <v>32.799999999999997</v>
      </c>
      <c r="E86" s="64">
        <v>4.37</v>
      </c>
      <c r="F86" s="64">
        <v>3.49</v>
      </c>
      <c r="G86" s="64">
        <v>50.52</v>
      </c>
      <c r="H86" s="64">
        <v>22.43</v>
      </c>
      <c r="I86" s="64">
        <v>1.5</v>
      </c>
      <c r="J86" s="64">
        <v>0.53</v>
      </c>
      <c r="K86" s="64">
        <v>347.16</v>
      </c>
      <c r="L86" s="64">
        <v>24.99</v>
      </c>
      <c r="M86" s="64">
        <v>68</v>
      </c>
      <c r="N86" s="64">
        <v>27</v>
      </c>
      <c r="O86" s="64">
        <v>0</v>
      </c>
      <c r="P86" s="64">
        <v>0.8</v>
      </c>
      <c r="Q86" s="64">
        <v>8.08</v>
      </c>
      <c r="R86" s="198"/>
      <c r="S86" s="198"/>
      <c r="T86" s="198"/>
      <c r="U86" s="198"/>
    </row>
    <row r="87" spans="1:26" s="12" customFormat="1" x14ac:dyDescent="0.25">
      <c r="A87" s="213" t="s">
        <v>2821</v>
      </c>
      <c r="B87" s="64">
        <v>11.88</v>
      </c>
      <c r="C87" s="64">
        <v>43</v>
      </c>
      <c r="D87" s="64">
        <v>33.9</v>
      </c>
      <c r="E87" s="64">
        <v>4.62</v>
      </c>
      <c r="F87" s="64">
        <v>3.78</v>
      </c>
      <c r="G87" s="64">
        <v>53.53</v>
      </c>
      <c r="H87" s="64">
        <v>23.44</v>
      </c>
      <c r="I87" s="64">
        <v>1.5</v>
      </c>
      <c r="J87" s="64">
        <v>0.59</v>
      </c>
      <c r="K87" s="64">
        <v>349.61</v>
      </c>
      <c r="L87" s="64">
        <v>25.06</v>
      </c>
      <c r="M87" s="64">
        <v>65.739999999999995</v>
      </c>
      <c r="N87" s="64">
        <v>27</v>
      </c>
      <c r="O87" s="64">
        <v>0</v>
      </c>
      <c r="P87" s="64">
        <v>0.82</v>
      </c>
      <c r="Q87" s="64">
        <v>8.14</v>
      </c>
      <c r="R87" s="198"/>
      <c r="S87" s="198"/>
      <c r="T87" s="198"/>
      <c r="U87" s="198"/>
    </row>
    <row r="88" spans="1:26" s="12" customFormat="1" x14ac:dyDescent="0.25">
      <c r="A88" s="213" t="s">
        <v>2822</v>
      </c>
      <c r="B88" s="64">
        <v>13.1</v>
      </c>
      <c r="C88" s="64">
        <v>42.59</v>
      </c>
      <c r="D88" s="64">
        <v>34.659999999999997</v>
      </c>
      <c r="E88" s="64">
        <v>4.4800000000000004</v>
      </c>
      <c r="F88" s="64">
        <v>3.42</v>
      </c>
      <c r="G88" s="64">
        <v>53.53</v>
      </c>
      <c r="H88" s="64">
        <v>23.44</v>
      </c>
      <c r="I88" s="64">
        <v>1.45</v>
      </c>
      <c r="J88" s="64">
        <v>0.47</v>
      </c>
      <c r="K88" s="64">
        <v>353.44</v>
      </c>
      <c r="L88" s="64">
        <v>25.02</v>
      </c>
      <c r="M88" s="64">
        <v>66.53</v>
      </c>
      <c r="N88" s="64">
        <v>27.3</v>
      </c>
      <c r="O88" s="64">
        <v>0</v>
      </c>
      <c r="P88" s="64">
        <v>0.87</v>
      </c>
      <c r="Q88" s="64">
        <v>8.14</v>
      </c>
      <c r="R88" s="198"/>
      <c r="S88" s="198"/>
      <c r="T88" s="198"/>
      <c r="U88" s="198"/>
    </row>
    <row r="89" spans="1:26" s="12" customFormat="1" x14ac:dyDescent="0.25">
      <c r="A89" s="213" t="s">
        <v>2823</v>
      </c>
      <c r="B89" s="64">
        <v>14.45</v>
      </c>
      <c r="C89" s="64">
        <v>42.55</v>
      </c>
      <c r="D89" s="64">
        <v>35.72</v>
      </c>
      <c r="E89" s="64">
        <v>4.12</v>
      </c>
      <c r="F89" s="64">
        <v>3.23</v>
      </c>
      <c r="G89" s="64">
        <v>53.53</v>
      </c>
      <c r="H89" s="64">
        <v>23.44</v>
      </c>
      <c r="I89" s="64">
        <v>1.58</v>
      </c>
      <c r="J89" s="64">
        <v>0.48</v>
      </c>
      <c r="K89" s="64">
        <v>352.62</v>
      </c>
      <c r="L89" s="64">
        <v>24.79</v>
      </c>
      <c r="M89" s="64">
        <v>67.44</v>
      </c>
      <c r="N89" s="64">
        <v>27.4</v>
      </c>
      <c r="O89" s="64">
        <v>0</v>
      </c>
      <c r="P89" s="64">
        <v>0.93</v>
      </c>
      <c r="Q89" s="64">
        <v>8.16</v>
      </c>
      <c r="R89" s="198"/>
      <c r="S89" s="198"/>
      <c r="T89" s="198"/>
      <c r="U89" s="198"/>
    </row>
    <row r="90" spans="1:26" s="12" customFormat="1" x14ac:dyDescent="0.25">
      <c r="A90" s="213" t="s">
        <v>2824</v>
      </c>
      <c r="B90" s="64">
        <v>15.95</v>
      </c>
      <c r="C90" s="64">
        <v>42.65</v>
      </c>
      <c r="D90" s="64">
        <v>36.97</v>
      </c>
      <c r="E90" s="64">
        <v>4.59</v>
      </c>
      <c r="F90" s="64">
        <v>2.86</v>
      </c>
      <c r="G90" s="64">
        <v>65.400000000000006</v>
      </c>
      <c r="H90" s="64">
        <v>25.87</v>
      </c>
      <c r="I90" s="64">
        <v>1.53</v>
      </c>
      <c r="J90" s="64">
        <v>0.8</v>
      </c>
      <c r="K90" s="64">
        <v>338.96</v>
      </c>
      <c r="L90" s="64">
        <v>24.78</v>
      </c>
      <c r="M90" s="64">
        <v>66.12</v>
      </c>
      <c r="N90" s="64">
        <v>26.9</v>
      </c>
      <c r="O90" s="64">
        <v>0</v>
      </c>
      <c r="P90" s="64">
        <v>0.97</v>
      </c>
      <c r="Q90" s="64">
        <v>8.18</v>
      </c>
      <c r="R90" s="198"/>
      <c r="S90" s="198"/>
      <c r="T90" s="198"/>
      <c r="U90" s="198"/>
    </row>
    <row r="91" spans="1:26" s="12" customFormat="1" x14ac:dyDescent="0.25">
      <c r="A91" s="213" t="s">
        <v>2825</v>
      </c>
      <c r="B91" s="64">
        <v>17.03</v>
      </c>
      <c r="C91" s="64">
        <v>43.08</v>
      </c>
      <c r="D91" s="64">
        <v>38.08</v>
      </c>
      <c r="E91" s="64">
        <v>4.83</v>
      </c>
      <c r="F91" s="64">
        <v>2.7</v>
      </c>
      <c r="G91" s="64">
        <v>67.77</v>
      </c>
      <c r="H91" s="64">
        <v>26.35</v>
      </c>
      <c r="I91" s="64">
        <v>1.48</v>
      </c>
      <c r="J91" s="64">
        <v>1.52</v>
      </c>
      <c r="K91" s="64">
        <v>349.92</v>
      </c>
      <c r="L91" s="64">
        <v>24.75</v>
      </c>
      <c r="M91" s="64">
        <v>64.760000000000005</v>
      </c>
      <c r="N91" s="64">
        <v>27.7</v>
      </c>
      <c r="O91" s="64">
        <v>0</v>
      </c>
      <c r="P91" s="64">
        <v>1.01</v>
      </c>
      <c r="Q91" s="64">
        <v>8.24</v>
      </c>
      <c r="R91" s="198"/>
      <c r="S91" s="198"/>
      <c r="T91" s="198"/>
      <c r="U91" s="198"/>
    </row>
    <row r="92" spans="1:26" s="12" customFormat="1" x14ac:dyDescent="0.25">
      <c r="A92" s="213" t="s">
        <v>2826</v>
      </c>
      <c r="B92" s="64">
        <v>17</v>
      </c>
      <c r="C92" s="64">
        <v>44.49</v>
      </c>
      <c r="D92" s="64">
        <v>38.83</v>
      </c>
      <c r="E92" s="64">
        <v>4.88</v>
      </c>
      <c r="F92" s="64">
        <v>3.71</v>
      </c>
      <c r="G92" s="64">
        <v>67.77</v>
      </c>
      <c r="H92" s="64">
        <v>26.35</v>
      </c>
      <c r="I92" s="64">
        <v>1.48</v>
      </c>
      <c r="J92" s="64">
        <v>1.96</v>
      </c>
      <c r="K92" s="64">
        <v>355.9</v>
      </c>
      <c r="L92" s="64">
        <v>23.11</v>
      </c>
      <c r="M92" s="64">
        <v>71.28</v>
      </c>
      <c r="N92" s="64">
        <v>31.1</v>
      </c>
      <c r="O92" s="64">
        <v>0</v>
      </c>
      <c r="P92" s="64">
        <v>1.02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3" t="s">
        <v>2827</v>
      </c>
      <c r="B93" s="64">
        <v>15.97</v>
      </c>
      <c r="C93" s="64">
        <v>44.94</v>
      </c>
      <c r="D93" s="64">
        <v>38.26</v>
      </c>
      <c r="E93" s="64">
        <v>4.76</v>
      </c>
      <c r="F93" s="64">
        <v>3.45</v>
      </c>
      <c r="G93" s="64">
        <v>67.77</v>
      </c>
      <c r="H93" s="64">
        <v>26.35</v>
      </c>
      <c r="I93" s="64">
        <v>1.52</v>
      </c>
      <c r="J93" s="64">
        <v>1.84</v>
      </c>
      <c r="K93" s="64">
        <v>356.13</v>
      </c>
      <c r="L93" s="64">
        <v>21.76</v>
      </c>
      <c r="M93" s="64">
        <v>75.91</v>
      </c>
      <c r="N93" s="64">
        <v>29.1</v>
      </c>
      <c r="O93" s="64">
        <v>0</v>
      </c>
      <c r="P93" s="64">
        <v>0.97</v>
      </c>
      <c r="Q93" s="64">
        <v>8.18</v>
      </c>
      <c r="R93" s="198"/>
      <c r="S93" s="198"/>
      <c r="T93" s="198"/>
      <c r="U93" s="198"/>
    </row>
    <row r="94" spans="1:26" s="12" customFormat="1" x14ac:dyDescent="0.25">
      <c r="A94" s="213" t="s">
        <v>2828</v>
      </c>
      <c r="B94" s="64">
        <v>14.37</v>
      </c>
      <c r="C94" s="64">
        <v>44.39</v>
      </c>
      <c r="D94" s="64">
        <v>36.67</v>
      </c>
      <c r="E94" s="64">
        <v>4.57</v>
      </c>
      <c r="F94" s="64">
        <v>3.01</v>
      </c>
      <c r="G94" s="64">
        <v>79.489999999999995</v>
      </c>
      <c r="H94" s="64">
        <v>25.72</v>
      </c>
      <c r="I94" s="64">
        <v>1.46</v>
      </c>
      <c r="J94" s="64">
        <v>1.38</v>
      </c>
      <c r="K94" s="64">
        <v>353.77</v>
      </c>
      <c r="L94" s="64">
        <v>21.13</v>
      </c>
      <c r="M94" s="64">
        <v>77.31</v>
      </c>
      <c r="N94" s="64">
        <v>28</v>
      </c>
      <c r="O94" s="64">
        <v>0</v>
      </c>
      <c r="P94" s="64">
        <v>0.93</v>
      </c>
      <c r="Q94" s="64">
        <v>8.17</v>
      </c>
      <c r="R94" s="198"/>
      <c r="S94" s="198"/>
      <c r="T94" s="198"/>
      <c r="U94" s="198"/>
    </row>
    <row r="95" spans="1:26" s="12" customFormat="1" x14ac:dyDescent="0.25">
      <c r="A95" s="213" t="s">
        <v>2829</v>
      </c>
      <c r="B95" s="64">
        <v>13.18</v>
      </c>
      <c r="C95" s="64">
        <v>44.39</v>
      </c>
      <c r="D95" s="64">
        <v>35.72</v>
      </c>
      <c r="E95" s="64">
        <v>4.6100000000000003</v>
      </c>
      <c r="F95" s="64">
        <v>3.5</v>
      </c>
      <c r="G95" s="64">
        <v>81.83</v>
      </c>
      <c r="H95" s="64">
        <v>25.59</v>
      </c>
      <c r="I95" s="64">
        <v>1.45</v>
      </c>
      <c r="J95" s="64">
        <v>1.05</v>
      </c>
      <c r="K95" s="64">
        <v>354.27</v>
      </c>
      <c r="L95" s="64">
        <v>20.83</v>
      </c>
      <c r="M95" s="64">
        <v>78.569999999999993</v>
      </c>
      <c r="N95" s="64">
        <v>27.8</v>
      </c>
      <c r="O95" s="64">
        <v>0</v>
      </c>
      <c r="P95" s="64">
        <v>0.89</v>
      </c>
      <c r="Q95" s="64">
        <v>8.1199999999999992</v>
      </c>
      <c r="R95" s="198"/>
      <c r="S95" s="198"/>
      <c r="T95" s="198"/>
      <c r="U95" s="198"/>
    </row>
    <row r="96" spans="1:26" s="12" customFormat="1" x14ac:dyDescent="0.25">
      <c r="A96" s="213" t="s">
        <v>2830</v>
      </c>
      <c r="B96" s="64">
        <v>12.4</v>
      </c>
      <c r="C96" s="64">
        <v>43.53</v>
      </c>
      <c r="D96" s="64">
        <v>34.61</v>
      </c>
      <c r="E96" s="64">
        <v>4.3499999999999996</v>
      </c>
      <c r="F96" s="64">
        <v>3.73</v>
      </c>
      <c r="G96" s="64">
        <v>81.83</v>
      </c>
      <c r="H96" s="64">
        <v>25.59</v>
      </c>
      <c r="I96" s="64">
        <v>1.57</v>
      </c>
      <c r="J96" s="64">
        <v>0.65</v>
      </c>
      <c r="K96" s="64">
        <v>358.62</v>
      </c>
      <c r="L96" s="64">
        <v>20.64</v>
      </c>
      <c r="M96" s="64">
        <v>80.38</v>
      </c>
      <c r="N96" s="64">
        <v>27.6</v>
      </c>
      <c r="O96" s="64">
        <v>0</v>
      </c>
      <c r="P96" s="64">
        <v>0.86</v>
      </c>
      <c r="Q96" s="64">
        <v>8.14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2831</v>
      </c>
      <c r="B97" s="64">
        <v>11.75</v>
      </c>
      <c r="C97" s="64">
        <v>42.64</v>
      </c>
      <c r="D97" s="64">
        <v>33.61</v>
      </c>
      <c r="E97" s="64">
        <v>4.49</v>
      </c>
      <c r="F97" s="64">
        <v>3.35</v>
      </c>
      <c r="G97" s="64">
        <v>81.83</v>
      </c>
      <c r="H97" s="64">
        <v>25.59</v>
      </c>
      <c r="I97" s="64">
        <v>1.49</v>
      </c>
      <c r="J97" s="64">
        <v>0.85</v>
      </c>
      <c r="K97" s="64">
        <v>2.0299999999999998</v>
      </c>
      <c r="L97" s="64">
        <v>20.56</v>
      </c>
      <c r="M97" s="64">
        <v>81.08</v>
      </c>
      <c r="N97" s="64">
        <v>27.6</v>
      </c>
      <c r="O97" s="64">
        <v>0</v>
      </c>
      <c r="P97" s="64">
        <v>0.84</v>
      </c>
      <c r="Q97" s="64">
        <v>8.1199999999999992</v>
      </c>
      <c r="R97" s="198"/>
      <c r="S97" s="198"/>
      <c r="T97" s="198"/>
      <c r="U97" s="198"/>
    </row>
    <row r="98" spans="1:33" s="12" customFormat="1" x14ac:dyDescent="0.25">
      <c r="A98" s="213" t="s">
        <v>2832</v>
      </c>
      <c r="B98" s="64">
        <v>11.13</v>
      </c>
      <c r="C98" s="64">
        <v>42.13</v>
      </c>
      <c r="D98" s="64">
        <v>32.83</v>
      </c>
      <c r="E98" s="64">
        <v>4.5999999999999996</v>
      </c>
      <c r="F98" s="64">
        <v>3.22</v>
      </c>
      <c r="G98" s="64">
        <v>79.72</v>
      </c>
      <c r="H98" s="64">
        <v>20.27</v>
      </c>
      <c r="I98" s="64">
        <v>1.46</v>
      </c>
      <c r="J98" s="64">
        <v>0.81</v>
      </c>
      <c r="K98" s="64">
        <v>67.86</v>
      </c>
      <c r="L98" s="64">
        <v>20.25</v>
      </c>
      <c r="M98" s="64">
        <v>82.43</v>
      </c>
      <c r="N98" s="64">
        <v>28</v>
      </c>
      <c r="O98" s="64">
        <v>0</v>
      </c>
      <c r="P98" s="64">
        <v>0.81</v>
      </c>
      <c r="Q98" s="64">
        <v>8.1199999999999992</v>
      </c>
      <c r="R98" s="198"/>
      <c r="S98" s="198"/>
      <c r="T98" s="198"/>
      <c r="U98" s="198"/>
    </row>
    <row r="99" spans="1:33" s="12" customFormat="1" x14ac:dyDescent="0.25">
      <c r="A99" s="213" t="s">
        <v>2833</v>
      </c>
      <c r="B99" s="64">
        <v>10.6</v>
      </c>
      <c r="C99" s="64">
        <v>41.45</v>
      </c>
      <c r="D99" s="64">
        <v>32.020000000000003</v>
      </c>
      <c r="E99" s="64">
        <v>4.3</v>
      </c>
      <c r="F99" s="64">
        <v>3.37</v>
      </c>
      <c r="G99" s="64">
        <v>79.3</v>
      </c>
      <c r="H99" s="64">
        <v>19.2</v>
      </c>
      <c r="I99" s="64">
        <v>1.5</v>
      </c>
      <c r="J99" s="64">
        <v>0.33</v>
      </c>
      <c r="K99" s="64">
        <v>19.2</v>
      </c>
      <c r="L99" s="64">
        <v>20.170000000000002</v>
      </c>
      <c r="M99" s="64">
        <v>82.97</v>
      </c>
      <c r="N99" s="64">
        <v>27.7</v>
      </c>
      <c r="O99" s="64">
        <v>0</v>
      </c>
      <c r="P99" s="64">
        <v>0.78</v>
      </c>
      <c r="Q99" s="64">
        <v>8.1199999999999992</v>
      </c>
      <c r="R99" s="198"/>
      <c r="S99" s="198"/>
      <c r="T99" s="198"/>
      <c r="U99" s="198"/>
    </row>
    <row r="100" spans="1:33" s="12" customFormat="1" x14ac:dyDescent="0.25">
      <c r="A100" s="213" t="s">
        <v>2834</v>
      </c>
      <c r="B100" s="64">
        <v>10.119999999999999</v>
      </c>
      <c r="C100" s="64">
        <v>40.92</v>
      </c>
      <c r="D100" s="64">
        <v>31.35</v>
      </c>
      <c r="E100" s="64">
        <v>4.5</v>
      </c>
      <c r="F100" s="64">
        <v>3.35</v>
      </c>
      <c r="G100" s="64">
        <v>79.3</v>
      </c>
      <c r="H100" s="64">
        <v>19.2</v>
      </c>
      <c r="I100" s="64">
        <v>1.57</v>
      </c>
      <c r="J100" s="64">
        <v>1.1100000000000001</v>
      </c>
      <c r="K100" s="64">
        <v>82.28</v>
      </c>
      <c r="L100" s="64">
        <v>19.850000000000001</v>
      </c>
      <c r="M100" s="64">
        <v>84.61</v>
      </c>
      <c r="N100" s="64">
        <v>28</v>
      </c>
      <c r="O100" s="64">
        <v>0</v>
      </c>
      <c r="P100" s="64">
        <v>0.76</v>
      </c>
      <c r="Q100" s="64">
        <v>8.1300000000000008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2835</v>
      </c>
      <c r="B101" s="64">
        <v>9.69</v>
      </c>
      <c r="C101" s="64">
        <v>40.020000000000003</v>
      </c>
      <c r="D101" s="64">
        <v>30.5</v>
      </c>
      <c r="E101" s="64">
        <v>4.22</v>
      </c>
      <c r="F101" s="64">
        <v>3.64</v>
      </c>
      <c r="G101" s="64">
        <v>79.3</v>
      </c>
      <c r="H101" s="64">
        <v>19.2</v>
      </c>
      <c r="I101" s="64">
        <v>1.55</v>
      </c>
      <c r="J101" s="64">
        <v>0.71</v>
      </c>
      <c r="K101" s="64">
        <v>83.12</v>
      </c>
      <c r="L101" s="64">
        <v>19.7</v>
      </c>
      <c r="M101" s="64">
        <v>85.13</v>
      </c>
      <c r="N101" s="64">
        <v>27.9</v>
      </c>
      <c r="O101" s="64">
        <v>0</v>
      </c>
      <c r="P101" s="64">
        <v>0.72</v>
      </c>
      <c r="Q101" s="64">
        <v>8.11</v>
      </c>
      <c r="R101" s="198"/>
      <c r="S101" s="198"/>
      <c r="T101" s="198"/>
      <c r="U101" s="198"/>
    </row>
    <row r="102" spans="1:33" s="12" customFormat="1" x14ac:dyDescent="0.25">
      <c r="A102" s="213" t="s">
        <v>2836</v>
      </c>
      <c r="B102" s="64">
        <v>9.57</v>
      </c>
      <c r="C102" s="64">
        <v>39.83</v>
      </c>
      <c r="D102" s="64">
        <v>30.3</v>
      </c>
      <c r="E102" s="64">
        <v>4.3</v>
      </c>
      <c r="F102" s="64">
        <v>3.17</v>
      </c>
      <c r="G102" s="64">
        <v>61.39</v>
      </c>
      <c r="H102" s="64">
        <v>17.59</v>
      </c>
      <c r="I102" s="64">
        <v>1.49</v>
      </c>
      <c r="J102" s="64">
        <v>1.21</v>
      </c>
      <c r="K102" s="64">
        <v>0.26</v>
      </c>
      <c r="L102" s="64">
        <v>19.73</v>
      </c>
      <c r="M102" s="64">
        <v>85.12</v>
      </c>
      <c r="N102" s="64">
        <v>27.8</v>
      </c>
      <c r="O102" s="64">
        <v>0</v>
      </c>
      <c r="P102" s="64">
        <v>0.69</v>
      </c>
      <c r="Q102" s="64">
        <v>8.1199999999999992</v>
      </c>
      <c r="R102" s="198"/>
      <c r="S102" s="198"/>
      <c r="T102" s="198"/>
      <c r="U102" s="198"/>
    </row>
    <row r="103" spans="1:33" s="12" customFormat="1" x14ac:dyDescent="0.25">
      <c r="A103" s="213" t="s">
        <v>2837</v>
      </c>
      <c r="B103" s="64">
        <v>9.6300000000000008</v>
      </c>
      <c r="C103" s="64">
        <v>43.46</v>
      </c>
      <c r="D103" s="64">
        <v>32.35</v>
      </c>
      <c r="E103" s="64">
        <v>4.25</v>
      </c>
      <c r="F103" s="64">
        <v>2.71</v>
      </c>
      <c r="G103" s="64">
        <v>57.8</v>
      </c>
      <c r="H103" s="64">
        <v>17.27</v>
      </c>
      <c r="I103" s="64">
        <v>1.48</v>
      </c>
      <c r="J103" s="64">
        <v>1.92</v>
      </c>
      <c r="K103" s="64">
        <v>351.11</v>
      </c>
      <c r="L103" s="64">
        <v>19.79</v>
      </c>
      <c r="M103" s="64">
        <v>85.83</v>
      </c>
      <c r="N103" s="64">
        <v>27.8</v>
      </c>
      <c r="O103" s="64">
        <v>0</v>
      </c>
      <c r="P103" s="64">
        <v>0.65</v>
      </c>
      <c r="Q103" s="64">
        <v>8.14</v>
      </c>
      <c r="R103" s="198"/>
      <c r="S103" s="198"/>
      <c r="T103" s="198"/>
      <c r="U103" s="198"/>
    </row>
    <row r="104" spans="1:33" s="12" customFormat="1" x14ac:dyDescent="0.25">
      <c r="A104" s="213" t="s">
        <v>2838</v>
      </c>
      <c r="B104" s="64">
        <v>9.1300000000000008</v>
      </c>
      <c r="C104" s="64">
        <v>45.57</v>
      </c>
      <c r="D104" s="64">
        <v>33.119999999999997</v>
      </c>
      <c r="E104" s="64">
        <v>3.89</v>
      </c>
      <c r="F104" s="64">
        <v>3.8</v>
      </c>
      <c r="G104" s="64">
        <v>57.8</v>
      </c>
      <c r="H104" s="64">
        <v>17.27</v>
      </c>
      <c r="I104" s="64">
        <v>1.47</v>
      </c>
      <c r="J104" s="64">
        <v>2.92</v>
      </c>
      <c r="K104" s="64">
        <v>349.41</v>
      </c>
      <c r="L104" s="64">
        <v>19.39</v>
      </c>
      <c r="M104" s="64">
        <v>87.53</v>
      </c>
      <c r="N104" s="64">
        <v>28.8</v>
      </c>
      <c r="O104" s="64">
        <v>0</v>
      </c>
      <c r="P104" s="64">
        <v>0.61</v>
      </c>
      <c r="Q104" s="64">
        <v>8.18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1.47</v>
      </c>
      <c r="C106" s="67">
        <f>MIN(C9:C104)</f>
        <v>32.1</v>
      </c>
      <c r="D106" s="67">
        <f t="shared" ref="D106:Q106" si="0">MIN(D9:D104)</f>
        <v>19.75</v>
      </c>
      <c r="E106" s="67">
        <f t="shared" si="0"/>
        <v>2.76</v>
      </c>
      <c r="F106" s="67">
        <f t="shared" si="0"/>
        <v>2.7</v>
      </c>
      <c r="G106" s="67">
        <f t="shared" si="0"/>
        <v>24.94</v>
      </c>
      <c r="H106" s="67">
        <f t="shared" si="0"/>
        <v>16.05</v>
      </c>
      <c r="I106" s="67">
        <f t="shared" si="0"/>
        <v>1.43</v>
      </c>
      <c r="J106" s="67">
        <f t="shared" si="0"/>
        <v>0.01</v>
      </c>
      <c r="K106" s="67">
        <f t="shared" si="0"/>
        <v>0.26</v>
      </c>
      <c r="L106" s="67">
        <f t="shared" si="0"/>
        <v>19.39</v>
      </c>
      <c r="M106" s="67">
        <f t="shared" si="0"/>
        <v>40.299999999999997</v>
      </c>
      <c r="N106" s="67">
        <f t="shared" si="0"/>
        <v>26.9</v>
      </c>
      <c r="O106" s="67">
        <f t="shared" si="0"/>
        <v>0</v>
      </c>
      <c r="P106" s="67">
        <f t="shared" si="0"/>
        <v>0.38</v>
      </c>
      <c r="Q106" s="67">
        <f t="shared" si="0"/>
        <v>7.9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17.03</v>
      </c>
      <c r="C107" s="66">
        <f t="shared" ref="C107:Q107" si="1">MAX(C9:C104)</f>
        <v>53.56</v>
      </c>
      <c r="D107" s="66">
        <f t="shared" si="1"/>
        <v>41.94</v>
      </c>
      <c r="E107" s="66">
        <f t="shared" si="1"/>
        <v>4.88</v>
      </c>
      <c r="F107" s="66">
        <f t="shared" si="1"/>
        <v>12.16</v>
      </c>
      <c r="G107" s="66">
        <f t="shared" si="1"/>
        <v>81.83</v>
      </c>
      <c r="H107" s="66">
        <f t="shared" si="1"/>
        <v>31.8</v>
      </c>
      <c r="I107" s="66">
        <f t="shared" si="1"/>
        <v>1.64</v>
      </c>
      <c r="J107" s="66">
        <f t="shared" si="1"/>
        <v>2.92</v>
      </c>
      <c r="K107" s="66">
        <f t="shared" si="1"/>
        <v>358.62</v>
      </c>
      <c r="L107" s="66">
        <f t="shared" si="1"/>
        <v>31.72</v>
      </c>
      <c r="M107" s="66">
        <f t="shared" si="1"/>
        <v>97.47</v>
      </c>
      <c r="N107" s="66">
        <f t="shared" si="1"/>
        <v>774.6</v>
      </c>
      <c r="O107" s="66">
        <f t="shared" si="1"/>
        <v>0</v>
      </c>
      <c r="P107" s="66">
        <f t="shared" si="1"/>
        <v>1.02</v>
      </c>
      <c r="Q107" s="66">
        <f t="shared" si="1"/>
        <v>9.08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8.3411458333333339</v>
      </c>
      <c r="C108" s="67">
        <f t="shared" ref="C108:Q108" si="2">AVERAGE(C9:C104)</f>
        <v>43.857187500000002</v>
      </c>
      <c r="D108" s="67">
        <f t="shared" si="2"/>
        <v>31.5390625</v>
      </c>
      <c r="E108" s="67">
        <f t="shared" si="2"/>
        <v>4.0670833333333336</v>
      </c>
      <c r="F108" s="67">
        <f t="shared" si="2"/>
        <v>4.2415625000000006</v>
      </c>
      <c r="G108" s="67">
        <f t="shared" si="2"/>
        <v>55.94770833333336</v>
      </c>
      <c r="H108" s="67">
        <f t="shared" si="2"/>
        <v>24.124374999999986</v>
      </c>
      <c r="I108" s="67">
        <f t="shared" si="2"/>
        <v>1.5025000000000002</v>
      </c>
      <c r="J108" s="67">
        <f t="shared" si="2"/>
        <v>0.43468750000000006</v>
      </c>
      <c r="K108" s="67">
        <f t="shared" si="2"/>
        <v>197.43489583333334</v>
      </c>
      <c r="L108" s="67">
        <f t="shared" si="2"/>
        <v>24.537187499999998</v>
      </c>
      <c r="M108" s="67">
        <f t="shared" si="2"/>
        <v>69.091979166666633</v>
      </c>
      <c r="N108" s="67">
        <f t="shared" si="2"/>
        <v>224.10729166666667</v>
      </c>
      <c r="O108" s="67">
        <f t="shared" si="2"/>
        <v>0</v>
      </c>
      <c r="P108" s="67">
        <f t="shared" si="2"/>
        <v>0.64249999999999996</v>
      </c>
      <c r="Q108" s="67">
        <f t="shared" si="2"/>
        <v>8.564631578947365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4.9484712939381428</v>
      </c>
      <c r="C109" s="67">
        <f t="shared" ref="C109:Q109" si="3">STDEV(C9:C104)</f>
        <v>6.501349123653565</v>
      </c>
      <c r="D109" s="67">
        <f t="shared" si="3"/>
        <v>6.9206568106495219</v>
      </c>
      <c r="E109" s="67">
        <f t="shared" si="3"/>
        <v>0.51592924171453292</v>
      </c>
      <c r="F109" s="67">
        <f t="shared" si="3"/>
        <v>1.7137458683584876</v>
      </c>
      <c r="G109" s="67">
        <f t="shared" si="3"/>
        <v>15.164086692554203</v>
      </c>
      <c r="H109" s="67">
        <f t="shared" si="3"/>
        <v>5.3285650902520718</v>
      </c>
      <c r="I109" s="67">
        <f t="shared" si="3"/>
        <v>4.313991923472911E-2</v>
      </c>
      <c r="J109" s="67">
        <f t="shared" si="3"/>
        <v>0.4789922604033553</v>
      </c>
      <c r="K109" s="67">
        <f t="shared" si="3"/>
        <v>130.71360525164835</v>
      </c>
      <c r="L109" s="67">
        <f t="shared" si="3"/>
        <v>4.3547149772281077</v>
      </c>
      <c r="M109" s="67">
        <f t="shared" si="3"/>
        <v>19.30874874627909</v>
      </c>
      <c r="N109" s="67">
        <f t="shared" si="3"/>
        <v>254.05861124211455</v>
      </c>
      <c r="O109" s="67">
        <f t="shared" si="3"/>
        <v>0</v>
      </c>
      <c r="P109" s="67">
        <f t="shared" si="3"/>
        <v>0.16006577595344693</v>
      </c>
      <c r="Q109" s="67">
        <f t="shared" si="3"/>
        <v>0.4304174384624615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2839</v>
      </c>
      <c r="B9" s="64">
        <v>7.65</v>
      </c>
      <c r="C9" s="64">
        <v>45.73</v>
      </c>
      <c r="D9" s="64">
        <v>32.020000000000003</v>
      </c>
      <c r="E9" s="64">
        <v>4.21</v>
      </c>
      <c r="F9" s="64">
        <v>3.91</v>
      </c>
      <c r="G9" s="64">
        <v>57.8</v>
      </c>
      <c r="H9" s="64">
        <v>17.27</v>
      </c>
      <c r="I9" s="64">
        <v>1.55</v>
      </c>
      <c r="J9" s="64">
        <v>1.28</v>
      </c>
      <c r="K9" s="64">
        <v>359.54</v>
      </c>
      <c r="L9" s="64">
        <v>18.940000000000001</v>
      </c>
      <c r="M9" s="64">
        <v>82.84</v>
      </c>
      <c r="N9" s="64">
        <v>27.8</v>
      </c>
      <c r="O9" s="64">
        <v>0</v>
      </c>
      <c r="P9" s="64">
        <v>0.56000000000000005</v>
      </c>
      <c r="Q9" s="64">
        <v>8.19</v>
      </c>
      <c r="R9" s="198"/>
      <c r="S9" s="198"/>
      <c r="T9" s="198"/>
      <c r="U9" s="198"/>
    </row>
    <row r="10" spans="1:21" s="12" customFormat="1" x14ac:dyDescent="0.25">
      <c r="A10" s="213" t="s">
        <v>2840</v>
      </c>
      <c r="B10" s="64">
        <v>6.56</v>
      </c>
      <c r="C10" s="64">
        <v>46.96</v>
      </c>
      <c r="D10" s="64">
        <v>31.82</v>
      </c>
      <c r="E10" s="64">
        <v>4.4400000000000004</v>
      </c>
      <c r="F10" s="64">
        <v>3.42</v>
      </c>
      <c r="G10" s="64">
        <v>51.69</v>
      </c>
      <c r="H10" s="64">
        <v>15.91</v>
      </c>
      <c r="I10" s="64">
        <v>1.49</v>
      </c>
      <c r="J10" s="64">
        <v>0.64</v>
      </c>
      <c r="K10" s="64">
        <v>13.82</v>
      </c>
      <c r="L10" s="64">
        <v>18.84</v>
      </c>
      <c r="M10" s="64">
        <v>79.569999999999993</v>
      </c>
      <c r="N10" s="64">
        <v>27.5</v>
      </c>
      <c r="O10" s="64">
        <v>0</v>
      </c>
      <c r="P10" s="64">
        <v>0.53</v>
      </c>
      <c r="Q10" s="64">
        <v>8.18</v>
      </c>
      <c r="R10" s="198"/>
      <c r="S10" s="198"/>
      <c r="T10" s="198"/>
      <c r="U10" s="198"/>
    </row>
    <row r="11" spans="1:21" s="12" customFormat="1" x14ac:dyDescent="0.25">
      <c r="A11" s="213" t="s">
        <v>2841</v>
      </c>
      <c r="B11" s="64">
        <v>6.23</v>
      </c>
      <c r="C11" s="64">
        <v>46.82</v>
      </c>
      <c r="D11" s="64">
        <v>31.48</v>
      </c>
      <c r="E11" s="64">
        <v>4.22</v>
      </c>
      <c r="F11" s="64">
        <v>3.54</v>
      </c>
      <c r="G11" s="64">
        <v>50.47</v>
      </c>
      <c r="H11" s="64">
        <v>15.64</v>
      </c>
      <c r="I11" s="64">
        <v>1.5</v>
      </c>
      <c r="J11" s="64">
        <v>0.46</v>
      </c>
      <c r="K11" s="64">
        <v>21.86</v>
      </c>
      <c r="L11" s="64">
        <v>18.73</v>
      </c>
      <c r="M11" s="64">
        <v>79.67</v>
      </c>
      <c r="N11" s="64">
        <v>27.5</v>
      </c>
      <c r="O11" s="64">
        <v>0</v>
      </c>
      <c r="P11" s="64">
        <v>0.51</v>
      </c>
      <c r="Q11" s="64">
        <v>8.11</v>
      </c>
      <c r="R11" s="198"/>
      <c r="S11" s="198"/>
      <c r="T11" s="198"/>
      <c r="U11" s="198"/>
    </row>
    <row r="12" spans="1:21" s="12" customFormat="1" x14ac:dyDescent="0.25">
      <c r="A12" s="213" t="s">
        <v>2842</v>
      </c>
      <c r="B12" s="64">
        <v>6.24</v>
      </c>
      <c r="C12" s="64">
        <v>45.92</v>
      </c>
      <c r="D12" s="64">
        <v>30.99</v>
      </c>
      <c r="E12" s="64">
        <v>4.43</v>
      </c>
      <c r="F12" s="64">
        <v>3.32</v>
      </c>
      <c r="G12" s="64">
        <v>50.47</v>
      </c>
      <c r="H12" s="64">
        <v>15.64</v>
      </c>
      <c r="I12" s="64">
        <v>1.53</v>
      </c>
      <c r="J12" s="64">
        <v>0.32</v>
      </c>
      <c r="K12" s="64">
        <v>39</v>
      </c>
      <c r="L12" s="64">
        <v>18.53</v>
      </c>
      <c r="M12" s="64">
        <v>80.02</v>
      </c>
      <c r="N12" s="64">
        <v>27.5</v>
      </c>
      <c r="O12" s="64">
        <v>0</v>
      </c>
      <c r="P12" s="64">
        <v>0.5</v>
      </c>
      <c r="Q12" s="64">
        <v>8.1</v>
      </c>
      <c r="R12" s="198"/>
      <c r="S12" s="198"/>
      <c r="T12" s="198"/>
      <c r="U12" s="198"/>
    </row>
    <row r="13" spans="1:21" s="12" customFormat="1" x14ac:dyDescent="0.25">
      <c r="A13" s="213" t="s">
        <v>2843</v>
      </c>
      <c r="B13" s="64">
        <v>6.32</v>
      </c>
      <c r="C13" s="64">
        <v>44.03</v>
      </c>
      <c r="D13" s="64">
        <v>30.01</v>
      </c>
      <c r="E13" s="64">
        <v>4.3499999999999996</v>
      </c>
      <c r="F13" s="64">
        <v>3.42</v>
      </c>
      <c r="G13" s="64">
        <v>50.47</v>
      </c>
      <c r="H13" s="64">
        <v>15.64</v>
      </c>
      <c r="I13" s="64">
        <v>1.53</v>
      </c>
      <c r="J13" s="64">
        <v>0.31</v>
      </c>
      <c r="K13" s="64">
        <v>64.58</v>
      </c>
      <c r="L13" s="64">
        <v>18.48</v>
      </c>
      <c r="M13" s="64">
        <v>80.78</v>
      </c>
      <c r="N13" s="64">
        <v>27.3</v>
      </c>
      <c r="O13" s="64">
        <v>0</v>
      </c>
      <c r="P13" s="64">
        <v>0.5</v>
      </c>
      <c r="Q13" s="64">
        <v>8.11</v>
      </c>
      <c r="R13" s="198"/>
      <c r="S13" s="198"/>
      <c r="T13" s="198"/>
      <c r="U13" s="198"/>
    </row>
    <row r="14" spans="1:21" s="12" customFormat="1" x14ac:dyDescent="0.25">
      <c r="A14" s="213" t="s">
        <v>2844</v>
      </c>
      <c r="B14" s="64">
        <v>6.5</v>
      </c>
      <c r="C14" s="64">
        <v>43.85</v>
      </c>
      <c r="D14" s="64">
        <v>30.06</v>
      </c>
      <c r="E14" s="64">
        <v>4.41</v>
      </c>
      <c r="F14" s="64">
        <v>2.91</v>
      </c>
      <c r="G14" s="64">
        <v>41.01</v>
      </c>
      <c r="H14" s="64">
        <v>14.82</v>
      </c>
      <c r="I14" s="64">
        <v>1.47</v>
      </c>
      <c r="J14" s="64">
        <v>1.1499999999999999</v>
      </c>
      <c r="K14" s="64">
        <v>102.25</v>
      </c>
      <c r="L14" s="64">
        <v>18.579999999999998</v>
      </c>
      <c r="M14" s="64">
        <v>79.77</v>
      </c>
      <c r="N14" s="64">
        <v>26.6</v>
      </c>
      <c r="O14" s="64">
        <v>0</v>
      </c>
      <c r="P14" s="64">
        <v>0.53</v>
      </c>
      <c r="Q14" s="64">
        <v>8.1</v>
      </c>
      <c r="R14" s="198"/>
      <c r="S14" s="198"/>
      <c r="T14" s="198"/>
      <c r="U14" s="198"/>
    </row>
    <row r="15" spans="1:21" s="12" customFormat="1" x14ac:dyDescent="0.25">
      <c r="A15" s="213" t="s">
        <v>2845</v>
      </c>
      <c r="B15" s="64">
        <v>6.49</v>
      </c>
      <c r="C15" s="64">
        <v>44.85</v>
      </c>
      <c r="D15" s="64">
        <v>30.6</v>
      </c>
      <c r="E15" s="64">
        <v>4.45</v>
      </c>
      <c r="F15" s="64">
        <v>3.03</v>
      </c>
      <c r="G15" s="64">
        <v>39.119999999999997</v>
      </c>
      <c r="H15" s="64">
        <v>14.65</v>
      </c>
      <c r="I15" s="64">
        <v>1.51</v>
      </c>
      <c r="J15" s="64">
        <v>1.46</v>
      </c>
      <c r="K15" s="64">
        <v>99.68</v>
      </c>
      <c r="L15" s="64">
        <v>18.59</v>
      </c>
      <c r="M15" s="64">
        <v>79.75</v>
      </c>
      <c r="N15" s="64">
        <v>27.1</v>
      </c>
      <c r="O15" s="64">
        <v>0</v>
      </c>
      <c r="P15" s="64">
        <v>0.5</v>
      </c>
      <c r="Q15" s="64">
        <v>8.17</v>
      </c>
      <c r="R15" s="198"/>
      <c r="S15" s="198"/>
      <c r="T15" s="198"/>
      <c r="U15" s="198"/>
    </row>
    <row r="16" spans="1:21" s="12" customFormat="1" x14ac:dyDescent="0.25">
      <c r="A16" s="213" t="s">
        <v>2846</v>
      </c>
      <c r="B16" s="64">
        <v>6.22</v>
      </c>
      <c r="C16" s="64">
        <v>41.2</v>
      </c>
      <c r="D16" s="64">
        <v>28.37</v>
      </c>
      <c r="E16" s="64">
        <v>4.4800000000000004</v>
      </c>
      <c r="F16" s="64">
        <v>3.52</v>
      </c>
      <c r="G16" s="64">
        <v>39.119999999999997</v>
      </c>
      <c r="H16" s="64">
        <v>14.65</v>
      </c>
      <c r="I16" s="64">
        <v>1.56</v>
      </c>
      <c r="J16" s="64">
        <v>1.1000000000000001</v>
      </c>
      <c r="K16" s="64">
        <v>92.21</v>
      </c>
      <c r="L16" s="64">
        <v>18.559999999999999</v>
      </c>
      <c r="M16" s="64">
        <v>81.17</v>
      </c>
      <c r="N16" s="64">
        <v>27.2</v>
      </c>
      <c r="O16" s="64">
        <v>0</v>
      </c>
      <c r="P16" s="64">
        <v>0.49</v>
      </c>
      <c r="Q16" s="64">
        <v>8.24</v>
      </c>
      <c r="R16" s="198"/>
      <c r="S16" s="198"/>
      <c r="T16" s="198"/>
      <c r="U16" s="198"/>
    </row>
    <row r="17" spans="1:21" s="12" customFormat="1" x14ac:dyDescent="0.25">
      <c r="A17" s="213" t="s">
        <v>2847</v>
      </c>
      <c r="B17" s="64">
        <v>6</v>
      </c>
      <c r="C17" s="64">
        <v>39.380000000000003</v>
      </c>
      <c r="D17" s="64">
        <v>27.19</v>
      </c>
      <c r="E17" s="64">
        <v>4.55</v>
      </c>
      <c r="F17" s="64">
        <v>3.47</v>
      </c>
      <c r="G17" s="64">
        <v>39.119999999999997</v>
      </c>
      <c r="H17" s="64">
        <v>14.65</v>
      </c>
      <c r="I17" s="64">
        <v>1.48</v>
      </c>
      <c r="J17" s="64">
        <v>0.43</v>
      </c>
      <c r="K17" s="64">
        <v>153.43</v>
      </c>
      <c r="L17" s="64">
        <v>18.440000000000001</v>
      </c>
      <c r="M17" s="64">
        <v>83.46</v>
      </c>
      <c r="N17" s="64">
        <v>27.5</v>
      </c>
      <c r="O17" s="64">
        <v>0</v>
      </c>
      <c r="P17" s="64">
        <v>0.47</v>
      </c>
      <c r="Q17" s="64">
        <v>8.25</v>
      </c>
      <c r="R17" s="198"/>
      <c r="S17" s="198"/>
      <c r="T17" s="198"/>
      <c r="U17" s="198"/>
    </row>
    <row r="18" spans="1:21" s="12" customFormat="1" x14ac:dyDescent="0.25">
      <c r="A18" s="213" t="s">
        <v>2848</v>
      </c>
      <c r="B18" s="64">
        <v>5.77</v>
      </c>
      <c r="C18" s="64">
        <v>38.35</v>
      </c>
      <c r="D18" s="64">
        <v>26.44</v>
      </c>
      <c r="E18" s="64">
        <v>4.49</v>
      </c>
      <c r="F18" s="64">
        <v>3.19</v>
      </c>
      <c r="G18" s="64">
        <v>37.380000000000003</v>
      </c>
      <c r="H18" s="64">
        <v>12.5</v>
      </c>
      <c r="I18" s="64">
        <v>1.5</v>
      </c>
      <c r="J18" s="64">
        <v>0.6</v>
      </c>
      <c r="K18" s="64">
        <v>148.96</v>
      </c>
      <c r="L18" s="64">
        <v>18.27</v>
      </c>
      <c r="M18" s="64">
        <v>86.12</v>
      </c>
      <c r="N18" s="64">
        <v>27.3</v>
      </c>
      <c r="O18" s="64">
        <v>0</v>
      </c>
      <c r="P18" s="64">
        <v>0.46</v>
      </c>
      <c r="Q18" s="64">
        <v>8.23</v>
      </c>
      <c r="R18" s="198"/>
      <c r="S18" s="198"/>
      <c r="T18" s="198"/>
      <c r="U18" s="198"/>
    </row>
    <row r="19" spans="1:21" s="12" customFormat="1" x14ac:dyDescent="0.25">
      <c r="A19" s="213" t="s">
        <v>2849</v>
      </c>
      <c r="B19" s="64">
        <v>5.63</v>
      </c>
      <c r="C19" s="64">
        <v>37.17</v>
      </c>
      <c r="D19" s="64">
        <v>25.67</v>
      </c>
      <c r="E19" s="64">
        <v>4.45</v>
      </c>
      <c r="F19" s="64">
        <v>3.39</v>
      </c>
      <c r="G19" s="64">
        <v>37.03</v>
      </c>
      <c r="H19" s="64">
        <v>12.07</v>
      </c>
      <c r="I19" s="64">
        <v>1.53</v>
      </c>
      <c r="J19" s="64">
        <v>0.25</v>
      </c>
      <c r="K19" s="64">
        <v>140.29</v>
      </c>
      <c r="L19" s="64">
        <v>18.11</v>
      </c>
      <c r="M19" s="64">
        <v>89.03</v>
      </c>
      <c r="N19" s="64">
        <v>27.5</v>
      </c>
      <c r="O19" s="64">
        <v>0</v>
      </c>
      <c r="P19" s="64">
        <v>0.45</v>
      </c>
      <c r="Q19" s="64">
        <v>8.27</v>
      </c>
      <c r="R19" s="198"/>
      <c r="S19" s="198"/>
      <c r="T19" s="198"/>
      <c r="U19" s="198"/>
    </row>
    <row r="20" spans="1:21" s="12" customFormat="1" x14ac:dyDescent="0.25">
      <c r="A20" s="213" t="s">
        <v>2850</v>
      </c>
      <c r="B20" s="64">
        <v>5.58</v>
      </c>
      <c r="C20" s="64">
        <v>36.869999999999997</v>
      </c>
      <c r="D20" s="64">
        <v>25.47</v>
      </c>
      <c r="E20" s="64">
        <v>4.32</v>
      </c>
      <c r="F20" s="64">
        <v>3.56</v>
      </c>
      <c r="G20" s="64">
        <v>37.03</v>
      </c>
      <c r="H20" s="64">
        <v>12.07</v>
      </c>
      <c r="I20" s="64">
        <v>1.54</v>
      </c>
      <c r="J20" s="64">
        <v>0.31</v>
      </c>
      <c r="K20" s="64">
        <v>158.93</v>
      </c>
      <c r="L20" s="64">
        <v>18.03</v>
      </c>
      <c r="M20" s="64">
        <v>90.37</v>
      </c>
      <c r="N20" s="64">
        <v>27.2</v>
      </c>
      <c r="O20" s="64">
        <v>0</v>
      </c>
      <c r="P20" s="64">
        <v>0.44</v>
      </c>
      <c r="Q20" s="64">
        <v>8.27</v>
      </c>
      <c r="R20" s="198"/>
      <c r="S20" s="198"/>
      <c r="T20" s="198"/>
      <c r="U20" s="198"/>
    </row>
    <row r="21" spans="1:21" s="12" customFormat="1" x14ac:dyDescent="0.25">
      <c r="A21" s="213" t="s">
        <v>2851</v>
      </c>
      <c r="B21" s="64">
        <v>5.58</v>
      </c>
      <c r="C21" s="64">
        <v>36.71</v>
      </c>
      <c r="D21" s="64">
        <v>25.38</v>
      </c>
      <c r="E21" s="64">
        <v>4.2699999999999996</v>
      </c>
      <c r="F21" s="64">
        <v>3.67</v>
      </c>
      <c r="G21" s="64">
        <v>37.03</v>
      </c>
      <c r="H21" s="64">
        <v>12.07</v>
      </c>
      <c r="I21" s="64">
        <v>1.44</v>
      </c>
      <c r="J21" s="64">
        <v>0.67</v>
      </c>
      <c r="K21" s="64">
        <v>166.24</v>
      </c>
      <c r="L21" s="64">
        <v>18.03</v>
      </c>
      <c r="M21" s="64">
        <v>90.77</v>
      </c>
      <c r="N21" s="64">
        <v>27.1</v>
      </c>
      <c r="O21" s="64">
        <v>0</v>
      </c>
      <c r="P21" s="64">
        <v>0.43</v>
      </c>
      <c r="Q21" s="64">
        <v>8.26</v>
      </c>
      <c r="R21" s="198"/>
      <c r="S21" s="198"/>
      <c r="T21" s="198"/>
      <c r="U21" s="198"/>
    </row>
    <row r="22" spans="1:21" s="12" customFormat="1" x14ac:dyDescent="0.25">
      <c r="A22" s="213" t="s">
        <v>2852</v>
      </c>
      <c r="B22" s="64">
        <v>5.61</v>
      </c>
      <c r="C22" s="64">
        <v>36.14</v>
      </c>
      <c r="D22" s="64">
        <v>25.09</v>
      </c>
      <c r="E22" s="64">
        <v>4.42</v>
      </c>
      <c r="F22" s="64">
        <v>2.91</v>
      </c>
      <c r="G22" s="64">
        <v>32.409999999999997</v>
      </c>
      <c r="H22" s="64">
        <v>10.96</v>
      </c>
      <c r="I22" s="64">
        <v>1.49</v>
      </c>
      <c r="J22" s="64">
        <v>0.33</v>
      </c>
      <c r="K22" s="64">
        <v>166.99</v>
      </c>
      <c r="L22" s="64">
        <v>18.010000000000002</v>
      </c>
      <c r="M22" s="64">
        <v>90.96</v>
      </c>
      <c r="N22" s="64">
        <v>27.3</v>
      </c>
      <c r="O22" s="64">
        <v>0</v>
      </c>
      <c r="P22" s="64">
        <v>0.42</v>
      </c>
      <c r="Q22" s="64">
        <v>8.2799999999999994</v>
      </c>
      <c r="R22" s="198"/>
      <c r="S22" s="198"/>
      <c r="T22" s="198"/>
      <c r="U22" s="198"/>
    </row>
    <row r="23" spans="1:21" s="12" customFormat="1" x14ac:dyDescent="0.25">
      <c r="A23" s="213" t="s">
        <v>2853</v>
      </c>
      <c r="B23" s="64">
        <v>5.7</v>
      </c>
      <c r="C23" s="64">
        <v>35.46</v>
      </c>
      <c r="D23" s="64">
        <v>24.78</v>
      </c>
      <c r="E23" s="64">
        <v>4.4400000000000004</v>
      </c>
      <c r="F23" s="64">
        <v>3.23</v>
      </c>
      <c r="G23" s="64">
        <v>31.49</v>
      </c>
      <c r="H23" s="64">
        <v>10.74</v>
      </c>
      <c r="I23" s="64">
        <v>1.5</v>
      </c>
      <c r="J23" s="64">
        <v>0.12</v>
      </c>
      <c r="K23" s="64">
        <v>189.64</v>
      </c>
      <c r="L23" s="64">
        <v>18.059999999999999</v>
      </c>
      <c r="M23" s="64">
        <v>90.96</v>
      </c>
      <c r="N23" s="64">
        <v>27.3</v>
      </c>
      <c r="O23" s="64">
        <v>0</v>
      </c>
      <c r="P23" s="64">
        <v>0.41</v>
      </c>
      <c r="Q23" s="64">
        <v>8.26</v>
      </c>
      <c r="R23" s="198"/>
      <c r="S23" s="198"/>
      <c r="T23" s="198"/>
      <c r="U23" s="198"/>
    </row>
    <row r="24" spans="1:21" s="12" customFormat="1" x14ac:dyDescent="0.25">
      <c r="A24" s="213" t="s">
        <v>2854</v>
      </c>
      <c r="B24" s="64">
        <v>5.78</v>
      </c>
      <c r="C24" s="64">
        <v>35.450000000000003</v>
      </c>
      <c r="D24" s="64">
        <v>24.85</v>
      </c>
      <c r="E24" s="64">
        <v>3.53</v>
      </c>
      <c r="F24" s="64">
        <v>3.35</v>
      </c>
      <c r="G24" s="64">
        <v>31.49</v>
      </c>
      <c r="H24" s="64">
        <v>10.74</v>
      </c>
      <c r="I24" s="64">
        <v>1.44</v>
      </c>
      <c r="J24" s="64">
        <v>0.22</v>
      </c>
      <c r="K24" s="64">
        <v>192.07</v>
      </c>
      <c r="L24" s="64">
        <v>17.95</v>
      </c>
      <c r="M24" s="64">
        <v>91.77</v>
      </c>
      <c r="N24" s="64">
        <v>27.2</v>
      </c>
      <c r="O24" s="64">
        <v>0</v>
      </c>
      <c r="P24" s="64">
        <v>0.41</v>
      </c>
      <c r="Q24" s="64">
        <v>8.26</v>
      </c>
      <c r="R24" s="198"/>
      <c r="S24" s="198"/>
      <c r="T24" s="198"/>
      <c r="U24" s="198"/>
    </row>
    <row r="25" spans="1:21" s="12" customFormat="1" x14ac:dyDescent="0.25">
      <c r="A25" s="213" t="s">
        <v>2855</v>
      </c>
      <c r="B25" s="64">
        <v>5.85</v>
      </c>
      <c r="C25" s="64">
        <v>36.119999999999997</v>
      </c>
      <c r="D25" s="64">
        <v>25.27</v>
      </c>
      <c r="E25" s="64">
        <v>3.56</v>
      </c>
      <c r="F25" s="64">
        <v>3.16</v>
      </c>
      <c r="G25" s="64">
        <v>31.49</v>
      </c>
      <c r="H25" s="64">
        <v>10.74</v>
      </c>
      <c r="I25" s="64">
        <v>1.52</v>
      </c>
      <c r="J25" s="64">
        <v>0.23</v>
      </c>
      <c r="K25" s="64">
        <v>183.37</v>
      </c>
      <c r="L25" s="64">
        <v>17.899999999999999</v>
      </c>
      <c r="M25" s="64">
        <v>92.44</v>
      </c>
      <c r="N25" s="64">
        <v>27.3</v>
      </c>
      <c r="O25" s="64">
        <v>0</v>
      </c>
      <c r="P25" s="64">
        <v>0.4</v>
      </c>
      <c r="Q25" s="64">
        <v>8.25</v>
      </c>
      <c r="R25" s="198"/>
      <c r="S25" s="198"/>
      <c r="T25" s="198"/>
      <c r="U25" s="198"/>
    </row>
    <row r="26" spans="1:21" s="12" customFormat="1" x14ac:dyDescent="0.25">
      <c r="A26" s="213" t="s">
        <v>2856</v>
      </c>
      <c r="B26" s="64">
        <v>6.1</v>
      </c>
      <c r="C26" s="64">
        <v>37.83</v>
      </c>
      <c r="D26" s="64">
        <v>26.41</v>
      </c>
      <c r="E26" s="64">
        <v>3.59</v>
      </c>
      <c r="F26" s="64">
        <v>3.53</v>
      </c>
      <c r="G26" s="64">
        <v>28.98</v>
      </c>
      <c r="H26" s="64">
        <v>11.25</v>
      </c>
      <c r="I26" s="64">
        <v>1.45</v>
      </c>
      <c r="J26" s="64">
        <v>0.16</v>
      </c>
      <c r="K26" s="64">
        <v>332.44</v>
      </c>
      <c r="L26" s="64">
        <v>17.91</v>
      </c>
      <c r="M26" s="64">
        <v>93.26</v>
      </c>
      <c r="N26" s="64">
        <v>27.8</v>
      </c>
      <c r="O26" s="64">
        <v>0</v>
      </c>
      <c r="P26" s="64">
        <v>0.39</v>
      </c>
      <c r="Q26" s="64">
        <v>8.2899999999999991</v>
      </c>
      <c r="R26" s="198"/>
      <c r="S26" s="198"/>
      <c r="T26" s="198"/>
      <c r="U26" s="198"/>
    </row>
    <row r="27" spans="1:21" s="12" customFormat="1" x14ac:dyDescent="0.25">
      <c r="A27" s="213" t="s">
        <v>2857</v>
      </c>
      <c r="B27" s="64">
        <v>6.63</v>
      </c>
      <c r="C27" s="64">
        <v>38.700000000000003</v>
      </c>
      <c r="D27" s="64">
        <v>27.32</v>
      </c>
      <c r="E27" s="64">
        <v>3.54</v>
      </c>
      <c r="F27" s="64">
        <v>3.15</v>
      </c>
      <c r="G27" s="64">
        <v>28.48</v>
      </c>
      <c r="H27" s="64">
        <v>11.35</v>
      </c>
      <c r="I27" s="64">
        <v>1.49</v>
      </c>
      <c r="J27" s="64">
        <v>0.18</v>
      </c>
      <c r="K27" s="64">
        <v>198.24</v>
      </c>
      <c r="L27" s="64">
        <v>18.02</v>
      </c>
      <c r="M27" s="64">
        <v>91.44</v>
      </c>
      <c r="N27" s="64">
        <v>27.6</v>
      </c>
      <c r="O27" s="64">
        <v>0</v>
      </c>
      <c r="P27" s="64">
        <v>0.39</v>
      </c>
      <c r="Q27" s="64">
        <v>8.32</v>
      </c>
      <c r="R27" s="198"/>
      <c r="S27" s="198"/>
      <c r="T27" s="198"/>
      <c r="U27" s="198"/>
    </row>
    <row r="28" spans="1:21" s="12" customFormat="1" x14ac:dyDescent="0.25">
      <c r="A28" s="213" t="s">
        <v>2858</v>
      </c>
      <c r="B28" s="64">
        <v>7.04</v>
      </c>
      <c r="C28" s="64">
        <v>38.93</v>
      </c>
      <c r="D28" s="64">
        <v>27.78</v>
      </c>
      <c r="E28" s="64">
        <v>3.44</v>
      </c>
      <c r="F28" s="64">
        <v>2.87</v>
      </c>
      <c r="G28" s="64">
        <v>28.48</v>
      </c>
      <c r="H28" s="64">
        <v>11.35</v>
      </c>
      <c r="I28" s="64">
        <v>1.49</v>
      </c>
      <c r="J28" s="64">
        <v>7.0000000000000007E-2</v>
      </c>
      <c r="K28" s="64">
        <v>322.20999999999998</v>
      </c>
      <c r="L28" s="64">
        <v>18.09</v>
      </c>
      <c r="M28" s="64">
        <v>90.22</v>
      </c>
      <c r="N28" s="64">
        <v>27.8</v>
      </c>
      <c r="O28" s="64">
        <v>0</v>
      </c>
      <c r="P28" s="64">
        <v>0.38</v>
      </c>
      <c r="Q28" s="64">
        <v>8.35</v>
      </c>
      <c r="R28" s="198"/>
      <c r="S28" s="198"/>
      <c r="T28" s="198"/>
      <c r="U28" s="198"/>
    </row>
    <row r="29" spans="1:21" s="12" customFormat="1" x14ac:dyDescent="0.25">
      <c r="A29" s="213" t="s">
        <v>2859</v>
      </c>
      <c r="B29" s="64">
        <v>7.61</v>
      </c>
      <c r="C29" s="64">
        <v>38.619999999999997</v>
      </c>
      <c r="D29" s="64">
        <v>28.06</v>
      </c>
      <c r="E29" s="64">
        <v>3.51</v>
      </c>
      <c r="F29" s="64">
        <v>2.96</v>
      </c>
      <c r="G29" s="64">
        <v>28.48</v>
      </c>
      <c r="H29" s="64">
        <v>11.35</v>
      </c>
      <c r="I29" s="64">
        <v>1.49</v>
      </c>
      <c r="J29" s="64">
        <v>0.11</v>
      </c>
      <c r="K29" s="64">
        <v>357.05</v>
      </c>
      <c r="L29" s="64">
        <v>17.940000000000001</v>
      </c>
      <c r="M29" s="64">
        <v>93.09</v>
      </c>
      <c r="N29" s="64">
        <v>27.8</v>
      </c>
      <c r="O29" s="64">
        <v>0</v>
      </c>
      <c r="P29" s="64">
        <v>0.38</v>
      </c>
      <c r="Q29" s="64">
        <v>8.32</v>
      </c>
      <c r="R29" s="198"/>
      <c r="S29" s="198"/>
      <c r="T29" s="198"/>
      <c r="U29" s="198"/>
    </row>
    <row r="30" spans="1:21" s="12" customFormat="1" x14ac:dyDescent="0.25">
      <c r="A30" s="213" t="s">
        <v>2860</v>
      </c>
      <c r="B30" s="64">
        <v>8.52</v>
      </c>
      <c r="C30" s="64">
        <v>38.630000000000003</v>
      </c>
      <c r="D30" s="64">
        <v>28.8</v>
      </c>
      <c r="E30" s="64">
        <v>3.56</v>
      </c>
      <c r="F30" s="64">
        <v>3.19</v>
      </c>
      <c r="G30" s="64">
        <v>28.82</v>
      </c>
      <c r="H30" s="64">
        <v>11.88</v>
      </c>
      <c r="I30" s="64">
        <v>1.51</v>
      </c>
      <c r="J30" s="64">
        <v>0.97</v>
      </c>
      <c r="K30" s="64">
        <v>340.03</v>
      </c>
      <c r="L30" s="64">
        <v>17.79</v>
      </c>
      <c r="M30" s="64">
        <v>92.64</v>
      </c>
      <c r="N30" s="64">
        <v>27.6</v>
      </c>
      <c r="O30" s="64">
        <v>0</v>
      </c>
      <c r="P30" s="64">
        <v>0.39</v>
      </c>
      <c r="Q30" s="64">
        <v>8.27</v>
      </c>
      <c r="R30" s="198"/>
      <c r="S30" s="198"/>
      <c r="T30" s="198"/>
      <c r="U30" s="198"/>
    </row>
    <row r="31" spans="1:21" s="12" customFormat="1" x14ac:dyDescent="0.25">
      <c r="A31" s="213" t="s">
        <v>2861</v>
      </c>
      <c r="B31" s="64">
        <v>9.26</v>
      </c>
      <c r="C31" s="64">
        <v>38.520000000000003</v>
      </c>
      <c r="D31" s="64">
        <v>29.33</v>
      </c>
      <c r="E31" s="64">
        <v>3.53</v>
      </c>
      <c r="F31" s="64">
        <v>3.52</v>
      </c>
      <c r="G31" s="64">
        <v>28.89</v>
      </c>
      <c r="H31" s="64">
        <v>11.98</v>
      </c>
      <c r="I31" s="64">
        <v>1.5</v>
      </c>
      <c r="J31" s="64">
        <v>0.64</v>
      </c>
      <c r="K31" s="64">
        <v>323.22000000000003</v>
      </c>
      <c r="L31" s="64">
        <v>17.5</v>
      </c>
      <c r="M31" s="64">
        <v>91.77</v>
      </c>
      <c r="N31" s="64">
        <v>27.9</v>
      </c>
      <c r="O31" s="64">
        <v>0</v>
      </c>
      <c r="P31" s="64">
        <v>0.41</v>
      </c>
      <c r="Q31" s="64">
        <v>8.2899999999999991</v>
      </c>
      <c r="R31" s="198"/>
      <c r="S31" s="198"/>
      <c r="T31" s="198"/>
      <c r="U31" s="198"/>
    </row>
    <row r="32" spans="1:21" s="12" customFormat="1" x14ac:dyDescent="0.25">
      <c r="A32" s="213" t="s">
        <v>2862</v>
      </c>
      <c r="B32" s="64">
        <v>10.220000000000001</v>
      </c>
      <c r="C32" s="64">
        <v>39.06</v>
      </c>
      <c r="D32" s="64">
        <v>30.4</v>
      </c>
      <c r="E32" s="64">
        <v>3.77</v>
      </c>
      <c r="F32" s="64">
        <v>3.31</v>
      </c>
      <c r="G32" s="64">
        <v>28.89</v>
      </c>
      <c r="H32" s="64">
        <v>11.98</v>
      </c>
      <c r="I32" s="64">
        <v>1.49</v>
      </c>
      <c r="J32" s="64">
        <v>0.74</v>
      </c>
      <c r="K32" s="64">
        <v>330.99</v>
      </c>
      <c r="L32" s="64">
        <v>17.27</v>
      </c>
      <c r="M32" s="64">
        <v>93.07</v>
      </c>
      <c r="N32" s="64">
        <v>27.5</v>
      </c>
      <c r="O32" s="64">
        <v>0</v>
      </c>
      <c r="P32" s="64">
        <v>0.43</v>
      </c>
      <c r="Q32" s="64">
        <v>8.26</v>
      </c>
      <c r="R32" s="198"/>
      <c r="S32" s="198"/>
      <c r="T32" s="198"/>
      <c r="U32" s="198"/>
    </row>
    <row r="33" spans="1:21" s="12" customFormat="1" x14ac:dyDescent="0.25">
      <c r="A33" s="213" t="s">
        <v>2863</v>
      </c>
      <c r="B33" s="64">
        <v>11.71</v>
      </c>
      <c r="C33" s="64">
        <v>41.32</v>
      </c>
      <c r="D33" s="64">
        <v>32.840000000000003</v>
      </c>
      <c r="E33" s="64">
        <v>4.0599999999999996</v>
      </c>
      <c r="F33" s="64">
        <v>3.3</v>
      </c>
      <c r="G33" s="64">
        <v>28.89</v>
      </c>
      <c r="H33" s="64">
        <v>11.98</v>
      </c>
      <c r="I33" s="64">
        <v>1.45</v>
      </c>
      <c r="J33" s="64">
        <v>0.68</v>
      </c>
      <c r="K33" s="64">
        <v>331.47</v>
      </c>
      <c r="L33" s="64">
        <v>17.190000000000001</v>
      </c>
      <c r="M33" s="64">
        <v>93.81</v>
      </c>
      <c r="N33" s="64">
        <v>28.4</v>
      </c>
      <c r="O33" s="64">
        <v>0</v>
      </c>
      <c r="P33" s="64">
        <v>0.46</v>
      </c>
      <c r="Q33" s="64">
        <v>8.23</v>
      </c>
      <c r="R33" s="198"/>
      <c r="S33" s="198"/>
      <c r="T33" s="198"/>
      <c r="U33" s="198"/>
    </row>
    <row r="34" spans="1:21" s="12" customFormat="1" x14ac:dyDescent="0.25">
      <c r="A34" s="213" t="s">
        <v>2864</v>
      </c>
      <c r="B34" s="64">
        <v>13.55</v>
      </c>
      <c r="C34" s="64">
        <v>40.25</v>
      </c>
      <c r="D34" s="64">
        <v>33.72</v>
      </c>
      <c r="E34" s="64">
        <v>3.73</v>
      </c>
      <c r="F34" s="64">
        <v>2.93</v>
      </c>
      <c r="G34" s="64">
        <v>101.41</v>
      </c>
      <c r="H34" s="64">
        <v>17.239999999999998</v>
      </c>
      <c r="I34" s="64">
        <v>1.52</v>
      </c>
      <c r="J34" s="64">
        <v>0.52</v>
      </c>
      <c r="K34" s="64">
        <v>354.8</v>
      </c>
      <c r="L34" s="64">
        <v>17.23</v>
      </c>
      <c r="M34" s="64">
        <v>93.45</v>
      </c>
      <c r="N34" s="64">
        <v>33.1</v>
      </c>
      <c r="O34" s="64">
        <v>0</v>
      </c>
      <c r="P34" s="64">
        <v>0.48</v>
      </c>
      <c r="Q34" s="64">
        <v>8.27</v>
      </c>
      <c r="R34" s="198"/>
      <c r="S34" s="198"/>
      <c r="T34" s="198"/>
      <c r="U34" s="198"/>
    </row>
    <row r="35" spans="1:21" s="12" customFormat="1" x14ac:dyDescent="0.25">
      <c r="A35" s="213" t="s">
        <v>2865</v>
      </c>
      <c r="B35" s="64">
        <v>15.92</v>
      </c>
      <c r="C35" s="64">
        <v>39.06</v>
      </c>
      <c r="D35" s="64">
        <v>34.97</v>
      </c>
      <c r="E35" s="64">
        <v>3.96</v>
      </c>
      <c r="F35" s="64">
        <v>3.04</v>
      </c>
      <c r="G35" s="64">
        <v>115.91</v>
      </c>
      <c r="H35" s="64">
        <v>18.3</v>
      </c>
      <c r="I35" s="64">
        <v>1.59</v>
      </c>
      <c r="J35" s="64">
        <v>0.6</v>
      </c>
      <c r="K35" s="64">
        <v>341.32</v>
      </c>
      <c r="L35" s="64">
        <v>17.36</v>
      </c>
      <c r="M35" s="64">
        <v>93.13</v>
      </c>
      <c r="N35" s="64">
        <v>45.8</v>
      </c>
      <c r="O35" s="64">
        <v>0</v>
      </c>
      <c r="P35" s="64">
        <v>0.52</v>
      </c>
      <c r="Q35" s="64">
        <v>8.3000000000000007</v>
      </c>
      <c r="R35" s="198"/>
      <c r="S35" s="198"/>
      <c r="T35" s="198"/>
      <c r="U35" s="198"/>
    </row>
    <row r="36" spans="1:21" s="12" customFormat="1" x14ac:dyDescent="0.25">
      <c r="A36" s="213" t="s">
        <v>2866</v>
      </c>
      <c r="B36" s="64">
        <v>18.62</v>
      </c>
      <c r="C36" s="64">
        <v>39.770000000000003</v>
      </c>
      <c r="D36" s="64">
        <v>37.53</v>
      </c>
      <c r="E36" s="64">
        <v>4.3099999999999996</v>
      </c>
      <c r="F36" s="64">
        <v>3.25</v>
      </c>
      <c r="G36" s="64">
        <v>115.91</v>
      </c>
      <c r="H36" s="64">
        <v>18.3</v>
      </c>
      <c r="I36" s="64">
        <v>1.48</v>
      </c>
      <c r="J36" s="64">
        <v>0.43</v>
      </c>
      <c r="K36" s="64">
        <v>359.29</v>
      </c>
      <c r="L36" s="64">
        <v>17.63</v>
      </c>
      <c r="M36" s="64">
        <v>93.02</v>
      </c>
      <c r="N36" s="64">
        <v>69.900000000000006</v>
      </c>
      <c r="O36" s="64">
        <v>0</v>
      </c>
      <c r="P36" s="64">
        <v>0.55000000000000004</v>
      </c>
      <c r="Q36" s="64">
        <v>8.43</v>
      </c>
      <c r="R36" s="198"/>
      <c r="S36" s="198"/>
      <c r="T36" s="198"/>
      <c r="U36" s="198"/>
    </row>
    <row r="37" spans="1:21" s="12" customFormat="1" x14ac:dyDescent="0.25">
      <c r="A37" s="213" t="s">
        <v>2867</v>
      </c>
      <c r="B37" s="64">
        <v>21.14</v>
      </c>
      <c r="C37" s="64">
        <v>39.61</v>
      </c>
      <c r="D37" s="64">
        <v>39.46</v>
      </c>
      <c r="E37" s="64">
        <v>4.47</v>
      </c>
      <c r="F37" s="64">
        <v>3.41</v>
      </c>
      <c r="G37" s="64">
        <v>115.91</v>
      </c>
      <c r="H37" s="64">
        <v>18.3</v>
      </c>
      <c r="I37" s="64">
        <v>1.5</v>
      </c>
      <c r="J37" s="64">
        <v>0.74</v>
      </c>
      <c r="K37" s="64">
        <v>354.13</v>
      </c>
      <c r="L37" s="64">
        <v>18.34</v>
      </c>
      <c r="M37" s="64">
        <v>89.34</v>
      </c>
      <c r="N37" s="64">
        <v>97.5</v>
      </c>
      <c r="O37" s="64">
        <v>0</v>
      </c>
      <c r="P37" s="64">
        <v>0.52</v>
      </c>
      <c r="Q37" s="64">
        <v>8.49</v>
      </c>
      <c r="R37" s="198"/>
      <c r="S37" s="198"/>
      <c r="T37" s="198"/>
      <c r="U37" s="198"/>
    </row>
    <row r="38" spans="1:21" s="12" customFormat="1" x14ac:dyDescent="0.25">
      <c r="A38" s="213" t="s">
        <v>2868</v>
      </c>
      <c r="B38" s="64">
        <v>23.58</v>
      </c>
      <c r="C38" s="64">
        <v>40.43</v>
      </c>
      <c r="D38" s="64">
        <v>41.87</v>
      </c>
      <c r="E38" s="64">
        <v>4.22</v>
      </c>
      <c r="F38" s="64">
        <v>2.61</v>
      </c>
      <c r="G38" s="64">
        <v>145.66</v>
      </c>
      <c r="H38" s="64">
        <v>34.11</v>
      </c>
      <c r="I38" s="64">
        <v>1.49</v>
      </c>
      <c r="J38" s="64">
        <v>0.24</v>
      </c>
      <c r="K38" s="64">
        <v>25.99</v>
      </c>
      <c r="L38" s="64">
        <v>18.96</v>
      </c>
      <c r="M38" s="64">
        <v>86.26</v>
      </c>
      <c r="N38" s="64">
        <v>145.19999999999999</v>
      </c>
      <c r="O38" s="64">
        <v>0</v>
      </c>
      <c r="P38" s="64">
        <v>0.59</v>
      </c>
      <c r="Q38" s="64">
        <v>8.6300000000000008</v>
      </c>
      <c r="R38" s="198"/>
      <c r="S38" s="198"/>
      <c r="T38" s="198"/>
      <c r="U38" s="198"/>
    </row>
    <row r="39" spans="1:21" s="12" customFormat="1" x14ac:dyDescent="0.25">
      <c r="A39" s="213" t="s">
        <v>2869</v>
      </c>
      <c r="B39" s="64">
        <v>25.88</v>
      </c>
      <c r="C39" s="64">
        <v>41.15</v>
      </c>
      <c r="D39" s="64">
        <v>44.11</v>
      </c>
      <c r="E39" s="64">
        <v>4.17</v>
      </c>
      <c r="F39" s="64">
        <v>2.98</v>
      </c>
      <c r="G39" s="64">
        <v>151.61000000000001</v>
      </c>
      <c r="H39" s="64">
        <v>37.270000000000003</v>
      </c>
      <c r="I39" s="64">
        <v>1.61</v>
      </c>
      <c r="J39" s="64">
        <v>0.79</v>
      </c>
      <c r="K39" s="64">
        <v>353</v>
      </c>
      <c r="L39" s="64">
        <v>20.239999999999998</v>
      </c>
      <c r="M39" s="64">
        <v>79.7</v>
      </c>
      <c r="N39" s="64">
        <v>175.3</v>
      </c>
      <c r="O39" s="64">
        <v>0</v>
      </c>
      <c r="P39" s="64">
        <v>0.62</v>
      </c>
      <c r="Q39" s="64">
        <v>8.73</v>
      </c>
      <c r="R39" s="198"/>
      <c r="S39" s="198"/>
      <c r="T39" s="198"/>
      <c r="U39" s="198"/>
    </row>
    <row r="40" spans="1:21" s="12" customFormat="1" x14ac:dyDescent="0.25">
      <c r="A40" s="213" t="s">
        <v>2870</v>
      </c>
      <c r="B40" s="64">
        <v>27.76</v>
      </c>
      <c r="C40" s="64">
        <v>41.34</v>
      </c>
      <c r="D40" s="64">
        <v>45.72</v>
      </c>
      <c r="E40" s="64">
        <v>4.8600000000000003</v>
      </c>
      <c r="F40" s="64">
        <v>3.37</v>
      </c>
      <c r="G40" s="64">
        <v>151.61000000000001</v>
      </c>
      <c r="H40" s="64">
        <v>37.270000000000003</v>
      </c>
      <c r="I40" s="64">
        <v>1.54</v>
      </c>
      <c r="J40" s="64">
        <v>1.25</v>
      </c>
      <c r="K40" s="64">
        <v>347.42</v>
      </c>
      <c r="L40" s="64">
        <v>21.35</v>
      </c>
      <c r="M40" s="64">
        <v>74.81</v>
      </c>
      <c r="N40" s="64">
        <v>213.7</v>
      </c>
      <c r="O40" s="64">
        <v>0</v>
      </c>
      <c r="P40" s="64">
        <v>0.67</v>
      </c>
      <c r="Q40" s="64">
        <v>8.7899999999999991</v>
      </c>
      <c r="R40" s="198"/>
      <c r="S40" s="198"/>
      <c r="T40" s="198"/>
      <c r="U40" s="198"/>
    </row>
    <row r="41" spans="1:21" s="12" customFormat="1" x14ac:dyDescent="0.25">
      <c r="A41" s="213" t="s">
        <v>2871</v>
      </c>
      <c r="B41" s="64">
        <v>29.49</v>
      </c>
      <c r="C41" s="64">
        <v>42.23</v>
      </c>
      <c r="D41" s="64">
        <v>47.6</v>
      </c>
      <c r="E41" s="64">
        <v>5.04</v>
      </c>
      <c r="F41" s="64">
        <v>3.48</v>
      </c>
      <c r="G41" s="64">
        <v>151.61000000000001</v>
      </c>
      <c r="H41" s="64">
        <v>37.270000000000003</v>
      </c>
      <c r="I41" s="64">
        <v>1.48</v>
      </c>
      <c r="J41" s="64">
        <v>1.0900000000000001</v>
      </c>
      <c r="K41" s="64">
        <v>351.1</v>
      </c>
      <c r="L41" s="64">
        <v>22.24</v>
      </c>
      <c r="M41" s="64">
        <v>71.47</v>
      </c>
      <c r="N41" s="64">
        <v>257.7</v>
      </c>
      <c r="O41" s="64">
        <v>0</v>
      </c>
      <c r="P41" s="64">
        <v>0.72</v>
      </c>
      <c r="Q41" s="64">
        <v>8.85</v>
      </c>
      <c r="R41" s="198"/>
      <c r="S41" s="198"/>
      <c r="T41" s="198"/>
      <c r="U41" s="198"/>
    </row>
    <row r="42" spans="1:21" s="12" customFormat="1" x14ac:dyDescent="0.25">
      <c r="A42" s="213" t="s">
        <v>2872</v>
      </c>
      <c r="B42" s="64">
        <v>31.51</v>
      </c>
      <c r="C42" s="64">
        <v>43.34</v>
      </c>
      <c r="D42" s="64">
        <v>49.83</v>
      </c>
      <c r="E42" s="64">
        <v>4.8899999999999997</v>
      </c>
      <c r="F42" s="64">
        <v>3.17</v>
      </c>
      <c r="G42" s="64">
        <v>148.99</v>
      </c>
      <c r="H42" s="64">
        <v>37.950000000000003</v>
      </c>
      <c r="I42" s="64">
        <v>1.53</v>
      </c>
      <c r="J42" s="64">
        <v>0.93</v>
      </c>
      <c r="K42" s="64">
        <v>347.82</v>
      </c>
      <c r="L42" s="64">
        <v>23.38</v>
      </c>
      <c r="M42" s="64">
        <v>67.25</v>
      </c>
      <c r="N42" s="64">
        <v>286</v>
      </c>
      <c r="O42" s="64">
        <v>0</v>
      </c>
      <c r="P42" s="64">
        <v>0.77</v>
      </c>
      <c r="Q42" s="64">
        <v>8.8800000000000008</v>
      </c>
      <c r="R42" s="198"/>
      <c r="S42" s="198"/>
      <c r="T42" s="198"/>
      <c r="U42" s="198"/>
    </row>
    <row r="43" spans="1:21" s="12" customFormat="1" x14ac:dyDescent="0.25">
      <c r="A43" s="213" t="s">
        <v>2873</v>
      </c>
      <c r="B43" s="64">
        <v>33.86</v>
      </c>
      <c r="C43" s="64">
        <v>45.39</v>
      </c>
      <c r="D43" s="64">
        <v>52.85</v>
      </c>
      <c r="E43" s="64">
        <v>4.67</v>
      </c>
      <c r="F43" s="64">
        <v>3.41</v>
      </c>
      <c r="G43" s="64">
        <v>148.47</v>
      </c>
      <c r="H43" s="64">
        <v>38.08</v>
      </c>
      <c r="I43" s="64">
        <v>1.49</v>
      </c>
      <c r="J43" s="64">
        <v>1.1200000000000001</v>
      </c>
      <c r="K43" s="64">
        <v>342</v>
      </c>
      <c r="L43" s="64">
        <v>24.65</v>
      </c>
      <c r="M43" s="64">
        <v>62.26</v>
      </c>
      <c r="N43" s="64">
        <v>332.4</v>
      </c>
      <c r="O43" s="64">
        <v>0</v>
      </c>
      <c r="P43" s="64">
        <v>0.81</v>
      </c>
      <c r="Q43" s="64">
        <v>8.98</v>
      </c>
      <c r="R43" s="198"/>
      <c r="S43" s="198"/>
      <c r="T43" s="198"/>
      <c r="U43" s="198"/>
    </row>
    <row r="44" spans="1:21" s="12" customFormat="1" x14ac:dyDescent="0.25">
      <c r="A44" s="213" t="s">
        <v>2874</v>
      </c>
      <c r="B44" s="64">
        <v>35.44</v>
      </c>
      <c r="C44" s="64">
        <v>45.5</v>
      </c>
      <c r="D44" s="64">
        <v>54.17</v>
      </c>
      <c r="E44" s="64">
        <v>4.6399999999999997</v>
      </c>
      <c r="F44" s="64">
        <v>3.33</v>
      </c>
      <c r="G44" s="64">
        <v>148.47</v>
      </c>
      <c r="H44" s="64">
        <v>38.08</v>
      </c>
      <c r="I44" s="64">
        <v>1.54</v>
      </c>
      <c r="J44" s="64">
        <v>0.69</v>
      </c>
      <c r="K44" s="64">
        <v>338.34</v>
      </c>
      <c r="L44" s="64">
        <v>25.69</v>
      </c>
      <c r="M44" s="64">
        <v>58.47</v>
      </c>
      <c r="N44" s="64">
        <v>379.2</v>
      </c>
      <c r="O44" s="64">
        <v>0</v>
      </c>
      <c r="P44" s="64">
        <v>0.83</v>
      </c>
      <c r="Q44" s="64">
        <v>9.01</v>
      </c>
      <c r="R44" s="198"/>
      <c r="S44" s="198"/>
      <c r="T44" s="198"/>
      <c r="U44" s="198"/>
    </row>
    <row r="45" spans="1:21" s="12" customFormat="1" x14ac:dyDescent="0.25">
      <c r="A45" s="213" t="s">
        <v>2875</v>
      </c>
      <c r="B45" s="64">
        <v>36.380000000000003</v>
      </c>
      <c r="C45" s="64">
        <v>46.04</v>
      </c>
      <c r="D45" s="64">
        <v>55.23</v>
      </c>
      <c r="E45" s="64">
        <v>5.15</v>
      </c>
      <c r="F45" s="64">
        <v>3.19</v>
      </c>
      <c r="G45" s="64">
        <v>148.47</v>
      </c>
      <c r="H45" s="64">
        <v>38.08</v>
      </c>
      <c r="I45" s="64">
        <v>1.49</v>
      </c>
      <c r="J45" s="64">
        <v>0.86</v>
      </c>
      <c r="K45" s="64">
        <v>339.42</v>
      </c>
      <c r="L45" s="64">
        <v>27.04</v>
      </c>
      <c r="M45" s="64">
        <v>54.07</v>
      </c>
      <c r="N45" s="64">
        <v>430.7</v>
      </c>
      <c r="O45" s="64">
        <v>0</v>
      </c>
      <c r="P45" s="64">
        <v>0.85</v>
      </c>
      <c r="Q45" s="64">
        <v>9.06</v>
      </c>
      <c r="R45" s="198"/>
      <c r="S45" s="198"/>
      <c r="T45" s="198"/>
      <c r="U45" s="198"/>
    </row>
    <row r="46" spans="1:21" s="12" customFormat="1" x14ac:dyDescent="0.25">
      <c r="A46" s="213" t="s">
        <v>2876</v>
      </c>
      <c r="B46" s="64">
        <v>37.14</v>
      </c>
      <c r="C46" s="64">
        <v>47.49</v>
      </c>
      <c r="D46" s="64">
        <v>56.63</v>
      </c>
      <c r="E46" s="64">
        <v>4.51</v>
      </c>
      <c r="F46" s="64">
        <v>2.89</v>
      </c>
      <c r="G46" s="64">
        <v>167.59</v>
      </c>
      <c r="H46" s="64">
        <v>44.74</v>
      </c>
      <c r="I46" s="64">
        <v>1.48</v>
      </c>
      <c r="J46" s="64">
        <v>0.56000000000000005</v>
      </c>
      <c r="K46" s="64">
        <v>339.6</v>
      </c>
      <c r="L46" s="64">
        <v>27.53</v>
      </c>
      <c r="M46" s="64">
        <v>52.72</v>
      </c>
      <c r="N46" s="64">
        <v>484.2</v>
      </c>
      <c r="O46" s="64">
        <v>0</v>
      </c>
      <c r="P46" s="64">
        <v>0.86</v>
      </c>
      <c r="Q46" s="64">
        <v>9.14</v>
      </c>
      <c r="R46" s="198"/>
      <c r="S46" s="198"/>
      <c r="T46" s="198"/>
      <c r="U46" s="198"/>
    </row>
    <row r="47" spans="1:21" s="12" customFormat="1" x14ac:dyDescent="0.25">
      <c r="A47" s="213" t="s">
        <v>2877</v>
      </c>
      <c r="B47" s="64">
        <v>37.700000000000003</v>
      </c>
      <c r="C47" s="64">
        <v>47.47</v>
      </c>
      <c r="D47" s="64">
        <v>57.08</v>
      </c>
      <c r="E47" s="64">
        <v>4.74</v>
      </c>
      <c r="F47" s="64">
        <v>3.23</v>
      </c>
      <c r="G47" s="64">
        <v>171.42</v>
      </c>
      <c r="H47" s="64">
        <v>46.07</v>
      </c>
      <c r="I47" s="64">
        <v>1.49</v>
      </c>
      <c r="J47" s="64">
        <v>0.55000000000000004</v>
      </c>
      <c r="K47" s="64">
        <v>331.69</v>
      </c>
      <c r="L47" s="64">
        <v>28.3</v>
      </c>
      <c r="M47" s="64">
        <v>50.43</v>
      </c>
      <c r="N47" s="64">
        <v>528.6</v>
      </c>
      <c r="O47" s="64">
        <v>0</v>
      </c>
      <c r="P47" s="64">
        <v>0.87</v>
      </c>
      <c r="Q47" s="64">
        <v>9.1300000000000008</v>
      </c>
      <c r="R47" s="198"/>
      <c r="S47" s="198"/>
      <c r="T47" s="198"/>
      <c r="U47" s="198"/>
    </row>
    <row r="48" spans="1:21" s="12" customFormat="1" x14ac:dyDescent="0.25">
      <c r="A48" s="213" t="s">
        <v>2878</v>
      </c>
      <c r="B48" s="64">
        <v>37.83</v>
      </c>
      <c r="C48" s="64">
        <v>47.29</v>
      </c>
      <c r="D48" s="64">
        <v>57.08</v>
      </c>
      <c r="E48" s="64">
        <v>4.78</v>
      </c>
      <c r="F48" s="64">
        <v>3.51</v>
      </c>
      <c r="G48" s="64">
        <v>171.42</v>
      </c>
      <c r="H48" s="64">
        <v>46.07</v>
      </c>
      <c r="I48" s="64">
        <v>1.47</v>
      </c>
      <c r="J48" s="64">
        <v>0.61</v>
      </c>
      <c r="K48" s="64">
        <v>340.49</v>
      </c>
      <c r="L48" s="64">
        <v>28.59</v>
      </c>
      <c r="M48" s="64">
        <v>49.5</v>
      </c>
      <c r="N48" s="64">
        <v>577.6</v>
      </c>
      <c r="O48" s="64">
        <v>0</v>
      </c>
      <c r="P48" s="64">
        <v>0.87</v>
      </c>
      <c r="Q48" s="64">
        <v>9.1300000000000008</v>
      </c>
      <c r="R48" s="198"/>
      <c r="S48" s="198"/>
      <c r="T48" s="198"/>
      <c r="U48" s="198"/>
    </row>
    <row r="49" spans="1:21" s="12" customFormat="1" x14ac:dyDescent="0.25">
      <c r="A49" s="213" t="s">
        <v>2879</v>
      </c>
      <c r="B49" s="64">
        <v>37.369999999999997</v>
      </c>
      <c r="C49" s="64">
        <v>47.32</v>
      </c>
      <c r="D49" s="64">
        <v>56.73</v>
      </c>
      <c r="E49" s="64">
        <v>5.0599999999999996</v>
      </c>
      <c r="F49" s="64">
        <v>3.5</v>
      </c>
      <c r="G49" s="64">
        <v>171.42</v>
      </c>
      <c r="H49" s="64">
        <v>46.07</v>
      </c>
      <c r="I49" s="64">
        <v>1.45</v>
      </c>
      <c r="J49" s="64">
        <v>0.22</v>
      </c>
      <c r="K49" s="64">
        <v>332.37</v>
      </c>
      <c r="L49" s="64">
        <v>29.23</v>
      </c>
      <c r="M49" s="64">
        <v>47.71</v>
      </c>
      <c r="N49" s="64">
        <v>645</v>
      </c>
      <c r="O49" s="64">
        <v>0</v>
      </c>
      <c r="P49" s="64">
        <v>0.87</v>
      </c>
      <c r="Q49" s="64">
        <v>9.1300000000000008</v>
      </c>
      <c r="R49" s="198"/>
      <c r="S49" s="198"/>
      <c r="T49" s="198"/>
      <c r="U49" s="198"/>
    </row>
    <row r="50" spans="1:21" s="12" customFormat="1" x14ac:dyDescent="0.25">
      <c r="A50" s="213" t="s">
        <v>2880</v>
      </c>
      <c r="B50" s="64">
        <v>36.79</v>
      </c>
      <c r="C50" s="64">
        <v>47.39</v>
      </c>
      <c r="D50" s="64">
        <v>56.3</v>
      </c>
      <c r="E50" s="64">
        <v>4.75</v>
      </c>
      <c r="F50" s="64">
        <v>3.49</v>
      </c>
      <c r="G50" s="64">
        <v>115.97</v>
      </c>
      <c r="H50" s="64">
        <v>39.89</v>
      </c>
      <c r="I50" s="64">
        <v>1.55</v>
      </c>
      <c r="J50" s="64">
        <v>0.47</v>
      </c>
      <c r="K50" s="64">
        <v>344.99</v>
      </c>
      <c r="L50" s="64">
        <v>28.73</v>
      </c>
      <c r="M50" s="64">
        <v>49.94</v>
      </c>
      <c r="N50" s="64">
        <v>680.1</v>
      </c>
      <c r="O50" s="64">
        <v>0</v>
      </c>
      <c r="P50" s="64">
        <v>0.87</v>
      </c>
      <c r="Q50" s="64">
        <v>9.09</v>
      </c>
      <c r="R50" s="198"/>
      <c r="S50" s="198"/>
      <c r="T50" s="198"/>
      <c r="U50" s="198"/>
    </row>
    <row r="51" spans="1:21" s="12" customFormat="1" x14ac:dyDescent="0.25">
      <c r="A51" s="213" t="s">
        <v>2881</v>
      </c>
      <c r="B51" s="64">
        <v>36.36</v>
      </c>
      <c r="C51" s="64">
        <v>46.76</v>
      </c>
      <c r="D51" s="64">
        <v>55.61</v>
      </c>
      <c r="E51" s="64">
        <v>4.5599999999999996</v>
      </c>
      <c r="F51" s="64">
        <v>3.33</v>
      </c>
      <c r="G51" s="64">
        <v>104.89</v>
      </c>
      <c r="H51" s="64">
        <v>38.65</v>
      </c>
      <c r="I51" s="64">
        <v>1.55</v>
      </c>
      <c r="J51" s="64">
        <v>0.85</v>
      </c>
      <c r="K51" s="64">
        <v>346.49</v>
      </c>
      <c r="L51" s="64">
        <v>29.77</v>
      </c>
      <c r="M51" s="64">
        <v>46.78</v>
      </c>
      <c r="N51" s="64">
        <v>688.8</v>
      </c>
      <c r="O51" s="64">
        <v>0</v>
      </c>
      <c r="P51" s="64">
        <v>0.86</v>
      </c>
      <c r="Q51" s="64">
        <v>9.08</v>
      </c>
      <c r="R51" s="198"/>
      <c r="S51" s="198"/>
      <c r="T51" s="198"/>
      <c r="U51" s="198"/>
    </row>
    <row r="52" spans="1:21" s="12" customFormat="1" x14ac:dyDescent="0.25">
      <c r="A52" s="213" t="s">
        <v>2882</v>
      </c>
      <c r="B52" s="64">
        <v>31.35</v>
      </c>
      <c r="C52" s="64">
        <v>49.06</v>
      </c>
      <c r="D52" s="64">
        <v>52.86</v>
      </c>
      <c r="E52" s="64">
        <v>4.83</v>
      </c>
      <c r="F52" s="64">
        <v>3.7</v>
      </c>
      <c r="G52" s="64">
        <v>104.89</v>
      </c>
      <c r="H52" s="64">
        <v>38.65</v>
      </c>
      <c r="I52" s="64">
        <v>1.39</v>
      </c>
      <c r="J52" s="64">
        <v>0.68</v>
      </c>
      <c r="K52" s="64">
        <v>340.45</v>
      </c>
      <c r="L52" s="64">
        <v>30.5</v>
      </c>
      <c r="M52" s="64">
        <v>44.97</v>
      </c>
      <c r="N52" s="64">
        <v>721.9</v>
      </c>
      <c r="O52" s="64">
        <v>0</v>
      </c>
      <c r="P52" s="64">
        <v>0.85</v>
      </c>
      <c r="Q52" s="64">
        <v>9.0500000000000007</v>
      </c>
      <c r="R52" s="198"/>
      <c r="S52" s="198"/>
      <c r="T52" s="198"/>
      <c r="U52" s="198"/>
    </row>
    <row r="53" spans="1:21" s="12" customFormat="1" x14ac:dyDescent="0.25">
      <c r="A53" s="213" t="s">
        <v>2883</v>
      </c>
      <c r="B53" s="64">
        <v>21.93</v>
      </c>
      <c r="C53" s="64">
        <v>53.17</v>
      </c>
      <c r="D53" s="64">
        <v>47.58</v>
      </c>
      <c r="E53" s="64">
        <v>4.83</v>
      </c>
      <c r="F53" s="64">
        <v>4.1500000000000004</v>
      </c>
      <c r="G53" s="64">
        <v>104.89</v>
      </c>
      <c r="H53" s="64">
        <v>38.65</v>
      </c>
      <c r="I53" s="64">
        <v>1.45</v>
      </c>
      <c r="J53" s="64">
        <v>0.56000000000000005</v>
      </c>
      <c r="K53" s="64">
        <v>326.61</v>
      </c>
      <c r="L53" s="64">
        <v>31.09</v>
      </c>
      <c r="M53" s="64">
        <v>43.32</v>
      </c>
      <c r="N53" s="64">
        <v>762.7</v>
      </c>
      <c r="O53" s="64">
        <v>0</v>
      </c>
      <c r="P53" s="64">
        <v>0.81</v>
      </c>
      <c r="Q53" s="64">
        <v>8.91</v>
      </c>
      <c r="R53" s="198"/>
      <c r="S53" s="198"/>
      <c r="T53" s="198"/>
      <c r="U53" s="198"/>
    </row>
    <row r="54" spans="1:21" s="12" customFormat="1" x14ac:dyDescent="0.25">
      <c r="A54" s="213" t="s">
        <v>2884</v>
      </c>
      <c r="B54" s="64">
        <v>13.35</v>
      </c>
      <c r="C54" s="64">
        <v>55.87</v>
      </c>
      <c r="D54" s="64">
        <v>42.18</v>
      </c>
      <c r="E54" s="64">
        <v>4.91</v>
      </c>
      <c r="F54" s="64">
        <v>4.41</v>
      </c>
      <c r="G54" s="64">
        <v>27.79</v>
      </c>
      <c r="H54" s="64">
        <v>31.72</v>
      </c>
      <c r="I54" s="64">
        <v>1.46</v>
      </c>
      <c r="J54" s="64">
        <v>0.52</v>
      </c>
      <c r="K54" s="64">
        <v>348.02</v>
      </c>
      <c r="L54" s="64">
        <v>30.78</v>
      </c>
      <c r="M54" s="64">
        <v>44.48</v>
      </c>
      <c r="N54" s="64">
        <v>745.4</v>
      </c>
      <c r="O54" s="64">
        <v>0</v>
      </c>
      <c r="P54" s="64">
        <v>0.77</v>
      </c>
      <c r="Q54" s="64">
        <v>8.67</v>
      </c>
      <c r="R54" s="198"/>
      <c r="S54" s="198"/>
      <c r="T54" s="198"/>
      <c r="U54" s="198"/>
    </row>
    <row r="55" spans="1:21" s="12" customFormat="1" x14ac:dyDescent="0.25">
      <c r="A55" s="213" t="s">
        <v>2885</v>
      </c>
      <c r="B55" s="64">
        <v>9.8699999999999992</v>
      </c>
      <c r="C55" s="64">
        <v>54.08</v>
      </c>
      <c r="D55" s="64">
        <v>38.409999999999997</v>
      </c>
      <c r="E55" s="64">
        <v>4.79</v>
      </c>
      <c r="F55" s="64">
        <v>3.78</v>
      </c>
      <c r="G55" s="64">
        <v>12.37</v>
      </c>
      <c r="H55" s="64">
        <v>30.34</v>
      </c>
      <c r="I55" s="64">
        <v>1.45</v>
      </c>
      <c r="J55" s="64">
        <v>0.31</v>
      </c>
      <c r="K55" s="64">
        <v>318.08999999999997</v>
      </c>
      <c r="L55" s="64">
        <v>30.25</v>
      </c>
      <c r="M55" s="64">
        <v>44.83</v>
      </c>
      <c r="N55" s="64">
        <v>752.4</v>
      </c>
      <c r="O55" s="64">
        <v>0</v>
      </c>
      <c r="P55" s="64">
        <v>0.76</v>
      </c>
      <c r="Q55" s="64">
        <v>8.48</v>
      </c>
      <c r="R55" s="198"/>
      <c r="S55" s="198"/>
      <c r="T55" s="198"/>
      <c r="U55" s="198"/>
    </row>
    <row r="56" spans="1:21" s="12" customFormat="1" x14ac:dyDescent="0.25">
      <c r="A56" s="213" t="s">
        <v>2886</v>
      </c>
      <c r="B56" s="64">
        <v>8.3800000000000008</v>
      </c>
      <c r="C56" s="64">
        <v>50.64</v>
      </c>
      <c r="D56" s="64">
        <v>35.31</v>
      </c>
      <c r="E56" s="64">
        <v>5.48</v>
      </c>
      <c r="F56" s="64">
        <v>6.11</v>
      </c>
      <c r="G56" s="64">
        <v>12.37</v>
      </c>
      <c r="H56" s="64">
        <v>30.34</v>
      </c>
      <c r="I56" s="64">
        <v>1.55</v>
      </c>
      <c r="J56" s="64">
        <v>0.51</v>
      </c>
      <c r="K56" s="64">
        <v>332.58</v>
      </c>
      <c r="L56" s="64">
        <v>30.05</v>
      </c>
      <c r="M56" s="64">
        <v>44.34</v>
      </c>
      <c r="N56" s="64">
        <v>754.7</v>
      </c>
      <c r="O56" s="64">
        <v>0</v>
      </c>
      <c r="P56" s="64">
        <v>0.71</v>
      </c>
      <c r="Q56" s="64">
        <v>8.36</v>
      </c>
      <c r="R56" s="198"/>
      <c r="S56" s="198"/>
      <c r="T56" s="198"/>
      <c r="U56" s="198"/>
    </row>
    <row r="57" spans="1:21" s="12" customFormat="1" x14ac:dyDescent="0.25">
      <c r="A57" s="213" t="s">
        <v>2887</v>
      </c>
      <c r="B57" s="64">
        <v>4.26</v>
      </c>
      <c r="C57" s="64">
        <v>52.6</v>
      </c>
      <c r="D57" s="64">
        <v>33.090000000000003</v>
      </c>
      <c r="E57" s="64">
        <v>5.39</v>
      </c>
      <c r="F57" s="64">
        <v>11.09</v>
      </c>
      <c r="G57" s="64">
        <v>12.37</v>
      </c>
      <c r="H57" s="64">
        <v>30.34</v>
      </c>
      <c r="I57" s="64">
        <v>1.5</v>
      </c>
      <c r="J57" s="64">
        <v>0.63</v>
      </c>
      <c r="K57" s="64">
        <v>328.57</v>
      </c>
      <c r="L57" s="64">
        <v>32.090000000000003</v>
      </c>
      <c r="M57" s="64">
        <v>40.01</v>
      </c>
      <c r="N57" s="64">
        <v>766.5</v>
      </c>
      <c r="O57" s="64">
        <v>0</v>
      </c>
      <c r="P57" s="64">
        <v>0.59</v>
      </c>
      <c r="Q57" s="64">
        <v>8.2200000000000006</v>
      </c>
      <c r="R57" s="198"/>
      <c r="S57" s="198"/>
      <c r="T57" s="198"/>
      <c r="U57" s="198"/>
    </row>
    <row r="58" spans="1:21" s="12" customFormat="1" x14ac:dyDescent="0.25">
      <c r="A58" s="213" t="s">
        <v>2888</v>
      </c>
      <c r="B58" s="64">
        <v>2.52</v>
      </c>
      <c r="C58" s="64">
        <v>51.77</v>
      </c>
      <c r="D58" s="64">
        <v>31.24</v>
      </c>
      <c r="E58" s="64">
        <v>5.33</v>
      </c>
      <c r="F58" s="64">
        <v>7.58</v>
      </c>
      <c r="G58" s="64">
        <v>56.87</v>
      </c>
      <c r="H58" s="64">
        <v>28.7</v>
      </c>
      <c r="I58" s="64">
        <v>1.5</v>
      </c>
      <c r="J58" s="64">
        <v>0.65</v>
      </c>
      <c r="K58" s="64">
        <v>343.09</v>
      </c>
      <c r="L58" s="64">
        <v>31.02</v>
      </c>
      <c r="M58" s="64">
        <v>42.56</v>
      </c>
      <c r="N58" s="64">
        <v>744.8</v>
      </c>
      <c r="O58" s="64">
        <v>0</v>
      </c>
      <c r="P58" s="64">
        <v>0.59</v>
      </c>
      <c r="Q58" s="64">
        <v>8.17</v>
      </c>
      <c r="R58" s="198"/>
      <c r="S58" s="198"/>
      <c r="T58" s="198"/>
      <c r="U58" s="198"/>
    </row>
    <row r="59" spans="1:21" s="12" customFormat="1" x14ac:dyDescent="0.25">
      <c r="A59" s="213" t="s">
        <v>2889</v>
      </c>
      <c r="B59" s="64">
        <v>2.4900000000000002</v>
      </c>
      <c r="C59" s="64">
        <v>48.25</v>
      </c>
      <c r="D59" s="64">
        <v>29.27</v>
      </c>
      <c r="E59" s="64">
        <v>4.92</v>
      </c>
      <c r="F59" s="64">
        <v>5.61</v>
      </c>
      <c r="G59" s="64">
        <v>65.77</v>
      </c>
      <c r="H59" s="64">
        <v>28.38</v>
      </c>
      <c r="I59" s="64">
        <v>1.42</v>
      </c>
      <c r="J59" s="64">
        <v>1.02</v>
      </c>
      <c r="K59" s="64">
        <v>338.9</v>
      </c>
      <c r="L59" s="64">
        <v>32.61</v>
      </c>
      <c r="M59" s="64">
        <v>37.49</v>
      </c>
      <c r="N59" s="64">
        <v>746</v>
      </c>
      <c r="O59" s="64">
        <v>0</v>
      </c>
      <c r="P59" s="64">
        <v>0.59</v>
      </c>
      <c r="Q59" s="64">
        <v>8.15</v>
      </c>
      <c r="R59" s="198"/>
      <c r="S59" s="198"/>
      <c r="T59" s="198"/>
      <c r="U59" s="198"/>
    </row>
    <row r="60" spans="1:21" s="12" customFormat="1" x14ac:dyDescent="0.25">
      <c r="A60" s="213" t="s">
        <v>2890</v>
      </c>
      <c r="B60" s="64">
        <v>2.75</v>
      </c>
      <c r="C60" s="64">
        <v>45.88</v>
      </c>
      <c r="D60" s="64">
        <v>28.17</v>
      </c>
      <c r="E60" s="64">
        <v>4.79</v>
      </c>
      <c r="F60" s="64">
        <v>5.16</v>
      </c>
      <c r="G60" s="64">
        <v>65.77</v>
      </c>
      <c r="H60" s="64">
        <v>28.38</v>
      </c>
      <c r="I60" s="64">
        <v>1.51</v>
      </c>
      <c r="J60" s="64">
        <v>1.01</v>
      </c>
      <c r="K60" s="64">
        <v>332.38</v>
      </c>
      <c r="L60" s="64">
        <v>33.36</v>
      </c>
      <c r="M60" s="64">
        <v>33.78</v>
      </c>
      <c r="N60" s="64">
        <v>734.3</v>
      </c>
      <c r="O60" s="64">
        <v>0</v>
      </c>
      <c r="P60" s="64">
        <v>0.59</v>
      </c>
      <c r="Q60" s="64">
        <v>8.1999999999999993</v>
      </c>
      <c r="R60" s="198"/>
      <c r="S60" s="198"/>
      <c r="T60" s="198"/>
      <c r="U60" s="198"/>
    </row>
    <row r="61" spans="1:21" s="12" customFormat="1" x14ac:dyDescent="0.25">
      <c r="A61" s="213" t="s">
        <v>2891</v>
      </c>
      <c r="B61" s="64">
        <v>2.97</v>
      </c>
      <c r="C61" s="64">
        <v>44.77</v>
      </c>
      <c r="D61" s="64">
        <v>27.73</v>
      </c>
      <c r="E61" s="64">
        <v>4.72</v>
      </c>
      <c r="F61" s="64">
        <v>4.8099999999999996</v>
      </c>
      <c r="G61" s="64">
        <v>65.77</v>
      </c>
      <c r="H61" s="64">
        <v>28.38</v>
      </c>
      <c r="I61" s="64">
        <v>1.55</v>
      </c>
      <c r="J61" s="64">
        <v>0.8</v>
      </c>
      <c r="K61" s="64">
        <v>343.88</v>
      </c>
      <c r="L61" s="64">
        <v>33.380000000000003</v>
      </c>
      <c r="M61" s="64">
        <v>33.520000000000003</v>
      </c>
      <c r="N61" s="64">
        <v>715.5</v>
      </c>
      <c r="O61" s="64">
        <v>0</v>
      </c>
      <c r="P61" s="64">
        <v>0.56000000000000005</v>
      </c>
      <c r="Q61" s="64">
        <v>8.15</v>
      </c>
      <c r="R61" s="198"/>
      <c r="S61" s="198"/>
      <c r="T61" s="198"/>
      <c r="U61" s="198"/>
    </row>
    <row r="62" spans="1:21" s="12" customFormat="1" x14ac:dyDescent="0.25">
      <c r="A62" s="213" t="s">
        <v>2892</v>
      </c>
      <c r="B62" s="64">
        <v>3.08</v>
      </c>
      <c r="C62" s="64">
        <v>47.06</v>
      </c>
      <c r="D62" s="64">
        <v>29.09</v>
      </c>
      <c r="E62" s="64">
        <v>5.0199999999999996</v>
      </c>
      <c r="F62" s="64">
        <v>4.2</v>
      </c>
      <c r="G62" s="64">
        <v>78.849999999999994</v>
      </c>
      <c r="H62" s="64">
        <v>28.38</v>
      </c>
      <c r="I62" s="64">
        <v>1.55</v>
      </c>
      <c r="J62" s="64">
        <v>0.33</v>
      </c>
      <c r="K62" s="64">
        <v>320.86</v>
      </c>
      <c r="L62" s="64">
        <v>32.159999999999997</v>
      </c>
      <c r="M62" s="64">
        <v>35.020000000000003</v>
      </c>
      <c r="N62" s="64">
        <v>684.7</v>
      </c>
      <c r="O62" s="64">
        <v>0</v>
      </c>
      <c r="P62" s="64">
        <v>0.59</v>
      </c>
      <c r="Q62" s="64">
        <v>8.1199999999999992</v>
      </c>
      <c r="R62" s="198"/>
      <c r="S62" s="198"/>
      <c r="T62" s="198"/>
      <c r="U62" s="198"/>
    </row>
    <row r="63" spans="1:21" s="12" customFormat="1" x14ac:dyDescent="0.25">
      <c r="A63" s="213" t="s">
        <v>2893</v>
      </c>
      <c r="B63" s="64">
        <v>3.33</v>
      </c>
      <c r="C63" s="64">
        <v>47.97</v>
      </c>
      <c r="D63" s="64">
        <v>29.79</v>
      </c>
      <c r="E63" s="64">
        <v>4.88</v>
      </c>
      <c r="F63" s="64">
        <v>4.3499999999999996</v>
      </c>
      <c r="G63" s="210" t="s">
        <v>36</v>
      </c>
      <c r="H63" s="210" t="s">
        <v>36</v>
      </c>
      <c r="I63" s="64">
        <v>1.51</v>
      </c>
      <c r="J63" s="64">
        <v>0.76</v>
      </c>
      <c r="K63" s="64">
        <v>335.95</v>
      </c>
      <c r="L63" s="64">
        <v>32.58</v>
      </c>
      <c r="M63" s="64">
        <v>34.35</v>
      </c>
      <c r="N63" s="64">
        <v>571.4</v>
      </c>
      <c r="O63" s="64">
        <v>0</v>
      </c>
      <c r="P63" s="64">
        <v>0.59</v>
      </c>
      <c r="Q63" s="64">
        <v>8.1199999999999992</v>
      </c>
      <c r="R63" s="198"/>
      <c r="S63" s="198"/>
      <c r="T63" s="198"/>
      <c r="U63" s="198"/>
    </row>
    <row r="64" spans="1:21" s="12" customFormat="1" x14ac:dyDescent="0.25">
      <c r="A64" s="213" t="s">
        <v>2894</v>
      </c>
      <c r="B64" s="64">
        <v>3.6</v>
      </c>
      <c r="C64" s="64">
        <v>48.09</v>
      </c>
      <c r="D64" s="64">
        <v>30.07</v>
      </c>
      <c r="E64" s="64">
        <v>4.4800000000000004</v>
      </c>
      <c r="F64" s="64">
        <v>4.0999999999999996</v>
      </c>
      <c r="G64" s="210" t="s">
        <v>36</v>
      </c>
      <c r="H64" s="210" t="s">
        <v>36</v>
      </c>
      <c r="I64" s="64">
        <v>1.58</v>
      </c>
      <c r="J64" s="64">
        <v>0.37</v>
      </c>
      <c r="K64" s="64">
        <v>320.75</v>
      </c>
      <c r="L64" s="64">
        <v>32.42</v>
      </c>
      <c r="M64" s="64">
        <v>34.54</v>
      </c>
      <c r="N64" s="64">
        <v>633.20000000000005</v>
      </c>
      <c r="O64" s="64">
        <v>0</v>
      </c>
      <c r="P64" s="64">
        <v>0.59</v>
      </c>
      <c r="Q64" s="64">
        <v>8.2200000000000006</v>
      </c>
      <c r="R64" s="198"/>
      <c r="S64" s="198"/>
      <c r="T64" s="198"/>
      <c r="U64" s="198"/>
    </row>
    <row r="65" spans="1:21" s="12" customFormat="1" x14ac:dyDescent="0.25">
      <c r="A65" s="213" t="s">
        <v>2895</v>
      </c>
      <c r="B65" s="64">
        <v>3.73</v>
      </c>
      <c r="C65" s="64">
        <v>47.61</v>
      </c>
      <c r="D65" s="64">
        <v>29.91</v>
      </c>
      <c r="E65" s="64">
        <v>4.55</v>
      </c>
      <c r="F65" s="64">
        <v>4.2300000000000004</v>
      </c>
      <c r="G65" s="210" t="s">
        <v>36</v>
      </c>
      <c r="H65" s="210" t="s">
        <v>36</v>
      </c>
      <c r="I65" s="64">
        <v>1.54</v>
      </c>
      <c r="J65" s="64">
        <v>0.5</v>
      </c>
      <c r="K65" s="64">
        <v>317.74</v>
      </c>
      <c r="L65" s="64">
        <v>32.15</v>
      </c>
      <c r="M65" s="64">
        <v>35.590000000000003</v>
      </c>
      <c r="N65" s="64">
        <v>633.4</v>
      </c>
      <c r="O65" s="64">
        <v>0</v>
      </c>
      <c r="P65" s="64">
        <v>0.59</v>
      </c>
      <c r="Q65" s="64">
        <v>8.31</v>
      </c>
      <c r="R65" s="198"/>
      <c r="S65" s="198"/>
      <c r="T65" s="198"/>
      <c r="U65" s="198"/>
    </row>
    <row r="66" spans="1:21" s="12" customFormat="1" x14ac:dyDescent="0.25">
      <c r="A66" s="213" t="s">
        <v>2896</v>
      </c>
      <c r="B66" s="64">
        <v>3.71</v>
      </c>
      <c r="C66" s="64">
        <v>47.41</v>
      </c>
      <c r="D66" s="64">
        <v>29.78</v>
      </c>
      <c r="E66" s="64">
        <v>4.3899999999999997</v>
      </c>
      <c r="F66" s="64">
        <v>4.26</v>
      </c>
      <c r="G66" s="64">
        <v>47.49</v>
      </c>
      <c r="H66" s="64">
        <v>29.72</v>
      </c>
      <c r="I66" s="64">
        <v>1.56</v>
      </c>
      <c r="J66" s="64">
        <v>0.39</v>
      </c>
      <c r="K66" s="64">
        <v>326.39</v>
      </c>
      <c r="L66" s="64">
        <v>32.53</v>
      </c>
      <c r="M66" s="64">
        <v>35.049999999999997</v>
      </c>
      <c r="N66" s="64">
        <v>478.9</v>
      </c>
      <c r="O66" s="64">
        <v>0</v>
      </c>
      <c r="P66" s="64">
        <v>0.57999999999999996</v>
      </c>
      <c r="Q66" s="64">
        <v>8.36</v>
      </c>
      <c r="R66" s="198"/>
      <c r="S66" s="198"/>
      <c r="T66" s="198"/>
      <c r="U66" s="198"/>
    </row>
    <row r="67" spans="1:21" s="12" customFormat="1" x14ac:dyDescent="0.25">
      <c r="A67" s="213" t="s">
        <v>2897</v>
      </c>
      <c r="B67" s="64">
        <v>3.65</v>
      </c>
      <c r="C67" s="64">
        <v>46.92</v>
      </c>
      <c r="D67" s="64">
        <v>29.46</v>
      </c>
      <c r="E67" s="64">
        <v>4.4000000000000004</v>
      </c>
      <c r="F67" s="64">
        <v>4.26</v>
      </c>
      <c r="G67" s="64">
        <v>40.69</v>
      </c>
      <c r="H67" s="64">
        <v>29.72</v>
      </c>
      <c r="I67" s="64">
        <v>1.55</v>
      </c>
      <c r="J67" s="64">
        <v>0.31</v>
      </c>
      <c r="K67" s="64">
        <v>332.38</v>
      </c>
      <c r="L67" s="64">
        <v>32.340000000000003</v>
      </c>
      <c r="M67" s="64">
        <v>34.33</v>
      </c>
      <c r="N67" s="64">
        <v>469.9</v>
      </c>
      <c r="O67" s="64">
        <v>0</v>
      </c>
      <c r="P67" s="64">
        <v>0.56999999999999995</v>
      </c>
      <c r="Q67" s="64">
        <v>8.42</v>
      </c>
      <c r="R67" s="198"/>
      <c r="S67" s="198"/>
      <c r="T67" s="198"/>
      <c r="U67" s="198"/>
    </row>
    <row r="68" spans="1:21" s="12" customFormat="1" x14ac:dyDescent="0.25">
      <c r="A68" s="213" t="s">
        <v>2898</v>
      </c>
      <c r="B68" s="64">
        <v>3.68</v>
      </c>
      <c r="C68" s="64">
        <v>46.06</v>
      </c>
      <c r="D68" s="64">
        <v>29.02</v>
      </c>
      <c r="E68" s="64">
        <v>4.3600000000000003</v>
      </c>
      <c r="F68" s="64">
        <v>4.09</v>
      </c>
      <c r="G68" s="64">
        <v>40.69</v>
      </c>
      <c r="H68" s="64">
        <v>29.72</v>
      </c>
      <c r="I68" s="64">
        <v>1.39</v>
      </c>
      <c r="J68" s="64">
        <v>0.63</v>
      </c>
      <c r="K68" s="64">
        <v>330.48</v>
      </c>
      <c r="L68" s="64">
        <v>32.1</v>
      </c>
      <c r="M68" s="64">
        <v>35.57</v>
      </c>
      <c r="N68" s="64">
        <v>454</v>
      </c>
      <c r="O68" s="64">
        <v>0</v>
      </c>
      <c r="P68" s="64">
        <v>0.56999999999999995</v>
      </c>
      <c r="Q68" s="64">
        <v>8.42</v>
      </c>
      <c r="R68" s="198"/>
      <c r="S68" s="198"/>
      <c r="T68" s="198"/>
      <c r="U68" s="198"/>
    </row>
    <row r="69" spans="1:21" s="12" customFormat="1" x14ac:dyDescent="0.25">
      <c r="A69" s="213" t="s">
        <v>2899</v>
      </c>
      <c r="B69" s="64">
        <v>3.71</v>
      </c>
      <c r="C69" s="64">
        <v>46.24</v>
      </c>
      <c r="D69" s="64">
        <v>29.14</v>
      </c>
      <c r="E69" s="64">
        <v>4.42</v>
      </c>
      <c r="F69" s="64">
        <v>4.38</v>
      </c>
      <c r="G69" s="64">
        <v>40.69</v>
      </c>
      <c r="H69" s="64">
        <v>29.72</v>
      </c>
      <c r="I69" s="64">
        <v>1.53</v>
      </c>
      <c r="J69" s="64">
        <v>0.67</v>
      </c>
      <c r="K69" s="64">
        <v>324.85000000000002</v>
      </c>
      <c r="L69" s="64">
        <v>31.99</v>
      </c>
      <c r="M69" s="64">
        <v>35.130000000000003</v>
      </c>
      <c r="N69" s="64">
        <v>445.4</v>
      </c>
      <c r="O69" s="64">
        <v>0</v>
      </c>
      <c r="P69" s="64">
        <v>0.56999999999999995</v>
      </c>
      <c r="Q69" s="64">
        <v>8.4499999999999993</v>
      </c>
      <c r="R69" s="198"/>
      <c r="S69" s="198"/>
      <c r="T69" s="198"/>
      <c r="U69" s="198"/>
    </row>
    <row r="70" spans="1:21" s="12" customFormat="1" x14ac:dyDescent="0.25">
      <c r="A70" s="213" t="s">
        <v>2900</v>
      </c>
      <c r="B70" s="64">
        <v>3.74</v>
      </c>
      <c r="C70" s="64">
        <v>45.36</v>
      </c>
      <c r="D70" s="64">
        <v>28.68</v>
      </c>
      <c r="E70" s="64">
        <v>4.05</v>
      </c>
      <c r="F70" s="64">
        <v>4.18</v>
      </c>
      <c r="G70" s="64">
        <v>41.47</v>
      </c>
      <c r="H70" s="64">
        <v>18.579999999999998</v>
      </c>
      <c r="I70" s="64">
        <v>1.48</v>
      </c>
      <c r="J70" s="64">
        <v>0.64</v>
      </c>
      <c r="K70" s="64">
        <v>325.27999999999997</v>
      </c>
      <c r="L70" s="64">
        <v>31.49</v>
      </c>
      <c r="M70" s="64">
        <v>35.729999999999997</v>
      </c>
      <c r="N70" s="64">
        <v>269.2</v>
      </c>
      <c r="O70" s="64">
        <v>0</v>
      </c>
      <c r="P70" s="64">
        <v>0.56999999999999995</v>
      </c>
      <c r="Q70" s="64">
        <v>8.43</v>
      </c>
      <c r="R70" s="198"/>
      <c r="S70" s="198"/>
      <c r="T70" s="198"/>
      <c r="U70" s="198"/>
    </row>
    <row r="71" spans="1:21" s="12" customFormat="1" x14ac:dyDescent="0.25">
      <c r="A71" s="213" t="s">
        <v>2901</v>
      </c>
      <c r="B71" s="64">
        <v>3.46</v>
      </c>
      <c r="C71" s="64">
        <v>43.4</v>
      </c>
      <c r="D71" s="64">
        <v>27.37</v>
      </c>
      <c r="E71" s="64">
        <v>4.78</v>
      </c>
      <c r="F71" s="64">
        <v>4.5199999999999996</v>
      </c>
      <c r="G71" s="64">
        <v>41.63</v>
      </c>
      <c r="H71" s="64">
        <v>16.350000000000001</v>
      </c>
      <c r="I71" s="64">
        <v>1.48</v>
      </c>
      <c r="J71" s="64">
        <v>0.46</v>
      </c>
      <c r="K71" s="64">
        <v>318.76</v>
      </c>
      <c r="L71" s="64">
        <v>30.44</v>
      </c>
      <c r="M71" s="64">
        <v>37.81</v>
      </c>
      <c r="N71" s="64">
        <v>224.7</v>
      </c>
      <c r="O71" s="64">
        <v>0</v>
      </c>
      <c r="P71" s="64">
        <v>0.55000000000000004</v>
      </c>
      <c r="Q71" s="64">
        <v>8.42</v>
      </c>
      <c r="R71" s="198"/>
      <c r="S71" s="198"/>
      <c r="T71" s="198"/>
      <c r="U71" s="198"/>
    </row>
    <row r="72" spans="1:21" s="12" customFormat="1" x14ac:dyDescent="0.25">
      <c r="A72" s="213" t="s">
        <v>2902</v>
      </c>
      <c r="B72" s="64">
        <v>3.16</v>
      </c>
      <c r="C72" s="64">
        <v>41.73</v>
      </c>
      <c r="D72" s="64">
        <v>26.21</v>
      </c>
      <c r="E72" s="64">
        <v>3.86</v>
      </c>
      <c r="F72" s="64">
        <v>4.7699999999999996</v>
      </c>
      <c r="G72" s="64">
        <v>41.63</v>
      </c>
      <c r="H72" s="64">
        <v>16.350000000000001</v>
      </c>
      <c r="I72" s="64">
        <v>1.51</v>
      </c>
      <c r="J72" s="64">
        <v>0.54</v>
      </c>
      <c r="K72" s="64">
        <v>338.19</v>
      </c>
      <c r="L72" s="64">
        <v>29.6</v>
      </c>
      <c r="M72" s="64">
        <v>39.11</v>
      </c>
      <c r="N72" s="64">
        <v>195.8</v>
      </c>
      <c r="O72" s="64">
        <v>0</v>
      </c>
      <c r="P72" s="64">
        <v>0.55000000000000004</v>
      </c>
      <c r="Q72" s="64">
        <v>8.36</v>
      </c>
      <c r="R72" s="198"/>
      <c r="S72" s="198"/>
      <c r="T72" s="198"/>
      <c r="U72" s="198"/>
    </row>
    <row r="73" spans="1:21" s="12" customFormat="1" x14ac:dyDescent="0.25">
      <c r="A73" s="213" t="s">
        <v>2903</v>
      </c>
      <c r="B73" s="64">
        <v>3.17</v>
      </c>
      <c r="C73" s="64">
        <v>41.04</v>
      </c>
      <c r="D73" s="64">
        <v>25.84</v>
      </c>
      <c r="E73" s="64">
        <v>4.55</v>
      </c>
      <c r="F73" s="64">
        <v>4.3</v>
      </c>
      <c r="G73" s="64">
        <v>41.63</v>
      </c>
      <c r="H73" s="64">
        <v>16.350000000000001</v>
      </c>
      <c r="I73" s="64">
        <v>1.54</v>
      </c>
      <c r="J73" s="64">
        <v>0.53</v>
      </c>
      <c r="K73" s="64">
        <v>335.55</v>
      </c>
      <c r="L73" s="64">
        <v>29.3</v>
      </c>
      <c r="M73" s="64">
        <v>39.31</v>
      </c>
      <c r="N73" s="64">
        <v>131.5</v>
      </c>
      <c r="O73" s="64">
        <v>0</v>
      </c>
      <c r="P73" s="64">
        <v>0.55000000000000004</v>
      </c>
      <c r="Q73" s="64">
        <v>8.33</v>
      </c>
      <c r="R73" s="198"/>
      <c r="S73" s="198"/>
      <c r="T73" s="198"/>
      <c r="U73" s="198"/>
    </row>
    <row r="74" spans="1:21" s="12" customFormat="1" x14ac:dyDescent="0.25">
      <c r="A74" s="213" t="s">
        <v>2904</v>
      </c>
      <c r="B74" s="64">
        <v>3.46</v>
      </c>
      <c r="C74" s="64">
        <v>41.1</v>
      </c>
      <c r="D74" s="64">
        <v>26.1</v>
      </c>
      <c r="E74" s="64">
        <v>4.6900000000000004</v>
      </c>
      <c r="F74" s="64">
        <v>4.2</v>
      </c>
      <c r="G74" s="64">
        <v>31.92</v>
      </c>
      <c r="H74" s="64">
        <v>17.010000000000002</v>
      </c>
      <c r="I74" s="64">
        <v>1.52</v>
      </c>
      <c r="J74" s="64">
        <v>0.79</v>
      </c>
      <c r="K74" s="64">
        <v>339.32</v>
      </c>
      <c r="L74" s="64">
        <v>29.16</v>
      </c>
      <c r="M74" s="64">
        <v>39.32</v>
      </c>
      <c r="N74" s="64">
        <v>108.5</v>
      </c>
      <c r="O74" s="64">
        <v>0</v>
      </c>
      <c r="P74" s="64">
        <v>0.55000000000000004</v>
      </c>
      <c r="Q74" s="64">
        <v>8.32</v>
      </c>
      <c r="R74" s="198"/>
      <c r="S74" s="198"/>
      <c r="T74" s="198"/>
      <c r="U74" s="198"/>
    </row>
    <row r="75" spans="1:21" s="12" customFormat="1" x14ac:dyDescent="0.25">
      <c r="A75" s="213" t="s">
        <v>2905</v>
      </c>
      <c r="B75" s="64">
        <v>3.88</v>
      </c>
      <c r="C75" s="64">
        <v>41.88</v>
      </c>
      <c r="D75" s="64">
        <v>26.87</v>
      </c>
      <c r="E75" s="64">
        <v>4.47</v>
      </c>
      <c r="F75" s="64">
        <v>4.3</v>
      </c>
      <c r="G75" s="64">
        <v>29.98</v>
      </c>
      <c r="H75" s="64">
        <v>17.14</v>
      </c>
      <c r="I75" s="64">
        <v>1.49</v>
      </c>
      <c r="J75" s="64">
        <v>0.67</v>
      </c>
      <c r="K75" s="64">
        <v>330.08</v>
      </c>
      <c r="L75" s="64">
        <v>28.6</v>
      </c>
      <c r="M75" s="64">
        <v>40.590000000000003</v>
      </c>
      <c r="N75" s="64">
        <v>96</v>
      </c>
      <c r="O75" s="64">
        <v>0</v>
      </c>
      <c r="P75" s="64">
        <v>0.55000000000000004</v>
      </c>
      <c r="Q75" s="64">
        <v>8.32</v>
      </c>
      <c r="R75" s="198"/>
      <c r="S75" s="198"/>
      <c r="T75" s="198"/>
      <c r="U75" s="198"/>
    </row>
    <row r="76" spans="1:21" s="12" customFormat="1" x14ac:dyDescent="0.25">
      <c r="A76" s="213" t="s">
        <v>2906</v>
      </c>
      <c r="B76" s="64">
        <v>3.84</v>
      </c>
      <c r="C76" s="64">
        <v>41.76</v>
      </c>
      <c r="D76" s="64">
        <v>26.77</v>
      </c>
      <c r="E76" s="64">
        <v>4.3600000000000003</v>
      </c>
      <c r="F76" s="64">
        <v>4.3600000000000003</v>
      </c>
      <c r="G76" s="64">
        <v>29.98</v>
      </c>
      <c r="H76" s="64">
        <v>17.14</v>
      </c>
      <c r="I76" s="64">
        <v>1.45</v>
      </c>
      <c r="J76" s="64">
        <v>0.34</v>
      </c>
      <c r="K76" s="64">
        <v>327.98</v>
      </c>
      <c r="L76" s="64">
        <v>28.05</v>
      </c>
      <c r="M76" s="64">
        <v>41.51</v>
      </c>
      <c r="N76" s="64">
        <v>78.3</v>
      </c>
      <c r="O76" s="64">
        <v>0</v>
      </c>
      <c r="P76" s="64">
        <v>0.55000000000000004</v>
      </c>
      <c r="Q76" s="64">
        <v>8.2799999999999994</v>
      </c>
      <c r="R76" s="198"/>
      <c r="S76" s="198"/>
      <c r="T76" s="198"/>
      <c r="U76" s="198"/>
    </row>
    <row r="77" spans="1:21" s="12" customFormat="1" x14ac:dyDescent="0.25">
      <c r="A77" s="213" t="s">
        <v>2907</v>
      </c>
      <c r="B77" s="64">
        <v>3.65</v>
      </c>
      <c r="C77" s="64">
        <v>41.9</v>
      </c>
      <c r="D77" s="64">
        <v>26.69</v>
      </c>
      <c r="E77" s="64">
        <v>4.82</v>
      </c>
      <c r="F77" s="64">
        <v>4.62</v>
      </c>
      <c r="G77" s="64">
        <v>29.98</v>
      </c>
      <c r="H77" s="64">
        <v>17.14</v>
      </c>
      <c r="I77" s="64">
        <v>1.45</v>
      </c>
      <c r="J77" s="64">
        <v>0.12</v>
      </c>
      <c r="K77" s="64">
        <v>270.43</v>
      </c>
      <c r="L77" s="64">
        <v>27.42</v>
      </c>
      <c r="M77" s="64">
        <v>42.26</v>
      </c>
      <c r="N77" s="64">
        <v>66.599999999999994</v>
      </c>
      <c r="O77" s="64">
        <v>0</v>
      </c>
      <c r="P77" s="64">
        <v>0.55000000000000004</v>
      </c>
      <c r="Q77" s="64">
        <v>8.2899999999999991</v>
      </c>
      <c r="R77" s="198"/>
      <c r="S77" s="198"/>
      <c r="T77" s="198"/>
      <c r="U77" s="198"/>
    </row>
    <row r="78" spans="1:21" s="12" customFormat="1" x14ac:dyDescent="0.25">
      <c r="A78" s="213" t="s">
        <v>2908</v>
      </c>
      <c r="B78" s="64">
        <v>3.52</v>
      </c>
      <c r="C78" s="64">
        <v>41.79</v>
      </c>
      <c r="D78" s="64">
        <v>26.53</v>
      </c>
      <c r="E78" s="64">
        <v>4.68</v>
      </c>
      <c r="F78" s="64">
        <v>4.3099999999999996</v>
      </c>
      <c r="G78" s="64">
        <v>25.89</v>
      </c>
      <c r="H78" s="64">
        <v>8.82</v>
      </c>
      <c r="I78" s="64">
        <v>1.55</v>
      </c>
      <c r="J78" s="64">
        <v>0.76</v>
      </c>
      <c r="K78" s="64">
        <v>340.26</v>
      </c>
      <c r="L78" s="64">
        <v>27.12</v>
      </c>
      <c r="M78" s="64">
        <v>45.63</v>
      </c>
      <c r="N78" s="64">
        <v>54</v>
      </c>
      <c r="O78" s="64">
        <v>0</v>
      </c>
      <c r="P78" s="64">
        <v>0.55000000000000004</v>
      </c>
      <c r="Q78" s="64">
        <v>8.26</v>
      </c>
      <c r="R78" s="198"/>
      <c r="S78" s="198"/>
      <c r="T78" s="198"/>
      <c r="U78" s="198"/>
    </row>
    <row r="79" spans="1:21" s="12" customFormat="1" x14ac:dyDescent="0.25">
      <c r="A79" s="213" t="s">
        <v>2909</v>
      </c>
      <c r="B79" s="64">
        <v>4.03</v>
      </c>
      <c r="C79" s="64">
        <v>42.37</v>
      </c>
      <c r="D79" s="64">
        <v>27.26</v>
      </c>
      <c r="E79" s="64">
        <v>4.28</v>
      </c>
      <c r="F79" s="64">
        <v>3.94</v>
      </c>
      <c r="G79" s="64">
        <v>25.07</v>
      </c>
      <c r="H79" s="64">
        <v>7.15</v>
      </c>
      <c r="I79" s="64">
        <v>1.57</v>
      </c>
      <c r="J79" s="64">
        <v>0.88</v>
      </c>
      <c r="K79" s="64">
        <v>346.33</v>
      </c>
      <c r="L79" s="64">
        <v>26.68</v>
      </c>
      <c r="M79" s="64">
        <v>46.18</v>
      </c>
      <c r="N79" s="64">
        <v>40.6</v>
      </c>
      <c r="O79" s="64">
        <v>0</v>
      </c>
      <c r="P79" s="64">
        <v>0.56000000000000005</v>
      </c>
      <c r="Q79" s="64">
        <v>8.25</v>
      </c>
      <c r="R79" s="198"/>
      <c r="S79" s="198"/>
      <c r="T79" s="198"/>
      <c r="U79" s="198"/>
    </row>
    <row r="80" spans="1:21" s="12" customFormat="1" x14ac:dyDescent="0.25">
      <c r="A80" s="213" t="s">
        <v>2910</v>
      </c>
      <c r="B80" s="64">
        <v>4.67</v>
      </c>
      <c r="C80" s="64">
        <v>42.69</v>
      </c>
      <c r="D80" s="64">
        <v>27.95</v>
      </c>
      <c r="E80" s="64">
        <v>4.66</v>
      </c>
      <c r="F80" s="64">
        <v>3.66</v>
      </c>
      <c r="G80" s="64">
        <v>25.07</v>
      </c>
      <c r="H80" s="64">
        <v>7.15</v>
      </c>
      <c r="I80" s="64">
        <v>1.52</v>
      </c>
      <c r="J80" s="64">
        <v>0.64</v>
      </c>
      <c r="K80" s="64">
        <v>349.82</v>
      </c>
      <c r="L80" s="64">
        <v>26.1</v>
      </c>
      <c r="M80" s="64">
        <v>48.9</v>
      </c>
      <c r="N80" s="64">
        <v>30.2</v>
      </c>
      <c r="O80" s="64">
        <v>0</v>
      </c>
      <c r="P80" s="64">
        <v>0.57999999999999996</v>
      </c>
      <c r="Q80" s="64">
        <v>8.2200000000000006</v>
      </c>
      <c r="R80" s="198"/>
      <c r="S80" s="198"/>
      <c r="T80" s="198"/>
      <c r="U80" s="198"/>
    </row>
    <row r="81" spans="1:26" s="12" customFormat="1" x14ac:dyDescent="0.25">
      <c r="A81" s="213" t="s">
        <v>2911</v>
      </c>
      <c r="B81" s="64">
        <v>5.44</v>
      </c>
      <c r="C81" s="64">
        <v>43.03</v>
      </c>
      <c r="D81" s="64">
        <v>28.75</v>
      </c>
      <c r="E81" s="64">
        <v>4.71</v>
      </c>
      <c r="F81" s="64">
        <v>3.7</v>
      </c>
      <c r="G81" s="64">
        <v>25.07</v>
      </c>
      <c r="H81" s="64">
        <v>7.15</v>
      </c>
      <c r="I81" s="64">
        <v>1.46</v>
      </c>
      <c r="J81" s="64">
        <v>0.64</v>
      </c>
      <c r="K81" s="64">
        <v>345.81</v>
      </c>
      <c r="L81" s="64">
        <v>25.37</v>
      </c>
      <c r="M81" s="64">
        <v>57.78</v>
      </c>
      <c r="N81" s="64">
        <v>25.7</v>
      </c>
      <c r="O81" s="64">
        <v>0</v>
      </c>
      <c r="P81" s="64">
        <v>0.61</v>
      </c>
      <c r="Q81" s="64">
        <v>8.18</v>
      </c>
      <c r="R81" s="198"/>
      <c r="S81" s="198"/>
      <c r="T81" s="198"/>
      <c r="U81" s="198"/>
    </row>
    <row r="82" spans="1:26" s="12" customFormat="1" x14ac:dyDescent="0.25">
      <c r="A82" s="213" t="s">
        <v>2912</v>
      </c>
      <c r="B82" s="64">
        <v>6.23</v>
      </c>
      <c r="C82" s="64">
        <v>43.87</v>
      </c>
      <c r="D82" s="64">
        <v>29.85</v>
      </c>
      <c r="E82" s="64">
        <v>4.67</v>
      </c>
      <c r="F82" s="64">
        <v>3.36</v>
      </c>
      <c r="G82" s="64">
        <v>43.87</v>
      </c>
      <c r="H82" s="64">
        <v>19.13</v>
      </c>
      <c r="I82" s="64">
        <v>1.48</v>
      </c>
      <c r="J82" s="64">
        <v>0.32</v>
      </c>
      <c r="K82" s="64">
        <v>342.1</v>
      </c>
      <c r="L82" s="64">
        <v>24.84</v>
      </c>
      <c r="M82" s="64">
        <v>59.3</v>
      </c>
      <c r="N82" s="64">
        <v>25.1</v>
      </c>
      <c r="O82" s="64">
        <v>0</v>
      </c>
      <c r="P82" s="64">
        <v>0.63</v>
      </c>
      <c r="Q82" s="64">
        <v>8.2799999999999994</v>
      </c>
      <c r="R82" s="198"/>
      <c r="S82" s="198"/>
      <c r="T82" s="198"/>
      <c r="U82" s="198"/>
    </row>
    <row r="83" spans="1:26" s="12" customFormat="1" x14ac:dyDescent="0.25">
      <c r="A83" s="213" t="s">
        <v>2913</v>
      </c>
      <c r="B83" s="64">
        <v>7.54</v>
      </c>
      <c r="C83" s="64">
        <v>44.91</v>
      </c>
      <c r="D83" s="64">
        <v>31.48</v>
      </c>
      <c r="E83" s="64">
        <v>4.4400000000000004</v>
      </c>
      <c r="F83" s="64">
        <v>3.56</v>
      </c>
      <c r="G83" s="64">
        <v>47.63</v>
      </c>
      <c r="H83" s="64">
        <v>21.52</v>
      </c>
      <c r="I83" s="64">
        <v>1.46</v>
      </c>
      <c r="J83" s="64">
        <v>0.19</v>
      </c>
      <c r="K83" s="64">
        <v>348.38</v>
      </c>
      <c r="L83" s="64">
        <v>24.47</v>
      </c>
      <c r="M83" s="64">
        <v>56.67</v>
      </c>
      <c r="N83" s="64">
        <v>25.4</v>
      </c>
      <c r="O83" s="64">
        <v>0</v>
      </c>
      <c r="P83" s="64">
        <v>0.7</v>
      </c>
      <c r="Q83" s="64">
        <v>8.33</v>
      </c>
      <c r="R83" s="198"/>
      <c r="S83" s="198"/>
      <c r="T83" s="198"/>
      <c r="U83" s="198"/>
    </row>
    <row r="84" spans="1:26" s="12" customFormat="1" x14ac:dyDescent="0.25">
      <c r="A84" s="213" t="s">
        <v>2914</v>
      </c>
      <c r="B84" s="64">
        <v>9.35</v>
      </c>
      <c r="C84" s="64">
        <v>45.64</v>
      </c>
      <c r="D84" s="64">
        <v>33.33</v>
      </c>
      <c r="E84" s="64">
        <v>4.3499999999999996</v>
      </c>
      <c r="F84" s="64">
        <v>3.7</v>
      </c>
      <c r="G84" s="64">
        <v>47.63</v>
      </c>
      <c r="H84" s="64">
        <v>21.52</v>
      </c>
      <c r="I84" s="64">
        <v>1.52</v>
      </c>
      <c r="J84" s="64">
        <v>7.0000000000000007E-2</v>
      </c>
      <c r="K84" s="64">
        <v>136.22</v>
      </c>
      <c r="L84" s="64">
        <v>24.14</v>
      </c>
      <c r="M84" s="64">
        <v>57.23</v>
      </c>
      <c r="N84" s="64">
        <v>25.3</v>
      </c>
      <c r="O84" s="64">
        <v>0</v>
      </c>
      <c r="P84" s="64">
        <v>0.77</v>
      </c>
      <c r="Q84" s="64">
        <v>8.35</v>
      </c>
      <c r="R84" s="198"/>
      <c r="S84" s="198"/>
      <c r="T84" s="198"/>
      <c r="U84" s="198"/>
    </row>
    <row r="85" spans="1:26" s="12" customFormat="1" x14ac:dyDescent="0.25">
      <c r="A85" s="213" t="s">
        <v>2915</v>
      </c>
      <c r="B85" s="64">
        <v>10.199999999999999</v>
      </c>
      <c r="C85" s="64">
        <v>45.98</v>
      </c>
      <c r="D85" s="64">
        <v>34.200000000000003</v>
      </c>
      <c r="E85" s="64">
        <v>4.7</v>
      </c>
      <c r="F85" s="64">
        <v>3.71</v>
      </c>
      <c r="G85" s="64">
        <v>47.63</v>
      </c>
      <c r="H85" s="64">
        <v>21.52</v>
      </c>
      <c r="I85" s="64">
        <v>1.51</v>
      </c>
      <c r="J85" s="64">
        <v>0.17</v>
      </c>
      <c r="K85" s="64">
        <v>246.95</v>
      </c>
      <c r="L85" s="64">
        <v>24.12</v>
      </c>
      <c r="M85" s="64">
        <v>58.36</v>
      </c>
      <c r="N85" s="64">
        <v>25.1</v>
      </c>
      <c r="O85" s="64">
        <v>0</v>
      </c>
      <c r="P85" s="64">
        <v>0.75</v>
      </c>
      <c r="Q85" s="64">
        <v>8.4</v>
      </c>
      <c r="R85" s="198"/>
      <c r="S85" s="198"/>
      <c r="T85" s="198"/>
      <c r="U85" s="198"/>
    </row>
    <row r="86" spans="1:26" s="12" customFormat="1" x14ac:dyDescent="0.25">
      <c r="A86" s="213" t="s">
        <v>2916</v>
      </c>
      <c r="B86" s="64">
        <v>11.23</v>
      </c>
      <c r="C86" s="64">
        <v>46.42</v>
      </c>
      <c r="D86" s="64">
        <v>35.270000000000003</v>
      </c>
      <c r="E86" s="64">
        <v>4.59</v>
      </c>
      <c r="F86" s="64">
        <v>3.61</v>
      </c>
      <c r="G86" s="64">
        <v>62.97</v>
      </c>
      <c r="H86" s="64">
        <v>22.89</v>
      </c>
      <c r="I86" s="64">
        <v>1.43</v>
      </c>
      <c r="J86" s="64">
        <v>0.1</v>
      </c>
      <c r="K86" s="64">
        <v>246.11</v>
      </c>
      <c r="L86" s="64">
        <v>23.64</v>
      </c>
      <c r="M86" s="64">
        <v>60.82</v>
      </c>
      <c r="N86" s="64">
        <v>25.4</v>
      </c>
      <c r="O86" s="64">
        <v>0</v>
      </c>
      <c r="P86" s="64">
        <v>0.88</v>
      </c>
      <c r="Q86" s="64">
        <v>8.41</v>
      </c>
      <c r="R86" s="198"/>
      <c r="S86" s="198"/>
      <c r="T86" s="198"/>
      <c r="U86" s="198"/>
    </row>
    <row r="87" spans="1:26" s="12" customFormat="1" x14ac:dyDescent="0.25">
      <c r="A87" s="213" t="s">
        <v>2917</v>
      </c>
      <c r="B87" s="64">
        <v>12.59</v>
      </c>
      <c r="C87" s="64">
        <v>45.99</v>
      </c>
      <c r="D87" s="64">
        <v>36.119999999999997</v>
      </c>
      <c r="E87" s="64">
        <v>4.53</v>
      </c>
      <c r="F87" s="64">
        <v>3.49</v>
      </c>
      <c r="G87" s="64">
        <v>66.03</v>
      </c>
      <c r="H87" s="64">
        <v>23.16</v>
      </c>
      <c r="I87" s="64">
        <v>1.49</v>
      </c>
      <c r="J87" s="64">
        <v>0.17</v>
      </c>
      <c r="K87" s="64">
        <v>249.72</v>
      </c>
      <c r="L87" s="64">
        <v>23.62</v>
      </c>
      <c r="M87" s="64">
        <v>60.48</v>
      </c>
      <c r="N87" s="64">
        <v>24.8</v>
      </c>
      <c r="O87" s="64">
        <v>0</v>
      </c>
      <c r="P87" s="64">
        <v>0.85</v>
      </c>
      <c r="Q87" s="64">
        <v>8.4499999999999993</v>
      </c>
      <c r="R87" s="198"/>
      <c r="S87" s="198"/>
      <c r="T87" s="198"/>
      <c r="U87" s="198"/>
    </row>
    <row r="88" spans="1:26" s="12" customFormat="1" x14ac:dyDescent="0.25">
      <c r="A88" s="213" t="s">
        <v>2918</v>
      </c>
      <c r="B88" s="64">
        <v>15.68</v>
      </c>
      <c r="C88" s="64">
        <v>46.44</v>
      </c>
      <c r="D88" s="64">
        <v>38.85</v>
      </c>
      <c r="E88" s="64">
        <v>5.39</v>
      </c>
      <c r="F88" s="64">
        <v>3.54</v>
      </c>
      <c r="G88" s="64">
        <v>66.03</v>
      </c>
      <c r="H88" s="64">
        <v>23.16</v>
      </c>
      <c r="I88" s="64">
        <v>1.43</v>
      </c>
      <c r="J88" s="64">
        <v>0.23</v>
      </c>
      <c r="K88" s="64">
        <v>1.43</v>
      </c>
      <c r="L88" s="64">
        <v>23.12</v>
      </c>
      <c r="M88" s="64">
        <v>70.349999999999994</v>
      </c>
      <c r="N88" s="64">
        <v>24.9</v>
      </c>
      <c r="O88" s="64">
        <v>0</v>
      </c>
      <c r="P88" s="64">
        <v>0.92</v>
      </c>
      <c r="Q88" s="64">
        <v>8.4700000000000006</v>
      </c>
      <c r="R88" s="198"/>
      <c r="S88" s="198"/>
      <c r="T88" s="198"/>
      <c r="U88" s="198"/>
    </row>
    <row r="89" spans="1:26" s="12" customFormat="1" x14ac:dyDescent="0.25">
      <c r="A89" s="213" t="s">
        <v>2919</v>
      </c>
      <c r="B89" s="64">
        <v>21.6</v>
      </c>
      <c r="C89" s="64">
        <v>47.66</v>
      </c>
      <c r="D89" s="64">
        <v>44.27</v>
      </c>
      <c r="E89" s="64">
        <v>5.26</v>
      </c>
      <c r="F89" s="64">
        <v>3.32</v>
      </c>
      <c r="G89" s="64">
        <v>66.03</v>
      </c>
      <c r="H89" s="64">
        <v>23.16</v>
      </c>
      <c r="I89" s="64">
        <v>1.48</v>
      </c>
      <c r="J89" s="64">
        <v>0.14000000000000001</v>
      </c>
      <c r="K89" s="64">
        <v>72.27</v>
      </c>
      <c r="L89" s="64">
        <v>22.85</v>
      </c>
      <c r="M89" s="64">
        <v>69.53</v>
      </c>
      <c r="N89" s="64">
        <v>24.9</v>
      </c>
      <c r="O89" s="64">
        <v>0</v>
      </c>
      <c r="P89" s="64">
        <v>1.1000000000000001</v>
      </c>
      <c r="Q89" s="64">
        <v>8.4600000000000009</v>
      </c>
      <c r="R89" s="198"/>
      <c r="S89" s="198"/>
      <c r="T89" s="198"/>
      <c r="U89" s="198"/>
    </row>
    <row r="90" spans="1:26" s="12" customFormat="1" x14ac:dyDescent="0.25">
      <c r="A90" s="213" t="s">
        <v>2920</v>
      </c>
      <c r="B90" s="64">
        <v>27.8</v>
      </c>
      <c r="C90" s="64">
        <v>49.07</v>
      </c>
      <c r="D90" s="64">
        <v>50.03</v>
      </c>
      <c r="E90" s="64">
        <v>5.01</v>
      </c>
      <c r="F90" s="64">
        <v>3.28</v>
      </c>
      <c r="G90" s="64">
        <v>93.24</v>
      </c>
      <c r="H90" s="64">
        <v>35.22</v>
      </c>
      <c r="I90" s="64">
        <v>1.56</v>
      </c>
      <c r="J90" s="64">
        <v>0.1</v>
      </c>
      <c r="K90" s="64">
        <v>104.76</v>
      </c>
      <c r="L90" s="64">
        <v>22.81</v>
      </c>
      <c r="M90" s="64">
        <v>70.260000000000005</v>
      </c>
      <c r="N90" s="64">
        <v>24.9</v>
      </c>
      <c r="O90" s="64">
        <v>0</v>
      </c>
      <c r="P90" s="64">
        <v>1.24</v>
      </c>
      <c r="Q90" s="64">
        <v>8.58</v>
      </c>
      <c r="R90" s="198"/>
      <c r="S90" s="198"/>
      <c r="T90" s="198"/>
      <c r="U90" s="198"/>
    </row>
    <row r="91" spans="1:26" s="12" customFormat="1" x14ac:dyDescent="0.25">
      <c r="A91" s="213" t="s">
        <v>2921</v>
      </c>
      <c r="B91" s="64">
        <v>36.93</v>
      </c>
      <c r="C91" s="64">
        <v>51.51</v>
      </c>
      <c r="D91" s="64">
        <v>58.69</v>
      </c>
      <c r="E91" s="64">
        <v>5.46</v>
      </c>
      <c r="F91" s="64">
        <v>2.71</v>
      </c>
      <c r="G91" s="64">
        <v>98.68</v>
      </c>
      <c r="H91" s="64">
        <v>37.630000000000003</v>
      </c>
      <c r="I91" s="64">
        <v>1.46</v>
      </c>
      <c r="J91" s="64">
        <v>0.25</v>
      </c>
      <c r="K91" s="64">
        <v>93.13</v>
      </c>
      <c r="L91" s="64">
        <v>22.76</v>
      </c>
      <c r="M91" s="64">
        <v>70.28</v>
      </c>
      <c r="N91" s="64">
        <v>24.4</v>
      </c>
      <c r="O91" s="64">
        <v>0</v>
      </c>
      <c r="P91" s="64">
        <v>1.34</v>
      </c>
      <c r="Q91" s="64">
        <v>8.66</v>
      </c>
      <c r="R91" s="198"/>
      <c r="S91" s="198"/>
      <c r="T91" s="198"/>
      <c r="U91" s="198"/>
    </row>
    <row r="92" spans="1:26" s="12" customFormat="1" x14ac:dyDescent="0.25">
      <c r="A92" s="213" t="s">
        <v>2922</v>
      </c>
      <c r="B92" s="64">
        <v>47.87</v>
      </c>
      <c r="C92" s="64">
        <v>53.69</v>
      </c>
      <c r="D92" s="64">
        <v>68.66</v>
      </c>
      <c r="E92" s="64">
        <v>5.24</v>
      </c>
      <c r="F92" s="64">
        <v>3.48</v>
      </c>
      <c r="G92" s="64">
        <v>98.68</v>
      </c>
      <c r="H92" s="64">
        <v>37.630000000000003</v>
      </c>
      <c r="I92" s="64">
        <v>1.52</v>
      </c>
      <c r="J92" s="64">
        <v>0.28000000000000003</v>
      </c>
      <c r="K92" s="64">
        <v>149.08000000000001</v>
      </c>
      <c r="L92" s="64">
        <v>22.74</v>
      </c>
      <c r="M92" s="64">
        <v>70.349999999999994</v>
      </c>
      <c r="N92" s="64">
        <v>24</v>
      </c>
      <c r="O92" s="64">
        <v>0</v>
      </c>
      <c r="P92" s="64">
        <v>1.42</v>
      </c>
      <c r="Q92" s="64">
        <v>8.8800000000000008</v>
      </c>
      <c r="R92" s="198"/>
      <c r="S92" s="198"/>
      <c r="T92" s="198"/>
      <c r="U92" s="198"/>
    </row>
    <row r="93" spans="1:26" s="12" customFormat="1" x14ac:dyDescent="0.25">
      <c r="A93" s="213" t="s">
        <v>2923</v>
      </c>
      <c r="B93" s="64">
        <v>54.8</v>
      </c>
      <c r="C93" s="64">
        <v>55.24</v>
      </c>
      <c r="D93" s="64">
        <v>75.069999999999993</v>
      </c>
      <c r="E93" s="64">
        <v>5.61</v>
      </c>
      <c r="F93" s="64">
        <v>2.95</v>
      </c>
      <c r="G93" s="64">
        <v>98.68</v>
      </c>
      <c r="H93" s="64">
        <v>37.630000000000003</v>
      </c>
      <c r="I93" s="64">
        <v>1.56</v>
      </c>
      <c r="J93" s="64">
        <v>0.12</v>
      </c>
      <c r="K93" s="64">
        <v>147.16</v>
      </c>
      <c r="L93" s="64">
        <v>23.42</v>
      </c>
      <c r="M93" s="64">
        <v>67.069999999999993</v>
      </c>
      <c r="N93" s="64">
        <v>24.3</v>
      </c>
      <c r="O93" s="64">
        <v>0</v>
      </c>
      <c r="P93" s="64">
        <v>1.47</v>
      </c>
      <c r="Q93" s="64">
        <v>9.1199999999999992</v>
      </c>
      <c r="R93" s="198"/>
      <c r="S93" s="198"/>
      <c r="T93" s="198"/>
      <c r="U93" s="198"/>
    </row>
    <row r="94" spans="1:26" s="12" customFormat="1" x14ac:dyDescent="0.25">
      <c r="A94" s="213" t="s">
        <v>2924</v>
      </c>
      <c r="B94" s="64">
        <v>58.67</v>
      </c>
      <c r="C94" s="64">
        <v>55.39</v>
      </c>
      <c r="D94" s="64">
        <v>78.260000000000005</v>
      </c>
      <c r="E94" s="64">
        <v>5.81</v>
      </c>
      <c r="F94" s="64">
        <v>3.49</v>
      </c>
      <c r="G94" s="64">
        <v>120.75</v>
      </c>
      <c r="H94" s="64">
        <v>34.159999999999997</v>
      </c>
      <c r="I94" s="64">
        <v>1.54</v>
      </c>
      <c r="J94" s="64">
        <v>0.1</v>
      </c>
      <c r="K94" s="64">
        <v>94.06</v>
      </c>
      <c r="L94" s="64">
        <v>22.63</v>
      </c>
      <c r="M94" s="64">
        <v>75.010000000000005</v>
      </c>
      <c r="N94" s="64">
        <v>24.7</v>
      </c>
      <c r="O94" s="64">
        <v>0</v>
      </c>
      <c r="P94" s="64">
        <v>1.58</v>
      </c>
      <c r="Q94" s="64">
        <v>9.2899999999999991</v>
      </c>
      <c r="R94" s="198"/>
      <c r="S94" s="198"/>
      <c r="T94" s="198"/>
      <c r="U94" s="198"/>
    </row>
    <row r="95" spans="1:26" s="12" customFormat="1" x14ac:dyDescent="0.25">
      <c r="A95" s="213" t="s">
        <v>2925</v>
      </c>
      <c r="B95" s="64">
        <v>62.1</v>
      </c>
      <c r="C95" s="64">
        <v>55.77</v>
      </c>
      <c r="D95" s="64">
        <v>81.22</v>
      </c>
      <c r="E95" s="64">
        <v>5.63</v>
      </c>
      <c r="F95" s="64">
        <v>3.36</v>
      </c>
      <c r="G95" s="64">
        <v>125.16</v>
      </c>
      <c r="H95" s="64">
        <v>33.47</v>
      </c>
      <c r="I95" s="64">
        <v>1.51</v>
      </c>
      <c r="J95" s="64">
        <v>7.0000000000000007E-2</v>
      </c>
      <c r="K95" s="64">
        <v>353.6</v>
      </c>
      <c r="L95" s="64">
        <v>22.32</v>
      </c>
      <c r="M95" s="64">
        <v>73.64</v>
      </c>
      <c r="N95" s="64">
        <v>25</v>
      </c>
      <c r="O95" s="64">
        <v>0</v>
      </c>
      <c r="P95" s="64">
        <v>1.67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13" t="s">
        <v>2926</v>
      </c>
      <c r="B96" s="64">
        <v>65.209999999999994</v>
      </c>
      <c r="C96" s="64">
        <v>55.44</v>
      </c>
      <c r="D96" s="64">
        <v>83.54</v>
      </c>
      <c r="E96" s="64">
        <v>5.84</v>
      </c>
      <c r="F96" s="64">
        <v>3.8</v>
      </c>
      <c r="G96" s="64">
        <v>125.16</v>
      </c>
      <c r="H96" s="64">
        <v>33.47</v>
      </c>
      <c r="I96" s="64">
        <v>1.5</v>
      </c>
      <c r="J96" s="64">
        <v>0.13</v>
      </c>
      <c r="K96" s="64">
        <v>191.39</v>
      </c>
      <c r="L96" s="64">
        <v>22.03</v>
      </c>
      <c r="M96" s="64">
        <v>74.58</v>
      </c>
      <c r="N96" s="64">
        <v>24.7</v>
      </c>
      <c r="O96" s="64">
        <v>0</v>
      </c>
      <c r="P96" s="64">
        <v>1.74</v>
      </c>
      <c r="Q96" s="64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2927</v>
      </c>
      <c r="B97" s="64">
        <v>66.92</v>
      </c>
      <c r="C97" s="64">
        <v>56.09</v>
      </c>
      <c r="D97" s="64">
        <v>85.26</v>
      </c>
      <c r="E97" s="64">
        <v>5.4</v>
      </c>
      <c r="F97" s="64">
        <v>3.66</v>
      </c>
      <c r="G97" s="64">
        <v>125.16</v>
      </c>
      <c r="H97" s="64">
        <v>33.47</v>
      </c>
      <c r="I97" s="64">
        <v>1.49</v>
      </c>
      <c r="J97" s="64">
        <v>0.09</v>
      </c>
      <c r="K97" s="64">
        <v>290.51</v>
      </c>
      <c r="L97" s="64">
        <v>22.19</v>
      </c>
      <c r="M97" s="64">
        <v>73.430000000000007</v>
      </c>
      <c r="N97" s="64">
        <v>24.7</v>
      </c>
      <c r="O97" s="64">
        <v>0</v>
      </c>
      <c r="P97" s="64">
        <v>1.8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3" t="s">
        <v>2928</v>
      </c>
      <c r="B98" s="64">
        <v>69.05</v>
      </c>
      <c r="C98" s="64">
        <v>55.84</v>
      </c>
      <c r="D98" s="64">
        <v>86.84</v>
      </c>
      <c r="E98" s="64">
        <v>5.72</v>
      </c>
      <c r="F98" s="64">
        <v>3.46</v>
      </c>
      <c r="G98" s="64">
        <v>122.98</v>
      </c>
      <c r="H98" s="64">
        <v>42.47</v>
      </c>
      <c r="I98" s="64">
        <v>1.44</v>
      </c>
      <c r="J98" s="64">
        <v>0.11</v>
      </c>
      <c r="K98" s="64">
        <v>286.49</v>
      </c>
      <c r="L98" s="64">
        <v>21.8</v>
      </c>
      <c r="M98" s="64">
        <v>75.349999999999994</v>
      </c>
      <c r="N98" s="64">
        <v>24.9</v>
      </c>
      <c r="O98" s="64">
        <v>0</v>
      </c>
      <c r="P98" s="64">
        <v>1.86</v>
      </c>
      <c r="Q98" s="64">
        <v>9.7200000000000006</v>
      </c>
      <c r="R98" s="198"/>
      <c r="S98" s="198"/>
      <c r="T98" s="198"/>
      <c r="U98" s="198"/>
    </row>
    <row r="99" spans="1:33" s="12" customFormat="1" x14ac:dyDescent="0.25">
      <c r="A99" s="213" t="s">
        <v>2929</v>
      </c>
      <c r="B99" s="64">
        <v>71.239999999999995</v>
      </c>
      <c r="C99" s="64">
        <v>54.22</v>
      </c>
      <c r="D99" s="64">
        <v>87.69</v>
      </c>
      <c r="E99" s="64">
        <v>5.75</v>
      </c>
      <c r="F99" s="64">
        <v>3.57</v>
      </c>
      <c r="G99" s="64">
        <v>122.55</v>
      </c>
      <c r="H99" s="64">
        <v>44.28</v>
      </c>
      <c r="I99" s="64">
        <v>1.44</v>
      </c>
      <c r="J99" s="64">
        <v>0.14000000000000001</v>
      </c>
      <c r="K99" s="64">
        <v>338.77</v>
      </c>
      <c r="L99" s="64">
        <v>21.38</v>
      </c>
      <c r="M99" s="64">
        <v>79.52</v>
      </c>
      <c r="N99" s="64">
        <v>25</v>
      </c>
      <c r="O99" s="64">
        <v>0</v>
      </c>
      <c r="P99" s="64">
        <v>1.91</v>
      </c>
      <c r="Q99" s="64">
        <v>9.76</v>
      </c>
      <c r="R99" s="198"/>
      <c r="S99" s="198"/>
      <c r="T99" s="198"/>
      <c r="U99" s="198"/>
    </row>
    <row r="100" spans="1:33" s="12" customFormat="1" x14ac:dyDescent="0.25">
      <c r="A100" s="213" t="s">
        <v>2930</v>
      </c>
      <c r="B100" s="64">
        <v>73.09</v>
      </c>
      <c r="C100" s="64">
        <v>54.17</v>
      </c>
      <c r="D100" s="64">
        <v>89.15</v>
      </c>
      <c r="E100" s="64">
        <v>5.24</v>
      </c>
      <c r="F100" s="64">
        <v>3.68</v>
      </c>
      <c r="G100" s="64">
        <v>122.55</v>
      </c>
      <c r="H100" s="64">
        <v>44.28</v>
      </c>
      <c r="I100" s="64">
        <v>1.58</v>
      </c>
      <c r="J100" s="64">
        <v>0.11</v>
      </c>
      <c r="K100" s="64">
        <v>42.63</v>
      </c>
      <c r="L100" s="64">
        <v>21.07</v>
      </c>
      <c r="M100" s="64">
        <v>80.02</v>
      </c>
      <c r="N100" s="64">
        <v>24.9</v>
      </c>
      <c r="O100" s="64">
        <v>0</v>
      </c>
      <c r="P100" s="64">
        <v>1.94</v>
      </c>
      <c r="Q100" s="64">
        <v>9.85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2931</v>
      </c>
      <c r="B101" s="64">
        <v>74</v>
      </c>
      <c r="C101" s="64">
        <v>54.14</v>
      </c>
      <c r="D101" s="64">
        <v>89.87</v>
      </c>
      <c r="E101" s="64">
        <v>5.77</v>
      </c>
      <c r="F101" s="64">
        <v>3.62</v>
      </c>
      <c r="G101" s="64">
        <v>122.55</v>
      </c>
      <c r="H101" s="64">
        <v>44.28</v>
      </c>
      <c r="I101" s="64">
        <v>1.57</v>
      </c>
      <c r="J101" s="64">
        <v>7.0000000000000007E-2</v>
      </c>
      <c r="K101" s="64">
        <v>87.53</v>
      </c>
      <c r="L101" s="64">
        <v>20.9</v>
      </c>
      <c r="M101" s="64">
        <v>77.13</v>
      </c>
      <c r="N101" s="64">
        <v>25</v>
      </c>
      <c r="O101" s="64">
        <v>0</v>
      </c>
      <c r="P101" s="64">
        <v>1.94</v>
      </c>
      <c r="Q101" s="64">
        <v>9.8699999999999992</v>
      </c>
      <c r="R101" s="198"/>
      <c r="S101" s="198"/>
      <c r="T101" s="198"/>
      <c r="U101" s="198"/>
    </row>
    <row r="102" spans="1:33" s="12" customFormat="1" x14ac:dyDescent="0.25">
      <c r="A102" s="213" t="s">
        <v>2932</v>
      </c>
      <c r="B102" s="64">
        <v>73.39</v>
      </c>
      <c r="C102" s="64">
        <v>53.81</v>
      </c>
      <c r="D102" s="64">
        <v>89.2</v>
      </c>
      <c r="E102" s="64">
        <v>5.91</v>
      </c>
      <c r="F102" s="64">
        <v>3.5</v>
      </c>
      <c r="G102" s="64">
        <v>114.28</v>
      </c>
      <c r="H102" s="64">
        <v>40.76</v>
      </c>
      <c r="I102" s="64">
        <v>1.61</v>
      </c>
      <c r="J102" s="64">
        <v>0.16</v>
      </c>
      <c r="K102" s="64">
        <v>329.98</v>
      </c>
      <c r="L102" s="64">
        <v>20.86</v>
      </c>
      <c r="M102" s="64">
        <v>77.36</v>
      </c>
      <c r="N102" s="64">
        <v>24.5</v>
      </c>
      <c r="O102" s="64">
        <v>0</v>
      </c>
      <c r="P102" s="64">
        <v>1.91</v>
      </c>
      <c r="Q102" s="64">
        <v>9.94</v>
      </c>
      <c r="R102" s="198"/>
      <c r="S102" s="198"/>
      <c r="T102" s="198"/>
      <c r="U102" s="198"/>
    </row>
    <row r="103" spans="1:33" s="12" customFormat="1" x14ac:dyDescent="0.25">
      <c r="A103" s="213" t="s">
        <v>2933</v>
      </c>
      <c r="B103" s="64">
        <v>72.87</v>
      </c>
      <c r="C103" s="64">
        <v>53.11</v>
      </c>
      <c r="D103" s="64">
        <v>88.39</v>
      </c>
      <c r="E103" s="64">
        <v>5.51</v>
      </c>
      <c r="F103" s="64">
        <v>3.42</v>
      </c>
      <c r="G103" s="64">
        <v>112.63</v>
      </c>
      <c r="H103" s="64">
        <v>40.06</v>
      </c>
      <c r="I103" s="64">
        <v>1.52</v>
      </c>
      <c r="J103" s="64">
        <v>0.23</v>
      </c>
      <c r="K103" s="64">
        <v>308.54000000000002</v>
      </c>
      <c r="L103" s="64">
        <v>20.74</v>
      </c>
      <c r="M103" s="64">
        <v>78.13</v>
      </c>
      <c r="N103" s="64">
        <v>24.4</v>
      </c>
      <c r="O103" s="64">
        <v>0</v>
      </c>
      <c r="P103" s="64">
        <v>1.91</v>
      </c>
      <c r="Q103" s="64">
        <v>9.98</v>
      </c>
      <c r="R103" s="198"/>
      <c r="S103" s="198"/>
      <c r="T103" s="198"/>
      <c r="U103" s="198"/>
    </row>
    <row r="104" spans="1:33" s="12" customFormat="1" x14ac:dyDescent="0.25">
      <c r="A104" s="213" t="s">
        <v>2934</v>
      </c>
      <c r="B104" s="64">
        <v>72.63</v>
      </c>
      <c r="C104" s="64">
        <v>51.99</v>
      </c>
      <c r="D104" s="64">
        <v>87.58</v>
      </c>
      <c r="E104" s="64">
        <v>4.25</v>
      </c>
      <c r="F104" s="64">
        <v>3.66</v>
      </c>
      <c r="G104" s="64">
        <v>112.63</v>
      </c>
      <c r="H104" s="64">
        <v>40.06</v>
      </c>
      <c r="I104" s="64">
        <v>1.5</v>
      </c>
      <c r="J104" s="64">
        <v>0.46</v>
      </c>
      <c r="K104" s="64">
        <v>325.31</v>
      </c>
      <c r="L104" s="64">
        <v>20.68</v>
      </c>
      <c r="M104" s="64">
        <v>78.5</v>
      </c>
      <c r="N104" s="64">
        <v>24.1</v>
      </c>
      <c r="O104" s="64">
        <v>0</v>
      </c>
      <c r="P104" s="64">
        <v>1.88</v>
      </c>
      <c r="Q104" s="64">
        <v>9.9499999999999993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2.4900000000000002</v>
      </c>
      <c r="C106" s="67">
        <f>MIN(C9:C104)</f>
        <v>35.450000000000003</v>
      </c>
      <c r="D106" s="67">
        <f t="shared" ref="D106:Q106" si="0">MIN(D9:D104)</f>
        <v>24.78</v>
      </c>
      <c r="E106" s="67">
        <f t="shared" si="0"/>
        <v>3.44</v>
      </c>
      <c r="F106" s="67">
        <f t="shared" si="0"/>
        <v>2.61</v>
      </c>
      <c r="G106" s="67">
        <f t="shared" si="0"/>
        <v>12.37</v>
      </c>
      <c r="H106" s="67">
        <f t="shared" si="0"/>
        <v>7.15</v>
      </c>
      <c r="I106" s="67">
        <f t="shared" si="0"/>
        <v>1.39</v>
      </c>
      <c r="J106" s="67">
        <f t="shared" si="0"/>
        <v>7.0000000000000007E-2</v>
      </c>
      <c r="K106" s="67">
        <f t="shared" si="0"/>
        <v>1.43</v>
      </c>
      <c r="L106" s="67">
        <f t="shared" si="0"/>
        <v>17.190000000000001</v>
      </c>
      <c r="M106" s="67">
        <f t="shared" si="0"/>
        <v>33.520000000000003</v>
      </c>
      <c r="N106" s="67">
        <f t="shared" si="0"/>
        <v>24</v>
      </c>
      <c r="O106" s="67">
        <f t="shared" si="0"/>
        <v>0</v>
      </c>
      <c r="P106" s="67">
        <f t="shared" si="0"/>
        <v>0.38</v>
      </c>
      <c r="Q106" s="67">
        <f t="shared" si="0"/>
        <v>8.1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74</v>
      </c>
      <c r="C107" s="66">
        <f t="shared" ref="C107:Q107" si="1">MAX(C9:C104)</f>
        <v>56.09</v>
      </c>
      <c r="D107" s="66">
        <f t="shared" si="1"/>
        <v>89.87</v>
      </c>
      <c r="E107" s="66">
        <f t="shared" si="1"/>
        <v>5.91</v>
      </c>
      <c r="F107" s="66">
        <f t="shared" si="1"/>
        <v>11.09</v>
      </c>
      <c r="G107" s="66">
        <f t="shared" si="1"/>
        <v>171.42</v>
      </c>
      <c r="H107" s="66">
        <f t="shared" si="1"/>
        <v>46.07</v>
      </c>
      <c r="I107" s="66">
        <f t="shared" si="1"/>
        <v>1.61</v>
      </c>
      <c r="J107" s="66">
        <f t="shared" si="1"/>
        <v>1.46</v>
      </c>
      <c r="K107" s="66">
        <f t="shared" si="1"/>
        <v>359.54</v>
      </c>
      <c r="L107" s="66">
        <f t="shared" si="1"/>
        <v>33.380000000000003</v>
      </c>
      <c r="M107" s="66">
        <f t="shared" si="1"/>
        <v>93.81</v>
      </c>
      <c r="N107" s="66">
        <f t="shared" si="1"/>
        <v>766.5</v>
      </c>
      <c r="O107" s="66">
        <f t="shared" si="1"/>
        <v>0</v>
      </c>
      <c r="P107" s="66">
        <f t="shared" si="1"/>
        <v>1.94</v>
      </c>
      <c r="Q107" s="66">
        <f t="shared" si="1"/>
        <v>9.98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19.817604166666669</v>
      </c>
      <c r="C108" s="67">
        <f t="shared" ref="C108:Q108" si="2">AVERAGE(C9:C104)</f>
        <v>45.399374999999999</v>
      </c>
      <c r="D108" s="67">
        <f t="shared" si="2"/>
        <v>41.592291666666661</v>
      </c>
      <c r="E108" s="67">
        <f t="shared" si="2"/>
        <v>4.6355208333333326</v>
      </c>
      <c r="F108" s="67">
        <f t="shared" si="2"/>
        <v>3.7709375000000009</v>
      </c>
      <c r="G108" s="67">
        <f t="shared" si="2"/>
        <v>73.132903225806416</v>
      </c>
      <c r="H108" s="67">
        <f t="shared" si="2"/>
        <v>25.140000000000029</v>
      </c>
      <c r="I108" s="67">
        <f t="shared" si="2"/>
        <v>1.5032291666666671</v>
      </c>
      <c r="J108" s="67">
        <f t="shared" si="2"/>
        <v>0.49395833333333333</v>
      </c>
      <c r="K108" s="67">
        <f t="shared" si="2"/>
        <v>264.94447916666667</v>
      </c>
      <c r="L108" s="67">
        <f t="shared" si="2"/>
        <v>24.082083333333333</v>
      </c>
      <c r="M108" s="67">
        <f t="shared" si="2"/>
        <v>64.848333333333343</v>
      </c>
      <c r="N108" s="67">
        <f t="shared" si="2"/>
        <v>213.16666666666677</v>
      </c>
      <c r="O108" s="67">
        <f t="shared" si="2"/>
        <v>0</v>
      </c>
      <c r="P108" s="67">
        <f t="shared" si="2"/>
        <v>0.77885416666666663</v>
      </c>
      <c r="Q108" s="67">
        <f t="shared" si="2"/>
        <v>8.5915625000000038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21.559972646442542</v>
      </c>
      <c r="C109" s="67">
        <f t="shared" ref="C109:Q109" si="3">STDEV(C9:C104)</f>
        <v>5.5948252053971057</v>
      </c>
      <c r="D109" s="67">
        <f t="shared" si="3"/>
        <v>19.432869467621462</v>
      </c>
      <c r="E109" s="67">
        <f t="shared" si="3"/>
        <v>0.584393288249343</v>
      </c>
      <c r="F109" s="67">
        <f t="shared" si="3"/>
        <v>1.0397996549183997</v>
      </c>
      <c r="G109" s="67">
        <f t="shared" si="3"/>
        <v>46.437842925895112</v>
      </c>
      <c r="H109" s="67">
        <f t="shared" si="3"/>
        <v>11.765996511687481</v>
      </c>
      <c r="I109" s="67">
        <f t="shared" si="3"/>
        <v>4.4827031122953588E-2</v>
      </c>
      <c r="J109" s="67">
        <f t="shared" si="3"/>
        <v>0.32617231211888925</v>
      </c>
      <c r="K109" s="67">
        <f t="shared" si="3"/>
        <v>107.47830061404845</v>
      </c>
      <c r="L109" s="67">
        <f t="shared" si="3"/>
        <v>5.316588719661782</v>
      </c>
      <c r="M109" s="67">
        <f t="shared" si="3"/>
        <v>20.5857885402663</v>
      </c>
      <c r="N109" s="67">
        <f t="shared" si="3"/>
        <v>267.28161362588355</v>
      </c>
      <c r="O109" s="67">
        <f t="shared" si="3"/>
        <v>0</v>
      </c>
      <c r="P109" s="67">
        <f t="shared" si="3"/>
        <v>0.43747329492430698</v>
      </c>
      <c r="Q109" s="67">
        <f t="shared" si="3"/>
        <v>0.50673844208251118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3" t="s">
        <v>2935</v>
      </c>
      <c r="B9" s="64">
        <v>70.989999999999995</v>
      </c>
      <c r="C9" s="64">
        <v>51.39</v>
      </c>
      <c r="D9" s="64">
        <v>85.93</v>
      </c>
      <c r="E9" s="64">
        <v>5.08</v>
      </c>
      <c r="F9" s="64">
        <v>3.68</v>
      </c>
      <c r="G9" s="64">
        <v>112.63</v>
      </c>
      <c r="H9" s="64">
        <v>40.06</v>
      </c>
      <c r="I9" s="64">
        <v>1.53</v>
      </c>
      <c r="J9" s="64">
        <v>0.27</v>
      </c>
      <c r="K9" s="64">
        <v>315.83</v>
      </c>
      <c r="L9" s="64">
        <v>20.61</v>
      </c>
      <c r="M9" s="64">
        <v>78</v>
      </c>
      <c r="N9" s="64">
        <v>24.8</v>
      </c>
      <c r="O9" s="64">
        <v>0</v>
      </c>
      <c r="P9" s="64">
        <v>1.84</v>
      </c>
      <c r="Q9" s="64">
        <v>9.9499999999999993</v>
      </c>
      <c r="R9" s="198"/>
      <c r="S9" s="198"/>
      <c r="T9" s="198"/>
      <c r="U9" s="198"/>
    </row>
    <row r="10" spans="1:21" s="12" customFormat="1" x14ac:dyDescent="0.25">
      <c r="A10" s="213" t="s">
        <v>2936</v>
      </c>
      <c r="B10" s="64">
        <v>69.28</v>
      </c>
      <c r="C10" s="64">
        <v>51.71</v>
      </c>
      <c r="D10" s="64">
        <v>84.74</v>
      </c>
      <c r="E10" s="64">
        <v>4.9000000000000004</v>
      </c>
      <c r="F10" s="64">
        <v>3.41</v>
      </c>
      <c r="G10" s="64">
        <v>92.62</v>
      </c>
      <c r="H10" s="64">
        <v>31.84</v>
      </c>
      <c r="I10" s="64">
        <v>1.54</v>
      </c>
      <c r="J10" s="64">
        <v>0.1</v>
      </c>
      <c r="K10" s="64">
        <v>253.52</v>
      </c>
      <c r="L10" s="64">
        <v>20.420000000000002</v>
      </c>
      <c r="M10" s="64">
        <v>79.89</v>
      </c>
      <c r="N10" s="64">
        <v>25</v>
      </c>
      <c r="O10" s="64">
        <v>0</v>
      </c>
      <c r="P10" s="64">
        <v>1.8</v>
      </c>
      <c r="Q10" s="64">
        <v>9.93</v>
      </c>
      <c r="R10" s="198"/>
      <c r="S10" s="198"/>
      <c r="T10" s="198"/>
      <c r="U10" s="198"/>
    </row>
    <row r="11" spans="1:21" s="12" customFormat="1" x14ac:dyDescent="0.25">
      <c r="A11" s="213" t="s">
        <v>2937</v>
      </c>
      <c r="B11" s="64">
        <v>66.67</v>
      </c>
      <c r="C11" s="64">
        <v>53.36</v>
      </c>
      <c r="D11" s="64">
        <v>83.56</v>
      </c>
      <c r="E11" s="64">
        <v>5.01</v>
      </c>
      <c r="F11" s="64">
        <v>3.39</v>
      </c>
      <c r="G11" s="64">
        <v>88.62</v>
      </c>
      <c r="H11" s="64">
        <v>30.2</v>
      </c>
      <c r="I11" s="64">
        <v>1.48</v>
      </c>
      <c r="J11" s="64">
        <v>0.13</v>
      </c>
      <c r="K11" s="64">
        <v>229.77</v>
      </c>
      <c r="L11" s="64">
        <v>20.399999999999999</v>
      </c>
      <c r="M11" s="64">
        <v>80.03</v>
      </c>
      <c r="N11" s="64">
        <v>24.9</v>
      </c>
      <c r="O11" s="64">
        <v>0</v>
      </c>
      <c r="P11" s="64">
        <v>1.77</v>
      </c>
      <c r="Q11" s="64">
        <v>9.9499999999999993</v>
      </c>
      <c r="R11" s="198"/>
      <c r="S11" s="198"/>
      <c r="T11" s="198"/>
      <c r="U11" s="198"/>
    </row>
    <row r="12" spans="1:21" s="12" customFormat="1" x14ac:dyDescent="0.25">
      <c r="A12" s="213" t="s">
        <v>2938</v>
      </c>
      <c r="B12" s="64">
        <v>63.38</v>
      </c>
      <c r="C12" s="64">
        <v>52.39</v>
      </c>
      <c r="D12" s="64">
        <v>80.39</v>
      </c>
      <c r="E12" s="64">
        <v>5.08</v>
      </c>
      <c r="F12" s="64">
        <v>3.36</v>
      </c>
      <c r="G12" s="64">
        <v>88.62</v>
      </c>
      <c r="H12" s="64">
        <v>30.2</v>
      </c>
      <c r="I12" s="64">
        <v>1.52</v>
      </c>
      <c r="J12" s="64">
        <v>0.1</v>
      </c>
      <c r="K12" s="64">
        <v>223.12</v>
      </c>
      <c r="L12" s="64">
        <v>20.079999999999998</v>
      </c>
      <c r="M12" s="64">
        <v>83.17</v>
      </c>
      <c r="N12" s="64">
        <v>25</v>
      </c>
      <c r="O12" s="64">
        <v>0</v>
      </c>
      <c r="P12" s="64">
        <v>1.73</v>
      </c>
      <c r="Q12" s="64">
        <v>9.92</v>
      </c>
      <c r="R12" s="198"/>
      <c r="S12" s="198"/>
      <c r="T12" s="198"/>
      <c r="U12" s="198"/>
    </row>
    <row r="13" spans="1:21" s="12" customFormat="1" x14ac:dyDescent="0.25">
      <c r="A13" s="213" t="s">
        <v>2939</v>
      </c>
      <c r="B13" s="64">
        <v>60.16</v>
      </c>
      <c r="C13" s="64">
        <v>51.73</v>
      </c>
      <c r="D13" s="64">
        <v>77.430000000000007</v>
      </c>
      <c r="E13" s="64">
        <v>4.78</v>
      </c>
      <c r="F13" s="64">
        <v>3.18</v>
      </c>
      <c r="G13" s="64">
        <v>88.62</v>
      </c>
      <c r="H13" s="64">
        <v>30.2</v>
      </c>
      <c r="I13" s="64">
        <v>1.47</v>
      </c>
      <c r="J13" s="64">
        <v>0.11</v>
      </c>
      <c r="K13" s="64">
        <v>358.06</v>
      </c>
      <c r="L13" s="64">
        <v>19.52</v>
      </c>
      <c r="M13" s="64">
        <v>86.89</v>
      </c>
      <c r="N13" s="64">
        <v>25.1</v>
      </c>
      <c r="O13" s="64">
        <v>0</v>
      </c>
      <c r="P13" s="64">
        <v>1.49</v>
      </c>
      <c r="Q13" s="64">
        <v>9.85</v>
      </c>
      <c r="R13" s="198"/>
      <c r="S13" s="198"/>
      <c r="T13" s="198"/>
      <c r="U13" s="198"/>
    </row>
    <row r="14" spans="1:21" s="12" customFormat="1" x14ac:dyDescent="0.25">
      <c r="A14" s="213" t="s">
        <v>2940</v>
      </c>
      <c r="B14" s="64">
        <v>57.49</v>
      </c>
      <c r="C14" s="64">
        <v>50.85</v>
      </c>
      <c r="D14" s="64">
        <v>74.819999999999993</v>
      </c>
      <c r="E14" s="64">
        <v>4.8600000000000003</v>
      </c>
      <c r="F14" s="64">
        <v>2.76</v>
      </c>
      <c r="G14" s="64">
        <v>110.97</v>
      </c>
      <c r="H14" s="64">
        <v>38.880000000000003</v>
      </c>
      <c r="I14" s="64">
        <v>1.44</v>
      </c>
      <c r="J14" s="64">
        <v>0.16</v>
      </c>
      <c r="K14" s="64">
        <v>46.87</v>
      </c>
      <c r="L14" s="64">
        <v>19.47</v>
      </c>
      <c r="M14" s="64">
        <v>85.15</v>
      </c>
      <c r="N14" s="64">
        <v>24.8</v>
      </c>
      <c r="O14" s="64">
        <v>0</v>
      </c>
      <c r="P14" s="64">
        <v>1.56</v>
      </c>
      <c r="Q14" s="64">
        <v>9.7899999999999991</v>
      </c>
      <c r="R14" s="198"/>
      <c r="S14" s="198"/>
      <c r="T14" s="198"/>
      <c r="U14" s="198"/>
    </row>
    <row r="15" spans="1:21" s="12" customFormat="1" x14ac:dyDescent="0.25">
      <c r="A15" s="213" t="s">
        <v>2941</v>
      </c>
      <c r="B15" s="64">
        <v>54.86</v>
      </c>
      <c r="C15" s="64">
        <v>49.57</v>
      </c>
      <c r="D15" s="64">
        <v>72</v>
      </c>
      <c r="E15" s="64">
        <v>4.87</v>
      </c>
      <c r="F15" s="64">
        <v>3.24</v>
      </c>
      <c r="G15" s="64">
        <v>115.44</v>
      </c>
      <c r="H15" s="64">
        <v>40.61</v>
      </c>
      <c r="I15" s="64">
        <v>1.55</v>
      </c>
      <c r="J15" s="64">
        <v>0.28999999999999998</v>
      </c>
      <c r="K15" s="64">
        <v>355.87</v>
      </c>
      <c r="L15" s="64">
        <v>19.52</v>
      </c>
      <c r="M15" s="64">
        <v>82.93</v>
      </c>
      <c r="N15" s="64">
        <v>24.4</v>
      </c>
      <c r="O15" s="64">
        <v>0</v>
      </c>
      <c r="P15" s="64">
        <v>1.53</v>
      </c>
      <c r="Q15" s="64">
        <v>9.76</v>
      </c>
      <c r="R15" s="198"/>
      <c r="S15" s="198"/>
      <c r="T15" s="198"/>
      <c r="U15" s="198"/>
    </row>
    <row r="16" spans="1:21" s="12" customFormat="1" x14ac:dyDescent="0.25">
      <c r="A16" s="213" t="s">
        <v>2942</v>
      </c>
      <c r="B16" s="64">
        <v>52.13</v>
      </c>
      <c r="C16" s="64">
        <v>49.21</v>
      </c>
      <c r="D16" s="64">
        <v>69.61</v>
      </c>
      <c r="E16" s="64">
        <v>5.03</v>
      </c>
      <c r="F16" s="64">
        <v>3.06</v>
      </c>
      <c r="G16" s="64">
        <v>115.44</v>
      </c>
      <c r="H16" s="64">
        <v>40.61</v>
      </c>
      <c r="I16" s="64">
        <v>1.53</v>
      </c>
      <c r="J16" s="64">
        <v>0.28000000000000003</v>
      </c>
      <c r="K16" s="64">
        <v>49.78</v>
      </c>
      <c r="L16" s="64">
        <v>19.71</v>
      </c>
      <c r="M16" s="64">
        <v>78.22</v>
      </c>
      <c r="N16" s="64">
        <v>23.9</v>
      </c>
      <c r="O16" s="64">
        <v>0</v>
      </c>
      <c r="P16" s="64">
        <v>1.49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13" t="s">
        <v>2943</v>
      </c>
      <c r="B17" s="64">
        <v>49.51</v>
      </c>
      <c r="C17" s="64">
        <v>48.02</v>
      </c>
      <c r="D17" s="64">
        <v>66.849999999999994</v>
      </c>
      <c r="E17" s="64">
        <v>4.88</v>
      </c>
      <c r="F17" s="64">
        <v>3.02</v>
      </c>
      <c r="G17" s="64">
        <v>115.44</v>
      </c>
      <c r="H17" s="64">
        <v>40.61</v>
      </c>
      <c r="I17" s="64">
        <v>1.44</v>
      </c>
      <c r="J17" s="64">
        <v>0.25</v>
      </c>
      <c r="K17" s="64">
        <v>97.79</v>
      </c>
      <c r="L17" s="64">
        <v>19.86</v>
      </c>
      <c r="M17" s="64">
        <v>74.23</v>
      </c>
      <c r="N17" s="64">
        <v>24.4</v>
      </c>
      <c r="O17" s="64">
        <v>0</v>
      </c>
      <c r="P17" s="64">
        <v>1.44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3" t="s">
        <v>2944</v>
      </c>
      <c r="B18" s="64">
        <v>46.88</v>
      </c>
      <c r="C18" s="64">
        <v>47.4</v>
      </c>
      <c r="D18" s="64">
        <v>64.400000000000006</v>
      </c>
      <c r="E18" s="64">
        <v>4.8899999999999997</v>
      </c>
      <c r="F18" s="64">
        <v>3.21</v>
      </c>
      <c r="G18" s="64">
        <v>100.86</v>
      </c>
      <c r="H18" s="64">
        <v>42.55</v>
      </c>
      <c r="I18" s="64">
        <v>1.43</v>
      </c>
      <c r="J18" s="64">
        <v>0.28999999999999998</v>
      </c>
      <c r="K18" s="64">
        <v>36.22</v>
      </c>
      <c r="L18" s="64">
        <v>19.96</v>
      </c>
      <c r="M18" s="64">
        <v>77.790000000000006</v>
      </c>
      <c r="N18" s="64">
        <v>24.5</v>
      </c>
      <c r="O18" s="64">
        <v>0</v>
      </c>
      <c r="P18" s="64">
        <v>1.39</v>
      </c>
      <c r="Q18" s="64">
        <v>9.58</v>
      </c>
      <c r="R18" s="198"/>
      <c r="S18" s="198"/>
      <c r="T18" s="198"/>
      <c r="U18" s="198"/>
    </row>
    <row r="19" spans="1:21" s="12" customFormat="1" x14ac:dyDescent="0.25">
      <c r="A19" s="213" t="s">
        <v>2945</v>
      </c>
      <c r="B19" s="64">
        <v>44.62</v>
      </c>
      <c r="C19" s="64">
        <v>47.23</v>
      </c>
      <c r="D19" s="64">
        <v>62.49</v>
      </c>
      <c r="E19" s="64">
        <v>4.9800000000000004</v>
      </c>
      <c r="F19" s="64">
        <v>3.31</v>
      </c>
      <c r="G19" s="64">
        <v>97.94</v>
      </c>
      <c r="H19" s="64">
        <v>42.94</v>
      </c>
      <c r="I19" s="64">
        <v>1.5</v>
      </c>
      <c r="J19" s="64">
        <v>0.18</v>
      </c>
      <c r="K19" s="64">
        <v>4.53</v>
      </c>
      <c r="L19" s="64">
        <v>19.04</v>
      </c>
      <c r="M19" s="64">
        <v>84.05</v>
      </c>
      <c r="N19" s="64">
        <v>25.1</v>
      </c>
      <c r="O19" s="64">
        <v>0</v>
      </c>
      <c r="P19" s="64">
        <v>1.34</v>
      </c>
      <c r="Q19" s="64">
        <v>9.5399999999999991</v>
      </c>
      <c r="R19" s="198"/>
      <c r="S19" s="198"/>
      <c r="T19" s="198"/>
      <c r="U19" s="198"/>
    </row>
    <row r="20" spans="1:21" s="12" customFormat="1" x14ac:dyDescent="0.25">
      <c r="A20" s="213" t="s">
        <v>2946</v>
      </c>
      <c r="B20" s="64">
        <v>42.63</v>
      </c>
      <c r="C20" s="64">
        <v>46.56</v>
      </c>
      <c r="D20" s="64">
        <v>60.53</v>
      </c>
      <c r="E20" s="64">
        <v>4.68</v>
      </c>
      <c r="F20" s="64">
        <v>3.3</v>
      </c>
      <c r="G20" s="64">
        <v>97.94</v>
      </c>
      <c r="H20" s="64">
        <v>42.94</v>
      </c>
      <c r="I20" s="64">
        <v>1.51</v>
      </c>
      <c r="J20" s="64">
        <v>0.02</v>
      </c>
      <c r="K20" s="64">
        <v>63.59</v>
      </c>
      <c r="L20" s="64">
        <v>18.75</v>
      </c>
      <c r="M20" s="64">
        <v>85.36</v>
      </c>
      <c r="N20" s="64">
        <v>25</v>
      </c>
      <c r="O20" s="64">
        <v>0</v>
      </c>
      <c r="P20" s="64">
        <v>1.3</v>
      </c>
      <c r="Q20" s="64">
        <v>9.49</v>
      </c>
      <c r="R20" s="198"/>
      <c r="S20" s="198"/>
      <c r="T20" s="198"/>
      <c r="U20" s="198"/>
    </row>
    <row r="21" spans="1:21" s="12" customFormat="1" x14ac:dyDescent="0.25">
      <c r="A21" s="213" t="s">
        <v>2947</v>
      </c>
      <c r="B21" s="64">
        <v>40.93</v>
      </c>
      <c r="C21" s="64">
        <v>44.54</v>
      </c>
      <c r="D21" s="64">
        <v>58.05</v>
      </c>
      <c r="E21" s="64">
        <v>4.42</v>
      </c>
      <c r="F21" s="64">
        <v>3.27</v>
      </c>
      <c r="G21" s="64">
        <v>97.94</v>
      </c>
      <c r="H21" s="64">
        <v>42.94</v>
      </c>
      <c r="I21" s="64">
        <v>1.54</v>
      </c>
      <c r="J21" s="64">
        <v>0.39</v>
      </c>
      <c r="K21" s="64">
        <v>79.58</v>
      </c>
      <c r="L21" s="64">
        <v>19.03</v>
      </c>
      <c r="M21" s="64">
        <v>81.78</v>
      </c>
      <c r="N21" s="64">
        <v>24.1</v>
      </c>
      <c r="O21" s="64">
        <v>0</v>
      </c>
      <c r="P21" s="64">
        <v>1.27</v>
      </c>
      <c r="Q21" s="64">
        <v>9.39</v>
      </c>
      <c r="R21" s="198"/>
      <c r="S21" s="198"/>
      <c r="T21" s="198"/>
      <c r="U21" s="198"/>
    </row>
    <row r="22" spans="1:21" s="12" customFormat="1" x14ac:dyDescent="0.25">
      <c r="A22" s="213" t="s">
        <v>2948</v>
      </c>
      <c r="B22" s="64">
        <v>40</v>
      </c>
      <c r="C22" s="64">
        <v>44.85</v>
      </c>
      <c r="D22" s="64">
        <v>57.48</v>
      </c>
      <c r="E22" s="64">
        <v>4.29</v>
      </c>
      <c r="F22" s="64">
        <v>3.39</v>
      </c>
      <c r="G22" s="64">
        <v>87.39</v>
      </c>
      <c r="H22" s="64">
        <v>37.24</v>
      </c>
      <c r="I22" s="64">
        <v>1.48</v>
      </c>
      <c r="J22" s="64">
        <v>0.18</v>
      </c>
      <c r="K22" s="64">
        <v>66.09</v>
      </c>
      <c r="L22" s="64">
        <v>18.95</v>
      </c>
      <c r="M22" s="64">
        <v>80.92</v>
      </c>
      <c r="N22" s="64">
        <v>24.8</v>
      </c>
      <c r="O22" s="64">
        <v>0</v>
      </c>
      <c r="P22" s="64">
        <v>1.25</v>
      </c>
      <c r="Q22" s="64">
        <v>9.3800000000000008</v>
      </c>
      <c r="R22" s="198"/>
      <c r="S22" s="198"/>
      <c r="T22" s="198"/>
      <c r="U22" s="198"/>
    </row>
    <row r="23" spans="1:21" s="12" customFormat="1" x14ac:dyDescent="0.25">
      <c r="A23" s="213" t="s">
        <v>2949</v>
      </c>
      <c r="B23" s="64">
        <v>39.200000000000003</v>
      </c>
      <c r="C23" s="64">
        <v>44.57</v>
      </c>
      <c r="D23" s="64">
        <v>56.68</v>
      </c>
      <c r="E23" s="64">
        <v>4.3099999999999996</v>
      </c>
      <c r="F23" s="64">
        <v>3.3</v>
      </c>
      <c r="G23" s="64">
        <v>85.28</v>
      </c>
      <c r="H23" s="64">
        <v>36.1</v>
      </c>
      <c r="I23" s="64">
        <v>1.54</v>
      </c>
      <c r="J23" s="64">
        <v>0.19</v>
      </c>
      <c r="K23" s="64">
        <v>226.2</v>
      </c>
      <c r="L23" s="64">
        <v>18.690000000000001</v>
      </c>
      <c r="M23" s="64">
        <v>83.1</v>
      </c>
      <c r="N23" s="64">
        <v>24.8</v>
      </c>
      <c r="O23" s="64">
        <v>0</v>
      </c>
      <c r="P23" s="64">
        <v>1.22</v>
      </c>
      <c r="Q23" s="64">
        <v>9.42</v>
      </c>
      <c r="R23" s="198"/>
      <c r="S23" s="198"/>
      <c r="T23" s="198"/>
      <c r="U23" s="198"/>
    </row>
    <row r="24" spans="1:21" s="12" customFormat="1" x14ac:dyDescent="0.25">
      <c r="A24" s="213" t="s">
        <v>2950</v>
      </c>
      <c r="B24" s="64">
        <v>38.36</v>
      </c>
      <c r="C24" s="64">
        <v>44.63</v>
      </c>
      <c r="D24" s="64">
        <v>56.03</v>
      </c>
      <c r="E24" s="64">
        <v>5.63</v>
      </c>
      <c r="F24" s="64">
        <v>3.41</v>
      </c>
      <c r="G24" s="64">
        <v>85.28</v>
      </c>
      <c r="H24" s="64">
        <v>36.1</v>
      </c>
      <c r="I24" s="64">
        <v>1.57</v>
      </c>
      <c r="J24" s="64">
        <v>0.16</v>
      </c>
      <c r="K24" s="64">
        <v>227.11</v>
      </c>
      <c r="L24" s="64">
        <v>18.68</v>
      </c>
      <c r="M24" s="64">
        <v>83.41</v>
      </c>
      <c r="N24" s="64">
        <v>24.4</v>
      </c>
      <c r="O24" s="64">
        <v>0</v>
      </c>
      <c r="P24" s="64">
        <v>1.2</v>
      </c>
      <c r="Q24" s="64">
        <v>9.43</v>
      </c>
      <c r="R24" s="198"/>
      <c r="S24" s="198"/>
      <c r="T24" s="198"/>
      <c r="U24" s="198"/>
    </row>
    <row r="25" spans="1:21" s="12" customFormat="1" x14ac:dyDescent="0.25">
      <c r="A25" s="213" t="s">
        <v>2951</v>
      </c>
      <c r="B25" s="64">
        <v>38</v>
      </c>
      <c r="C25" s="64">
        <v>44.5</v>
      </c>
      <c r="D25" s="64">
        <v>55.68</v>
      </c>
      <c r="E25" s="64">
        <v>5.73</v>
      </c>
      <c r="F25" s="64">
        <v>3.67</v>
      </c>
      <c r="G25" s="64">
        <v>85.28</v>
      </c>
      <c r="H25" s="64">
        <v>36.1</v>
      </c>
      <c r="I25" s="64">
        <v>1.55</v>
      </c>
      <c r="J25" s="64">
        <v>0.15</v>
      </c>
      <c r="K25" s="64">
        <v>2.39</v>
      </c>
      <c r="L25" s="64">
        <v>18.13</v>
      </c>
      <c r="M25" s="64">
        <v>87.77</v>
      </c>
      <c r="N25" s="64">
        <v>25.2</v>
      </c>
      <c r="O25" s="64">
        <v>0</v>
      </c>
      <c r="P25" s="64">
        <v>1.18</v>
      </c>
      <c r="Q25" s="64">
        <v>9.39</v>
      </c>
      <c r="R25" s="198"/>
      <c r="S25" s="198"/>
      <c r="T25" s="198"/>
      <c r="U25" s="198"/>
    </row>
    <row r="26" spans="1:21" s="12" customFormat="1" x14ac:dyDescent="0.25">
      <c r="A26" s="213" t="s">
        <v>2952</v>
      </c>
      <c r="B26" s="64">
        <v>38.590000000000003</v>
      </c>
      <c r="C26" s="64">
        <v>45.06</v>
      </c>
      <c r="D26" s="64">
        <v>56.46</v>
      </c>
      <c r="E26" s="64">
        <v>5.94</v>
      </c>
      <c r="F26" s="64">
        <v>3.52</v>
      </c>
      <c r="G26" s="64">
        <v>97.37</v>
      </c>
      <c r="H26" s="64">
        <v>36.49</v>
      </c>
      <c r="I26" s="64">
        <v>1.48</v>
      </c>
      <c r="J26" s="64">
        <v>0.13</v>
      </c>
      <c r="K26" s="64">
        <v>4.3099999999999996</v>
      </c>
      <c r="L26" s="64">
        <v>17.88</v>
      </c>
      <c r="M26" s="64">
        <v>90.94</v>
      </c>
      <c r="N26" s="64">
        <v>24.9</v>
      </c>
      <c r="O26" s="64">
        <v>0</v>
      </c>
      <c r="P26" s="64">
        <v>1.18</v>
      </c>
      <c r="Q26" s="64">
        <v>9.35</v>
      </c>
      <c r="R26" s="198"/>
      <c r="S26" s="198"/>
      <c r="T26" s="198"/>
      <c r="U26" s="198"/>
    </row>
    <row r="27" spans="1:21" s="12" customFormat="1" x14ac:dyDescent="0.25">
      <c r="A27" s="213" t="s">
        <v>2953</v>
      </c>
      <c r="B27" s="64">
        <v>39.08</v>
      </c>
      <c r="C27" s="64">
        <v>45.13</v>
      </c>
      <c r="D27" s="64">
        <v>56.89</v>
      </c>
      <c r="E27" s="64">
        <v>5.93</v>
      </c>
      <c r="F27" s="64">
        <v>3.53</v>
      </c>
      <c r="G27" s="64">
        <v>99.79</v>
      </c>
      <c r="H27" s="64">
        <v>36.56</v>
      </c>
      <c r="I27" s="64">
        <v>1.42</v>
      </c>
      <c r="J27" s="64">
        <v>0.11</v>
      </c>
      <c r="K27" s="64">
        <v>145.97999999999999</v>
      </c>
      <c r="L27" s="64">
        <v>17.989999999999998</v>
      </c>
      <c r="M27" s="64">
        <v>92.17</v>
      </c>
      <c r="N27" s="64">
        <v>24.7</v>
      </c>
      <c r="O27" s="64">
        <v>0</v>
      </c>
      <c r="P27" s="64">
        <v>1.1599999999999999</v>
      </c>
      <c r="Q27" s="64">
        <v>9.3699999999999992</v>
      </c>
      <c r="R27" s="198"/>
      <c r="S27" s="198"/>
      <c r="T27" s="198"/>
      <c r="U27" s="198"/>
    </row>
    <row r="28" spans="1:21" s="12" customFormat="1" x14ac:dyDescent="0.25">
      <c r="A28" s="213" t="s">
        <v>2954</v>
      </c>
      <c r="B28" s="64">
        <v>38.94</v>
      </c>
      <c r="C28" s="64">
        <v>44.69</v>
      </c>
      <c r="D28" s="64">
        <v>56.54</v>
      </c>
      <c r="E28" s="64">
        <v>5.91</v>
      </c>
      <c r="F28" s="64">
        <v>3.63</v>
      </c>
      <c r="G28" s="64">
        <v>99.79</v>
      </c>
      <c r="H28" s="64">
        <v>36.56</v>
      </c>
      <c r="I28" s="64">
        <v>1.56</v>
      </c>
      <c r="J28" s="64">
        <v>0.14000000000000001</v>
      </c>
      <c r="K28" s="64">
        <v>349.97</v>
      </c>
      <c r="L28" s="64">
        <v>18</v>
      </c>
      <c r="M28" s="64">
        <v>92.82</v>
      </c>
      <c r="N28" s="64">
        <v>24.9</v>
      </c>
      <c r="O28" s="64">
        <v>0</v>
      </c>
      <c r="P28" s="64">
        <v>1.1299999999999999</v>
      </c>
      <c r="Q28" s="64">
        <v>9.3800000000000008</v>
      </c>
      <c r="R28" s="198"/>
      <c r="S28" s="198"/>
      <c r="T28" s="198"/>
      <c r="U28" s="198"/>
    </row>
    <row r="29" spans="1:21" s="12" customFormat="1" x14ac:dyDescent="0.25">
      <c r="A29" s="213" t="s">
        <v>2955</v>
      </c>
      <c r="B29" s="64">
        <v>38.58</v>
      </c>
      <c r="C29" s="64">
        <v>45.64</v>
      </c>
      <c r="D29" s="64">
        <v>56.77</v>
      </c>
      <c r="E29" s="64">
        <v>5.94</v>
      </c>
      <c r="F29" s="64">
        <v>3.69</v>
      </c>
      <c r="G29" s="64">
        <v>99.79</v>
      </c>
      <c r="H29" s="64">
        <v>36.56</v>
      </c>
      <c r="I29" s="64">
        <v>1.47</v>
      </c>
      <c r="J29" s="64">
        <v>7.0000000000000007E-2</v>
      </c>
      <c r="K29" s="64">
        <v>320.04000000000002</v>
      </c>
      <c r="L29" s="64">
        <v>17.670000000000002</v>
      </c>
      <c r="M29" s="64">
        <v>95.21</v>
      </c>
      <c r="N29" s="64">
        <v>25</v>
      </c>
      <c r="O29" s="64">
        <v>0</v>
      </c>
      <c r="P29" s="64">
        <v>1.1100000000000001</v>
      </c>
      <c r="Q29" s="64">
        <v>9.36</v>
      </c>
      <c r="R29" s="198"/>
      <c r="S29" s="198"/>
      <c r="T29" s="198"/>
      <c r="U29" s="198"/>
    </row>
    <row r="30" spans="1:21" s="12" customFormat="1" x14ac:dyDescent="0.25">
      <c r="A30" s="213" t="s">
        <v>2956</v>
      </c>
      <c r="B30" s="64">
        <v>37.979999999999997</v>
      </c>
      <c r="C30" s="64">
        <v>45.25</v>
      </c>
      <c r="D30" s="64">
        <v>56.08</v>
      </c>
      <c r="E30" s="64">
        <v>5.86</v>
      </c>
      <c r="F30" s="64">
        <v>3.48</v>
      </c>
      <c r="G30" s="64">
        <v>77.98</v>
      </c>
      <c r="H30" s="64">
        <v>29.45</v>
      </c>
      <c r="I30" s="64">
        <v>1.5</v>
      </c>
      <c r="J30" s="64">
        <v>0.19</v>
      </c>
      <c r="K30" s="64">
        <v>67.08</v>
      </c>
      <c r="L30" s="64">
        <v>17.760000000000002</v>
      </c>
      <c r="M30" s="64">
        <v>91.81</v>
      </c>
      <c r="N30" s="64">
        <v>24.6</v>
      </c>
      <c r="O30" s="64">
        <v>0</v>
      </c>
      <c r="P30" s="64">
        <v>1.08</v>
      </c>
      <c r="Q30" s="64">
        <v>9.2799999999999994</v>
      </c>
      <c r="R30" s="198"/>
      <c r="S30" s="198"/>
      <c r="T30" s="198"/>
      <c r="U30" s="198"/>
    </row>
    <row r="31" spans="1:21" s="12" customFormat="1" x14ac:dyDescent="0.25">
      <c r="A31" s="213" t="s">
        <v>2957</v>
      </c>
      <c r="B31" s="64">
        <v>37.090000000000003</v>
      </c>
      <c r="C31" s="64">
        <v>45.52</v>
      </c>
      <c r="D31" s="64">
        <v>55.51</v>
      </c>
      <c r="E31" s="64">
        <v>6.07</v>
      </c>
      <c r="F31" s="64">
        <v>3.58</v>
      </c>
      <c r="G31" s="64">
        <v>73.62</v>
      </c>
      <c r="H31" s="64">
        <v>28.02</v>
      </c>
      <c r="I31" s="64">
        <v>1.61</v>
      </c>
      <c r="J31" s="64">
        <v>0.21</v>
      </c>
      <c r="K31" s="64">
        <v>61.57</v>
      </c>
      <c r="L31" s="64">
        <v>17.920000000000002</v>
      </c>
      <c r="M31" s="64">
        <v>88.9</v>
      </c>
      <c r="N31" s="64">
        <v>24.6</v>
      </c>
      <c r="O31" s="64">
        <v>0</v>
      </c>
      <c r="P31" s="64">
        <v>1.04</v>
      </c>
      <c r="Q31" s="64">
        <v>9.25</v>
      </c>
      <c r="R31" s="198"/>
      <c r="S31" s="198"/>
      <c r="T31" s="198"/>
      <c r="U31" s="198"/>
    </row>
    <row r="32" spans="1:21" s="12" customFormat="1" x14ac:dyDescent="0.25">
      <c r="A32" s="213" t="s">
        <v>2958</v>
      </c>
      <c r="B32" s="64">
        <v>35.729999999999997</v>
      </c>
      <c r="C32" s="64">
        <v>45.6</v>
      </c>
      <c r="D32" s="64">
        <v>54.47</v>
      </c>
      <c r="E32" s="64">
        <v>6.15</v>
      </c>
      <c r="F32" s="64">
        <v>3.64</v>
      </c>
      <c r="G32" s="64">
        <v>73.62</v>
      </c>
      <c r="H32" s="64">
        <v>28.02</v>
      </c>
      <c r="I32" s="64">
        <v>1.53</v>
      </c>
      <c r="J32" s="64">
        <v>0.2</v>
      </c>
      <c r="K32" s="64">
        <v>58.93</v>
      </c>
      <c r="L32" s="64">
        <v>17.920000000000002</v>
      </c>
      <c r="M32" s="64">
        <v>86.99</v>
      </c>
      <c r="N32" s="64">
        <v>24.8</v>
      </c>
      <c r="O32" s="64">
        <v>0</v>
      </c>
      <c r="P32" s="64">
        <v>1.01</v>
      </c>
      <c r="Q32" s="64">
        <v>9.25</v>
      </c>
      <c r="R32" s="198"/>
      <c r="S32" s="198"/>
      <c r="T32" s="198"/>
      <c r="U32" s="198"/>
    </row>
    <row r="33" spans="1:21" s="12" customFormat="1" x14ac:dyDescent="0.25">
      <c r="A33" s="213" t="s">
        <v>2959</v>
      </c>
      <c r="B33" s="64">
        <v>34.54</v>
      </c>
      <c r="C33" s="64">
        <v>44.94</v>
      </c>
      <c r="D33" s="64">
        <v>53.14</v>
      </c>
      <c r="E33" s="64">
        <v>6.07</v>
      </c>
      <c r="F33" s="64">
        <v>3.38</v>
      </c>
      <c r="G33" s="64">
        <v>73.62</v>
      </c>
      <c r="H33" s="64">
        <v>28.02</v>
      </c>
      <c r="I33" s="64">
        <v>1.44</v>
      </c>
      <c r="J33" s="64">
        <v>0.26</v>
      </c>
      <c r="K33" s="64">
        <v>71.540000000000006</v>
      </c>
      <c r="L33" s="64">
        <v>18</v>
      </c>
      <c r="M33" s="64">
        <v>84.38</v>
      </c>
      <c r="N33" s="64">
        <v>26.1</v>
      </c>
      <c r="O33" s="64">
        <v>0</v>
      </c>
      <c r="P33" s="64">
        <v>0.98</v>
      </c>
      <c r="Q33" s="64">
        <v>9.25</v>
      </c>
      <c r="R33" s="198"/>
      <c r="S33" s="198"/>
      <c r="T33" s="198"/>
      <c r="U33" s="198"/>
    </row>
    <row r="34" spans="1:21" s="12" customFormat="1" x14ac:dyDescent="0.25">
      <c r="A34" s="213" t="s">
        <v>2960</v>
      </c>
      <c r="B34" s="64">
        <v>33.25</v>
      </c>
      <c r="C34" s="64">
        <v>45.8</v>
      </c>
      <c r="D34" s="64">
        <v>52.58</v>
      </c>
      <c r="E34" s="64">
        <v>5.9</v>
      </c>
      <c r="F34" s="64">
        <v>3.35</v>
      </c>
      <c r="G34" s="64">
        <v>66.69</v>
      </c>
      <c r="H34" s="64">
        <v>26.11</v>
      </c>
      <c r="I34" s="64">
        <v>1.47</v>
      </c>
      <c r="J34" s="64">
        <v>0.18</v>
      </c>
      <c r="K34" s="64">
        <v>46.08</v>
      </c>
      <c r="L34" s="64">
        <v>17.850000000000001</v>
      </c>
      <c r="M34" s="64">
        <v>83.95</v>
      </c>
      <c r="N34" s="64">
        <v>34.200000000000003</v>
      </c>
      <c r="O34" s="64">
        <v>0</v>
      </c>
      <c r="P34" s="64">
        <v>0.95</v>
      </c>
      <c r="Q34" s="64">
        <v>9.24</v>
      </c>
      <c r="R34" s="198"/>
      <c r="S34" s="198"/>
      <c r="T34" s="198"/>
      <c r="U34" s="198"/>
    </row>
    <row r="35" spans="1:21" s="12" customFormat="1" x14ac:dyDescent="0.25">
      <c r="A35" s="213" t="s">
        <v>2961</v>
      </c>
      <c r="B35" s="64">
        <v>32.880000000000003</v>
      </c>
      <c r="C35" s="64">
        <v>46.3</v>
      </c>
      <c r="D35" s="64">
        <v>52.57</v>
      </c>
      <c r="E35" s="64">
        <v>5.82</v>
      </c>
      <c r="F35" s="64">
        <v>3.38</v>
      </c>
      <c r="G35" s="64">
        <v>65.31</v>
      </c>
      <c r="H35" s="64">
        <v>25.73</v>
      </c>
      <c r="I35" s="64">
        <v>1.47</v>
      </c>
      <c r="J35" s="64">
        <v>0.22</v>
      </c>
      <c r="K35" s="64">
        <v>1.19</v>
      </c>
      <c r="L35" s="64">
        <v>18.010000000000002</v>
      </c>
      <c r="M35" s="64">
        <v>82.92</v>
      </c>
      <c r="N35" s="64">
        <v>50.2</v>
      </c>
      <c r="O35" s="64">
        <v>0</v>
      </c>
      <c r="P35" s="64">
        <v>0.93</v>
      </c>
      <c r="Q35" s="64">
        <v>9.1999999999999993</v>
      </c>
      <c r="R35" s="198"/>
      <c r="S35" s="198"/>
      <c r="T35" s="198"/>
      <c r="U35" s="198"/>
    </row>
    <row r="36" spans="1:21" s="12" customFormat="1" x14ac:dyDescent="0.25">
      <c r="A36" s="213" t="s">
        <v>2962</v>
      </c>
      <c r="B36" s="64">
        <v>32.86</v>
      </c>
      <c r="C36" s="64">
        <v>47.07</v>
      </c>
      <c r="D36" s="64">
        <v>52.97</v>
      </c>
      <c r="E36" s="64">
        <v>5.67</v>
      </c>
      <c r="F36" s="64">
        <v>3.39</v>
      </c>
      <c r="G36" s="64">
        <v>65.31</v>
      </c>
      <c r="H36" s="64">
        <v>25.73</v>
      </c>
      <c r="I36" s="64">
        <v>1.53</v>
      </c>
      <c r="J36" s="64">
        <v>0.65</v>
      </c>
      <c r="K36" s="64">
        <v>351.65</v>
      </c>
      <c r="L36" s="64">
        <v>18.62</v>
      </c>
      <c r="M36" s="64">
        <v>78.599999999999994</v>
      </c>
      <c r="N36" s="64">
        <v>85.8</v>
      </c>
      <c r="O36" s="64">
        <v>0</v>
      </c>
      <c r="P36" s="64">
        <v>0.9</v>
      </c>
      <c r="Q36" s="64">
        <v>9.18</v>
      </c>
      <c r="R36" s="198"/>
      <c r="S36" s="198"/>
      <c r="T36" s="198"/>
      <c r="U36" s="198"/>
    </row>
    <row r="37" spans="1:21" s="12" customFormat="1" x14ac:dyDescent="0.25">
      <c r="A37" s="213" t="s">
        <v>2963</v>
      </c>
      <c r="B37" s="64">
        <v>33.15</v>
      </c>
      <c r="C37" s="64">
        <v>47.85</v>
      </c>
      <c r="D37" s="64">
        <v>53.64</v>
      </c>
      <c r="E37" s="64">
        <v>5.42</v>
      </c>
      <c r="F37" s="64">
        <v>3.42</v>
      </c>
      <c r="G37" s="64">
        <v>65.31</v>
      </c>
      <c r="H37" s="64">
        <v>25.73</v>
      </c>
      <c r="I37" s="64">
        <v>1.49</v>
      </c>
      <c r="J37" s="64">
        <v>0.37</v>
      </c>
      <c r="K37" s="64">
        <v>349.14</v>
      </c>
      <c r="L37" s="64">
        <v>20.100000000000001</v>
      </c>
      <c r="M37" s="64">
        <v>70.260000000000005</v>
      </c>
      <c r="N37" s="64">
        <v>142.69999999999999</v>
      </c>
      <c r="O37" s="64">
        <v>0</v>
      </c>
      <c r="P37" s="64">
        <v>0.91</v>
      </c>
      <c r="Q37" s="64">
        <v>9.1999999999999993</v>
      </c>
      <c r="R37" s="198"/>
      <c r="S37" s="198"/>
      <c r="T37" s="198"/>
      <c r="U37" s="198"/>
    </row>
    <row r="38" spans="1:21" s="12" customFormat="1" x14ac:dyDescent="0.25">
      <c r="A38" s="213" t="s">
        <v>2964</v>
      </c>
      <c r="B38" s="64">
        <v>32.74</v>
      </c>
      <c r="C38" s="64">
        <v>48.92</v>
      </c>
      <c r="D38" s="64">
        <v>53.9</v>
      </c>
      <c r="E38" s="64">
        <v>5.9</v>
      </c>
      <c r="F38" s="64">
        <v>3.18</v>
      </c>
      <c r="G38" s="64">
        <v>64.03</v>
      </c>
      <c r="H38" s="64">
        <v>25.25</v>
      </c>
      <c r="I38" s="64">
        <v>1.44</v>
      </c>
      <c r="J38" s="64">
        <v>0.77</v>
      </c>
      <c r="K38" s="64">
        <v>1.1200000000000001</v>
      </c>
      <c r="L38" s="64">
        <v>21.35</v>
      </c>
      <c r="M38" s="64">
        <v>62.09</v>
      </c>
      <c r="N38" s="64">
        <v>196.5</v>
      </c>
      <c r="O38" s="64">
        <v>0</v>
      </c>
      <c r="P38" s="64">
        <v>0.94</v>
      </c>
      <c r="Q38" s="64">
        <v>9.2200000000000006</v>
      </c>
      <c r="R38" s="198"/>
      <c r="S38" s="198"/>
      <c r="T38" s="198"/>
      <c r="U38" s="198"/>
    </row>
    <row r="39" spans="1:21" s="12" customFormat="1" x14ac:dyDescent="0.25">
      <c r="A39" s="213" t="s">
        <v>2965</v>
      </c>
      <c r="B39" s="64">
        <v>31.27</v>
      </c>
      <c r="C39" s="64">
        <v>50.43</v>
      </c>
      <c r="D39" s="64">
        <v>53.55</v>
      </c>
      <c r="E39" s="64">
        <v>5.79</v>
      </c>
      <c r="F39" s="64">
        <v>3.22</v>
      </c>
      <c r="G39" s="64">
        <v>63.77</v>
      </c>
      <c r="H39" s="64">
        <v>25.16</v>
      </c>
      <c r="I39" s="64">
        <v>1.44</v>
      </c>
      <c r="J39" s="64">
        <v>1</v>
      </c>
      <c r="K39" s="64">
        <v>352.77</v>
      </c>
      <c r="L39" s="64">
        <v>22.05</v>
      </c>
      <c r="M39" s="64">
        <v>57.17</v>
      </c>
      <c r="N39" s="64">
        <v>256</v>
      </c>
      <c r="O39" s="64">
        <v>0</v>
      </c>
      <c r="P39" s="64">
        <v>0.91</v>
      </c>
      <c r="Q39" s="64">
        <v>9.27</v>
      </c>
      <c r="R39" s="198"/>
      <c r="S39" s="198"/>
      <c r="T39" s="198"/>
      <c r="U39" s="198"/>
    </row>
    <row r="40" spans="1:21" s="12" customFormat="1" x14ac:dyDescent="0.25">
      <c r="A40" s="213" t="s">
        <v>2966</v>
      </c>
      <c r="B40" s="64">
        <v>29.48</v>
      </c>
      <c r="C40" s="64">
        <v>49.68</v>
      </c>
      <c r="D40" s="64">
        <v>51.7</v>
      </c>
      <c r="E40" s="64">
        <v>5.52</v>
      </c>
      <c r="F40" s="64">
        <v>3.49</v>
      </c>
      <c r="G40" s="64">
        <v>63.77</v>
      </c>
      <c r="H40" s="64">
        <v>25.16</v>
      </c>
      <c r="I40" s="64">
        <v>1.42</v>
      </c>
      <c r="J40" s="64">
        <v>1.38</v>
      </c>
      <c r="K40" s="64">
        <v>352.74</v>
      </c>
      <c r="L40" s="64">
        <v>23.49</v>
      </c>
      <c r="M40" s="64">
        <v>53.1</v>
      </c>
      <c r="N40" s="64">
        <v>313.89999999999998</v>
      </c>
      <c r="O40" s="64">
        <v>0</v>
      </c>
      <c r="P40" s="64">
        <v>0.87</v>
      </c>
      <c r="Q40" s="64">
        <v>9.16</v>
      </c>
      <c r="R40" s="198"/>
      <c r="S40" s="198"/>
      <c r="T40" s="198"/>
      <c r="U40" s="198"/>
    </row>
    <row r="41" spans="1:21" s="12" customFormat="1" x14ac:dyDescent="0.25">
      <c r="A41" s="213" t="s">
        <v>2967</v>
      </c>
      <c r="B41" s="64">
        <v>27.44</v>
      </c>
      <c r="C41" s="64">
        <v>51.47</v>
      </c>
      <c r="D41" s="64">
        <v>51.06</v>
      </c>
      <c r="E41" s="64">
        <v>4.55</v>
      </c>
      <c r="F41" s="64">
        <v>3.46</v>
      </c>
      <c r="G41" s="64">
        <v>63.77</v>
      </c>
      <c r="H41" s="64">
        <v>25.16</v>
      </c>
      <c r="I41" s="64">
        <v>1.45</v>
      </c>
      <c r="J41" s="64">
        <v>1.56</v>
      </c>
      <c r="K41" s="64">
        <v>353.35</v>
      </c>
      <c r="L41" s="64">
        <v>24.34</v>
      </c>
      <c r="M41" s="64">
        <v>51.72</v>
      </c>
      <c r="N41" s="64">
        <v>364.9</v>
      </c>
      <c r="O41" s="64">
        <v>0</v>
      </c>
      <c r="P41" s="64">
        <v>0.83</v>
      </c>
      <c r="Q41" s="64">
        <v>9.14</v>
      </c>
      <c r="R41" s="198"/>
      <c r="S41" s="198"/>
      <c r="T41" s="198"/>
      <c r="U41" s="198"/>
    </row>
    <row r="42" spans="1:21" s="12" customFormat="1" x14ac:dyDescent="0.25">
      <c r="A42" s="213" t="s">
        <v>2968</v>
      </c>
      <c r="B42" s="64">
        <v>25.43</v>
      </c>
      <c r="C42" s="64">
        <v>52.44</v>
      </c>
      <c r="D42" s="64">
        <v>49.98</v>
      </c>
      <c r="E42" s="64">
        <v>4.7300000000000004</v>
      </c>
      <c r="F42" s="64">
        <v>3.72</v>
      </c>
      <c r="G42" s="64">
        <v>65</v>
      </c>
      <c r="H42" s="64">
        <v>11.74</v>
      </c>
      <c r="I42" s="64">
        <v>1.45</v>
      </c>
      <c r="J42" s="64">
        <v>1.47</v>
      </c>
      <c r="K42" s="64">
        <v>353.16</v>
      </c>
      <c r="L42" s="64">
        <v>24.89</v>
      </c>
      <c r="M42" s="64">
        <v>50.7</v>
      </c>
      <c r="N42" s="64">
        <v>420.2</v>
      </c>
      <c r="O42" s="64">
        <v>0</v>
      </c>
      <c r="P42" s="64">
        <v>0.8</v>
      </c>
      <c r="Q42" s="64">
        <v>9.15</v>
      </c>
      <c r="R42" s="198"/>
      <c r="S42" s="198"/>
      <c r="T42" s="198"/>
      <c r="U42" s="198"/>
    </row>
    <row r="43" spans="1:21" s="12" customFormat="1" x14ac:dyDescent="0.25">
      <c r="A43" s="213" t="s">
        <v>2969</v>
      </c>
      <c r="B43" s="64">
        <v>24.3</v>
      </c>
      <c r="C43" s="64">
        <v>54.13</v>
      </c>
      <c r="D43" s="64">
        <v>50</v>
      </c>
      <c r="E43" s="64">
        <v>4.91</v>
      </c>
      <c r="F43" s="64">
        <v>3.48</v>
      </c>
      <c r="G43" s="64">
        <v>65.25</v>
      </c>
      <c r="H43" s="64">
        <v>9.06</v>
      </c>
      <c r="I43" s="64">
        <v>1.49</v>
      </c>
      <c r="J43" s="64">
        <v>0.83</v>
      </c>
      <c r="K43" s="64">
        <v>7.72</v>
      </c>
      <c r="L43" s="64">
        <v>25.73</v>
      </c>
      <c r="M43" s="64">
        <v>49.17</v>
      </c>
      <c r="N43" s="64">
        <v>481.9</v>
      </c>
      <c r="O43" s="64">
        <v>0</v>
      </c>
      <c r="P43" s="64">
        <v>0.78</v>
      </c>
      <c r="Q43" s="64">
        <v>9.1300000000000008</v>
      </c>
      <c r="R43" s="198"/>
      <c r="S43" s="198"/>
      <c r="T43" s="198"/>
      <c r="U43" s="198"/>
    </row>
    <row r="44" spans="1:21" s="12" customFormat="1" x14ac:dyDescent="0.25">
      <c r="A44" s="213" t="s">
        <v>2970</v>
      </c>
      <c r="B44" s="64">
        <v>23.38</v>
      </c>
      <c r="C44" s="64">
        <v>53.6</v>
      </c>
      <c r="D44" s="64">
        <v>48.98</v>
      </c>
      <c r="E44" s="64">
        <v>4.7300000000000004</v>
      </c>
      <c r="F44" s="64">
        <v>3.53</v>
      </c>
      <c r="G44" s="64">
        <v>65.25</v>
      </c>
      <c r="H44" s="64">
        <v>9.06</v>
      </c>
      <c r="I44" s="64">
        <v>1.51</v>
      </c>
      <c r="J44" s="64">
        <v>0.95</v>
      </c>
      <c r="K44" s="64">
        <v>352.85</v>
      </c>
      <c r="L44" s="64">
        <v>26.62</v>
      </c>
      <c r="M44" s="64">
        <v>47.39</v>
      </c>
      <c r="N44" s="64">
        <v>536</v>
      </c>
      <c r="O44" s="64">
        <v>0</v>
      </c>
      <c r="P44" s="64">
        <v>0.76</v>
      </c>
      <c r="Q44" s="64">
        <v>9.1</v>
      </c>
      <c r="R44" s="198"/>
      <c r="S44" s="198"/>
      <c r="T44" s="198"/>
      <c r="U44" s="198"/>
    </row>
    <row r="45" spans="1:21" s="12" customFormat="1" x14ac:dyDescent="0.25">
      <c r="A45" s="213" t="s">
        <v>2971</v>
      </c>
      <c r="B45" s="64">
        <v>22.1</v>
      </c>
      <c r="C45" s="64">
        <v>53.67</v>
      </c>
      <c r="D45" s="64">
        <v>47.99</v>
      </c>
      <c r="E45" s="64">
        <v>5.07</v>
      </c>
      <c r="F45" s="64">
        <v>3.69</v>
      </c>
      <c r="G45" s="64">
        <v>65.25</v>
      </c>
      <c r="H45" s="64">
        <v>9.06</v>
      </c>
      <c r="I45" s="64">
        <v>1.44</v>
      </c>
      <c r="J45" s="64">
        <v>0.7</v>
      </c>
      <c r="K45" s="64">
        <v>4.4400000000000004</v>
      </c>
      <c r="L45" s="64">
        <v>26.97</v>
      </c>
      <c r="M45" s="64">
        <v>46.93</v>
      </c>
      <c r="N45" s="64">
        <v>594.79999999999995</v>
      </c>
      <c r="O45" s="64">
        <v>0</v>
      </c>
      <c r="P45" s="64">
        <v>0.75</v>
      </c>
      <c r="Q45" s="64">
        <v>9.08</v>
      </c>
      <c r="R45" s="198"/>
      <c r="S45" s="198"/>
      <c r="T45" s="198"/>
      <c r="U45" s="198"/>
    </row>
    <row r="46" spans="1:21" s="12" customFormat="1" x14ac:dyDescent="0.25">
      <c r="A46" s="213" t="s">
        <v>2972</v>
      </c>
      <c r="B46" s="64">
        <v>20.82</v>
      </c>
      <c r="C46" s="64">
        <v>53.73</v>
      </c>
      <c r="D46" s="64">
        <v>47</v>
      </c>
      <c r="E46" s="64">
        <v>4.62</v>
      </c>
      <c r="F46" s="64">
        <v>3.24</v>
      </c>
      <c r="G46" s="64">
        <v>62.75</v>
      </c>
      <c r="H46" s="64">
        <v>32.200000000000003</v>
      </c>
      <c r="I46" s="64">
        <v>1.51</v>
      </c>
      <c r="J46" s="64">
        <v>0.66</v>
      </c>
      <c r="K46" s="64">
        <v>359.4</v>
      </c>
      <c r="L46" s="64">
        <v>28.1</v>
      </c>
      <c r="M46" s="64">
        <v>43.04</v>
      </c>
      <c r="N46" s="64">
        <v>645.4</v>
      </c>
      <c r="O46" s="64">
        <v>0</v>
      </c>
      <c r="P46" s="64">
        <v>0.73</v>
      </c>
      <c r="Q46" s="64">
        <v>9.0299999999999994</v>
      </c>
      <c r="R46" s="198"/>
      <c r="S46" s="198"/>
      <c r="T46" s="198"/>
      <c r="U46" s="198"/>
    </row>
    <row r="47" spans="1:21" s="12" customFormat="1" x14ac:dyDescent="0.25">
      <c r="A47" s="213" t="s">
        <v>2973</v>
      </c>
      <c r="B47" s="64">
        <v>19.55</v>
      </c>
      <c r="C47" s="64">
        <v>54.45</v>
      </c>
      <c r="D47" s="64">
        <v>46.37</v>
      </c>
      <c r="E47" s="64">
        <v>4.45</v>
      </c>
      <c r="F47" s="64">
        <v>3.53</v>
      </c>
      <c r="G47" s="64">
        <v>62.26</v>
      </c>
      <c r="H47" s="64">
        <v>36.82</v>
      </c>
      <c r="I47" s="64">
        <v>1.49</v>
      </c>
      <c r="J47" s="64">
        <v>0.81</v>
      </c>
      <c r="K47" s="64">
        <v>49.72</v>
      </c>
      <c r="L47" s="64">
        <v>26.67</v>
      </c>
      <c r="M47" s="64">
        <v>45.99</v>
      </c>
      <c r="N47" s="64">
        <v>706.4</v>
      </c>
      <c r="O47" s="64">
        <v>0</v>
      </c>
      <c r="P47" s="64">
        <v>0.71</v>
      </c>
      <c r="Q47" s="64">
        <v>9.02</v>
      </c>
      <c r="R47" s="198"/>
      <c r="S47" s="198"/>
      <c r="T47" s="198"/>
      <c r="U47" s="198"/>
    </row>
    <row r="48" spans="1:21" s="12" customFormat="1" x14ac:dyDescent="0.25">
      <c r="A48" s="213" t="s">
        <v>2974</v>
      </c>
      <c r="B48" s="64">
        <v>17.739999999999998</v>
      </c>
      <c r="C48" s="64">
        <v>56.41</v>
      </c>
      <c r="D48" s="64">
        <v>46</v>
      </c>
      <c r="E48" s="64">
        <v>4.8099999999999996</v>
      </c>
      <c r="F48" s="64">
        <v>3.7</v>
      </c>
      <c r="G48" s="64">
        <v>62.26</v>
      </c>
      <c r="H48" s="64">
        <v>36.82</v>
      </c>
      <c r="I48" s="64">
        <v>1.54</v>
      </c>
      <c r="J48" s="64">
        <v>0.95</v>
      </c>
      <c r="K48" s="64">
        <v>80.180000000000007</v>
      </c>
      <c r="L48" s="64">
        <v>26.83</v>
      </c>
      <c r="M48" s="64">
        <v>44.41</v>
      </c>
      <c r="N48" s="64">
        <v>750.9</v>
      </c>
      <c r="O48" s="64">
        <v>0</v>
      </c>
      <c r="P48" s="64">
        <v>0.69</v>
      </c>
      <c r="Q48" s="64">
        <v>8.9700000000000006</v>
      </c>
      <c r="R48" s="198"/>
      <c r="S48" s="198"/>
      <c r="T48" s="198"/>
      <c r="U48" s="198"/>
    </row>
    <row r="49" spans="1:21" s="12" customFormat="1" x14ac:dyDescent="0.25">
      <c r="A49" s="213" t="s">
        <v>2975</v>
      </c>
      <c r="B49" s="64">
        <v>15.91</v>
      </c>
      <c r="C49" s="64">
        <v>56.66</v>
      </c>
      <c r="D49" s="64">
        <v>44.67</v>
      </c>
      <c r="E49" s="64">
        <v>4.57</v>
      </c>
      <c r="F49" s="64">
        <v>3.94</v>
      </c>
      <c r="G49" s="64">
        <v>62.26</v>
      </c>
      <c r="H49" s="64">
        <v>36.82</v>
      </c>
      <c r="I49" s="64">
        <v>1.51</v>
      </c>
      <c r="J49" s="64">
        <v>0.85</v>
      </c>
      <c r="K49" s="64">
        <v>0.71</v>
      </c>
      <c r="L49" s="64">
        <v>28.15</v>
      </c>
      <c r="M49" s="64">
        <v>40.119999999999997</v>
      </c>
      <c r="N49" s="64">
        <v>790</v>
      </c>
      <c r="O49" s="64">
        <v>0</v>
      </c>
      <c r="P49" s="64">
        <v>0.67</v>
      </c>
      <c r="Q49" s="64">
        <v>8.98</v>
      </c>
      <c r="R49" s="198"/>
      <c r="S49" s="198"/>
      <c r="T49" s="198"/>
      <c r="U49" s="198"/>
    </row>
    <row r="50" spans="1:21" s="12" customFormat="1" x14ac:dyDescent="0.25">
      <c r="A50" s="213" t="s">
        <v>2976</v>
      </c>
      <c r="B50" s="64">
        <v>14.71</v>
      </c>
      <c r="C50" s="64">
        <v>58.33</v>
      </c>
      <c r="D50" s="64">
        <v>44.63</v>
      </c>
      <c r="E50" s="64">
        <v>4.4800000000000004</v>
      </c>
      <c r="F50" s="64">
        <v>3.91</v>
      </c>
      <c r="G50" s="64">
        <v>51.31</v>
      </c>
      <c r="H50" s="64">
        <v>28.08</v>
      </c>
      <c r="I50" s="64">
        <v>1.45</v>
      </c>
      <c r="J50" s="64">
        <v>0.61</v>
      </c>
      <c r="K50" s="64">
        <v>41.67</v>
      </c>
      <c r="L50" s="64">
        <v>30.4</v>
      </c>
      <c r="M50" s="64">
        <v>35.729999999999997</v>
      </c>
      <c r="N50" s="64">
        <v>825.9</v>
      </c>
      <c r="O50" s="64">
        <v>0</v>
      </c>
      <c r="P50" s="64">
        <v>0.66</v>
      </c>
      <c r="Q50" s="64">
        <v>8.9499999999999993</v>
      </c>
      <c r="R50" s="198"/>
      <c r="S50" s="198"/>
      <c r="T50" s="198"/>
      <c r="U50" s="198"/>
    </row>
    <row r="51" spans="1:21" s="12" customFormat="1" x14ac:dyDescent="0.25">
      <c r="A51" s="213" t="s">
        <v>2977</v>
      </c>
      <c r="B51" s="64">
        <v>11.41</v>
      </c>
      <c r="C51" s="64">
        <v>61.79</v>
      </c>
      <c r="D51" s="64">
        <v>43.9</v>
      </c>
      <c r="E51" s="64">
        <v>4.7</v>
      </c>
      <c r="F51" s="64">
        <v>4.68</v>
      </c>
      <c r="G51" s="64">
        <v>49.12</v>
      </c>
      <c r="H51" s="64">
        <v>26.33</v>
      </c>
      <c r="I51" s="64">
        <v>1.49</v>
      </c>
      <c r="J51" s="64">
        <v>0.9</v>
      </c>
      <c r="K51" s="64">
        <v>357.79</v>
      </c>
      <c r="L51" s="64">
        <v>29.33</v>
      </c>
      <c r="M51" s="64">
        <v>37.42</v>
      </c>
      <c r="N51" s="64">
        <v>833.8</v>
      </c>
      <c r="O51" s="64">
        <v>0</v>
      </c>
      <c r="P51" s="64">
        <v>0.6</v>
      </c>
      <c r="Q51" s="64">
        <v>8.86</v>
      </c>
      <c r="R51" s="198"/>
      <c r="S51" s="198"/>
      <c r="T51" s="198"/>
      <c r="U51" s="198"/>
    </row>
    <row r="52" spans="1:21" s="12" customFormat="1" x14ac:dyDescent="0.25">
      <c r="A52" s="213" t="s">
        <v>2978</v>
      </c>
      <c r="B52" s="64">
        <v>10</v>
      </c>
      <c r="C52" s="64">
        <v>62.73</v>
      </c>
      <c r="D52" s="64">
        <v>43.29</v>
      </c>
      <c r="E52" s="64">
        <v>5</v>
      </c>
      <c r="F52" s="64">
        <v>4.16</v>
      </c>
      <c r="G52" s="64">
        <v>49.12</v>
      </c>
      <c r="H52" s="64">
        <v>26.33</v>
      </c>
      <c r="I52" s="64">
        <v>1.41</v>
      </c>
      <c r="J52" s="64">
        <v>0.86</v>
      </c>
      <c r="K52" s="64">
        <v>4.28</v>
      </c>
      <c r="L52" s="64">
        <v>32.28</v>
      </c>
      <c r="M52" s="64">
        <v>31.14</v>
      </c>
      <c r="N52" s="64">
        <v>835.6</v>
      </c>
      <c r="O52" s="64">
        <v>0</v>
      </c>
      <c r="P52" s="64">
        <v>0.57999999999999996</v>
      </c>
      <c r="Q52" s="64">
        <v>8.7200000000000006</v>
      </c>
      <c r="R52" s="198"/>
      <c r="S52" s="198"/>
      <c r="T52" s="198"/>
      <c r="U52" s="198"/>
    </row>
    <row r="53" spans="1:21" s="12" customFormat="1" x14ac:dyDescent="0.25">
      <c r="A53" s="213" t="s">
        <v>2979</v>
      </c>
      <c r="B53" s="64">
        <v>9.18</v>
      </c>
      <c r="C53" s="64">
        <v>61.63</v>
      </c>
      <c r="D53" s="64">
        <v>42.02</v>
      </c>
      <c r="E53" s="64">
        <v>4.13</v>
      </c>
      <c r="F53" s="64">
        <v>4.2300000000000004</v>
      </c>
      <c r="G53" s="64">
        <v>49.12</v>
      </c>
      <c r="H53" s="64">
        <v>26.33</v>
      </c>
      <c r="I53" s="64">
        <v>1.51</v>
      </c>
      <c r="J53" s="64">
        <v>0.65</v>
      </c>
      <c r="K53" s="64">
        <v>62.35</v>
      </c>
      <c r="L53" s="64">
        <v>29.02</v>
      </c>
      <c r="M53" s="64">
        <v>34.99</v>
      </c>
      <c r="N53" s="64">
        <v>863.1</v>
      </c>
      <c r="O53" s="64">
        <v>0</v>
      </c>
      <c r="P53" s="64">
        <v>0.56999999999999995</v>
      </c>
      <c r="Q53" s="64">
        <v>8.6300000000000008</v>
      </c>
      <c r="R53" s="198"/>
      <c r="S53" s="198"/>
      <c r="T53" s="198"/>
      <c r="U53" s="198"/>
    </row>
    <row r="54" spans="1:21" s="12" customFormat="1" x14ac:dyDescent="0.25">
      <c r="A54" s="213" t="s">
        <v>2980</v>
      </c>
      <c r="B54" s="64">
        <v>8.44</v>
      </c>
      <c r="C54" s="64">
        <v>59.7</v>
      </c>
      <c r="D54" s="64">
        <v>40.36</v>
      </c>
      <c r="E54" s="64">
        <v>4.51</v>
      </c>
      <c r="F54" s="64">
        <v>3.97</v>
      </c>
      <c r="G54" s="64">
        <v>50.77</v>
      </c>
      <c r="H54" s="64">
        <v>25.62</v>
      </c>
      <c r="I54" s="64">
        <v>1.44</v>
      </c>
      <c r="J54" s="64">
        <v>0.82</v>
      </c>
      <c r="K54" s="64">
        <v>1</v>
      </c>
      <c r="L54" s="64">
        <v>31.64</v>
      </c>
      <c r="M54" s="64">
        <v>28.71</v>
      </c>
      <c r="N54" s="64">
        <v>872.2</v>
      </c>
      <c r="O54" s="64">
        <v>0</v>
      </c>
      <c r="P54" s="64">
        <v>0.56000000000000005</v>
      </c>
      <c r="Q54" s="64">
        <v>8.59</v>
      </c>
      <c r="R54" s="198"/>
      <c r="S54" s="198"/>
      <c r="T54" s="198"/>
      <c r="U54" s="198"/>
    </row>
    <row r="55" spans="1:21" s="12" customFormat="1" x14ac:dyDescent="0.25">
      <c r="A55" s="213" t="s">
        <v>2981</v>
      </c>
      <c r="B55" s="64">
        <v>7.52</v>
      </c>
      <c r="C55" s="64">
        <v>57.75</v>
      </c>
      <c r="D55" s="64">
        <v>38.549999999999997</v>
      </c>
      <c r="E55" s="64">
        <v>4.76</v>
      </c>
      <c r="F55" s="64">
        <v>4.13</v>
      </c>
      <c r="G55" s="64">
        <v>51.1</v>
      </c>
      <c r="H55" s="64">
        <v>25.48</v>
      </c>
      <c r="I55" s="64">
        <v>1.49</v>
      </c>
      <c r="J55" s="64">
        <v>1.01</v>
      </c>
      <c r="K55" s="64">
        <v>87.01</v>
      </c>
      <c r="L55" s="64">
        <v>29.01</v>
      </c>
      <c r="M55" s="64">
        <v>33.44</v>
      </c>
      <c r="N55" s="64">
        <v>862.6</v>
      </c>
      <c r="O55" s="64">
        <v>0</v>
      </c>
      <c r="P55" s="64">
        <v>0.53</v>
      </c>
      <c r="Q55" s="64">
        <v>8.59</v>
      </c>
      <c r="R55" s="198"/>
      <c r="S55" s="198"/>
      <c r="T55" s="198"/>
      <c r="U55" s="198"/>
    </row>
    <row r="56" spans="1:21" s="12" customFormat="1" x14ac:dyDescent="0.25">
      <c r="A56" s="213" t="s">
        <v>2982</v>
      </c>
      <c r="B56" s="64">
        <v>6.38</v>
      </c>
      <c r="C56" s="64">
        <v>56.68</v>
      </c>
      <c r="D56" s="64">
        <v>37.049999999999997</v>
      </c>
      <c r="E56" s="64">
        <v>3.99</v>
      </c>
      <c r="F56" s="64">
        <v>4.41</v>
      </c>
      <c r="G56" s="64">
        <v>51.1</v>
      </c>
      <c r="H56" s="64">
        <v>25.48</v>
      </c>
      <c r="I56" s="64">
        <v>1.53</v>
      </c>
      <c r="J56" s="64">
        <v>0.9</v>
      </c>
      <c r="K56" s="64">
        <v>357.93</v>
      </c>
      <c r="L56" s="64">
        <v>31.52</v>
      </c>
      <c r="M56" s="64">
        <v>27.86</v>
      </c>
      <c r="N56" s="64">
        <v>845.8</v>
      </c>
      <c r="O56" s="64">
        <v>0</v>
      </c>
      <c r="P56" s="64">
        <v>0.51</v>
      </c>
      <c r="Q56" s="64">
        <v>8.57</v>
      </c>
      <c r="R56" s="198"/>
      <c r="S56" s="198"/>
      <c r="T56" s="198"/>
      <c r="U56" s="198"/>
    </row>
    <row r="57" spans="1:21" s="12" customFormat="1" x14ac:dyDescent="0.25">
      <c r="A57" s="213" t="s">
        <v>2983</v>
      </c>
      <c r="B57" s="64">
        <v>6.1</v>
      </c>
      <c r="C57" s="64">
        <v>57.05</v>
      </c>
      <c r="D57" s="64">
        <v>37.020000000000003</v>
      </c>
      <c r="E57" s="64">
        <v>4.83</v>
      </c>
      <c r="F57" s="64">
        <v>4.51</v>
      </c>
      <c r="G57" s="64">
        <v>51.1</v>
      </c>
      <c r="H57" s="64">
        <v>25.48</v>
      </c>
      <c r="I57" s="64">
        <v>1.45</v>
      </c>
      <c r="J57" s="64">
        <v>0.67</v>
      </c>
      <c r="K57" s="64">
        <v>359.59</v>
      </c>
      <c r="L57" s="64">
        <v>33.79</v>
      </c>
      <c r="M57" s="64">
        <v>24.33</v>
      </c>
      <c r="N57" s="64">
        <v>831.4</v>
      </c>
      <c r="O57" s="64">
        <v>0</v>
      </c>
      <c r="P57" s="64">
        <v>0.5</v>
      </c>
      <c r="Q57" s="64">
        <v>8.5399999999999991</v>
      </c>
      <c r="R57" s="198"/>
      <c r="S57" s="198"/>
      <c r="T57" s="198"/>
      <c r="U57" s="198"/>
    </row>
    <row r="58" spans="1:21" s="12" customFormat="1" x14ac:dyDescent="0.25">
      <c r="A58" s="213" t="s">
        <v>2984</v>
      </c>
      <c r="B58" s="64">
        <v>5.79</v>
      </c>
      <c r="C58" s="64">
        <v>56</v>
      </c>
      <c r="D58" s="64">
        <v>36.200000000000003</v>
      </c>
      <c r="E58" s="64">
        <v>4.5599999999999996</v>
      </c>
      <c r="F58" s="64">
        <v>4.12</v>
      </c>
      <c r="G58" s="64">
        <v>47.44</v>
      </c>
      <c r="H58" s="64">
        <v>22.47</v>
      </c>
      <c r="I58" s="64">
        <v>1.48</v>
      </c>
      <c r="J58" s="64">
        <v>0.74</v>
      </c>
      <c r="K58" s="64">
        <v>63.81</v>
      </c>
      <c r="L58" s="64">
        <v>29.58</v>
      </c>
      <c r="M58" s="64">
        <v>31.24</v>
      </c>
      <c r="N58" s="64">
        <v>807.1</v>
      </c>
      <c r="O58" s="64">
        <v>0</v>
      </c>
      <c r="P58" s="64">
        <v>0.49</v>
      </c>
      <c r="Q58" s="64">
        <v>8.5399999999999991</v>
      </c>
      <c r="R58" s="198"/>
      <c r="S58" s="198"/>
      <c r="T58" s="198"/>
      <c r="U58" s="198"/>
    </row>
    <row r="59" spans="1:21" s="12" customFormat="1" x14ac:dyDescent="0.25">
      <c r="A59" s="213" t="s">
        <v>2985</v>
      </c>
      <c r="B59" s="64">
        <v>5.72</v>
      </c>
      <c r="C59" s="64">
        <v>54.55</v>
      </c>
      <c r="D59" s="64">
        <v>35.340000000000003</v>
      </c>
      <c r="E59" s="64">
        <v>4.3899999999999997</v>
      </c>
      <c r="F59" s="64">
        <v>4.1900000000000004</v>
      </c>
      <c r="G59" s="64">
        <v>46.71</v>
      </c>
      <c r="H59" s="64">
        <v>21.87</v>
      </c>
      <c r="I59" s="64">
        <v>1.54</v>
      </c>
      <c r="J59" s="64">
        <v>0.56000000000000005</v>
      </c>
      <c r="K59" s="64">
        <v>84.79</v>
      </c>
      <c r="L59" s="64">
        <v>30.61</v>
      </c>
      <c r="M59" s="64">
        <v>29.15</v>
      </c>
      <c r="N59" s="64">
        <v>811.8</v>
      </c>
      <c r="O59" s="64">
        <v>0</v>
      </c>
      <c r="P59" s="64">
        <v>0.48</v>
      </c>
      <c r="Q59" s="64">
        <v>8.57</v>
      </c>
      <c r="R59" s="198"/>
      <c r="S59" s="198"/>
      <c r="T59" s="198"/>
      <c r="U59" s="198"/>
    </row>
    <row r="60" spans="1:21" s="12" customFormat="1" x14ac:dyDescent="0.25">
      <c r="A60" s="213" t="s">
        <v>2986</v>
      </c>
      <c r="B60" s="64">
        <v>5.55</v>
      </c>
      <c r="C60" s="64">
        <v>53.24</v>
      </c>
      <c r="D60" s="64">
        <v>34.479999999999997</v>
      </c>
      <c r="E60" s="64">
        <v>4.3</v>
      </c>
      <c r="F60" s="64">
        <v>4</v>
      </c>
      <c r="G60" s="64">
        <v>46.71</v>
      </c>
      <c r="H60" s="64">
        <v>21.87</v>
      </c>
      <c r="I60" s="64">
        <v>1.57</v>
      </c>
      <c r="J60" s="64">
        <v>1.25</v>
      </c>
      <c r="K60" s="64">
        <v>105.71</v>
      </c>
      <c r="L60" s="64">
        <v>29.46</v>
      </c>
      <c r="M60" s="64">
        <v>29.91</v>
      </c>
      <c r="N60" s="64">
        <v>810.9</v>
      </c>
      <c r="O60" s="64">
        <v>0</v>
      </c>
      <c r="P60" s="64">
        <v>0.46</v>
      </c>
      <c r="Q60" s="64">
        <v>8.6199999999999992</v>
      </c>
      <c r="R60" s="198"/>
      <c r="S60" s="198"/>
      <c r="T60" s="198"/>
      <c r="U60" s="198"/>
    </row>
    <row r="61" spans="1:21" s="12" customFormat="1" x14ac:dyDescent="0.25">
      <c r="A61" s="213" t="s">
        <v>2987</v>
      </c>
      <c r="B61" s="64">
        <v>5.56</v>
      </c>
      <c r="C61" s="64">
        <v>51</v>
      </c>
      <c r="D61" s="64">
        <v>33.25</v>
      </c>
      <c r="E61" s="64">
        <v>4.16</v>
      </c>
      <c r="F61" s="64">
        <v>3.81</v>
      </c>
      <c r="G61" s="64">
        <v>46.71</v>
      </c>
      <c r="H61" s="64">
        <v>21.87</v>
      </c>
      <c r="I61" s="64">
        <v>1.48</v>
      </c>
      <c r="J61" s="64">
        <v>0.49</v>
      </c>
      <c r="K61" s="64">
        <v>33.93</v>
      </c>
      <c r="L61" s="64">
        <v>29.79</v>
      </c>
      <c r="M61" s="64">
        <v>28.87</v>
      </c>
      <c r="N61" s="64">
        <v>753.9</v>
      </c>
      <c r="O61" s="64">
        <v>0</v>
      </c>
      <c r="P61" s="64">
        <v>0.43</v>
      </c>
      <c r="Q61" s="64">
        <v>8.6199999999999992</v>
      </c>
      <c r="R61" s="198"/>
      <c r="S61" s="198"/>
      <c r="T61" s="198"/>
      <c r="U61" s="198"/>
    </row>
    <row r="62" spans="1:21" s="12" customFormat="1" x14ac:dyDescent="0.25">
      <c r="A62" s="213" t="s">
        <v>2988</v>
      </c>
      <c r="B62" s="64">
        <v>5.74</v>
      </c>
      <c r="C62" s="64">
        <v>49.06</v>
      </c>
      <c r="D62" s="64">
        <v>32.32</v>
      </c>
      <c r="E62" s="64">
        <v>4.13</v>
      </c>
      <c r="F62" s="64">
        <v>3.79</v>
      </c>
      <c r="G62" s="64">
        <v>40.83</v>
      </c>
      <c r="H62" s="64">
        <v>18.04</v>
      </c>
      <c r="I62" s="64">
        <v>1.48</v>
      </c>
      <c r="J62" s="64">
        <v>0.18</v>
      </c>
      <c r="K62" s="64">
        <v>316.22000000000003</v>
      </c>
      <c r="L62" s="64">
        <v>32.44</v>
      </c>
      <c r="M62" s="64">
        <v>24.8</v>
      </c>
      <c r="N62" s="64">
        <v>696</v>
      </c>
      <c r="O62" s="64">
        <v>0</v>
      </c>
      <c r="P62" s="64">
        <v>0.44</v>
      </c>
      <c r="Q62" s="64">
        <v>8.65</v>
      </c>
      <c r="R62" s="198"/>
      <c r="S62" s="198"/>
      <c r="T62" s="198"/>
      <c r="U62" s="198"/>
    </row>
    <row r="63" spans="1:21" s="12" customFormat="1" x14ac:dyDescent="0.25">
      <c r="A63" s="213" t="s">
        <v>2989</v>
      </c>
      <c r="B63" s="64">
        <v>4.8899999999999997</v>
      </c>
      <c r="C63" s="64">
        <v>49.84</v>
      </c>
      <c r="D63" s="64">
        <v>32.08</v>
      </c>
      <c r="E63" s="64">
        <v>7.6</v>
      </c>
      <c r="F63" s="64">
        <v>14.46</v>
      </c>
      <c r="G63" s="64">
        <v>39.659999999999997</v>
      </c>
      <c r="H63" s="64">
        <v>17.27</v>
      </c>
      <c r="I63" s="64">
        <v>1.52</v>
      </c>
      <c r="J63" s="64">
        <v>0.42</v>
      </c>
      <c r="K63" s="64">
        <v>327.67</v>
      </c>
      <c r="L63" s="64">
        <v>33.44</v>
      </c>
      <c r="M63" s="64">
        <v>23.26</v>
      </c>
      <c r="N63" s="64">
        <v>611.9</v>
      </c>
      <c r="O63" s="64">
        <v>0</v>
      </c>
      <c r="P63" s="64">
        <v>0.41</v>
      </c>
      <c r="Q63" s="64">
        <v>8.64</v>
      </c>
      <c r="R63" s="198"/>
      <c r="S63" s="198"/>
      <c r="T63" s="198"/>
      <c r="U63" s="198"/>
    </row>
    <row r="64" spans="1:21" s="12" customFormat="1" x14ac:dyDescent="0.25">
      <c r="A64" s="213" t="s">
        <v>2990</v>
      </c>
      <c r="B64" s="64">
        <v>2.02</v>
      </c>
      <c r="C64" s="64">
        <v>55.68</v>
      </c>
      <c r="D64" s="64">
        <v>32.99</v>
      </c>
      <c r="E64" s="64">
        <v>4.93</v>
      </c>
      <c r="F64" s="64">
        <v>14.14</v>
      </c>
      <c r="G64" s="64">
        <v>39.659999999999997</v>
      </c>
      <c r="H64" s="64">
        <v>17.27</v>
      </c>
      <c r="I64" s="64">
        <v>1.5</v>
      </c>
      <c r="J64" s="64">
        <v>0.49</v>
      </c>
      <c r="K64" s="64">
        <v>357.86</v>
      </c>
      <c r="L64" s="64">
        <v>32.58</v>
      </c>
      <c r="M64" s="64">
        <v>24.15</v>
      </c>
      <c r="N64" s="64">
        <v>607.79999999999995</v>
      </c>
      <c r="O64" s="64">
        <v>0</v>
      </c>
      <c r="P64" s="64">
        <v>0.37</v>
      </c>
      <c r="Q64" s="64">
        <v>8.52</v>
      </c>
      <c r="R64" s="198"/>
      <c r="S64" s="198"/>
      <c r="T64" s="198"/>
      <c r="U64" s="198"/>
    </row>
    <row r="65" spans="1:21" s="12" customFormat="1" x14ac:dyDescent="0.25">
      <c r="A65" s="213" t="s">
        <v>2991</v>
      </c>
      <c r="B65" s="64">
        <v>1.81</v>
      </c>
      <c r="C65" s="64">
        <v>58.61</v>
      </c>
      <c r="D65" s="64">
        <v>34.44</v>
      </c>
      <c r="E65" s="64">
        <v>4.78</v>
      </c>
      <c r="F65" s="64">
        <v>8.83</v>
      </c>
      <c r="G65" s="64">
        <v>39.659999999999997</v>
      </c>
      <c r="H65" s="64">
        <v>17.27</v>
      </c>
      <c r="I65" s="64">
        <v>1.48</v>
      </c>
      <c r="J65" s="64">
        <v>0.56999999999999995</v>
      </c>
      <c r="K65" s="64">
        <v>20.49</v>
      </c>
      <c r="L65" s="64">
        <v>33.479999999999997</v>
      </c>
      <c r="M65" s="64">
        <v>22.65</v>
      </c>
      <c r="N65" s="64">
        <v>605.9</v>
      </c>
      <c r="O65" s="64">
        <v>0</v>
      </c>
      <c r="P65" s="64">
        <v>0.39</v>
      </c>
      <c r="Q65" s="64">
        <v>8.48</v>
      </c>
      <c r="R65" s="198"/>
      <c r="S65" s="198"/>
      <c r="T65" s="198"/>
      <c r="U65" s="198"/>
    </row>
    <row r="66" spans="1:21" s="12" customFormat="1" x14ac:dyDescent="0.25">
      <c r="A66" s="213" t="s">
        <v>2992</v>
      </c>
      <c r="B66" s="64">
        <v>2.2400000000000002</v>
      </c>
      <c r="C66" s="64">
        <v>61.5</v>
      </c>
      <c r="D66" s="64">
        <v>36.380000000000003</v>
      </c>
      <c r="E66" s="64">
        <v>4.3600000000000003</v>
      </c>
      <c r="F66" s="64">
        <v>7.65</v>
      </c>
      <c r="G66" s="64">
        <v>34.74</v>
      </c>
      <c r="H66" s="64">
        <v>19.91</v>
      </c>
      <c r="I66" s="64">
        <v>1.49</v>
      </c>
      <c r="J66" s="64">
        <v>1.1399999999999999</v>
      </c>
      <c r="K66" s="64">
        <v>342.12</v>
      </c>
      <c r="L66" s="64">
        <v>32.14</v>
      </c>
      <c r="M66" s="64">
        <v>24.42</v>
      </c>
      <c r="N66" s="64">
        <v>531.5</v>
      </c>
      <c r="O66" s="64">
        <v>0</v>
      </c>
      <c r="P66" s="64">
        <v>0.41</v>
      </c>
      <c r="Q66" s="64">
        <v>8.43</v>
      </c>
      <c r="R66" s="198"/>
      <c r="S66" s="198"/>
      <c r="T66" s="198"/>
      <c r="U66" s="198"/>
    </row>
    <row r="67" spans="1:21" s="12" customFormat="1" x14ac:dyDescent="0.25">
      <c r="A67" s="213" t="s">
        <v>2993</v>
      </c>
      <c r="B67" s="64">
        <v>2.39</v>
      </c>
      <c r="C67" s="64">
        <v>62.91</v>
      </c>
      <c r="D67" s="64">
        <v>37.28</v>
      </c>
      <c r="E67" s="64">
        <v>4.5599999999999996</v>
      </c>
      <c r="F67" s="64">
        <v>7.74</v>
      </c>
      <c r="G67" s="64">
        <v>33.76</v>
      </c>
      <c r="H67" s="64">
        <v>20.440000000000001</v>
      </c>
      <c r="I67" s="64">
        <v>1.48</v>
      </c>
      <c r="J67" s="64">
        <v>0.53</v>
      </c>
      <c r="K67" s="64">
        <v>335.72</v>
      </c>
      <c r="L67" s="64">
        <v>33.270000000000003</v>
      </c>
      <c r="M67" s="64">
        <v>21.6</v>
      </c>
      <c r="N67" s="64">
        <v>491.9</v>
      </c>
      <c r="O67" s="64">
        <v>0</v>
      </c>
      <c r="P67" s="64">
        <v>0.42</v>
      </c>
      <c r="Q67" s="64">
        <v>8.49</v>
      </c>
      <c r="R67" s="198"/>
      <c r="S67" s="198"/>
      <c r="T67" s="198"/>
      <c r="U67" s="198"/>
    </row>
    <row r="68" spans="1:21" s="12" customFormat="1" x14ac:dyDescent="0.25">
      <c r="A68" s="213" t="s">
        <v>2994</v>
      </c>
      <c r="B68" s="64">
        <v>1.89</v>
      </c>
      <c r="C68" s="64">
        <v>61.31</v>
      </c>
      <c r="D68" s="64">
        <v>35.99</v>
      </c>
      <c r="E68" s="64">
        <v>4.6500000000000004</v>
      </c>
      <c r="F68" s="64">
        <v>7.88</v>
      </c>
      <c r="G68" s="64">
        <v>33.76</v>
      </c>
      <c r="H68" s="64">
        <v>20.440000000000001</v>
      </c>
      <c r="I68" s="64">
        <v>1.5</v>
      </c>
      <c r="J68" s="64">
        <v>0.65</v>
      </c>
      <c r="K68" s="64">
        <v>89.3</v>
      </c>
      <c r="L68" s="64">
        <v>31.44</v>
      </c>
      <c r="M68" s="64">
        <v>23.58</v>
      </c>
      <c r="N68" s="64">
        <v>441.3</v>
      </c>
      <c r="O68" s="64">
        <v>0</v>
      </c>
      <c r="P68" s="64">
        <v>0.41</v>
      </c>
      <c r="Q68" s="64">
        <v>8.5299999999999994</v>
      </c>
      <c r="R68" s="198"/>
      <c r="S68" s="198"/>
      <c r="T68" s="198"/>
      <c r="U68" s="198"/>
    </row>
    <row r="69" spans="1:21" s="12" customFormat="1" x14ac:dyDescent="0.25">
      <c r="A69" s="213" t="s">
        <v>2995</v>
      </c>
      <c r="B69" s="64">
        <v>1.78</v>
      </c>
      <c r="C69" s="64">
        <v>58.99</v>
      </c>
      <c r="D69" s="64">
        <v>34.630000000000003</v>
      </c>
      <c r="E69" s="64">
        <v>4.68</v>
      </c>
      <c r="F69" s="64">
        <v>7.69</v>
      </c>
      <c r="G69" s="64">
        <v>33.76</v>
      </c>
      <c r="H69" s="64">
        <v>20.440000000000001</v>
      </c>
      <c r="I69" s="64">
        <v>1.53</v>
      </c>
      <c r="J69" s="64">
        <v>0.64</v>
      </c>
      <c r="K69" s="64">
        <v>336.18</v>
      </c>
      <c r="L69" s="64">
        <v>31.16</v>
      </c>
      <c r="M69" s="64">
        <v>24.01</v>
      </c>
      <c r="N69" s="64">
        <v>439.7</v>
      </c>
      <c r="O69" s="64">
        <v>0</v>
      </c>
      <c r="P69" s="64">
        <v>0.4</v>
      </c>
      <c r="Q69" s="64">
        <v>8.5299999999999994</v>
      </c>
      <c r="R69" s="198"/>
      <c r="S69" s="198"/>
      <c r="T69" s="198"/>
      <c r="U69" s="198"/>
    </row>
    <row r="70" spans="1:21" s="12" customFormat="1" x14ac:dyDescent="0.25">
      <c r="A70" s="213" t="s">
        <v>2996</v>
      </c>
      <c r="B70" s="64">
        <v>1.75</v>
      </c>
      <c r="C70" s="64">
        <v>58.89</v>
      </c>
      <c r="D70" s="64">
        <v>34.549999999999997</v>
      </c>
      <c r="E70" s="64">
        <v>4.49</v>
      </c>
      <c r="F70" s="64">
        <v>7.45</v>
      </c>
      <c r="G70" s="64">
        <v>45.03</v>
      </c>
      <c r="H70" s="64">
        <v>20.32</v>
      </c>
      <c r="I70" s="64">
        <v>1.47</v>
      </c>
      <c r="J70" s="64">
        <v>0.6</v>
      </c>
      <c r="K70" s="64">
        <v>328.77</v>
      </c>
      <c r="L70" s="64">
        <v>31.32</v>
      </c>
      <c r="M70" s="64">
        <v>22.1</v>
      </c>
      <c r="N70" s="64">
        <v>231</v>
      </c>
      <c r="O70" s="64">
        <v>0</v>
      </c>
      <c r="P70" s="64">
        <v>0.41</v>
      </c>
      <c r="Q70" s="64">
        <v>8.56</v>
      </c>
      <c r="R70" s="198"/>
      <c r="S70" s="198"/>
      <c r="T70" s="198"/>
      <c r="U70" s="198"/>
    </row>
    <row r="71" spans="1:21" s="12" customFormat="1" x14ac:dyDescent="0.25">
      <c r="A71" s="213" t="s">
        <v>2997</v>
      </c>
      <c r="B71" s="64">
        <v>2.0299999999999998</v>
      </c>
      <c r="C71" s="64">
        <v>57.39</v>
      </c>
      <c r="D71" s="64">
        <v>33.94</v>
      </c>
      <c r="E71" s="64">
        <v>4.43</v>
      </c>
      <c r="F71" s="64">
        <v>5.52</v>
      </c>
      <c r="G71" s="64">
        <v>47.29</v>
      </c>
      <c r="H71" s="64">
        <v>20.3</v>
      </c>
      <c r="I71" s="64">
        <v>1.55</v>
      </c>
      <c r="J71" s="64">
        <v>0.84</v>
      </c>
      <c r="K71" s="64">
        <v>331.12</v>
      </c>
      <c r="L71" s="64">
        <v>31.49</v>
      </c>
      <c r="M71" s="64">
        <v>22.25</v>
      </c>
      <c r="N71" s="64">
        <v>181.2</v>
      </c>
      <c r="O71" s="64">
        <v>0</v>
      </c>
      <c r="P71" s="64">
        <v>0.39</v>
      </c>
      <c r="Q71" s="64">
        <v>8.6300000000000008</v>
      </c>
      <c r="R71" s="198"/>
      <c r="S71" s="198"/>
      <c r="T71" s="198"/>
      <c r="U71" s="198"/>
    </row>
    <row r="72" spans="1:21" s="12" customFormat="1" x14ac:dyDescent="0.25">
      <c r="A72" s="213" t="s">
        <v>2998</v>
      </c>
      <c r="B72" s="64">
        <v>2.5499999999999998</v>
      </c>
      <c r="C72" s="64">
        <v>55.69</v>
      </c>
      <c r="D72" s="64">
        <v>33.42</v>
      </c>
      <c r="E72" s="64">
        <v>3.8</v>
      </c>
      <c r="F72" s="64">
        <v>4.55</v>
      </c>
      <c r="G72" s="64">
        <v>47.29</v>
      </c>
      <c r="H72" s="64">
        <v>20.3</v>
      </c>
      <c r="I72" s="64">
        <v>1.53</v>
      </c>
      <c r="J72" s="64">
        <v>0.39</v>
      </c>
      <c r="K72" s="64">
        <v>3.44</v>
      </c>
      <c r="L72" s="64">
        <v>30.5</v>
      </c>
      <c r="M72" s="64">
        <v>22.53</v>
      </c>
      <c r="N72" s="64">
        <v>191.2</v>
      </c>
      <c r="O72" s="64">
        <v>0</v>
      </c>
      <c r="P72" s="64">
        <v>0.4</v>
      </c>
      <c r="Q72" s="64">
        <v>8.66</v>
      </c>
      <c r="R72" s="198"/>
      <c r="S72" s="198"/>
      <c r="T72" s="198"/>
      <c r="U72" s="198"/>
    </row>
    <row r="73" spans="1:21" s="12" customFormat="1" x14ac:dyDescent="0.25">
      <c r="A73" s="213" t="s">
        <v>2999</v>
      </c>
      <c r="B73" s="64">
        <v>3.57</v>
      </c>
      <c r="C73" s="64">
        <v>55.88</v>
      </c>
      <c r="D73" s="64">
        <v>34.35</v>
      </c>
      <c r="E73" s="64">
        <v>4.1900000000000004</v>
      </c>
      <c r="F73" s="64">
        <v>4.33</v>
      </c>
      <c r="G73" s="64">
        <v>47.29</v>
      </c>
      <c r="H73" s="64">
        <v>20.3</v>
      </c>
      <c r="I73" s="64">
        <v>1.45</v>
      </c>
      <c r="J73" s="64">
        <v>0.65</v>
      </c>
      <c r="K73" s="64">
        <v>337.13</v>
      </c>
      <c r="L73" s="64">
        <v>30.15</v>
      </c>
      <c r="M73" s="64">
        <v>22.27</v>
      </c>
      <c r="N73" s="64">
        <v>124.7</v>
      </c>
      <c r="O73" s="64">
        <v>0</v>
      </c>
      <c r="P73" s="64">
        <v>0.39</v>
      </c>
      <c r="Q73" s="64">
        <v>8.7100000000000009</v>
      </c>
      <c r="R73" s="198"/>
      <c r="S73" s="198"/>
      <c r="T73" s="198"/>
      <c r="U73" s="198"/>
    </row>
    <row r="74" spans="1:21" s="12" customFormat="1" x14ac:dyDescent="0.25">
      <c r="A74" s="213" t="s">
        <v>3000</v>
      </c>
      <c r="B74" s="64">
        <v>4.37</v>
      </c>
      <c r="C74" s="64">
        <v>58.48</v>
      </c>
      <c r="D74" s="64">
        <v>36.42</v>
      </c>
      <c r="E74" s="64">
        <v>3.98</v>
      </c>
      <c r="F74" s="64">
        <v>4.04</v>
      </c>
      <c r="G74" s="64">
        <v>40.229999999999997</v>
      </c>
      <c r="H74" s="64">
        <v>20.75</v>
      </c>
      <c r="I74" s="64">
        <v>1.44</v>
      </c>
      <c r="J74" s="64">
        <v>0.84</v>
      </c>
      <c r="K74" s="64">
        <v>350.83</v>
      </c>
      <c r="L74" s="64">
        <v>29.96</v>
      </c>
      <c r="M74" s="64">
        <v>20.92</v>
      </c>
      <c r="N74" s="64">
        <v>113.1</v>
      </c>
      <c r="O74" s="64">
        <v>0</v>
      </c>
      <c r="P74" s="64">
        <v>0.39</v>
      </c>
      <c r="Q74" s="64">
        <v>8.81</v>
      </c>
      <c r="R74" s="198"/>
      <c r="S74" s="198"/>
      <c r="T74" s="198"/>
      <c r="U74" s="198"/>
    </row>
    <row r="75" spans="1:21" s="12" customFormat="1" x14ac:dyDescent="0.25">
      <c r="A75" s="213" t="s">
        <v>3001</v>
      </c>
      <c r="B75" s="64">
        <v>5.09</v>
      </c>
      <c r="C75" s="64">
        <v>60.04</v>
      </c>
      <c r="D75" s="64">
        <v>37.86</v>
      </c>
      <c r="E75" s="64">
        <v>4.09</v>
      </c>
      <c r="F75" s="64">
        <v>3.79</v>
      </c>
      <c r="G75" s="64">
        <v>38.82</v>
      </c>
      <c r="H75" s="64">
        <v>20.84</v>
      </c>
      <c r="I75" s="64">
        <v>1.5</v>
      </c>
      <c r="J75" s="64">
        <v>0.37</v>
      </c>
      <c r="K75" s="64">
        <v>332.17</v>
      </c>
      <c r="L75" s="64">
        <v>29.37</v>
      </c>
      <c r="M75" s="64">
        <v>21.88</v>
      </c>
      <c r="N75" s="64">
        <v>105.4</v>
      </c>
      <c r="O75" s="64">
        <v>0</v>
      </c>
      <c r="P75" s="64">
        <v>0.41</v>
      </c>
      <c r="Q75" s="64">
        <v>8.84</v>
      </c>
      <c r="R75" s="198"/>
      <c r="S75" s="198"/>
      <c r="T75" s="198"/>
      <c r="U75" s="198"/>
    </row>
    <row r="76" spans="1:21" s="12" customFormat="1" x14ac:dyDescent="0.25">
      <c r="A76" s="213" t="s">
        <v>3002</v>
      </c>
      <c r="B76" s="64">
        <v>5.62</v>
      </c>
      <c r="C76" s="64">
        <v>60.24</v>
      </c>
      <c r="D76" s="64">
        <v>38.4</v>
      </c>
      <c r="E76" s="64">
        <v>3.95</v>
      </c>
      <c r="F76" s="64">
        <v>3.64</v>
      </c>
      <c r="G76" s="64">
        <v>38.82</v>
      </c>
      <c r="H76" s="64">
        <v>20.84</v>
      </c>
      <c r="I76" s="64">
        <v>1.43</v>
      </c>
      <c r="J76" s="64">
        <v>0.84</v>
      </c>
      <c r="K76" s="64">
        <v>350.16</v>
      </c>
      <c r="L76" s="64">
        <v>28.87</v>
      </c>
      <c r="M76" s="64">
        <v>23.55</v>
      </c>
      <c r="N76" s="64">
        <v>93</v>
      </c>
      <c r="O76" s="64">
        <v>0</v>
      </c>
      <c r="P76" s="64">
        <v>0.41</v>
      </c>
      <c r="Q76" s="64">
        <v>8.82</v>
      </c>
      <c r="R76" s="198"/>
      <c r="S76" s="198"/>
      <c r="T76" s="198"/>
      <c r="U76" s="198"/>
    </row>
    <row r="77" spans="1:21" s="12" customFormat="1" x14ac:dyDescent="0.25">
      <c r="A77" s="213" t="s">
        <v>3003</v>
      </c>
      <c r="B77" s="64">
        <v>6.59</v>
      </c>
      <c r="C77" s="64">
        <v>59.51</v>
      </c>
      <c r="D77" s="64">
        <v>38.770000000000003</v>
      </c>
      <c r="E77" s="64">
        <v>3.82</v>
      </c>
      <c r="F77" s="64">
        <v>3.69</v>
      </c>
      <c r="G77" s="64">
        <v>38.82</v>
      </c>
      <c r="H77" s="64">
        <v>20.84</v>
      </c>
      <c r="I77" s="64">
        <v>1.53</v>
      </c>
      <c r="J77" s="64">
        <v>0.63</v>
      </c>
      <c r="K77" s="64">
        <v>346.94</v>
      </c>
      <c r="L77" s="64">
        <v>28.42</v>
      </c>
      <c r="M77" s="64">
        <v>25.77</v>
      </c>
      <c r="N77" s="64">
        <v>83.5</v>
      </c>
      <c r="O77" s="64">
        <v>0</v>
      </c>
      <c r="P77" s="64">
        <v>0.42</v>
      </c>
      <c r="Q77" s="64">
        <v>8.85</v>
      </c>
      <c r="R77" s="198"/>
      <c r="S77" s="198"/>
      <c r="T77" s="198"/>
      <c r="U77" s="198"/>
    </row>
    <row r="78" spans="1:21" s="12" customFormat="1" x14ac:dyDescent="0.25">
      <c r="A78" s="213" t="s">
        <v>3004</v>
      </c>
      <c r="B78" s="64">
        <v>7.52</v>
      </c>
      <c r="C78" s="64">
        <v>58.77</v>
      </c>
      <c r="D78" s="64">
        <v>39.11</v>
      </c>
      <c r="E78" s="64">
        <v>3.56</v>
      </c>
      <c r="F78" s="64">
        <v>3.56</v>
      </c>
      <c r="G78" s="64">
        <v>51.78</v>
      </c>
      <c r="H78" s="64">
        <v>19.53</v>
      </c>
      <c r="I78" s="64">
        <v>1.6</v>
      </c>
      <c r="J78" s="64">
        <v>0.04</v>
      </c>
      <c r="K78" s="64">
        <v>267.70999999999998</v>
      </c>
      <c r="L78" s="64">
        <v>27.68</v>
      </c>
      <c r="M78" s="64">
        <v>26.25</v>
      </c>
      <c r="N78" s="64">
        <v>72.3</v>
      </c>
      <c r="O78" s="64">
        <v>0</v>
      </c>
      <c r="P78" s="64">
        <v>0.46</v>
      </c>
      <c r="Q78" s="64">
        <v>8.9600000000000009</v>
      </c>
      <c r="R78" s="198"/>
      <c r="S78" s="198"/>
      <c r="T78" s="198"/>
      <c r="U78" s="198"/>
    </row>
    <row r="79" spans="1:21" s="12" customFormat="1" x14ac:dyDescent="0.25">
      <c r="A79" s="213" t="s">
        <v>3005</v>
      </c>
      <c r="B79" s="64">
        <v>8.49</v>
      </c>
      <c r="C79" s="64">
        <v>58.11</v>
      </c>
      <c r="D79" s="64">
        <v>39.520000000000003</v>
      </c>
      <c r="E79" s="64">
        <v>4</v>
      </c>
      <c r="F79" s="64">
        <v>3.47</v>
      </c>
      <c r="G79" s="64">
        <v>54.37</v>
      </c>
      <c r="H79" s="64">
        <v>19.27</v>
      </c>
      <c r="I79" s="64">
        <v>1.45</v>
      </c>
      <c r="J79" s="64">
        <v>0.1</v>
      </c>
      <c r="K79" s="64">
        <v>147.86000000000001</v>
      </c>
      <c r="L79" s="64">
        <v>27.31</v>
      </c>
      <c r="M79" s="64">
        <v>25.37</v>
      </c>
      <c r="N79" s="64">
        <v>59.2</v>
      </c>
      <c r="O79" s="64">
        <v>0</v>
      </c>
      <c r="P79" s="64">
        <v>0.44</v>
      </c>
      <c r="Q79" s="64">
        <v>9.0299999999999994</v>
      </c>
      <c r="R79" s="198"/>
      <c r="S79" s="198"/>
      <c r="T79" s="198"/>
      <c r="U79" s="198"/>
    </row>
    <row r="80" spans="1:21" s="12" customFormat="1" x14ac:dyDescent="0.25">
      <c r="A80" s="213" t="s">
        <v>3006</v>
      </c>
      <c r="B80" s="64">
        <v>8.8699999999999992</v>
      </c>
      <c r="C80" s="64">
        <v>57.39</v>
      </c>
      <c r="D80" s="64">
        <v>39.43</v>
      </c>
      <c r="E80" s="64">
        <v>4.03</v>
      </c>
      <c r="F80" s="64">
        <v>3.46</v>
      </c>
      <c r="G80" s="64">
        <v>54.37</v>
      </c>
      <c r="H80" s="64">
        <v>19.27</v>
      </c>
      <c r="I80" s="64">
        <v>1.5</v>
      </c>
      <c r="J80" s="64">
        <v>0.1</v>
      </c>
      <c r="K80" s="64">
        <v>295.97000000000003</v>
      </c>
      <c r="L80" s="64">
        <v>26.95</v>
      </c>
      <c r="M80" s="64">
        <v>27.3</v>
      </c>
      <c r="N80" s="64">
        <v>49.3</v>
      </c>
      <c r="O80" s="64">
        <v>0</v>
      </c>
      <c r="P80" s="64">
        <v>0.43</v>
      </c>
      <c r="Q80" s="64">
        <v>9.06</v>
      </c>
      <c r="R80" s="198"/>
      <c r="S80" s="198"/>
      <c r="T80" s="198"/>
      <c r="U80" s="198"/>
    </row>
    <row r="81" spans="1:26" s="12" customFormat="1" x14ac:dyDescent="0.25">
      <c r="A81" s="213" t="s">
        <v>3007</v>
      </c>
      <c r="B81" s="64">
        <v>10.02</v>
      </c>
      <c r="C81" s="64">
        <v>57.08</v>
      </c>
      <c r="D81" s="64">
        <v>40.18</v>
      </c>
      <c r="E81" s="64">
        <v>4.1100000000000003</v>
      </c>
      <c r="F81" s="64">
        <v>3.52</v>
      </c>
      <c r="G81" s="64">
        <v>54.37</v>
      </c>
      <c r="H81" s="64">
        <v>19.27</v>
      </c>
      <c r="I81" s="64">
        <v>1.55</v>
      </c>
      <c r="J81" s="64">
        <v>0.04</v>
      </c>
      <c r="K81" s="64">
        <v>51.56</v>
      </c>
      <c r="L81" s="64">
        <v>25.5</v>
      </c>
      <c r="M81" s="64">
        <v>39.880000000000003</v>
      </c>
      <c r="N81" s="64">
        <v>45.3</v>
      </c>
      <c r="O81" s="64">
        <v>0</v>
      </c>
      <c r="P81" s="64">
        <v>0.51</v>
      </c>
      <c r="Q81" s="64">
        <v>9.09</v>
      </c>
      <c r="R81" s="198"/>
      <c r="S81" s="198"/>
      <c r="T81" s="198"/>
      <c r="U81" s="198"/>
    </row>
    <row r="82" spans="1:26" s="12" customFormat="1" x14ac:dyDescent="0.25">
      <c r="A82" s="213" t="s">
        <v>3008</v>
      </c>
      <c r="B82" s="64">
        <v>12.23</v>
      </c>
      <c r="C82" s="64">
        <v>57.09</v>
      </c>
      <c r="D82" s="64">
        <v>41.96</v>
      </c>
      <c r="E82" s="64">
        <v>3.92</v>
      </c>
      <c r="F82" s="64">
        <v>3.43</v>
      </c>
      <c r="G82" s="64">
        <v>53.83</v>
      </c>
      <c r="H82" s="64">
        <v>19.36</v>
      </c>
      <c r="I82" s="64">
        <v>1.51</v>
      </c>
      <c r="J82" s="64">
        <v>0.18</v>
      </c>
      <c r="K82" s="64">
        <v>270.83999999999997</v>
      </c>
      <c r="L82" s="64">
        <v>24.46</v>
      </c>
      <c r="M82" s="64">
        <v>46.44</v>
      </c>
      <c r="N82" s="64">
        <v>44.6</v>
      </c>
      <c r="O82" s="64">
        <v>0</v>
      </c>
      <c r="P82" s="64">
        <v>0.51</v>
      </c>
      <c r="Q82" s="64">
        <v>9.14</v>
      </c>
      <c r="R82" s="198"/>
      <c r="S82" s="198"/>
      <c r="T82" s="198"/>
      <c r="U82" s="198"/>
    </row>
    <row r="83" spans="1:26" s="12" customFormat="1" x14ac:dyDescent="0.25">
      <c r="A83" s="213" t="s">
        <v>3009</v>
      </c>
      <c r="B83" s="64">
        <v>14.69</v>
      </c>
      <c r="C83" s="64">
        <v>58.76</v>
      </c>
      <c r="D83" s="64">
        <v>44.85</v>
      </c>
      <c r="E83" s="64">
        <v>4</v>
      </c>
      <c r="F83" s="64">
        <v>3.46</v>
      </c>
      <c r="G83" s="64">
        <v>53.72</v>
      </c>
      <c r="H83" s="64">
        <v>19.38</v>
      </c>
      <c r="I83" s="64">
        <v>1.51</v>
      </c>
      <c r="J83" s="64">
        <v>0.06</v>
      </c>
      <c r="K83" s="64">
        <v>227.18</v>
      </c>
      <c r="L83" s="64">
        <v>24.05</v>
      </c>
      <c r="M83" s="64">
        <v>37.659999999999997</v>
      </c>
      <c r="N83" s="64">
        <v>45.4</v>
      </c>
      <c r="O83" s="64">
        <v>0</v>
      </c>
      <c r="P83" s="64">
        <v>0.53</v>
      </c>
      <c r="Q83" s="64">
        <v>9.19</v>
      </c>
      <c r="R83" s="198"/>
      <c r="S83" s="198"/>
      <c r="T83" s="198"/>
      <c r="U83" s="198"/>
    </row>
    <row r="84" spans="1:26" s="12" customFormat="1" x14ac:dyDescent="0.25">
      <c r="A84" s="213" t="s">
        <v>3010</v>
      </c>
      <c r="B84" s="64">
        <v>18.27</v>
      </c>
      <c r="C84" s="64">
        <v>61.74</v>
      </c>
      <c r="D84" s="64">
        <v>49.37</v>
      </c>
      <c r="E84" s="64">
        <v>4.3</v>
      </c>
      <c r="F84" s="64">
        <v>3.49</v>
      </c>
      <c r="G84" s="64">
        <v>53.72</v>
      </c>
      <c r="H84" s="64">
        <v>19.38</v>
      </c>
      <c r="I84" s="64">
        <v>1.54</v>
      </c>
      <c r="J84" s="64">
        <v>0.23</v>
      </c>
      <c r="K84" s="64">
        <v>84.59</v>
      </c>
      <c r="L84" s="64">
        <v>23.85</v>
      </c>
      <c r="M84" s="64">
        <v>41.54</v>
      </c>
      <c r="N84" s="64">
        <v>45.6</v>
      </c>
      <c r="O84" s="64">
        <v>0</v>
      </c>
      <c r="P84" s="64">
        <v>0.56000000000000005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3" t="s">
        <v>3011</v>
      </c>
      <c r="B85" s="64">
        <v>24.85</v>
      </c>
      <c r="C85" s="64">
        <v>65.45</v>
      </c>
      <c r="D85" s="64">
        <v>56.69</v>
      </c>
      <c r="E85" s="64">
        <v>4.4800000000000004</v>
      </c>
      <c r="F85" s="64">
        <v>3.3</v>
      </c>
      <c r="G85" s="64">
        <v>53.72</v>
      </c>
      <c r="H85" s="64">
        <v>19.38</v>
      </c>
      <c r="I85" s="64">
        <v>1.54</v>
      </c>
      <c r="J85" s="64">
        <v>0.08</v>
      </c>
      <c r="K85" s="64">
        <v>75.459999999999994</v>
      </c>
      <c r="L85" s="64">
        <v>23.42</v>
      </c>
      <c r="M85" s="64">
        <v>43.15</v>
      </c>
      <c r="N85" s="64">
        <v>46</v>
      </c>
      <c r="O85" s="64">
        <v>0</v>
      </c>
      <c r="P85" s="64">
        <v>0.63</v>
      </c>
      <c r="Q85" s="64">
        <v>9.32</v>
      </c>
      <c r="R85" s="198"/>
      <c r="S85" s="198"/>
      <c r="T85" s="198"/>
      <c r="U85" s="198"/>
    </row>
    <row r="86" spans="1:26" s="12" customFormat="1" x14ac:dyDescent="0.25">
      <c r="A86" s="213" t="s">
        <v>3012</v>
      </c>
      <c r="B86" s="64">
        <v>32.79</v>
      </c>
      <c r="C86" s="64">
        <v>67.95</v>
      </c>
      <c r="D86" s="64">
        <v>64.44</v>
      </c>
      <c r="E86" s="64">
        <v>4.54</v>
      </c>
      <c r="F86" s="64">
        <v>3.19</v>
      </c>
      <c r="G86" s="64">
        <v>74.11</v>
      </c>
      <c r="H86" s="64">
        <v>27.64</v>
      </c>
      <c r="I86" s="64">
        <v>1.52</v>
      </c>
      <c r="J86" s="64">
        <v>0.09</v>
      </c>
      <c r="K86" s="64">
        <v>24.88</v>
      </c>
      <c r="L86" s="64">
        <v>23.41</v>
      </c>
      <c r="M86" s="64">
        <v>45.41</v>
      </c>
      <c r="N86" s="64">
        <v>46.3</v>
      </c>
      <c r="O86" s="64">
        <v>0</v>
      </c>
      <c r="P86" s="64">
        <v>0.73</v>
      </c>
      <c r="Q86" s="64">
        <v>9.4499999999999993</v>
      </c>
      <c r="R86" s="198"/>
      <c r="S86" s="198"/>
      <c r="T86" s="198"/>
      <c r="U86" s="198"/>
    </row>
    <row r="87" spans="1:26" s="12" customFormat="1" x14ac:dyDescent="0.25">
      <c r="A87" s="213" t="s">
        <v>3013</v>
      </c>
      <c r="B87" s="64">
        <v>40.04</v>
      </c>
      <c r="C87" s="64">
        <v>69.58</v>
      </c>
      <c r="D87" s="64">
        <v>71.16</v>
      </c>
      <c r="E87" s="64">
        <v>4.34</v>
      </c>
      <c r="F87" s="64">
        <v>3.25</v>
      </c>
      <c r="G87" s="64">
        <v>78.19</v>
      </c>
      <c r="H87" s="64">
        <v>29.29</v>
      </c>
      <c r="I87" s="64">
        <v>1.53</v>
      </c>
      <c r="J87" s="64">
        <v>0.45</v>
      </c>
      <c r="K87" s="64">
        <v>93.99</v>
      </c>
      <c r="L87" s="64">
        <v>23.58</v>
      </c>
      <c r="M87" s="64">
        <v>44.95</v>
      </c>
      <c r="N87" s="64">
        <v>44.6</v>
      </c>
      <c r="O87" s="64">
        <v>0</v>
      </c>
      <c r="P87" s="64">
        <v>0.83</v>
      </c>
      <c r="Q87" s="64">
        <v>9.59</v>
      </c>
      <c r="R87" s="198"/>
      <c r="S87" s="198"/>
      <c r="T87" s="198"/>
      <c r="U87" s="198"/>
    </row>
    <row r="88" spans="1:26" s="12" customFormat="1" x14ac:dyDescent="0.25">
      <c r="A88" s="213" t="s">
        <v>3014</v>
      </c>
      <c r="B88" s="64">
        <v>42.75</v>
      </c>
      <c r="C88" s="64">
        <v>70.39</v>
      </c>
      <c r="D88" s="64">
        <v>73.77</v>
      </c>
      <c r="E88" s="64">
        <v>4.2699999999999996</v>
      </c>
      <c r="F88" s="64">
        <v>3.43</v>
      </c>
      <c r="G88" s="64">
        <v>78.19</v>
      </c>
      <c r="H88" s="64">
        <v>29.29</v>
      </c>
      <c r="I88" s="64">
        <v>1.6</v>
      </c>
      <c r="J88" s="64">
        <v>0.16</v>
      </c>
      <c r="K88" s="64">
        <v>89.23</v>
      </c>
      <c r="L88" s="64">
        <v>24.86</v>
      </c>
      <c r="M88" s="64">
        <v>32.380000000000003</v>
      </c>
      <c r="N88" s="64">
        <v>45.1</v>
      </c>
      <c r="O88" s="64">
        <v>0</v>
      </c>
      <c r="P88" s="64">
        <v>0.86</v>
      </c>
      <c r="Q88" s="64">
        <v>9.84</v>
      </c>
      <c r="R88" s="198"/>
      <c r="S88" s="198"/>
      <c r="T88" s="198"/>
      <c r="U88" s="198"/>
    </row>
    <row r="89" spans="1:26" s="12" customFormat="1" x14ac:dyDescent="0.25">
      <c r="A89" s="213" t="s">
        <v>3015</v>
      </c>
      <c r="B89" s="64">
        <v>41.03</v>
      </c>
      <c r="C89" s="64">
        <v>70.05</v>
      </c>
      <c r="D89" s="64">
        <v>72.209999999999994</v>
      </c>
      <c r="E89" s="64">
        <v>4.32</v>
      </c>
      <c r="F89" s="64">
        <v>3.31</v>
      </c>
      <c r="G89" s="64">
        <v>78.19</v>
      </c>
      <c r="H89" s="64">
        <v>29.29</v>
      </c>
      <c r="I89" s="64">
        <v>1.43</v>
      </c>
      <c r="J89" s="64">
        <v>0.05</v>
      </c>
      <c r="K89" s="64">
        <v>214.73</v>
      </c>
      <c r="L89" s="64">
        <v>24.43</v>
      </c>
      <c r="M89" s="64">
        <v>35.46</v>
      </c>
      <c r="N89" s="64">
        <v>46.4</v>
      </c>
      <c r="O89" s="64">
        <v>0</v>
      </c>
      <c r="P89" s="64">
        <v>0.86</v>
      </c>
      <c r="Q89" s="64">
        <v>9.9700000000000006</v>
      </c>
      <c r="R89" s="198"/>
      <c r="S89" s="198"/>
      <c r="T89" s="198"/>
      <c r="U89" s="198"/>
    </row>
    <row r="90" spans="1:26" s="12" customFormat="1" x14ac:dyDescent="0.25">
      <c r="A90" s="213" t="s">
        <v>3016</v>
      </c>
      <c r="B90" s="64">
        <v>38.92</v>
      </c>
      <c r="C90" s="64">
        <v>70.540000000000006</v>
      </c>
      <c r="D90" s="64">
        <v>70.790000000000006</v>
      </c>
      <c r="E90" s="64">
        <v>4.1500000000000004</v>
      </c>
      <c r="F90" s="64">
        <v>3.04</v>
      </c>
      <c r="G90" s="64">
        <v>81.02</v>
      </c>
      <c r="H90" s="64">
        <v>31.58</v>
      </c>
      <c r="I90" s="64">
        <v>1.43</v>
      </c>
      <c r="J90" s="64">
        <v>0.68</v>
      </c>
      <c r="K90" s="64">
        <v>85.28</v>
      </c>
      <c r="L90" s="64">
        <v>24.7</v>
      </c>
      <c r="M90" s="64">
        <v>35.94</v>
      </c>
      <c r="N90" s="64">
        <v>44.7</v>
      </c>
      <c r="O90" s="64">
        <v>0</v>
      </c>
      <c r="P90" s="64">
        <v>0.86</v>
      </c>
      <c r="Q90" s="64">
        <v>9.9700000000000006</v>
      </c>
      <c r="R90" s="198"/>
      <c r="S90" s="198"/>
      <c r="T90" s="198"/>
      <c r="U90" s="198"/>
    </row>
    <row r="91" spans="1:26" s="12" customFormat="1" x14ac:dyDescent="0.25">
      <c r="A91" s="213" t="s">
        <v>3017</v>
      </c>
      <c r="B91" s="64">
        <v>37.21</v>
      </c>
      <c r="C91" s="64">
        <v>69.77</v>
      </c>
      <c r="D91" s="64">
        <v>68.989999999999995</v>
      </c>
      <c r="E91" s="64">
        <v>4.08</v>
      </c>
      <c r="F91" s="64">
        <v>3.28</v>
      </c>
      <c r="G91" s="64">
        <v>81.59</v>
      </c>
      <c r="H91" s="64">
        <v>32.03</v>
      </c>
      <c r="I91" s="64">
        <v>1.51</v>
      </c>
      <c r="J91" s="64">
        <v>0.4</v>
      </c>
      <c r="K91" s="64">
        <v>89.11</v>
      </c>
      <c r="L91" s="64">
        <v>24.57</v>
      </c>
      <c r="M91" s="64">
        <v>38.01</v>
      </c>
      <c r="N91" s="64">
        <v>46.1</v>
      </c>
      <c r="O91" s="64">
        <v>0</v>
      </c>
      <c r="P91" s="64">
        <v>0.87</v>
      </c>
      <c r="Q91" s="64">
        <v>9.92</v>
      </c>
      <c r="R91" s="198"/>
      <c r="S91" s="198"/>
      <c r="T91" s="198"/>
      <c r="U91" s="198"/>
    </row>
    <row r="92" spans="1:26" s="12" customFormat="1" x14ac:dyDescent="0.25">
      <c r="A92" s="213" t="s">
        <v>3018</v>
      </c>
      <c r="B92" s="64">
        <v>35.81</v>
      </c>
      <c r="C92" s="64">
        <v>69.069999999999993</v>
      </c>
      <c r="D92" s="64">
        <v>67.48</v>
      </c>
      <c r="E92" s="64">
        <v>4.37</v>
      </c>
      <c r="F92" s="64">
        <v>3.31</v>
      </c>
      <c r="G92" s="64">
        <v>81.59</v>
      </c>
      <c r="H92" s="64">
        <v>32.03</v>
      </c>
      <c r="I92" s="64">
        <v>1.53</v>
      </c>
      <c r="J92" s="64">
        <v>0.68</v>
      </c>
      <c r="K92" s="64">
        <v>85.48</v>
      </c>
      <c r="L92" s="64">
        <v>24.48</v>
      </c>
      <c r="M92" s="64">
        <v>38.11</v>
      </c>
      <c r="N92" s="64">
        <v>45.5</v>
      </c>
      <c r="O92" s="64">
        <v>0</v>
      </c>
      <c r="P92" s="64">
        <v>0.89</v>
      </c>
      <c r="Q92" s="64">
        <v>9.85</v>
      </c>
      <c r="R92" s="198"/>
      <c r="S92" s="198"/>
      <c r="T92" s="198"/>
      <c r="U92" s="198"/>
    </row>
    <row r="93" spans="1:26" s="12" customFormat="1" x14ac:dyDescent="0.25">
      <c r="A93" s="213" t="s">
        <v>3019</v>
      </c>
      <c r="B93" s="64">
        <v>34.380000000000003</v>
      </c>
      <c r="C93" s="64">
        <v>69.11</v>
      </c>
      <c r="D93" s="64">
        <v>66.349999999999994</v>
      </c>
      <c r="E93" s="64">
        <v>4.07</v>
      </c>
      <c r="F93" s="64">
        <v>3.25</v>
      </c>
      <c r="G93" s="64">
        <v>81.59</v>
      </c>
      <c r="H93" s="64">
        <v>32.03</v>
      </c>
      <c r="I93" s="64">
        <v>1.56</v>
      </c>
      <c r="J93" s="64">
        <v>1</v>
      </c>
      <c r="K93" s="64">
        <v>95.38</v>
      </c>
      <c r="L93" s="64">
        <v>24.48</v>
      </c>
      <c r="M93" s="64">
        <v>37.979999999999997</v>
      </c>
      <c r="N93" s="64">
        <v>45.6</v>
      </c>
      <c r="O93" s="64">
        <v>0</v>
      </c>
      <c r="P93" s="64">
        <v>0.91</v>
      </c>
      <c r="Q93" s="64">
        <v>9.83</v>
      </c>
      <c r="R93" s="198"/>
      <c r="S93" s="198"/>
      <c r="T93" s="198"/>
      <c r="U93" s="198"/>
    </row>
    <row r="94" spans="1:26" s="12" customFormat="1" x14ac:dyDescent="0.25">
      <c r="A94" s="213" t="s">
        <v>3020</v>
      </c>
      <c r="B94" s="64">
        <v>32.590000000000003</v>
      </c>
      <c r="C94" s="64">
        <v>67.84</v>
      </c>
      <c r="D94" s="64">
        <v>64.22</v>
      </c>
      <c r="E94" s="64">
        <v>4</v>
      </c>
      <c r="F94" s="64">
        <v>3.4</v>
      </c>
      <c r="G94" s="64">
        <v>78.22</v>
      </c>
      <c r="H94" s="64">
        <v>28.37</v>
      </c>
      <c r="I94" s="64">
        <v>1.48</v>
      </c>
      <c r="J94" s="64">
        <v>1.2</v>
      </c>
      <c r="K94" s="64">
        <v>99.98</v>
      </c>
      <c r="L94" s="64">
        <v>24.43</v>
      </c>
      <c r="M94" s="64">
        <v>37.369999999999997</v>
      </c>
      <c r="N94" s="64">
        <v>45.8</v>
      </c>
      <c r="O94" s="64">
        <v>0</v>
      </c>
      <c r="P94" s="64">
        <v>0.9</v>
      </c>
      <c r="Q94" s="64">
        <v>9.83</v>
      </c>
      <c r="R94" s="198"/>
      <c r="S94" s="198"/>
      <c r="T94" s="198"/>
      <c r="U94" s="198"/>
    </row>
    <row r="95" spans="1:26" s="12" customFormat="1" x14ac:dyDescent="0.25">
      <c r="A95" s="213" t="s">
        <v>3021</v>
      </c>
      <c r="B95" s="64">
        <v>31.03</v>
      </c>
      <c r="C95" s="64">
        <v>64.709999999999994</v>
      </c>
      <c r="D95" s="64">
        <v>61.24</v>
      </c>
      <c r="E95" s="64">
        <v>3.94</v>
      </c>
      <c r="F95" s="64">
        <v>3.24</v>
      </c>
      <c r="G95" s="64">
        <v>77.540000000000006</v>
      </c>
      <c r="H95" s="64">
        <v>27.63</v>
      </c>
      <c r="I95" s="64">
        <v>1.55</v>
      </c>
      <c r="J95" s="64">
        <v>0.55000000000000004</v>
      </c>
      <c r="K95" s="64">
        <v>95.35</v>
      </c>
      <c r="L95" s="64">
        <v>24.11</v>
      </c>
      <c r="M95" s="64">
        <v>36.99</v>
      </c>
      <c r="N95" s="64">
        <v>46.9</v>
      </c>
      <c r="O95" s="64">
        <v>0</v>
      </c>
      <c r="P95" s="64">
        <v>0.88</v>
      </c>
      <c r="Q95" s="64">
        <v>9.7899999999999991</v>
      </c>
      <c r="R95" s="198"/>
      <c r="S95" s="198"/>
      <c r="T95" s="198"/>
      <c r="U95" s="198"/>
    </row>
    <row r="96" spans="1:26" s="12" customFormat="1" x14ac:dyDescent="0.25">
      <c r="A96" s="213" t="s">
        <v>3022</v>
      </c>
      <c r="B96" s="64">
        <v>30.76</v>
      </c>
      <c r="C96" s="64">
        <v>63.14</v>
      </c>
      <c r="D96" s="64">
        <v>60.16</v>
      </c>
      <c r="E96" s="64">
        <v>4.03</v>
      </c>
      <c r="F96" s="64">
        <v>3.6</v>
      </c>
      <c r="G96" s="64">
        <v>77.540000000000006</v>
      </c>
      <c r="H96" s="64">
        <v>27.63</v>
      </c>
      <c r="I96" s="64">
        <v>1.5</v>
      </c>
      <c r="J96" s="64">
        <v>0.15</v>
      </c>
      <c r="K96" s="64">
        <v>5.2</v>
      </c>
      <c r="L96" s="64">
        <v>23.2</v>
      </c>
      <c r="M96" s="64">
        <v>40.08</v>
      </c>
      <c r="N96" s="64">
        <v>47.3</v>
      </c>
      <c r="O96" s="64">
        <v>0</v>
      </c>
      <c r="P96" s="64">
        <v>0.89</v>
      </c>
      <c r="Q96" s="64">
        <v>9.74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3023</v>
      </c>
      <c r="B97" s="64">
        <v>31.61</v>
      </c>
      <c r="C97" s="64">
        <v>62.41</v>
      </c>
      <c r="D97" s="64">
        <v>60.44</v>
      </c>
      <c r="E97" s="64">
        <v>3.84</v>
      </c>
      <c r="F97" s="64">
        <v>3.34</v>
      </c>
      <c r="G97" s="64">
        <v>77.540000000000006</v>
      </c>
      <c r="H97" s="64">
        <v>27.63</v>
      </c>
      <c r="I97" s="64">
        <v>1.53</v>
      </c>
      <c r="J97" s="64">
        <v>0.23</v>
      </c>
      <c r="K97" s="64">
        <v>16.690000000000001</v>
      </c>
      <c r="L97" s="64">
        <v>22.61</v>
      </c>
      <c r="M97" s="64">
        <v>41.48</v>
      </c>
      <c r="N97" s="64">
        <v>47.3</v>
      </c>
      <c r="O97" s="64">
        <v>0</v>
      </c>
      <c r="P97" s="64">
        <v>0.94</v>
      </c>
      <c r="Q97" s="64">
        <v>9.7200000000000006</v>
      </c>
      <c r="R97" s="198"/>
      <c r="S97" s="198"/>
      <c r="T97" s="198"/>
      <c r="U97" s="198"/>
    </row>
    <row r="98" spans="1:33" s="12" customFormat="1" x14ac:dyDescent="0.25">
      <c r="A98" s="213" t="s">
        <v>3024</v>
      </c>
      <c r="B98" s="64">
        <v>32.97</v>
      </c>
      <c r="C98" s="64">
        <v>61.6</v>
      </c>
      <c r="D98" s="64">
        <v>61.08</v>
      </c>
      <c r="E98" s="64">
        <v>3.77</v>
      </c>
      <c r="F98" s="64">
        <v>3.35</v>
      </c>
      <c r="G98" s="64">
        <v>77.569999999999993</v>
      </c>
      <c r="H98" s="64">
        <v>27.33</v>
      </c>
      <c r="I98" s="64">
        <v>1.5</v>
      </c>
      <c r="J98" s="64">
        <v>0.19</v>
      </c>
      <c r="K98" s="64">
        <v>6.51</v>
      </c>
      <c r="L98" s="64">
        <v>22.13</v>
      </c>
      <c r="M98" s="64">
        <v>43.13</v>
      </c>
      <c r="N98" s="64">
        <v>47.3</v>
      </c>
      <c r="O98" s="64">
        <v>0</v>
      </c>
      <c r="P98" s="64">
        <v>0.94</v>
      </c>
      <c r="Q98" s="64">
        <v>9.75</v>
      </c>
      <c r="R98" s="198"/>
      <c r="S98" s="198"/>
      <c r="T98" s="198"/>
      <c r="U98" s="198"/>
    </row>
    <row r="99" spans="1:33" s="12" customFormat="1" x14ac:dyDescent="0.25">
      <c r="A99" s="213" t="s">
        <v>3025</v>
      </c>
      <c r="B99" s="64">
        <v>34.369999999999997</v>
      </c>
      <c r="C99" s="64">
        <v>60.39</v>
      </c>
      <c r="D99" s="64">
        <v>61.54</v>
      </c>
      <c r="E99" s="64">
        <v>3.77</v>
      </c>
      <c r="F99" s="64">
        <v>3.17</v>
      </c>
      <c r="G99" s="64">
        <v>77.58</v>
      </c>
      <c r="H99" s="64">
        <v>27.27</v>
      </c>
      <c r="I99" s="64">
        <v>1.53</v>
      </c>
      <c r="J99" s="64">
        <v>0.28999999999999998</v>
      </c>
      <c r="K99" s="64">
        <v>79.16</v>
      </c>
      <c r="L99" s="64">
        <v>22.12</v>
      </c>
      <c r="M99" s="64">
        <v>39.64</v>
      </c>
      <c r="N99" s="64">
        <v>46.5</v>
      </c>
      <c r="O99" s="64">
        <v>0</v>
      </c>
      <c r="P99" s="64">
        <v>0.93</v>
      </c>
      <c r="Q99" s="64">
        <v>9.82</v>
      </c>
      <c r="R99" s="198"/>
      <c r="S99" s="198"/>
      <c r="T99" s="198"/>
      <c r="U99" s="198"/>
    </row>
    <row r="100" spans="1:33" s="12" customFormat="1" x14ac:dyDescent="0.25">
      <c r="A100" s="213" t="s">
        <v>3026</v>
      </c>
      <c r="B100" s="64">
        <v>34.42</v>
      </c>
      <c r="C100" s="64">
        <v>59.25</v>
      </c>
      <c r="D100" s="64">
        <v>60.95</v>
      </c>
      <c r="E100" s="64">
        <v>3.64</v>
      </c>
      <c r="F100" s="64">
        <v>3.14</v>
      </c>
      <c r="G100" s="64">
        <v>77.58</v>
      </c>
      <c r="H100" s="64">
        <v>27.27</v>
      </c>
      <c r="I100" s="64">
        <v>1.48</v>
      </c>
      <c r="J100" s="64">
        <v>0.3</v>
      </c>
      <c r="K100" s="64">
        <v>61.76</v>
      </c>
      <c r="L100" s="64">
        <v>22.45</v>
      </c>
      <c r="M100" s="64">
        <v>38.79</v>
      </c>
      <c r="N100" s="64">
        <v>46.5</v>
      </c>
      <c r="O100" s="64">
        <v>0</v>
      </c>
      <c r="P100" s="64">
        <v>0.92</v>
      </c>
      <c r="Q100" s="64">
        <v>9.84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3027</v>
      </c>
      <c r="B101" s="64">
        <v>34.03</v>
      </c>
      <c r="C101" s="64">
        <v>58.13</v>
      </c>
      <c r="D101" s="64">
        <v>60.02</v>
      </c>
      <c r="E101" s="64">
        <v>3.85</v>
      </c>
      <c r="F101" s="64">
        <v>3.04</v>
      </c>
      <c r="G101" s="64">
        <v>77.58</v>
      </c>
      <c r="H101" s="64">
        <v>27.27</v>
      </c>
      <c r="I101" s="64">
        <v>1.42</v>
      </c>
      <c r="J101" s="64">
        <v>0.26</v>
      </c>
      <c r="K101" s="64">
        <v>69.09</v>
      </c>
      <c r="L101" s="64">
        <v>22.46</v>
      </c>
      <c r="M101" s="64">
        <v>38.380000000000003</v>
      </c>
      <c r="N101" s="64">
        <v>46.9</v>
      </c>
      <c r="O101" s="64">
        <v>0</v>
      </c>
      <c r="P101" s="64">
        <v>0.91</v>
      </c>
      <c r="Q101" s="64">
        <v>9.86</v>
      </c>
      <c r="R101" s="198"/>
      <c r="S101" s="198"/>
      <c r="T101" s="198"/>
      <c r="U101" s="198"/>
    </row>
    <row r="102" spans="1:33" s="12" customFormat="1" x14ac:dyDescent="0.25">
      <c r="A102" s="213" t="s">
        <v>3028</v>
      </c>
      <c r="B102" s="64">
        <v>33.68</v>
      </c>
      <c r="C102" s="64">
        <v>55.3</v>
      </c>
      <c r="D102" s="64">
        <v>58.18</v>
      </c>
      <c r="E102" s="64">
        <v>3.91</v>
      </c>
      <c r="F102" s="64">
        <v>3.18</v>
      </c>
      <c r="G102" s="64">
        <v>72.040000000000006</v>
      </c>
      <c r="H102" s="64">
        <v>26.13</v>
      </c>
      <c r="I102" s="64">
        <v>1.46</v>
      </c>
      <c r="J102" s="64">
        <v>0.28000000000000003</v>
      </c>
      <c r="K102" s="64">
        <v>56.11</v>
      </c>
      <c r="L102" s="64">
        <v>22.27</v>
      </c>
      <c r="M102" s="64">
        <v>38.340000000000003</v>
      </c>
      <c r="N102" s="64">
        <v>46.9</v>
      </c>
      <c r="O102" s="64">
        <v>0</v>
      </c>
      <c r="P102" s="64">
        <v>0.9</v>
      </c>
      <c r="Q102" s="64">
        <v>9.8000000000000007</v>
      </c>
      <c r="R102" s="198"/>
      <c r="S102" s="198"/>
      <c r="T102" s="198"/>
      <c r="U102" s="198"/>
    </row>
    <row r="103" spans="1:33" s="12" customFormat="1" x14ac:dyDescent="0.25">
      <c r="A103" s="213" t="s">
        <v>3029</v>
      </c>
      <c r="B103" s="64">
        <v>33.380000000000003</v>
      </c>
      <c r="C103" s="64">
        <v>55.77</v>
      </c>
      <c r="D103" s="64">
        <v>58.19</v>
      </c>
      <c r="E103" s="64">
        <v>4</v>
      </c>
      <c r="F103" s="64">
        <v>3.29</v>
      </c>
      <c r="G103" s="64">
        <v>70.930000000000007</v>
      </c>
      <c r="H103" s="64">
        <v>25.91</v>
      </c>
      <c r="I103" s="64">
        <v>1.42</v>
      </c>
      <c r="J103" s="64">
        <v>0.22</v>
      </c>
      <c r="K103" s="64">
        <v>43.57</v>
      </c>
      <c r="L103" s="64">
        <v>22.05</v>
      </c>
      <c r="M103" s="64">
        <v>38.369999999999997</v>
      </c>
      <c r="N103" s="64">
        <v>47.1</v>
      </c>
      <c r="O103" s="64">
        <v>0</v>
      </c>
      <c r="P103" s="64">
        <v>0.89</v>
      </c>
      <c r="Q103" s="64">
        <v>9.73</v>
      </c>
      <c r="R103" s="198"/>
      <c r="S103" s="198"/>
      <c r="T103" s="198"/>
      <c r="U103" s="198"/>
    </row>
    <row r="104" spans="1:33" s="12" customFormat="1" x14ac:dyDescent="0.25">
      <c r="A104" s="213" t="s">
        <v>3030</v>
      </c>
      <c r="B104" s="64">
        <v>32.1</v>
      </c>
      <c r="C104" s="64">
        <v>57.44</v>
      </c>
      <c r="D104" s="64">
        <v>58.08</v>
      </c>
      <c r="E104" s="64">
        <v>3.44</v>
      </c>
      <c r="F104" s="64">
        <v>3.28</v>
      </c>
      <c r="G104" s="64">
        <v>70.930000000000007</v>
      </c>
      <c r="H104" s="64">
        <v>25.91</v>
      </c>
      <c r="I104" s="64">
        <v>1.49</v>
      </c>
      <c r="J104" s="64">
        <v>0.14000000000000001</v>
      </c>
      <c r="K104" s="64">
        <v>60.21</v>
      </c>
      <c r="L104" s="64">
        <v>21.84</v>
      </c>
      <c r="M104" s="64">
        <v>39.18</v>
      </c>
      <c r="N104" s="64">
        <v>47.3</v>
      </c>
      <c r="O104" s="64">
        <v>0</v>
      </c>
      <c r="P104" s="64">
        <v>0.88</v>
      </c>
      <c r="Q104" s="64">
        <v>9.74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1.75</v>
      </c>
      <c r="C106" s="67">
        <f>MIN(C9:C104)</f>
        <v>44.5</v>
      </c>
      <c r="D106" s="67">
        <f t="shared" ref="D106:Q106" si="0">MIN(D9:D104)</f>
        <v>32.08</v>
      </c>
      <c r="E106" s="67">
        <f t="shared" si="0"/>
        <v>3.44</v>
      </c>
      <c r="F106" s="67">
        <f t="shared" si="0"/>
        <v>2.76</v>
      </c>
      <c r="G106" s="67">
        <f t="shared" si="0"/>
        <v>33.76</v>
      </c>
      <c r="H106" s="67">
        <f t="shared" si="0"/>
        <v>9.06</v>
      </c>
      <c r="I106" s="67">
        <f t="shared" si="0"/>
        <v>1.41</v>
      </c>
      <c r="J106" s="67">
        <f t="shared" si="0"/>
        <v>0.02</v>
      </c>
      <c r="K106" s="67">
        <f t="shared" si="0"/>
        <v>0.71</v>
      </c>
      <c r="L106" s="67">
        <f t="shared" si="0"/>
        <v>17.670000000000002</v>
      </c>
      <c r="M106" s="67">
        <f t="shared" si="0"/>
        <v>20.92</v>
      </c>
      <c r="N106" s="67">
        <f t="shared" si="0"/>
        <v>23.9</v>
      </c>
      <c r="O106" s="67">
        <f t="shared" si="0"/>
        <v>0</v>
      </c>
      <c r="P106" s="67">
        <f t="shared" si="0"/>
        <v>0.37</v>
      </c>
      <c r="Q106" s="67">
        <f t="shared" si="0"/>
        <v>8.43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70.989999999999995</v>
      </c>
      <c r="C107" s="66">
        <f t="shared" ref="C107:Q107" si="1">MAX(C9:C104)</f>
        <v>70.540000000000006</v>
      </c>
      <c r="D107" s="66">
        <f t="shared" si="1"/>
        <v>85.93</v>
      </c>
      <c r="E107" s="66">
        <f t="shared" si="1"/>
        <v>7.6</v>
      </c>
      <c r="F107" s="66">
        <f t="shared" si="1"/>
        <v>14.46</v>
      </c>
      <c r="G107" s="66">
        <f t="shared" si="1"/>
        <v>115.44</v>
      </c>
      <c r="H107" s="66">
        <f t="shared" si="1"/>
        <v>42.94</v>
      </c>
      <c r="I107" s="66">
        <f t="shared" si="1"/>
        <v>1.61</v>
      </c>
      <c r="J107" s="66">
        <f t="shared" si="1"/>
        <v>1.56</v>
      </c>
      <c r="K107" s="66">
        <f t="shared" si="1"/>
        <v>359.59</v>
      </c>
      <c r="L107" s="66">
        <f t="shared" si="1"/>
        <v>33.79</v>
      </c>
      <c r="M107" s="66">
        <f t="shared" si="1"/>
        <v>95.21</v>
      </c>
      <c r="N107" s="66">
        <f t="shared" si="1"/>
        <v>872.2</v>
      </c>
      <c r="O107" s="66">
        <f t="shared" si="1"/>
        <v>0</v>
      </c>
      <c r="P107" s="66">
        <f t="shared" si="1"/>
        <v>1.84</v>
      </c>
      <c r="Q107" s="66">
        <f t="shared" si="1"/>
        <v>9.9700000000000006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26.223125</v>
      </c>
      <c r="C108" s="67">
        <f t="shared" ref="C108:Q108" si="2">AVERAGE(C9:C104)</f>
        <v>55.398437500000007</v>
      </c>
      <c r="D108" s="67">
        <f t="shared" si="2"/>
        <v>52.247916666666669</v>
      </c>
      <c r="E108" s="67">
        <f t="shared" si="2"/>
        <v>4.674270833333332</v>
      </c>
      <c r="F108" s="67">
        <f t="shared" si="2"/>
        <v>4.0543750000000003</v>
      </c>
      <c r="G108" s="67">
        <f t="shared" si="2"/>
        <v>67.908958333333317</v>
      </c>
      <c r="H108" s="67">
        <f t="shared" si="2"/>
        <v>27.026666666666657</v>
      </c>
      <c r="I108" s="67">
        <f t="shared" si="2"/>
        <v>1.4965625000000005</v>
      </c>
      <c r="J108" s="67">
        <f t="shared" si="2"/>
        <v>0.47187499999999988</v>
      </c>
      <c r="K108" s="67">
        <f t="shared" si="2"/>
        <v>162.40437499999999</v>
      </c>
      <c r="L108" s="67">
        <f t="shared" si="2"/>
        <v>24.662395833333335</v>
      </c>
      <c r="M108" s="67">
        <f t="shared" si="2"/>
        <v>49.93312499999999</v>
      </c>
      <c r="N108" s="67">
        <f t="shared" si="2"/>
        <v>247.71458333333328</v>
      </c>
      <c r="O108" s="67">
        <f t="shared" si="2"/>
        <v>0</v>
      </c>
      <c r="P108" s="67">
        <f t="shared" si="2"/>
        <v>0.83666666666666611</v>
      </c>
      <c r="Q108" s="67">
        <f t="shared" si="2"/>
        <v>9.2253125000000029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17.845841344399371</v>
      </c>
      <c r="C109" s="67">
        <f t="shared" ref="C109:Q109" si="3">STDEV(C9:C104)</f>
        <v>7.2529271518288523</v>
      </c>
      <c r="D109" s="67">
        <f t="shared" si="3"/>
        <v>13.684648095905581</v>
      </c>
      <c r="E109" s="67">
        <f t="shared" si="3"/>
        <v>0.74024710638326652</v>
      </c>
      <c r="F109" s="67">
        <f t="shared" si="3"/>
        <v>1.880641442923692</v>
      </c>
      <c r="G109" s="67">
        <f t="shared" si="3"/>
        <v>21.158465344764913</v>
      </c>
      <c r="H109" s="67">
        <f t="shared" si="3"/>
        <v>7.7863684754247142</v>
      </c>
      <c r="I109" s="67">
        <f t="shared" si="3"/>
        <v>4.4998903495412822E-2</v>
      </c>
      <c r="J109" s="67">
        <f t="shared" si="3"/>
        <v>0.36373302094574245</v>
      </c>
      <c r="K109" s="67">
        <f t="shared" si="3"/>
        <v>136.525453757956</v>
      </c>
      <c r="L109" s="67">
        <f t="shared" si="3"/>
        <v>4.9145626233174067</v>
      </c>
      <c r="M109" s="67">
        <f t="shared" si="3"/>
        <v>24.101052360185854</v>
      </c>
      <c r="N109" s="67">
        <f t="shared" si="3"/>
        <v>301.94872307071449</v>
      </c>
      <c r="O109" s="67">
        <f t="shared" si="3"/>
        <v>0</v>
      </c>
      <c r="P109" s="67">
        <f t="shared" si="3"/>
        <v>0.37232319482340842</v>
      </c>
      <c r="Q109" s="67">
        <f t="shared" si="3"/>
        <v>0.4672313821584379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COUNT(I9:I104)+17</f>
        <v>113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zoomScale="85" zoomScaleNormal="85" workbookViewId="0">
      <pane xSplit="1" ySplit="8" topLeftCell="B39" activePane="bottomRight" state="frozen"/>
      <selection activeCell="B2" sqref="B2"/>
      <selection pane="topRight" activeCell="B2" sqref="B2"/>
      <selection pane="bottomLeft" activeCell="B2" sqref="B2"/>
      <selection pane="bottomRight" activeCell="E46" sqref="E46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01-02-2024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01-02-2024 00:15</v>
      </c>
      <c r="B9" s="61">
        <f>'01'!B108</f>
        <v>26.838333333333338</v>
      </c>
      <c r="C9" s="61">
        <f>'01'!C108</f>
        <v>60.375312499999971</v>
      </c>
      <c r="D9" s="61">
        <f>'01'!D108</f>
        <v>55.488437500000003</v>
      </c>
      <c r="E9" s="61">
        <f>'01'!E108</f>
        <v>0.25354166666666672</v>
      </c>
      <c r="F9" s="61">
        <f>'01'!F108</f>
        <v>3.4771874999999994</v>
      </c>
      <c r="G9" s="99">
        <f>'01'!$G$108</f>
        <v>107.16604166666679</v>
      </c>
      <c r="H9" s="61">
        <f>'01'!H108</f>
        <v>45.368124999999992</v>
      </c>
      <c r="I9" s="61">
        <f>'01'!I108</f>
        <v>1.502083333333333</v>
      </c>
      <c r="J9" s="61">
        <f>'01'!J108</f>
        <v>0.25270833333333331</v>
      </c>
      <c r="K9" s="61">
        <f>'01'!K108</f>
        <v>256.14322916666663</v>
      </c>
      <c r="L9" s="61">
        <f>'01'!L108</f>
        <v>21.327812500000004</v>
      </c>
      <c r="M9" s="61">
        <f>'01'!M108</f>
        <v>68.506249999999966</v>
      </c>
      <c r="N9" s="61">
        <f>'01'!N108</f>
        <v>198.92916666666659</v>
      </c>
      <c r="O9" s="61">
        <f>'01'!O108</f>
        <v>0</v>
      </c>
      <c r="P9" s="202">
        <f>'01'!P108</f>
        <v>1.0938541666666666</v>
      </c>
      <c r="Q9" s="61">
        <f>'01'!Q108</f>
        <v>8.797608695652178</v>
      </c>
      <c r="R9" s="118"/>
      <c r="S9" s="118"/>
      <c r="T9" s="118"/>
      <c r="U9" s="118"/>
    </row>
    <row r="10" spans="1:21" x14ac:dyDescent="0.25">
      <c r="A10" s="94" t="str">
        <f>'02'!$B$2</f>
        <v>02-02-2024 00:15</v>
      </c>
      <c r="B10" s="61">
        <f>'02'!B108</f>
        <v>33.729062499999998</v>
      </c>
      <c r="C10" s="61">
        <f>'02'!C108</f>
        <v>58.412083333333328</v>
      </c>
      <c r="D10" s="61">
        <f>'02'!D108</f>
        <v>59.930729166666652</v>
      </c>
      <c r="E10" s="61">
        <f>'02'!E108</f>
        <v>0.23052083333333331</v>
      </c>
      <c r="F10" s="61">
        <f>'02'!F108</f>
        <v>3.4144791666666676</v>
      </c>
      <c r="G10" s="61">
        <f>'02'!G108</f>
        <v>89.625833333333347</v>
      </c>
      <c r="H10" s="61">
        <f>'02'!H108</f>
        <v>37.761458333333337</v>
      </c>
      <c r="I10" s="61">
        <f>'02'!I108</f>
        <v>1.5013541666666663</v>
      </c>
      <c r="J10" s="61">
        <f>'02'!J108</f>
        <v>0.35374999999999979</v>
      </c>
      <c r="K10" s="61">
        <f>'02'!K108</f>
        <v>224.47312499999998</v>
      </c>
      <c r="L10" s="61">
        <f>'02'!L108</f>
        <v>20.848645833333329</v>
      </c>
      <c r="M10" s="61">
        <f>'02'!M108</f>
        <v>76.261250000000032</v>
      </c>
      <c r="N10" s="61">
        <f>'02'!N108</f>
        <v>176.9291666666667</v>
      </c>
      <c r="O10" s="61">
        <f>'02'!O108</f>
        <v>0</v>
      </c>
      <c r="P10" s="202">
        <f>'02'!P108</f>
        <v>1.0140625000000003</v>
      </c>
      <c r="Q10" s="61">
        <f>'02'!Q108</f>
        <v>9.6309374999999964</v>
      </c>
      <c r="R10" s="118"/>
      <c r="S10" s="118"/>
      <c r="T10" s="118"/>
      <c r="U10" s="118"/>
    </row>
    <row r="11" spans="1:21" x14ac:dyDescent="0.25">
      <c r="A11" s="94" t="str">
        <f>'03'!$B$2</f>
        <v>03-02-2024 00:15</v>
      </c>
      <c r="B11" s="61">
        <f>'03'!B108</f>
        <v>46.162659574468066</v>
      </c>
      <c r="C11" s="61">
        <f>'03'!C108</f>
        <v>61.483723404255322</v>
      </c>
      <c r="D11" s="61">
        <f>'03'!D108</f>
        <v>71.596595744680855</v>
      </c>
      <c r="E11" s="61">
        <f>'03'!E108</f>
        <v>0.26391304347826078</v>
      </c>
      <c r="F11" s="61">
        <f>'03'!F108</f>
        <v>3.5030208333333328</v>
      </c>
      <c r="G11" s="61">
        <f>'03'!G108</f>
        <v>101.34182795698919</v>
      </c>
      <c r="H11" s="61">
        <f>'03'!H108</f>
        <v>36.051290322580599</v>
      </c>
      <c r="I11" s="61">
        <f>'03'!I108</f>
        <v>1.5006250000000003</v>
      </c>
      <c r="J11" s="61">
        <f>'03'!J108</f>
        <v>0.32072916666666668</v>
      </c>
      <c r="K11" s="61">
        <f>'03'!K108</f>
        <v>231.82385416666682</v>
      </c>
      <c r="L11" s="61">
        <f>'03'!L108</f>
        <v>20.697187500000002</v>
      </c>
      <c r="M11" s="61">
        <f>'03'!M108</f>
        <v>55.304166666666674</v>
      </c>
      <c r="N11" s="61">
        <f>'03'!N108</f>
        <v>248.51979166666672</v>
      </c>
      <c r="O11" s="61">
        <f>'03'!O108</f>
        <v>0</v>
      </c>
      <c r="P11" s="202">
        <f>'03'!P108</f>
        <v>1.0044565217391306</v>
      </c>
      <c r="Q11" s="61">
        <f>'03'!Q108</f>
        <v>10.014479166666666</v>
      </c>
      <c r="R11" s="118"/>
      <c r="S11" s="118"/>
      <c r="T11" s="118"/>
      <c r="U11" s="118"/>
    </row>
    <row r="12" spans="1:21" x14ac:dyDescent="0.25">
      <c r="A12" s="94" t="str">
        <f>'04'!$B$2</f>
        <v>04-02-2024 00:15</v>
      </c>
      <c r="B12" s="61">
        <f>'04'!B108</f>
        <v>90.369375000000034</v>
      </c>
      <c r="C12" s="61">
        <f>'04'!C108</f>
        <v>64.974374999999966</v>
      </c>
      <c r="D12" s="61">
        <f>'04'!D108</f>
        <v>108.97343749999997</v>
      </c>
      <c r="E12" s="61">
        <f>'04'!E108</f>
        <v>0.29846153846153856</v>
      </c>
      <c r="F12" s="61">
        <f>'04'!F108</f>
        <v>3.3134374999999996</v>
      </c>
      <c r="G12" s="61">
        <f>'04'!G108</f>
        <v>106.89104166666671</v>
      </c>
      <c r="H12" s="61">
        <f>'04'!H108</f>
        <v>40.237291666666657</v>
      </c>
      <c r="I12" s="61">
        <f>'04'!I108</f>
        <v>1.4924999999999997</v>
      </c>
      <c r="J12" s="61">
        <f>'04'!J108</f>
        <v>0.20468750000000002</v>
      </c>
      <c r="K12" s="61">
        <f>'04'!K108</f>
        <v>226.51916666666671</v>
      </c>
      <c r="L12" s="61">
        <f>'04'!L108</f>
        <v>20.768020833333331</v>
      </c>
      <c r="M12" s="61">
        <f>'04'!M108</f>
        <v>55.216979166666668</v>
      </c>
      <c r="N12" s="61">
        <f>'04'!N108</f>
        <v>252.56666666666661</v>
      </c>
      <c r="O12" s="61">
        <f>'04'!O108</f>
        <v>0</v>
      </c>
      <c r="P12" s="202">
        <f>'04'!P108</f>
        <v>1.350208333333333</v>
      </c>
      <c r="Q12" s="61">
        <f>'04'!Q108</f>
        <v>14.145494505494506</v>
      </c>
      <c r="R12" s="118"/>
      <c r="S12" s="118"/>
      <c r="T12" s="118"/>
      <c r="U12" s="118"/>
    </row>
    <row r="13" spans="1:21" x14ac:dyDescent="0.25">
      <c r="A13" s="94" t="str">
        <f>'05'!$B$2</f>
        <v>05-02-2024 00:15</v>
      </c>
      <c r="B13" s="61">
        <f>'05'!B108</f>
        <v>28.566979166666687</v>
      </c>
      <c r="C13" s="61">
        <f>'05'!C108</f>
        <v>60.99687500000001</v>
      </c>
      <c r="D13" s="61">
        <f>'05'!D108</f>
        <v>57.217395833333342</v>
      </c>
      <c r="E13" s="61">
        <f>'05'!E108</f>
        <v>0.21281250000000007</v>
      </c>
      <c r="F13" s="61">
        <f>'05'!F108</f>
        <v>4.3139583333333347</v>
      </c>
      <c r="G13" s="61">
        <f>'05'!G108</f>
        <v>60.048958333333324</v>
      </c>
      <c r="H13" s="61">
        <f>'05'!H108</f>
        <v>23.427083333333329</v>
      </c>
      <c r="I13" s="61">
        <f>'05'!I108</f>
        <v>1.4961458333333335</v>
      </c>
      <c r="J13" s="61">
        <f>'05'!J108</f>
        <v>0.19927083333333329</v>
      </c>
      <c r="K13" s="61">
        <f>'05'!K108</f>
        <v>231.17937499999996</v>
      </c>
      <c r="L13" s="61">
        <f>'05'!L108</f>
        <v>22.524583333333339</v>
      </c>
      <c r="M13" s="61">
        <f>'05'!M108</f>
        <v>59.308958333333351</v>
      </c>
      <c r="N13" s="61">
        <f>'05'!N108</f>
        <v>249.33854166666663</v>
      </c>
      <c r="O13" s="61">
        <f>'05'!O108</f>
        <v>0</v>
      </c>
      <c r="P13" s="202">
        <f>'05'!P108</f>
        <v>0.80750000000000022</v>
      </c>
      <c r="Q13" s="61">
        <f>'05'!Q108</f>
        <v>8.7235416666666747</v>
      </c>
      <c r="R13" s="118"/>
      <c r="S13" s="118"/>
      <c r="T13" s="118"/>
      <c r="U13" s="118"/>
    </row>
    <row r="14" spans="1:21" x14ac:dyDescent="0.25">
      <c r="A14" s="94" t="str">
        <f>'06'!$B$2</f>
        <v>06-02-2024 00:15</v>
      </c>
      <c r="B14" s="61">
        <f>'06'!B108</f>
        <v>21.325312500000006</v>
      </c>
      <c r="C14" s="61">
        <f>'06'!C108</f>
        <v>55.505520833333328</v>
      </c>
      <c r="D14" s="61">
        <f>'06'!D108</f>
        <v>48.379791666666684</v>
      </c>
      <c r="E14" s="61">
        <f>'06'!E108</f>
        <v>0.18124999999999999</v>
      </c>
      <c r="F14" s="61">
        <f>'06'!F108</f>
        <v>4.9126041666666653</v>
      </c>
      <c r="G14" s="61">
        <f>'06'!G108</f>
        <v>70.839270833333316</v>
      </c>
      <c r="H14" s="61">
        <f>'06'!H108</f>
        <v>27.187395833333337</v>
      </c>
      <c r="I14" s="61">
        <f>'06'!I108</f>
        <v>1.4979166666666668</v>
      </c>
      <c r="J14" s="61">
        <f>'06'!J108</f>
        <v>0.22239583333333338</v>
      </c>
      <c r="K14" s="61">
        <f>'06'!K108</f>
        <v>195.43572916666662</v>
      </c>
      <c r="L14" s="61">
        <f>'06'!L108</f>
        <v>23.358124999999998</v>
      </c>
      <c r="M14" s="61">
        <f>'06'!M108</f>
        <v>66.112395833333338</v>
      </c>
      <c r="N14" s="61">
        <f>'06'!N108</f>
        <v>235.70312499999997</v>
      </c>
      <c r="O14" s="61">
        <f>'06'!O108</f>
        <v>0</v>
      </c>
      <c r="P14" s="202">
        <f>'06'!P108</f>
        <v>0.78291666666666659</v>
      </c>
      <c r="Q14" s="61">
        <f>'06'!Q108</f>
        <v>7.9132291666666674</v>
      </c>
      <c r="R14" s="118"/>
      <c r="S14" s="118"/>
      <c r="T14" s="118"/>
      <c r="U14" s="118"/>
    </row>
    <row r="15" spans="1:21" x14ac:dyDescent="0.25">
      <c r="A15" s="94" t="str">
        <f>'07'!$B$2</f>
        <v>07-02-2024 00:15</v>
      </c>
      <c r="B15" s="61">
        <f>'07'!B108</f>
        <v>19.878854166666667</v>
      </c>
      <c r="C15" s="61">
        <f>'07'!C108</f>
        <v>57.633958333333311</v>
      </c>
      <c r="D15" s="61">
        <f>'07'!D108</f>
        <v>48.393541666666664</v>
      </c>
      <c r="E15" s="61">
        <f>'07'!E108</f>
        <v>0.21020833333333325</v>
      </c>
      <c r="F15" s="61">
        <f>'07'!F108</f>
        <v>3.3598958333333342</v>
      </c>
      <c r="G15" s="100">
        <f>'07'!$G$108</f>
        <v>70.677187500000031</v>
      </c>
      <c r="H15" s="61">
        <f>'07'!H108</f>
        <v>28.179687499999996</v>
      </c>
      <c r="I15" s="61">
        <f>'07'!I108</f>
        <v>1.5045833333333327</v>
      </c>
      <c r="J15" s="61">
        <f>'07'!J108</f>
        <v>0.39968749999999997</v>
      </c>
      <c r="K15" s="61">
        <f>'07'!K108</f>
        <v>224.74427083333342</v>
      </c>
      <c r="L15" s="61">
        <f>'07'!L108</f>
        <v>21.904999999999998</v>
      </c>
      <c r="M15" s="61">
        <f>'07'!M108</f>
        <v>67.159166666666692</v>
      </c>
      <c r="N15" s="61">
        <f>'07'!N108</f>
        <v>216.45625000000004</v>
      </c>
      <c r="O15" s="61">
        <f>'07'!O108</f>
        <v>0</v>
      </c>
      <c r="P15" s="202">
        <f>'07'!P108</f>
        <v>0.76770833333333355</v>
      </c>
      <c r="Q15" s="61">
        <f>'07'!Q108</f>
        <v>8.1985416666666637</v>
      </c>
      <c r="R15" s="118"/>
      <c r="S15" s="118"/>
      <c r="T15" s="118"/>
      <c r="U15" s="118"/>
    </row>
    <row r="16" spans="1:21" x14ac:dyDescent="0.25">
      <c r="A16" s="94" t="str">
        <f>'08'!$B$2</f>
        <v>08-02-2024 00:15</v>
      </c>
      <c r="B16" s="61">
        <f>'08'!B108</f>
        <v>25.303645833333324</v>
      </c>
      <c r="C16" s="61">
        <f>'08'!C108</f>
        <v>62.618437499999999</v>
      </c>
      <c r="D16" s="61">
        <f>'08'!D108</f>
        <v>55.495416666666678</v>
      </c>
      <c r="E16" s="61">
        <f>'08'!E108</f>
        <v>0.24906250000000005</v>
      </c>
      <c r="F16" s="61">
        <f>'08'!F108</f>
        <v>3.6355208333333322</v>
      </c>
      <c r="G16" s="100">
        <f>'08'!$G$108</f>
        <v>65.859270833333355</v>
      </c>
      <c r="H16" s="61">
        <f>'08'!H108</f>
        <v>20.967083333333335</v>
      </c>
      <c r="I16" s="61">
        <f>'08'!I108</f>
        <v>1.5051041666666667</v>
      </c>
      <c r="J16" s="61">
        <f>'08'!J108</f>
        <v>0.7473958333333327</v>
      </c>
      <c r="K16" s="61">
        <f>'08'!K108</f>
        <v>308.21843749999988</v>
      </c>
      <c r="L16" s="61">
        <f>'08'!L108</f>
        <v>20.499791666666667</v>
      </c>
      <c r="M16" s="61">
        <f>'08'!M108</f>
        <v>40.193541666666682</v>
      </c>
      <c r="N16" s="61">
        <f>'08'!N108</f>
        <v>250.17083333333326</v>
      </c>
      <c r="O16" s="61">
        <f>'08'!O108</f>
        <v>0</v>
      </c>
      <c r="P16" s="202">
        <f>'08'!P108</f>
        <v>0.74375000000000002</v>
      </c>
      <c r="Q16" s="61">
        <f>'08'!Q108</f>
        <v>8.894166666666667</v>
      </c>
      <c r="R16" s="118"/>
      <c r="S16" s="118"/>
      <c r="T16" s="118"/>
      <c r="U16" s="118"/>
    </row>
    <row r="17" spans="1:21" x14ac:dyDescent="0.25">
      <c r="A17" s="94" t="str">
        <f>'09'!$B$2</f>
        <v>09-02-2024 00:15</v>
      </c>
      <c r="B17" s="61">
        <f>'09'!B108</f>
        <v>24.192812499999999</v>
      </c>
      <c r="C17" s="61">
        <f>'09'!C108</f>
        <v>61.553541666666668</v>
      </c>
      <c r="D17" s="61">
        <f>'09'!D108</f>
        <v>54.017083333333339</v>
      </c>
      <c r="E17" s="61">
        <f>'09'!E108</f>
        <v>0.31572916666666678</v>
      </c>
      <c r="F17" s="61">
        <f>'09'!F108</f>
        <v>3.5143749999999994</v>
      </c>
      <c r="G17" s="100">
        <f>'09'!$G$108</f>
        <v>74.374583333333348</v>
      </c>
      <c r="H17" s="61">
        <f>'09'!H108</f>
        <v>26.112708333333327</v>
      </c>
      <c r="I17" s="61">
        <f>'09'!I108</f>
        <v>1.4970833333333335</v>
      </c>
      <c r="J17" s="61">
        <f>'09'!J108</f>
        <v>0.49166666666666697</v>
      </c>
      <c r="K17" s="61">
        <f>'09'!K108</f>
        <v>168.7638541666667</v>
      </c>
      <c r="L17" s="61">
        <f>'09'!L108</f>
        <v>18.888333333333332</v>
      </c>
      <c r="M17" s="61">
        <f>'09'!M108</f>
        <v>38.109166666666667</v>
      </c>
      <c r="N17" s="61">
        <f>'09'!N108</f>
        <v>277.13229166666673</v>
      </c>
      <c r="O17" s="61">
        <f>'09'!O108</f>
        <v>0</v>
      </c>
      <c r="P17" s="202">
        <f>'09'!P108</f>
        <v>0.82197916666666637</v>
      </c>
      <c r="Q17" s="61">
        <f>'09'!Q108</f>
        <v>7.895624999999999</v>
      </c>
      <c r="R17" s="118"/>
      <c r="S17" s="118"/>
      <c r="T17" s="118"/>
      <c r="U17" s="118"/>
    </row>
    <row r="18" spans="1:21" x14ac:dyDescent="0.25">
      <c r="A18" s="94" t="str">
        <f>'10'!$B$2</f>
        <v>10-02-2024 00:15</v>
      </c>
      <c r="B18" s="61">
        <f>'10'!B108</f>
        <v>8.2631250000000041</v>
      </c>
      <c r="C18" s="61">
        <f>'10'!C108</f>
        <v>65.327500000000001</v>
      </c>
      <c r="D18" s="61">
        <f>'10'!D108</f>
        <v>43.325104166666641</v>
      </c>
      <c r="E18" s="61">
        <f>'10'!E108</f>
        <v>0.28666666666666657</v>
      </c>
      <c r="F18" s="61">
        <f>'10'!F108</f>
        <v>4.5671874999999984</v>
      </c>
      <c r="G18" s="101">
        <f>'10'!$G$108</f>
        <v>81.530000000000044</v>
      </c>
      <c r="H18" s="61">
        <f>'10'!H108</f>
        <v>29.644583333333347</v>
      </c>
      <c r="I18" s="61">
        <f>'10'!I108</f>
        <v>1.4986458333333337</v>
      </c>
      <c r="J18" s="61">
        <f>'10'!J108</f>
        <v>0.50614583333333307</v>
      </c>
      <c r="K18" s="61">
        <f>'10'!K108</f>
        <v>215.05812500000002</v>
      </c>
      <c r="L18" s="61">
        <f>'10'!L108</f>
        <v>20.493750000000009</v>
      </c>
      <c r="M18" s="61">
        <f>'10'!M108</f>
        <v>42.266770833333339</v>
      </c>
      <c r="N18" s="61">
        <f>'10'!N108</f>
        <v>266.76354166666664</v>
      </c>
      <c r="O18" s="61">
        <f>'10'!O108</f>
        <v>0</v>
      </c>
      <c r="P18" s="202">
        <f>'10'!P108</f>
        <v>0.78395833333333309</v>
      </c>
      <c r="Q18" s="61">
        <f>'10'!Q108</f>
        <v>6.9967708333333354</v>
      </c>
      <c r="R18" s="118"/>
      <c r="S18" s="118"/>
      <c r="T18" s="118"/>
      <c r="U18" s="118"/>
    </row>
    <row r="19" spans="1:21" x14ac:dyDescent="0.25">
      <c r="A19" s="94" t="str">
        <f>'11'!$B$2</f>
        <v>11-02-2024 00:15</v>
      </c>
      <c r="B19" s="61">
        <f>'11'!B108</f>
        <v>7.1504166666666658</v>
      </c>
      <c r="C19" s="61">
        <f>'11'!C108</f>
        <v>61.925416666666699</v>
      </c>
      <c r="D19" s="61">
        <f>'11'!D108</f>
        <v>40.555312499999992</v>
      </c>
      <c r="E19" s="61">
        <f>'11'!E108</f>
        <v>0.24781250000000002</v>
      </c>
      <c r="F19" s="61">
        <f>'11'!F108</f>
        <v>3.9137500000000003</v>
      </c>
      <c r="G19" s="99">
        <f>'11'!$G$108</f>
        <v>74.349374999999966</v>
      </c>
      <c r="H19" s="61">
        <f>'11'!H108</f>
        <v>31.283958333333331</v>
      </c>
      <c r="I19" s="61">
        <f>'11'!I108</f>
        <v>1.4962499999999996</v>
      </c>
      <c r="J19" s="61">
        <f>'11'!J108</f>
        <v>0.49333333333333335</v>
      </c>
      <c r="K19" s="61">
        <f>'11'!K108</f>
        <v>180.93312499999999</v>
      </c>
      <c r="L19" s="61">
        <f>'11'!L108</f>
        <v>21.926354166666673</v>
      </c>
      <c r="M19" s="61">
        <f>'11'!M108</f>
        <v>58.344374999999985</v>
      </c>
      <c r="N19" s="61">
        <f>'11'!N108</f>
        <v>235.17812499999994</v>
      </c>
      <c r="O19" s="61">
        <f>'11'!O108</f>
        <v>0</v>
      </c>
      <c r="P19" s="202">
        <f>'11'!P108</f>
        <v>0.73614583333333317</v>
      </c>
      <c r="Q19" s="61">
        <f>'11'!Q108</f>
        <v>6.7209374999999971</v>
      </c>
      <c r="R19" s="118"/>
      <c r="S19" s="118"/>
      <c r="T19" s="118"/>
      <c r="U19" s="118"/>
    </row>
    <row r="20" spans="1:21" x14ac:dyDescent="0.25">
      <c r="A20" s="94" t="str">
        <f>'12'!$B$2</f>
        <v>12-02-2024 00:15</v>
      </c>
      <c r="B20" s="61">
        <f>'12'!B108</f>
        <v>9.7553763440860219</v>
      </c>
      <c r="C20" s="61">
        <f>'12'!C108</f>
        <v>59.490537634408604</v>
      </c>
      <c r="D20" s="61">
        <f>'12'!D108</f>
        <v>41.415698924731188</v>
      </c>
      <c r="E20" s="61">
        <f>'12'!E108</f>
        <v>0.26255319148936168</v>
      </c>
      <c r="F20" s="61">
        <f>'12'!F108</f>
        <v>3.9578124999999988</v>
      </c>
      <c r="G20" s="101">
        <f>'12'!$G$108</f>
        <v>61.87054347826092</v>
      </c>
      <c r="H20" s="61">
        <f>'12'!H108</f>
        <v>27.324565217391292</v>
      </c>
      <c r="I20" s="61">
        <f>'12'!I108</f>
        <v>1.5057291666666661</v>
      </c>
      <c r="J20" s="61">
        <f>'12'!J108</f>
        <v>0.68500000000000005</v>
      </c>
      <c r="K20" s="61">
        <f>'12'!K108</f>
        <v>184.45156250000002</v>
      </c>
      <c r="L20" s="61">
        <f>'12'!L108</f>
        <v>21.012500000000003</v>
      </c>
      <c r="M20" s="61">
        <f>'12'!M108</f>
        <v>80.824687499999996</v>
      </c>
      <c r="N20" s="61">
        <f>'12'!N108</f>
        <v>259.42500000000001</v>
      </c>
      <c r="O20" s="61">
        <f>'12'!O108</f>
        <v>6.0416666666666667E-2</v>
      </c>
      <c r="P20" s="202">
        <f>'12'!P108</f>
        <v>0.71804347826086989</v>
      </c>
      <c r="Q20" s="61">
        <f>'12'!Q108</f>
        <v>6.909062500000001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13-02-2024 00:15</v>
      </c>
      <c r="B21" s="91">
        <f>'13'!B108</f>
        <v>29.587187499999999</v>
      </c>
      <c r="C21" s="91">
        <f>'13'!C108</f>
        <v>60.965208333333344</v>
      </c>
      <c r="D21" s="91">
        <f>'13'!D108</f>
        <v>58.018124999999998</v>
      </c>
      <c r="E21" s="91">
        <f>'13'!E108</f>
        <v>0.2270833333333333</v>
      </c>
      <c r="F21" s="91">
        <f>'13'!F108</f>
        <v>3.9876041666666668</v>
      </c>
      <c r="G21" s="100">
        <f>'13'!$G$108</f>
        <v>69.356145833333372</v>
      </c>
      <c r="H21" s="91">
        <f>'13'!H108</f>
        <v>30.287291666666651</v>
      </c>
      <c r="I21" s="91">
        <f>'13'!I108</f>
        <v>1.496875</v>
      </c>
      <c r="J21" s="91">
        <f>'13'!J108</f>
        <v>0.2364583333333333</v>
      </c>
      <c r="K21" s="91">
        <f>'13'!K108</f>
        <v>203.59802083333338</v>
      </c>
      <c r="L21" s="91">
        <f>'13'!L108</f>
        <v>22.094895833333336</v>
      </c>
      <c r="M21" s="91">
        <f>'13'!M108</f>
        <v>74.4244791666667</v>
      </c>
      <c r="N21" s="91">
        <f>'13'!N108</f>
        <v>236.89687499999994</v>
      </c>
      <c r="O21" s="91">
        <f>'13'!O108</f>
        <v>0</v>
      </c>
      <c r="P21" s="203">
        <f>'13'!P108</f>
        <v>0.96052083333333338</v>
      </c>
      <c r="Q21" s="91">
        <f>'13'!Q108</f>
        <v>8.4263541666666697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14-02-2024 00:15</v>
      </c>
      <c r="B22" s="90">
        <f>'14'!B108</f>
        <v>60.108541666666646</v>
      </c>
      <c r="C22" s="90">
        <f>'14'!C108</f>
        <v>64.488645833333322</v>
      </c>
      <c r="D22" s="90">
        <f>'14'!D108</f>
        <v>84.438020833333368</v>
      </c>
      <c r="E22" s="90">
        <f>'14'!E108</f>
        <v>0.2848958333333334</v>
      </c>
      <c r="F22" s="90">
        <f>'14'!F108</f>
        <v>3.4569791666666663</v>
      </c>
      <c r="G22" s="100">
        <f>'14'!$G$108</f>
        <v>86.997604166666704</v>
      </c>
      <c r="H22" s="100">
        <f>'14'!$G$108</f>
        <v>86.997604166666704</v>
      </c>
      <c r="I22" s="90">
        <f>'14'!I108</f>
        <v>1.501354166666667</v>
      </c>
      <c r="J22" s="90">
        <f>'14'!J108</f>
        <v>0.17333333333333337</v>
      </c>
      <c r="K22" s="90">
        <f>'14'!K108</f>
        <v>242.92562499999997</v>
      </c>
      <c r="L22" s="90">
        <f>'14'!L108</f>
        <v>22.333854166666669</v>
      </c>
      <c r="M22" s="90">
        <f>'14'!M108</f>
        <v>64.558437500000025</v>
      </c>
      <c r="N22" s="90">
        <f>'14'!N108</f>
        <v>220.25520833333337</v>
      </c>
      <c r="O22" s="90">
        <f>'14'!O108</f>
        <v>0</v>
      </c>
      <c r="P22" s="204">
        <f>'14'!P108</f>
        <v>1.2147916666666663</v>
      </c>
      <c r="Q22" s="90">
        <f>'14'!Q108</f>
        <v>11.027812500000001</v>
      </c>
      <c r="R22" s="206"/>
      <c r="S22" s="206"/>
      <c r="T22" s="206"/>
      <c r="U22" s="206"/>
    </row>
    <row r="23" spans="1:21" x14ac:dyDescent="0.25">
      <c r="A23" s="94" t="str">
        <f>'15'!$B$2</f>
        <v>15-02-2024 00:15</v>
      </c>
      <c r="B23" s="61">
        <f>'15'!B108</f>
        <v>54.102499999999985</v>
      </c>
      <c r="C23" s="61">
        <f>'15'!C108</f>
        <v>84.209062499999973</v>
      </c>
      <c r="D23" s="61">
        <f>'15'!D108</f>
        <v>90.504583333333372</v>
      </c>
      <c r="E23" s="61">
        <f>'15'!E108</f>
        <v>0.46218390804597692</v>
      </c>
      <c r="F23" s="61">
        <f>'15'!F108</f>
        <v>3.3175000000000008</v>
      </c>
      <c r="G23" s="100">
        <f>'15'!$G$108</f>
        <v>80.18354166666667</v>
      </c>
      <c r="H23" s="61">
        <f>'15'!H108</f>
        <v>29.796354166666685</v>
      </c>
      <c r="I23" s="61">
        <f>'15'!I108</f>
        <v>1.5011458333333325</v>
      </c>
      <c r="J23" s="61">
        <f>'15'!J108</f>
        <v>0.36562499999999992</v>
      </c>
      <c r="K23" s="61">
        <f>'15'!K108</f>
        <v>226.10531249999994</v>
      </c>
      <c r="L23" s="61">
        <f>'15'!L108</f>
        <v>23.264687499999997</v>
      </c>
      <c r="M23" s="61">
        <f>'15'!M108</f>
        <v>65.855624999999975</v>
      </c>
      <c r="N23" s="61">
        <f>'15'!N108</f>
        <v>229.34375000000003</v>
      </c>
      <c r="O23" s="61">
        <f>'15'!O108</f>
        <v>0</v>
      </c>
      <c r="P23" s="202">
        <f>'15'!P108</f>
        <v>1.2015624999999999</v>
      </c>
      <c r="Q23" s="61">
        <f>'15'!Q108</f>
        <v>11.475104166666666</v>
      </c>
      <c r="R23" s="118"/>
      <c r="S23" s="118"/>
      <c r="T23" s="118"/>
      <c r="U23" s="118"/>
    </row>
    <row r="24" spans="1:21" x14ac:dyDescent="0.25">
      <c r="A24" s="94" t="str">
        <f>'16'!$B$2</f>
        <v>16-02-2024 00:15</v>
      </c>
      <c r="B24" s="61">
        <f>'16'!B108</f>
        <v>18.746875000000003</v>
      </c>
      <c r="C24" s="61">
        <f>'16'!C108</f>
        <v>70.29083333333331</v>
      </c>
      <c r="D24" s="61">
        <f>'16'!D108</f>
        <v>54.471874999999976</v>
      </c>
      <c r="E24" s="61">
        <f>'16'!E108</f>
        <v>0.24052083333333332</v>
      </c>
      <c r="F24" s="61">
        <f>'16'!F108</f>
        <v>3.9554166666666668</v>
      </c>
      <c r="G24" s="100">
        <f>'16'!$G$108</f>
        <v>77.665729166666665</v>
      </c>
      <c r="H24" s="61">
        <f>'16'!H108</f>
        <v>33.41687499999999</v>
      </c>
      <c r="I24" s="61">
        <f>'16'!I108</f>
        <v>1.4968750000000002</v>
      </c>
      <c r="J24" s="61">
        <f>'16'!J108</f>
        <v>0.4835416666666667</v>
      </c>
      <c r="K24" s="61">
        <f>'16'!K108</f>
        <v>228.70885416666658</v>
      </c>
      <c r="L24" s="61">
        <f>'16'!L108</f>
        <v>23.316666666666663</v>
      </c>
      <c r="M24" s="61">
        <f>'16'!M108</f>
        <v>67.971770833333309</v>
      </c>
      <c r="N24" s="61">
        <f>'16'!N108</f>
        <v>231.80104166666661</v>
      </c>
      <c r="O24" s="61">
        <f>'16'!O108</f>
        <v>0</v>
      </c>
      <c r="P24" s="202">
        <f>'16'!P108</f>
        <v>0.82062500000000005</v>
      </c>
      <c r="Q24" s="61">
        <f>'16'!Q108</f>
        <v>5.5239583333333258</v>
      </c>
      <c r="R24" s="118"/>
      <c r="S24" s="118"/>
      <c r="T24" s="118"/>
      <c r="U24" s="118"/>
    </row>
    <row r="25" spans="1:21" x14ac:dyDescent="0.25">
      <c r="A25" s="94" t="str">
        <f>'17'!$B$2</f>
        <v>17-02-2024 00:15</v>
      </c>
      <c r="B25" s="61">
        <f>'17'!B108</f>
        <v>25.912395833333331</v>
      </c>
      <c r="C25" s="61">
        <f>'17'!C108</f>
        <v>61.43656249999998</v>
      </c>
      <c r="D25" s="61">
        <f>'17'!D108</f>
        <v>55.33156249999999</v>
      </c>
      <c r="E25" s="61">
        <f>'17'!E108</f>
        <v>0.27114583333333336</v>
      </c>
      <c r="F25" s="61">
        <f>'17'!F108</f>
        <v>6.1559375000000012</v>
      </c>
      <c r="G25" s="101">
        <f>'17'!$G$108</f>
        <v>88.786354166666683</v>
      </c>
      <c r="H25" s="61">
        <f>'17'!H108</f>
        <v>34.906145833333312</v>
      </c>
      <c r="I25" s="61">
        <f>'17'!I108</f>
        <v>1.5011458333333332</v>
      </c>
      <c r="J25" s="61">
        <f>'17'!J108</f>
        <v>0.32093749999999988</v>
      </c>
      <c r="K25" s="61">
        <f>'17'!K108</f>
        <v>210.05822916666679</v>
      </c>
      <c r="L25" s="61">
        <f>'17'!L108</f>
        <v>23.712812500000009</v>
      </c>
      <c r="M25" s="61">
        <f>'17'!M108</f>
        <v>58.930000000000014</v>
      </c>
      <c r="N25" s="61">
        <f>'17'!N108</f>
        <v>215.40104166666677</v>
      </c>
      <c r="O25" s="61">
        <f>'17'!O108</f>
        <v>0</v>
      </c>
      <c r="P25" s="202">
        <f>'17'!P108</f>
        <v>0.93729166666666652</v>
      </c>
      <c r="Q25" s="61">
        <f>'17'!Q108</f>
        <v>6.5327083333333258</v>
      </c>
      <c r="R25" s="118"/>
      <c r="S25" s="118"/>
      <c r="T25" s="118"/>
      <c r="U25" s="118"/>
    </row>
    <row r="26" spans="1:21" x14ac:dyDescent="0.25">
      <c r="A26" s="94" t="str">
        <f>'18'!$B$2</f>
        <v>18-02-2024 00:15</v>
      </c>
      <c r="B26" s="61">
        <f>'18'!B108</f>
        <v>31.773437499999996</v>
      </c>
      <c r="C26" s="61">
        <f>'18'!C108</f>
        <v>43.596458333333345</v>
      </c>
      <c r="D26" s="61">
        <f>'18'!D108</f>
        <v>50.184895833333336</v>
      </c>
      <c r="E26" s="61">
        <f>'18'!E108</f>
        <v>0.41052083333333345</v>
      </c>
      <c r="F26" s="61">
        <f>'18'!F108</f>
        <v>11.101875</v>
      </c>
      <c r="G26" s="99">
        <f>'18'!$G$108</f>
        <v>78.663124999999994</v>
      </c>
      <c r="H26" s="61">
        <f>'18'!H108</f>
        <v>32.395937500000009</v>
      </c>
      <c r="I26" s="61">
        <f>'18'!I108</f>
        <v>1.4980208333333327</v>
      </c>
      <c r="J26" s="61">
        <f>'18'!J108</f>
        <v>0.2182291666666667</v>
      </c>
      <c r="K26" s="61">
        <f>'18'!K108</f>
        <v>211.34114583333329</v>
      </c>
      <c r="L26" s="61">
        <f>'18'!L108</f>
        <v>23.518854166666671</v>
      </c>
      <c r="M26" s="61">
        <f>'18'!M108</f>
        <v>60.635104166666672</v>
      </c>
      <c r="N26" s="61">
        <f>'18'!N108</f>
        <v>178.67812499999999</v>
      </c>
      <c r="O26" s="61">
        <f>'18'!O108</f>
        <v>0</v>
      </c>
      <c r="P26" s="202">
        <f>'18'!P108</f>
        <v>0.99229166666666668</v>
      </c>
      <c r="Q26" s="61">
        <f>'18'!Q108</f>
        <v>6.6567708333333266</v>
      </c>
      <c r="R26" s="118"/>
      <c r="S26" s="118"/>
      <c r="T26" s="118"/>
      <c r="U26" s="118"/>
    </row>
    <row r="27" spans="1:21" x14ac:dyDescent="0.25">
      <c r="A27" s="94" t="str">
        <f>'19'!$B$2</f>
        <v>19-02-2024 00:15</v>
      </c>
      <c r="B27" s="61">
        <f>'19'!B108</f>
        <v>33.267395833333339</v>
      </c>
      <c r="C27" s="61">
        <f>'19'!C108</f>
        <v>44.698437499999983</v>
      </c>
      <c r="D27" s="61">
        <f>'19'!D108</f>
        <v>51.991354166666646</v>
      </c>
      <c r="E27" s="61">
        <f>'19'!E108</f>
        <v>0.23083333333333333</v>
      </c>
      <c r="F27" s="61">
        <f>'19'!F108</f>
        <v>4.4351041666666662</v>
      </c>
      <c r="G27" s="61">
        <f>'19'!G108</f>
        <v>93.003229166666685</v>
      </c>
      <c r="H27" s="61">
        <f>'19'!H108</f>
        <v>33.879270833333358</v>
      </c>
      <c r="I27" s="61">
        <f>'19'!I108</f>
        <v>1.4890625</v>
      </c>
      <c r="J27" s="61">
        <f>'19'!J108</f>
        <v>0.28854166666666664</v>
      </c>
      <c r="K27" s="61">
        <f>'19'!K108</f>
        <v>231.31781249999997</v>
      </c>
      <c r="L27" s="61">
        <f>'19'!L108</f>
        <v>24.239062499999989</v>
      </c>
      <c r="M27" s="61">
        <f>'19'!M108</f>
        <v>58.534375000000018</v>
      </c>
      <c r="N27" s="61">
        <f>'19'!N108</f>
        <v>190.81562499999998</v>
      </c>
      <c r="O27" s="61">
        <f>'19'!O108</f>
        <v>0</v>
      </c>
      <c r="P27" s="202">
        <f>'19'!P108</f>
        <v>1.1700000000000004</v>
      </c>
      <c r="Q27" s="61">
        <f>'19'!Q108</f>
        <v>6.2360416666666572</v>
      </c>
      <c r="R27" s="118"/>
      <c r="S27" s="118"/>
      <c r="T27" s="118"/>
      <c r="U27" s="118"/>
    </row>
    <row r="28" spans="1:21" x14ac:dyDescent="0.25">
      <c r="A28" s="94" t="str">
        <f>'20'!$B$2</f>
        <v>20-02-2024 00:15</v>
      </c>
      <c r="B28" s="61">
        <f>'20'!B108</f>
        <v>22.099166666666672</v>
      </c>
      <c r="C28" s="61">
        <f>'20'!C108</f>
        <v>50.426979166666662</v>
      </c>
      <c r="D28" s="61">
        <f>'20'!D108</f>
        <v>46.196562500000006</v>
      </c>
      <c r="E28" s="61">
        <f>'20'!E108</f>
        <v>0.13936170212765958</v>
      </c>
      <c r="F28" s="61">
        <f>'20'!F108</f>
        <v>4.1327083333333343</v>
      </c>
      <c r="G28" s="61">
        <f>'20'!G108</f>
        <v>54.186666666666667</v>
      </c>
      <c r="H28" s="61">
        <f>'20'!H108</f>
        <v>31.596354166666682</v>
      </c>
      <c r="I28" s="61">
        <f>'20'!I108</f>
        <v>1.4960416666666665</v>
      </c>
      <c r="J28" s="61">
        <f>'20'!J108</f>
        <v>0.3206250000000001</v>
      </c>
      <c r="K28" s="61">
        <f>'20'!K108</f>
        <v>218.79510416666668</v>
      </c>
      <c r="L28" s="61">
        <f>'20'!L108</f>
        <v>24.659375000000001</v>
      </c>
      <c r="M28" s="61">
        <f>'20'!M108</f>
        <v>47.290312499999999</v>
      </c>
      <c r="N28" s="61">
        <f>'20'!N108</f>
        <v>213.51979166666669</v>
      </c>
      <c r="O28" s="61">
        <f>'20'!O108</f>
        <v>0</v>
      </c>
      <c r="P28" s="202">
        <f>'20'!P108</f>
        <v>0.77187499999999976</v>
      </c>
      <c r="Q28" s="61">
        <f>'20'!Q108</f>
        <v>5.8501041666666582</v>
      </c>
      <c r="R28" s="118"/>
      <c r="S28" s="118"/>
      <c r="T28" s="118"/>
      <c r="U28" s="118"/>
    </row>
    <row r="29" spans="1:21" x14ac:dyDescent="0.25">
      <c r="A29" s="94" t="str">
        <f>'21'!$B$2</f>
        <v>21-02-2024 00:15</v>
      </c>
      <c r="B29" s="61">
        <f>'21'!B108</f>
        <v>18.658645833333338</v>
      </c>
      <c r="C29" s="61">
        <f>'21'!C108</f>
        <v>51.193020833333343</v>
      </c>
      <c r="D29" s="61">
        <f>'21'!D108</f>
        <v>43.861145833333332</v>
      </c>
      <c r="E29" s="61">
        <f>'21'!E108</f>
        <v>0.1315625</v>
      </c>
      <c r="F29" s="61">
        <f>'21'!F108</f>
        <v>5.2258333333333322</v>
      </c>
      <c r="G29" s="61">
        <f>'21'!G108</f>
        <v>51.516521739130432</v>
      </c>
      <c r="H29" s="61">
        <f>'21'!H108</f>
        <v>18.45815217391306</v>
      </c>
      <c r="I29" s="61">
        <f>'21'!I108</f>
        <v>1.5031249999999998</v>
      </c>
      <c r="J29" s="61">
        <f>'21'!J108</f>
        <v>0.2315625</v>
      </c>
      <c r="K29" s="61">
        <f>'21'!K108</f>
        <v>203.88125000000002</v>
      </c>
      <c r="L29" s="61">
        <f>'21'!L108</f>
        <v>24.629583333333329</v>
      </c>
      <c r="M29" s="61">
        <f>'21'!M108</f>
        <v>45.013020833333343</v>
      </c>
      <c r="N29" s="61">
        <f>'21'!N108</f>
        <v>231.47916666666666</v>
      </c>
      <c r="O29" s="61">
        <f>'21'!O108</f>
        <v>0</v>
      </c>
      <c r="P29" s="202">
        <f>'21'!P108</f>
        <v>0.67333333333333345</v>
      </c>
      <c r="Q29" s="61">
        <f>'21'!Q108</f>
        <v>5.7371874999999912</v>
      </c>
      <c r="R29" s="118"/>
      <c r="S29" s="118"/>
      <c r="T29" s="118"/>
      <c r="U29" s="118"/>
    </row>
    <row r="30" spans="1:21" x14ac:dyDescent="0.25">
      <c r="A30" s="94" t="str">
        <f>'22'!$B$2</f>
        <v>22-02-2024 00:15</v>
      </c>
      <c r="B30" s="61">
        <f>'22'!B108</f>
        <v>10.2690625</v>
      </c>
      <c r="C30" s="61">
        <f>'22'!C108</f>
        <v>49.240208333333328</v>
      </c>
      <c r="D30" s="61">
        <f>'22'!D108</f>
        <v>36.055833333333354</v>
      </c>
      <c r="E30" s="61">
        <f>'22'!E108</f>
        <v>0.11333333333333324</v>
      </c>
      <c r="F30" s="61">
        <f>'22'!F108</f>
        <v>4.7180208333333331</v>
      </c>
      <c r="G30" s="61">
        <f>'22'!G108</f>
        <v>40.496145833333323</v>
      </c>
      <c r="H30" s="61">
        <f>'22'!H108</f>
        <v>14.832916666666669</v>
      </c>
      <c r="I30" s="61">
        <f>'22'!I108</f>
        <v>1.5023958333333329</v>
      </c>
      <c r="J30" s="61">
        <f>'22'!J108</f>
        <v>0.52041666666666653</v>
      </c>
      <c r="K30" s="61">
        <f>'22'!K108</f>
        <v>287.00281250000006</v>
      </c>
      <c r="L30" s="61">
        <f>'22'!L108</f>
        <v>24.489374999999999</v>
      </c>
      <c r="M30" s="61">
        <f>'22'!M108</f>
        <v>45.150833333333331</v>
      </c>
      <c r="N30" s="61">
        <f>'22'!N108</f>
        <v>236.79166666666666</v>
      </c>
      <c r="O30" s="61">
        <f>'22'!O108</f>
        <v>0</v>
      </c>
      <c r="P30" s="202">
        <f>'22'!P108</f>
        <v>0.53562500000000035</v>
      </c>
      <c r="Q30" s="61">
        <f>'22'!Q108</f>
        <v>5.2958333333333245</v>
      </c>
      <c r="R30" s="118"/>
      <c r="S30" s="118"/>
      <c r="T30" s="118"/>
      <c r="U30" s="118"/>
    </row>
    <row r="31" spans="1:21" x14ac:dyDescent="0.25">
      <c r="A31" s="94" t="str">
        <f>'23'!$B$2</f>
        <v>23-02-2024 00:15</v>
      </c>
      <c r="B31" s="61">
        <f>'23'!B108</f>
        <v>12.788229166666673</v>
      </c>
      <c r="C31" s="61">
        <f>'23'!C108</f>
        <v>52.775208333333332</v>
      </c>
      <c r="D31" s="61">
        <f>'23'!D108</f>
        <v>40.026458333333323</v>
      </c>
      <c r="E31" s="61">
        <f>'23'!E108</f>
        <v>0.19687500000000005</v>
      </c>
      <c r="F31" s="61">
        <f>'23'!F108</f>
        <v>3.462916666666668</v>
      </c>
      <c r="G31" s="61">
        <f>'23'!G108</f>
        <v>61.608645833333306</v>
      </c>
      <c r="H31" s="61">
        <f>'23'!H108</f>
        <v>20.251249999999985</v>
      </c>
      <c r="I31" s="61">
        <f>'23'!I108</f>
        <v>1.4962499999999996</v>
      </c>
      <c r="J31" s="61">
        <f>'23'!J108</f>
        <v>0.59489583333333318</v>
      </c>
      <c r="K31" s="61">
        <f>'23'!K108</f>
        <v>178.55510416666667</v>
      </c>
      <c r="L31" s="61">
        <f>'23'!L108</f>
        <v>22.97322916666668</v>
      </c>
      <c r="M31" s="61">
        <f>'23'!M108</f>
        <v>42.772708333333327</v>
      </c>
      <c r="N31" s="61">
        <f>'23'!N108</f>
        <v>221.77395833333324</v>
      </c>
      <c r="O31" s="61">
        <f>'23'!O108</f>
        <v>0</v>
      </c>
      <c r="P31" s="202">
        <f>'23'!P108</f>
        <v>0.60583333333333345</v>
      </c>
      <c r="Q31" s="61">
        <f>'23'!Q108</f>
        <v>5.2698958333333268</v>
      </c>
      <c r="R31" s="118"/>
      <c r="S31" s="207"/>
      <c r="T31" s="118"/>
      <c r="U31" s="118"/>
    </row>
    <row r="32" spans="1:21" x14ac:dyDescent="0.25">
      <c r="A32" s="94" t="str">
        <f>'24'!$B$2</f>
        <v>24-02-2024 00:15</v>
      </c>
      <c r="B32" s="61">
        <f>'24'!B108</f>
        <v>9.258541666666666</v>
      </c>
      <c r="C32" s="61">
        <f>'24'!C108</f>
        <v>52.098125000000017</v>
      </c>
      <c r="D32" s="61">
        <f>'24'!D108</f>
        <v>36.822812499999991</v>
      </c>
      <c r="E32" s="61">
        <f>'24'!E108</f>
        <v>0.13329545454545455</v>
      </c>
      <c r="F32" s="61">
        <f>'24'!F108</f>
        <v>3.9849999999999999</v>
      </c>
      <c r="G32" s="61">
        <f>'24'!G108</f>
        <v>69.489895833333321</v>
      </c>
      <c r="H32" s="61">
        <f>'24'!H108</f>
        <v>27.153020833333343</v>
      </c>
      <c r="I32" s="61">
        <f>'24'!I108</f>
        <v>1.5003124999999995</v>
      </c>
      <c r="J32" s="61">
        <f>'24'!J108</f>
        <v>0.45812500000000012</v>
      </c>
      <c r="K32" s="61">
        <f>'24'!K108</f>
        <v>187.43958333333333</v>
      </c>
      <c r="L32" s="61">
        <f>'24'!L108</f>
        <v>22.89833333333333</v>
      </c>
      <c r="M32" s="61">
        <f>'24'!M108</f>
        <v>49.083750000000009</v>
      </c>
      <c r="N32" s="61">
        <f>'24'!N108</f>
        <v>212.80520833333321</v>
      </c>
      <c r="O32" s="61">
        <f>'24'!O108</f>
        <v>0</v>
      </c>
      <c r="P32" s="202">
        <f>'24'!P108</f>
        <v>0.6758333333333334</v>
      </c>
      <c r="Q32" s="61">
        <f>'24'!Q108</f>
        <v>5.2105208333333248</v>
      </c>
      <c r="R32" s="118"/>
      <c r="S32" s="118"/>
      <c r="T32" s="118"/>
      <c r="U32" s="118"/>
    </row>
    <row r="33" spans="1:21" x14ac:dyDescent="0.25">
      <c r="A33" s="94" t="str">
        <f>'25'!$B$2</f>
        <v>25-02-2024 00:15</v>
      </c>
      <c r="B33" s="61">
        <f>'25'!B108</f>
        <v>6.2588541666666657</v>
      </c>
      <c r="C33" s="61">
        <f>'25'!C108</f>
        <v>51.910312499999996</v>
      </c>
      <c r="D33" s="61">
        <f>'25'!D108</f>
        <v>34.313749999999999</v>
      </c>
      <c r="E33" s="61">
        <f>'25'!E108</f>
        <v>2.1251685393258426</v>
      </c>
      <c r="F33" s="61">
        <f>'25'!F108</f>
        <v>4.736041666666666</v>
      </c>
      <c r="G33" s="61">
        <f>'25'!G108</f>
        <v>64.74041666666669</v>
      </c>
      <c r="H33" s="61">
        <f>'25'!H108</f>
        <v>25.842916666666657</v>
      </c>
      <c r="I33" s="61">
        <f>'25'!I108</f>
        <v>1.4956249999999998</v>
      </c>
      <c r="J33" s="61">
        <f>'25'!J108</f>
        <v>0.81</v>
      </c>
      <c r="K33" s="61">
        <f>'25'!K108</f>
        <v>204.22166666666649</v>
      </c>
      <c r="L33" s="61">
        <f>'25'!L108</f>
        <v>22.016041666666656</v>
      </c>
      <c r="M33" s="61">
        <f>'25'!M108</f>
        <v>56.982708333333299</v>
      </c>
      <c r="N33" s="61">
        <f>'25'!N108</f>
        <v>165.08333333333334</v>
      </c>
      <c r="O33" s="61">
        <f>'25'!O108</f>
        <v>0</v>
      </c>
      <c r="P33" s="202">
        <f>'25'!P108</f>
        <v>0.65333333333333321</v>
      </c>
      <c r="Q33" s="61">
        <f>'25'!Q108</f>
        <v>13.653444444444439</v>
      </c>
      <c r="R33" s="118"/>
      <c r="S33" s="207"/>
      <c r="T33" s="118"/>
      <c r="U33" s="118"/>
    </row>
    <row r="34" spans="1:21" x14ac:dyDescent="0.25">
      <c r="A34" s="94" t="str">
        <f>'26'!$B$2</f>
        <v>26-02-2024 00:15</v>
      </c>
      <c r="B34" s="61">
        <f>'26'!B108</f>
        <v>7.163125</v>
      </c>
      <c r="C34" s="61">
        <f>'26'!C108</f>
        <v>44.778958333333343</v>
      </c>
      <c r="D34" s="61">
        <f>'26'!D108</f>
        <v>31.10229166666667</v>
      </c>
      <c r="E34" s="61">
        <f>'26'!E108</f>
        <v>4.2766666666666673</v>
      </c>
      <c r="F34" s="61">
        <f>'26'!F108</f>
        <v>3.589062500000002</v>
      </c>
      <c r="G34" s="61">
        <f>'26'!G108</f>
        <v>62.701041666666733</v>
      </c>
      <c r="H34" s="61">
        <f>'26'!H108</f>
        <v>26.682916666666685</v>
      </c>
      <c r="I34" s="61">
        <f>'26'!I108</f>
        <v>1.4984374999999996</v>
      </c>
      <c r="J34" s="61">
        <f>'26'!J108</f>
        <v>0.62677083333333361</v>
      </c>
      <c r="K34" s="61">
        <f>'26'!K108</f>
        <v>145.67135416666662</v>
      </c>
      <c r="L34" s="61">
        <f>'26'!L108</f>
        <v>22.868750000000006</v>
      </c>
      <c r="M34" s="61">
        <f>'26'!M108</f>
        <v>71.980208333333323</v>
      </c>
      <c r="N34" s="61">
        <f>'26'!N108</f>
        <v>202.06458333333342</v>
      </c>
      <c r="O34" s="61">
        <f>'26'!O108</f>
        <v>0</v>
      </c>
      <c r="P34" s="202">
        <f>'26'!P108</f>
        <v>0.66447916666666684</v>
      </c>
      <c r="Q34" s="61">
        <f>'26'!Q108</f>
        <v>8.799062499999998</v>
      </c>
      <c r="R34" s="118"/>
      <c r="S34" s="118"/>
      <c r="T34" s="118"/>
      <c r="U34" s="118"/>
    </row>
    <row r="35" spans="1:21" x14ac:dyDescent="0.25">
      <c r="A35" s="94" t="str">
        <f>'27'!$B$2</f>
        <v>27-02-2024 00:15</v>
      </c>
      <c r="B35" s="61">
        <f>'27'!B108</f>
        <v>8.3411458333333339</v>
      </c>
      <c r="C35" s="61">
        <f>'27'!C108</f>
        <v>43.857187500000002</v>
      </c>
      <c r="D35" s="61">
        <f>'27'!D108</f>
        <v>31.5390625</v>
      </c>
      <c r="E35" s="61">
        <f>'27'!E108</f>
        <v>4.0670833333333336</v>
      </c>
      <c r="F35" s="61">
        <f>'27'!F108</f>
        <v>4.2415625000000006</v>
      </c>
      <c r="G35" s="61">
        <f>'27'!G108</f>
        <v>55.94770833333336</v>
      </c>
      <c r="H35" s="61">
        <f>'27'!H108</f>
        <v>24.124374999999986</v>
      </c>
      <c r="I35" s="61">
        <f>'27'!I108</f>
        <v>1.5025000000000002</v>
      </c>
      <c r="J35" s="61">
        <f>'27'!J108</f>
        <v>0.43468750000000006</v>
      </c>
      <c r="K35" s="61">
        <f>'27'!K108</f>
        <v>197.43489583333334</v>
      </c>
      <c r="L35" s="61">
        <f>'27'!L108</f>
        <v>24.537187499999998</v>
      </c>
      <c r="M35" s="61">
        <f>'27'!M108</f>
        <v>69.091979166666633</v>
      </c>
      <c r="N35" s="61">
        <f>'27'!N108</f>
        <v>224.10729166666667</v>
      </c>
      <c r="O35" s="61">
        <f>'27'!O108</f>
        <v>0</v>
      </c>
      <c r="P35" s="202">
        <f>'27'!P108</f>
        <v>0.64249999999999996</v>
      </c>
      <c r="Q35" s="61">
        <f>'27'!Q108</f>
        <v>8.564631578947365</v>
      </c>
      <c r="R35" s="118"/>
      <c r="S35" s="118"/>
      <c r="T35" s="118"/>
      <c r="U35" s="118"/>
    </row>
    <row r="36" spans="1:21" x14ac:dyDescent="0.25">
      <c r="A36" s="94" t="str">
        <f>'28'!$B$2</f>
        <v>28-02-2024 00:15</v>
      </c>
      <c r="B36" s="61">
        <f>'28'!B108</f>
        <v>19.817604166666669</v>
      </c>
      <c r="C36" s="61">
        <f>'28'!C108</f>
        <v>45.399374999999999</v>
      </c>
      <c r="D36" s="61">
        <f>'28'!D108</f>
        <v>41.592291666666661</v>
      </c>
      <c r="E36" s="61">
        <f>'28'!E108</f>
        <v>4.6355208333333326</v>
      </c>
      <c r="F36" s="61">
        <f>'28'!F108</f>
        <v>3.7709375000000009</v>
      </c>
      <c r="G36" s="61">
        <f>'28'!G108</f>
        <v>73.132903225806416</v>
      </c>
      <c r="H36" s="61">
        <f>'28'!H108</f>
        <v>25.140000000000029</v>
      </c>
      <c r="I36" s="61">
        <f>'28'!I108</f>
        <v>1.5032291666666671</v>
      </c>
      <c r="J36" s="61">
        <f>'28'!J108</f>
        <v>0.49395833333333333</v>
      </c>
      <c r="K36" s="61">
        <f>'28'!K108</f>
        <v>264.94447916666667</v>
      </c>
      <c r="L36" s="61">
        <f>'28'!L108</f>
        <v>24.082083333333333</v>
      </c>
      <c r="M36" s="61">
        <f>'28'!M108</f>
        <v>64.848333333333343</v>
      </c>
      <c r="N36" s="61">
        <f>'28'!N108</f>
        <v>213.16666666666677</v>
      </c>
      <c r="O36" s="61">
        <f>'28'!O108</f>
        <v>0</v>
      </c>
      <c r="P36" s="202">
        <f>'28'!P108</f>
        <v>0.77885416666666663</v>
      </c>
      <c r="Q36" s="61">
        <f>'28'!Q108</f>
        <v>8.5915625000000038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29-02-2024 00:15</v>
      </c>
      <c r="B37" s="61">
        <f>'29'!B108</f>
        <v>26.223125</v>
      </c>
      <c r="C37" s="61">
        <f>'29'!C108</f>
        <v>55.398437500000007</v>
      </c>
      <c r="D37" s="61">
        <f>'29'!D108</f>
        <v>52.247916666666669</v>
      </c>
      <c r="E37" s="61">
        <f>'29'!E108</f>
        <v>4.674270833333332</v>
      </c>
      <c r="F37" s="61">
        <f>'29'!F108</f>
        <v>4.0543750000000003</v>
      </c>
      <c r="G37" s="61">
        <f>'29'!G108</f>
        <v>67.908958333333317</v>
      </c>
      <c r="H37" s="61">
        <f>'29'!H108</f>
        <v>27.026666666666657</v>
      </c>
      <c r="I37" s="61">
        <f>'29'!I108</f>
        <v>1.4965625000000005</v>
      </c>
      <c r="J37" s="61">
        <f>'29'!J108</f>
        <v>0.47187499999999988</v>
      </c>
      <c r="K37" s="61">
        <f>'29'!K108</f>
        <v>162.40437499999999</v>
      </c>
      <c r="L37" s="61">
        <f>'29'!L108</f>
        <v>24.662395833333335</v>
      </c>
      <c r="M37" s="61">
        <f>'29'!M108</f>
        <v>49.93312499999999</v>
      </c>
      <c r="N37" s="61">
        <f>'29'!N108</f>
        <v>247.71458333333328</v>
      </c>
      <c r="O37" s="61">
        <f>'29'!O108</f>
        <v>0</v>
      </c>
      <c r="P37" s="202">
        <f>'29'!P108</f>
        <v>0.83666666666666611</v>
      </c>
      <c r="Q37" s="61">
        <f>'29'!Q108</f>
        <v>9.2253125000000029</v>
      </c>
      <c r="R37" s="118"/>
      <c r="S37" s="118"/>
      <c r="T37" s="118"/>
      <c r="U37" s="118"/>
    </row>
    <row r="38" spans="1:21" s="54" customFormat="1" x14ac:dyDescent="0.25">
      <c r="A38" s="94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</row>
    <row r="39" spans="1:21" s="54" customFormat="1" x14ac:dyDescent="0.25">
      <c r="A39" s="94" t="s">
        <v>59</v>
      </c>
      <c r="B39" s="16">
        <f t="shared" ref="B39:Q39" si="0">MIN(B9:B37)</f>
        <v>6.2588541666666657</v>
      </c>
      <c r="C39" s="16">
        <f t="shared" si="0"/>
        <v>43.596458333333345</v>
      </c>
      <c r="D39" s="16">
        <f t="shared" si="0"/>
        <v>31.10229166666667</v>
      </c>
      <c r="E39" s="16">
        <f t="shared" si="0"/>
        <v>0.11333333333333324</v>
      </c>
      <c r="F39" s="16">
        <f t="shared" si="0"/>
        <v>3.3134374999999996</v>
      </c>
      <c r="G39" s="16">
        <f t="shared" si="0"/>
        <v>40.496145833333323</v>
      </c>
      <c r="H39" s="16">
        <f t="shared" si="0"/>
        <v>14.832916666666669</v>
      </c>
      <c r="I39" s="16">
        <f t="shared" si="0"/>
        <v>1.4890625</v>
      </c>
      <c r="J39" s="16">
        <f t="shared" si="0"/>
        <v>0.17333333333333337</v>
      </c>
      <c r="K39" s="16">
        <f t="shared" si="0"/>
        <v>145.67135416666662</v>
      </c>
      <c r="L39" s="16">
        <f t="shared" si="0"/>
        <v>18.888333333333332</v>
      </c>
      <c r="M39" s="16">
        <f t="shared" si="0"/>
        <v>38.109166666666667</v>
      </c>
      <c r="N39" s="16">
        <f t="shared" si="0"/>
        <v>165.08333333333334</v>
      </c>
      <c r="O39" s="16">
        <f t="shared" si="0"/>
        <v>0</v>
      </c>
      <c r="P39" s="16">
        <f t="shared" si="0"/>
        <v>0.53562500000000035</v>
      </c>
      <c r="Q39" s="16">
        <f t="shared" si="0"/>
        <v>5.2105208333333248</v>
      </c>
      <c r="R39" s="16"/>
      <c r="S39" s="16"/>
      <c r="T39" s="16"/>
      <c r="U39" s="16"/>
    </row>
    <row r="40" spans="1:21" s="54" customFormat="1" x14ac:dyDescent="0.25">
      <c r="A40" s="94" t="s">
        <v>60</v>
      </c>
      <c r="B40" s="16">
        <f t="shared" ref="B40:Q40" si="1">MAX(B9:B37)</f>
        <v>90.369375000000034</v>
      </c>
      <c r="C40" s="16">
        <f t="shared" si="1"/>
        <v>84.209062499999973</v>
      </c>
      <c r="D40" s="16">
        <f t="shared" si="1"/>
        <v>108.97343749999997</v>
      </c>
      <c r="E40" s="16">
        <f t="shared" si="1"/>
        <v>4.674270833333332</v>
      </c>
      <c r="F40" s="16">
        <f t="shared" si="1"/>
        <v>11.101875</v>
      </c>
      <c r="G40" s="16">
        <f t="shared" si="1"/>
        <v>107.16604166666679</v>
      </c>
      <c r="H40" s="16">
        <f t="shared" si="1"/>
        <v>86.997604166666704</v>
      </c>
      <c r="I40" s="16">
        <f t="shared" si="1"/>
        <v>1.5057291666666661</v>
      </c>
      <c r="J40" s="16">
        <f t="shared" si="1"/>
        <v>0.81</v>
      </c>
      <c r="K40" s="16">
        <f t="shared" si="1"/>
        <v>308.21843749999988</v>
      </c>
      <c r="L40" s="16">
        <f t="shared" si="1"/>
        <v>24.662395833333335</v>
      </c>
      <c r="M40" s="16">
        <f t="shared" si="1"/>
        <v>80.824687499999996</v>
      </c>
      <c r="N40" s="16">
        <f t="shared" si="1"/>
        <v>277.13229166666673</v>
      </c>
      <c r="O40" s="16">
        <f t="shared" si="1"/>
        <v>6.0416666666666667E-2</v>
      </c>
      <c r="P40" s="16">
        <f t="shared" si="1"/>
        <v>1.350208333333333</v>
      </c>
      <c r="Q40" s="16">
        <f t="shared" si="1"/>
        <v>14.145494505494506</v>
      </c>
      <c r="R40" s="16"/>
      <c r="S40" s="16"/>
      <c r="T40" s="16"/>
      <c r="U40" s="16"/>
    </row>
    <row r="41" spans="1:21" s="54" customFormat="1" x14ac:dyDescent="0.25">
      <c r="A41" s="94" t="s">
        <v>61</v>
      </c>
      <c r="B41" s="16">
        <f t="shared" ref="B41:Q41" si="2">AVERAGE(B9:B37)</f>
        <v>25.376268479950149</v>
      </c>
      <c r="C41" s="16">
        <f t="shared" si="2"/>
        <v>57.140010438114835</v>
      </c>
      <c r="D41" s="16">
        <f t="shared" si="2"/>
        <v>52.53403745986477</v>
      </c>
      <c r="E41" s="16">
        <f t="shared" si="2"/>
        <v>0.88389151876347438</v>
      </c>
      <c r="F41" s="16">
        <f t="shared" si="2"/>
        <v>4.2831070402298845</v>
      </c>
      <c r="G41" s="16">
        <f t="shared" si="2"/>
        <v>73.82615749081107</v>
      </c>
      <c r="H41" s="16">
        <f t="shared" si="2"/>
        <v>30.908044087835112</v>
      </c>
      <c r="I41" s="16">
        <f t="shared" si="2"/>
        <v>1.4992061781609189</v>
      </c>
      <c r="J41" s="16">
        <f t="shared" si="2"/>
        <v>0.41125359195402306</v>
      </c>
      <c r="K41" s="16">
        <f t="shared" si="2"/>
        <v>215.59136135057474</v>
      </c>
      <c r="L41" s="16">
        <f t="shared" si="2"/>
        <v>22.570596264367815</v>
      </c>
      <c r="M41" s="16">
        <f t="shared" si="2"/>
        <v>58.643602729885053</v>
      </c>
      <c r="N41" s="16">
        <f t="shared" si="2"/>
        <v>225.47622126436787</v>
      </c>
      <c r="O41" s="16">
        <f t="shared" si="2"/>
        <v>2.0833333333333333E-3</v>
      </c>
      <c r="P41" s="16">
        <f t="shared" si="2"/>
        <v>0.85379310344827575</v>
      </c>
      <c r="Q41" s="16">
        <f t="shared" si="2"/>
        <v>8.1695413813059226</v>
      </c>
      <c r="R41" s="16"/>
      <c r="S41" s="16"/>
      <c r="T41" s="16"/>
      <c r="U41" s="16"/>
    </row>
    <row r="42" spans="1:21" s="54" customFormat="1" x14ac:dyDescent="0.25">
      <c r="A42" s="94" t="s">
        <v>77</v>
      </c>
      <c r="B42" s="16">
        <f t="shared" ref="B42:Q42" si="3">STDEV(B9:B37)</f>
        <v>18.490716251642123</v>
      </c>
      <c r="C42" s="16">
        <f t="shared" si="3"/>
        <v>9.0056170779604408</v>
      </c>
      <c r="D42" s="16">
        <f t="shared" si="3"/>
        <v>17.607451815814091</v>
      </c>
      <c r="E42" s="16">
        <f t="shared" si="3"/>
        <v>1.4833111632533855</v>
      </c>
      <c r="F42" s="16">
        <f t="shared" si="3"/>
        <v>1.4667345192989281</v>
      </c>
      <c r="G42" s="16">
        <f t="shared" si="3"/>
        <v>16.117856979453066</v>
      </c>
      <c r="H42" s="16">
        <f t="shared" si="3"/>
        <v>12.597608160536915</v>
      </c>
      <c r="I42" s="16">
        <f t="shared" si="3"/>
        <v>3.831114073673308E-3</v>
      </c>
      <c r="J42" s="16">
        <f t="shared" si="3"/>
        <v>0.17216824839704409</v>
      </c>
      <c r="K42" s="16">
        <f t="shared" si="3"/>
        <v>35.49453971018719</v>
      </c>
      <c r="L42" s="16">
        <f t="shared" si="3"/>
        <v>1.5483093753293675</v>
      </c>
      <c r="M42" s="16">
        <f t="shared" si="3"/>
        <v>11.577285780751909</v>
      </c>
      <c r="N42" s="16">
        <f t="shared" si="3"/>
        <v>26.953335831457398</v>
      </c>
      <c r="O42" s="16">
        <f t="shared" si="3"/>
        <v>1.1219093348196884E-2</v>
      </c>
      <c r="P42" s="16">
        <f t="shared" si="3"/>
        <v>0.20419016875028928</v>
      </c>
      <c r="Q42" s="16">
        <f t="shared" si="3"/>
        <v>2.3236842215014195</v>
      </c>
      <c r="R42" s="16"/>
      <c r="S42" s="16"/>
      <c r="T42" s="16"/>
      <c r="U42" s="16"/>
    </row>
    <row r="43" spans="1:21" s="54" customFormat="1" x14ac:dyDescent="0.25">
      <c r="A43" s="94" t="s">
        <v>62</v>
      </c>
      <c r="B43" s="13">
        <f t="shared" ref="B43:Q43" si="4">COUNT(B9:B37)</f>
        <v>29</v>
      </c>
      <c r="C43" s="13">
        <f t="shared" si="4"/>
        <v>29</v>
      </c>
      <c r="D43" s="13">
        <f t="shared" si="4"/>
        <v>29</v>
      </c>
      <c r="E43" s="13">
        <f t="shared" si="4"/>
        <v>29</v>
      </c>
      <c r="F43" s="13">
        <f t="shared" si="4"/>
        <v>29</v>
      </c>
      <c r="G43" s="13">
        <f t="shared" si="4"/>
        <v>29</v>
      </c>
      <c r="H43" s="13">
        <f t="shared" si="4"/>
        <v>29</v>
      </c>
      <c r="I43" s="13">
        <f t="shared" si="4"/>
        <v>29</v>
      </c>
      <c r="J43" s="13">
        <f t="shared" si="4"/>
        <v>29</v>
      </c>
      <c r="K43" s="13">
        <f t="shared" si="4"/>
        <v>29</v>
      </c>
      <c r="L43" s="13">
        <f t="shared" si="4"/>
        <v>29</v>
      </c>
      <c r="M43" s="13">
        <f t="shared" si="4"/>
        <v>29</v>
      </c>
      <c r="N43" s="13">
        <f t="shared" si="4"/>
        <v>29</v>
      </c>
      <c r="O43" s="13">
        <f t="shared" si="4"/>
        <v>29</v>
      </c>
      <c r="P43" s="13">
        <f t="shared" si="4"/>
        <v>29</v>
      </c>
      <c r="Q43" s="13">
        <f t="shared" si="4"/>
        <v>29</v>
      </c>
      <c r="R43" s="13"/>
      <c r="S43" s="13"/>
      <c r="T43" s="13"/>
      <c r="U43" s="13"/>
    </row>
    <row r="44" spans="1:21" s="54" customFormat="1" x14ac:dyDescent="0.25">
      <c r="A44" s="94" t="s">
        <v>63</v>
      </c>
      <c r="B44" s="13" t="str">
        <f>IF(B43&gt;=28,"&gt;90%",IF(B43&lt;=28,"&lt;90%"))</f>
        <v>&gt;90%</v>
      </c>
      <c r="C44" s="13" t="str">
        <f t="shared" ref="C44:Q44" si="5">IF(C43&gt;=28,"&gt;90%",IF(C43&lt;=28,"&lt;90%"))</f>
        <v>&gt;90%</v>
      </c>
      <c r="D44" s="13" t="str">
        <f t="shared" si="5"/>
        <v>&gt;90%</v>
      </c>
      <c r="E44" s="13" t="str">
        <f t="shared" si="5"/>
        <v>&gt;90%</v>
      </c>
      <c r="F44" s="13" t="str">
        <f t="shared" si="5"/>
        <v>&gt;90%</v>
      </c>
      <c r="G44" s="13" t="str">
        <f t="shared" si="5"/>
        <v>&gt;90%</v>
      </c>
      <c r="H44" s="13" t="str">
        <f t="shared" si="5"/>
        <v>&gt;90%</v>
      </c>
      <c r="I44" s="13" t="str">
        <f t="shared" si="5"/>
        <v>&gt;90%</v>
      </c>
      <c r="J44" s="13" t="str">
        <f t="shared" si="5"/>
        <v>&gt;90%</v>
      </c>
      <c r="K44" s="13" t="str">
        <f t="shared" si="5"/>
        <v>&gt;90%</v>
      </c>
      <c r="L44" s="13" t="str">
        <f t="shared" si="5"/>
        <v>&gt;90%</v>
      </c>
      <c r="M44" s="13" t="str">
        <f t="shared" si="5"/>
        <v>&gt;90%</v>
      </c>
      <c r="N44" s="13" t="str">
        <f t="shared" si="5"/>
        <v>&gt;90%</v>
      </c>
      <c r="O44" s="13" t="str">
        <f t="shared" si="5"/>
        <v>&gt;90%</v>
      </c>
      <c r="P44" s="13" t="str">
        <f t="shared" si="5"/>
        <v>&gt;90%</v>
      </c>
      <c r="Q44" s="13" t="str">
        <f t="shared" si="5"/>
        <v>&gt;90%</v>
      </c>
      <c r="R44" s="13"/>
      <c r="S44" s="13"/>
      <c r="T44" s="13"/>
      <c r="U44" s="13"/>
    </row>
    <row r="45" spans="1:21" x14ac:dyDescent="0.25">
      <c r="A45" s="94" t="s">
        <v>5</v>
      </c>
      <c r="B45" s="13" t="str">
        <f>IF(B43&gt;=28,"OK",IF(B43&lt;=28,"LESS"))</f>
        <v>OK</v>
      </c>
      <c r="C45" s="13" t="str">
        <f t="shared" ref="C45:Q45" si="6">IF(C43&gt;=28,"OK",IF(C43&lt;=28,"LESS"))</f>
        <v>OK</v>
      </c>
      <c r="D45" s="13" t="str">
        <f t="shared" si="6"/>
        <v>OK</v>
      </c>
      <c r="E45" s="13" t="str">
        <f t="shared" si="6"/>
        <v>OK</v>
      </c>
      <c r="F45" s="13" t="str">
        <f t="shared" si="6"/>
        <v>OK</v>
      </c>
      <c r="G45" s="13" t="str">
        <f t="shared" si="6"/>
        <v>OK</v>
      </c>
      <c r="H45" s="13" t="str">
        <f t="shared" si="6"/>
        <v>OK</v>
      </c>
      <c r="I45" s="13" t="str">
        <f t="shared" si="6"/>
        <v>OK</v>
      </c>
      <c r="J45" s="13" t="str">
        <f t="shared" si="6"/>
        <v>OK</v>
      </c>
      <c r="K45" s="13" t="str">
        <f t="shared" si="6"/>
        <v>OK</v>
      </c>
      <c r="L45" s="13" t="str">
        <f t="shared" si="6"/>
        <v>OK</v>
      </c>
      <c r="M45" s="13" t="str">
        <f t="shared" si="6"/>
        <v>OK</v>
      </c>
      <c r="N45" s="13" t="str">
        <f t="shared" si="6"/>
        <v>OK</v>
      </c>
      <c r="O45" s="13" t="str">
        <f t="shared" si="6"/>
        <v>OK</v>
      </c>
      <c r="P45" s="13" t="str">
        <f t="shared" si="6"/>
        <v>OK</v>
      </c>
      <c r="Q45" s="13" t="str">
        <f t="shared" si="6"/>
        <v>OK</v>
      </c>
      <c r="R45" s="13"/>
      <c r="S45" s="13"/>
      <c r="T45" s="13"/>
      <c r="U45" s="13"/>
    </row>
    <row r="46" spans="1:21" x14ac:dyDescent="0.25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8" spans="1:21" x14ac:dyDescent="0.25">
      <c r="A48" s="94" t="s">
        <v>64</v>
      </c>
      <c r="B48" s="107" t="s">
        <v>215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</row>
    <row r="49" spans="1:16" x14ac:dyDescent="0.25">
      <c r="A49" s="97"/>
      <c r="B49" s="54"/>
      <c r="C49" s="54"/>
      <c r="D49" s="2"/>
      <c r="E49" s="2"/>
      <c r="F49" s="2"/>
      <c r="G49" s="2"/>
      <c r="H49" s="2"/>
      <c r="I49" s="2"/>
      <c r="J49" s="54"/>
      <c r="K49" s="54"/>
      <c r="L49" s="54"/>
      <c r="M49" s="54"/>
      <c r="N49" s="54"/>
      <c r="O49" s="54"/>
      <c r="P49" s="54"/>
    </row>
    <row r="50" spans="1:16" ht="15.75" x14ac:dyDescent="0.25">
      <c r="A50" s="98" t="s">
        <v>65</v>
      </c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</row>
    <row r="51" spans="1:16" x14ac:dyDescent="0.25">
      <c r="A51" s="97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</sheetData>
  <mergeCells count="1">
    <mergeCell ref="B50:P50"/>
  </mergeCells>
  <pageMargins left="0.17" right="0.17" top="0.19" bottom="0.16" header="0.17" footer="0.16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H11" sqref="H11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18" t="s">
        <v>241</v>
      </c>
      <c r="E1" s="218"/>
      <c r="F1" s="218"/>
      <c r="G1" s="218"/>
      <c r="H1" s="218"/>
      <c r="I1" s="218"/>
      <c r="J1" s="219"/>
    </row>
    <row r="2" spans="2:24" ht="22.5" customHeight="1" thickBot="1" x14ac:dyDescent="0.3">
      <c r="B2" s="54"/>
      <c r="C2" s="111" t="s">
        <v>0</v>
      </c>
      <c r="D2" s="112" t="s">
        <v>245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2" t="s">
        <v>1</v>
      </c>
      <c r="H5" s="222"/>
      <c r="I5" s="40"/>
      <c r="J5" s="40"/>
      <c r="K5" s="40"/>
      <c r="L5" s="40"/>
      <c r="M5" s="41"/>
      <c r="O5" s="68"/>
      <c r="P5" s="69"/>
      <c r="Q5" s="69"/>
      <c r="R5" s="69"/>
      <c r="S5" s="208" t="s">
        <v>238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45325.490277777775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192.35599999999999</v>
      </c>
      <c r="I8" s="60">
        <v>0</v>
      </c>
      <c r="J8" s="61">
        <f>F8/H8</f>
        <v>1.0397388176090165</v>
      </c>
      <c r="K8" s="61">
        <f>(H8-F8)*100/F8</f>
        <v>-3.8220000000000027</v>
      </c>
      <c r="L8" s="60" t="s">
        <v>67</v>
      </c>
      <c r="M8" s="78" t="s">
        <v>215</v>
      </c>
      <c r="O8" s="63">
        <v>45325.479861111111</v>
      </c>
      <c r="P8" s="64" t="s">
        <v>70</v>
      </c>
      <c r="Q8" s="64">
        <v>4915.83</v>
      </c>
      <c r="R8" s="64">
        <v>3753.48</v>
      </c>
      <c r="S8" s="77" t="s">
        <v>244</v>
      </c>
      <c r="T8" s="77">
        <v>817.37</v>
      </c>
      <c r="U8" s="86">
        <v>0.88670000000000004</v>
      </c>
      <c r="V8" s="86">
        <v>0.90580000000000005</v>
      </c>
      <c r="W8" s="60" t="s">
        <v>67</v>
      </c>
      <c r="X8" s="78" t="s">
        <v>215</v>
      </c>
    </row>
    <row r="9" spans="2:24" ht="15.75" x14ac:dyDescent="0.25">
      <c r="B9" s="63">
        <v>45334.489583333336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196.35</v>
      </c>
      <c r="I9" s="60">
        <v>0</v>
      </c>
      <c r="J9" s="61">
        <f t="shared" ref="J9:J14" si="0">F9/H9</f>
        <v>1.0185892538833716</v>
      </c>
      <c r="K9" s="61">
        <f t="shared" ref="K9:K14" si="1">(H9-F9)*100/F9</f>
        <v>-1.8250000000000028</v>
      </c>
      <c r="L9" s="60" t="s">
        <v>67</v>
      </c>
      <c r="M9" s="62" t="s">
        <v>215</v>
      </c>
      <c r="O9" s="63">
        <v>45334.484027777777</v>
      </c>
      <c r="P9" s="64" t="s">
        <v>70</v>
      </c>
      <c r="Q9" s="64">
        <v>4762.74</v>
      </c>
      <c r="R9" s="64">
        <v>3620.35</v>
      </c>
      <c r="S9" s="77" t="s">
        <v>244</v>
      </c>
      <c r="T9" s="77">
        <v>839.09</v>
      </c>
      <c r="U9" s="86">
        <v>0.90980000000000005</v>
      </c>
      <c r="V9" s="86">
        <v>0.90139999999999998</v>
      </c>
      <c r="W9" s="60" t="s">
        <v>67</v>
      </c>
      <c r="X9" s="62" t="s">
        <v>215</v>
      </c>
    </row>
    <row r="10" spans="2:24" ht="15.75" x14ac:dyDescent="0.25">
      <c r="B10" s="63">
        <v>45347.635416666664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201.11</v>
      </c>
      <c r="I10" s="60">
        <v>0</v>
      </c>
      <c r="J10" s="61">
        <f t="shared" si="0"/>
        <v>0.99448063248968221</v>
      </c>
      <c r="K10" s="61">
        <f t="shared" si="1"/>
        <v>0.55500000000000682</v>
      </c>
      <c r="L10" s="60" t="s">
        <v>67</v>
      </c>
      <c r="M10" s="62" t="s">
        <v>215</v>
      </c>
      <c r="O10" s="63">
        <v>45343.481249999997</v>
      </c>
      <c r="P10" s="64" t="s">
        <v>70</v>
      </c>
      <c r="Q10" s="64">
        <v>4837.5</v>
      </c>
      <c r="R10" s="64">
        <v>3671.92</v>
      </c>
      <c r="S10" s="77" t="s">
        <v>244</v>
      </c>
      <c r="T10" s="77">
        <v>842.51</v>
      </c>
      <c r="U10" s="86">
        <v>0.90139999999999998</v>
      </c>
      <c r="V10" s="86">
        <v>0.89329999999999998</v>
      </c>
      <c r="W10" s="60" t="s">
        <v>67</v>
      </c>
      <c r="X10" s="62" t="s">
        <v>215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215</v>
      </c>
      <c r="O11" s="63"/>
      <c r="P11" s="64" t="s">
        <v>70</v>
      </c>
      <c r="Q11" s="64"/>
      <c r="R11" s="64"/>
      <c r="S11" s="77" t="s">
        <v>244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244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1" t="s">
        <v>25</v>
      </c>
      <c r="D21" s="221"/>
      <c r="E21" s="221"/>
      <c r="F21" s="221"/>
      <c r="G21" s="221"/>
      <c r="H21" s="221"/>
      <c r="I21" s="45">
        <f>COUNT(B8:B20)</f>
        <v>3</v>
      </c>
      <c r="J21" s="46"/>
      <c r="K21" s="46"/>
      <c r="L21" s="47"/>
      <c r="M21" s="48"/>
      <c r="O21" s="80"/>
      <c r="P21" s="223" t="s">
        <v>84</v>
      </c>
      <c r="Q21" s="223"/>
      <c r="R21" s="223"/>
      <c r="S21" s="223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0" t="s">
        <v>2</v>
      </c>
      <c r="H24" s="220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45325.510416666664</v>
      </c>
      <c r="C27" s="60" t="s">
        <v>68</v>
      </c>
      <c r="D27" s="60" t="s">
        <v>51</v>
      </c>
      <c r="E27" s="60">
        <v>0</v>
      </c>
      <c r="F27" s="60">
        <v>200</v>
      </c>
      <c r="G27" s="60">
        <v>210.21</v>
      </c>
      <c r="H27" s="61"/>
      <c r="I27" s="60">
        <v>0</v>
      </c>
      <c r="J27" s="61" t="e">
        <f>F27/H27</f>
        <v>#DIV/0!</v>
      </c>
      <c r="K27" s="61">
        <f>(H27-F27)*100/F27</f>
        <v>-100</v>
      </c>
      <c r="L27" s="60" t="s">
        <v>67</v>
      </c>
      <c r="M27" s="78" t="s">
        <v>215</v>
      </c>
      <c r="O27" s="63">
        <v>45325.479861111111</v>
      </c>
      <c r="P27" s="64" t="s">
        <v>71</v>
      </c>
      <c r="Q27" s="64">
        <v>5558.82</v>
      </c>
      <c r="R27" s="64">
        <v>4270.96</v>
      </c>
      <c r="S27" s="77" t="s">
        <v>243</v>
      </c>
      <c r="T27" s="77">
        <v>861.96</v>
      </c>
      <c r="U27" s="86">
        <v>0.95620000000000005</v>
      </c>
      <c r="V27" s="86">
        <v>0.93989999999999996</v>
      </c>
      <c r="W27" s="60" t="s">
        <v>67</v>
      </c>
      <c r="X27" s="78" t="s">
        <v>215</v>
      </c>
    </row>
    <row r="28" spans="2:24" s="24" customFormat="1" ht="15.75" x14ac:dyDescent="0.25">
      <c r="B28" s="63">
        <v>45334.458333333336</v>
      </c>
      <c r="C28" s="60" t="s">
        <v>68</v>
      </c>
      <c r="D28" s="60" t="s">
        <v>51</v>
      </c>
      <c r="E28" s="60">
        <v>0</v>
      </c>
      <c r="F28" s="60">
        <v>200</v>
      </c>
      <c r="G28" s="60">
        <v>209.25</v>
      </c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239</v>
      </c>
      <c r="O28" s="63">
        <v>45334.484027777777</v>
      </c>
      <c r="P28" s="64" t="s">
        <v>71</v>
      </c>
      <c r="Q28" s="64">
        <v>5845.39</v>
      </c>
      <c r="R28" s="64">
        <v>4498.3500000000004</v>
      </c>
      <c r="S28" s="77" t="s">
        <v>243</v>
      </c>
      <c r="T28" s="77">
        <v>831.37</v>
      </c>
      <c r="U28" s="86">
        <v>0.93989999999999996</v>
      </c>
      <c r="V28" s="86">
        <v>0.95760000000000001</v>
      </c>
      <c r="W28" s="60" t="s">
        <v>67</v>
      </c>
      <c r="X28" s="62" t="s">
        <v>215</v>
      </c>
    </row>
    <row r="29" spans="2:24" s="24" customFormat="1" ht="15.75" x14ac:dyDescent="0.25">
      <c r="B29" s="63">
        <v>45343.551388888889</v>
      </c>
      <c r="C29" s="60" t="s">
        <v>68</v>
      </c>
      <c r="D29" s="60" t="s">
        <v>51</v>
      </c>
      <c r="E29" s="60">
        <v>0</v>
      </c>
      <c r="F29" s="60">
        <v>200</v>
      </c>
      <c r="G29" s="60">
        <v>201.45</v>
      </c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240</v>
      </c>
      <c r="O29" s="63">
        <v>45343.481249999997</v>
      </c>
      <c r="P29" s="64" t="s">
        <v>71</v>
      </c>
      <c r="Q29" s="64">
        <v>5977.4</v>
      </c>
      <c r="R29" s="64">
        <v>4596.87</v>
      </c>
      <c r="S29" s="77" t="s">
        <v>243</v>
      </c>
      <c r="T29" s="77">
        <v>854.67</v>
      </c>
      <c r="U29" s="86">
        <v>0.95760000000000001</v>
      </c>
      <c r="V29" s="86">
        <v>0.94899999999999995</v>
      </c>
      <c r="W29" s="60" t="s">
        <v>67</v>
      </c>
      <c r="X29" s="62" t="s">
        <v>215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240</v>
      </c>
      <c r="O30" s="63"/>
      <c r="P30" s="64" t="s">
        <v>71</v>
      </c>
      <c r="Q30" s="64"/>
      <c r="R30" s="64"/>
      <c r="S30" s="77" t="s">
        <v>243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3" t="s">
        <v>85</v>
      </c>
      <c r="Q40" s="223"/>
      <c r="R40" s="223"/>
      <c r="S40" s="223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1" t="s">
        <v>26</v>
      </c>
      <c r="E41" s="221"/>
      <c r="F41" s="221"/>
      <c r="G41" s="221"/>
      <c r="H41" s="221"/>
      <c r="I41" s="221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0" t="s">
        <v>23</v>
      </c>
      <c r="H44" s="220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239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1" t="s">
        <v>27</v>
      </c>
      <c r="E61" s="221"/>
      <c r="F61" s="221"/>
      <c r="G61" s="221"/>
      <c r="H61" s="221"/>
      <c r="I61" s="221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0" t="s">
        <v>3</v>
      </c>
      <c r="H64" s="220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45325.53125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4.9939999999999998</v>
      </c>
      <c r="I67" s="60">
        <v>0</v>
      </c>
      <c r="J67" s="61">
        <f>F67/H67</f>
        <v>1.0012014417300761</v>
      </c>
      <c r="K67" s="61">
        <f>(H67-F67)*100/F67</f>
        <v>-0.12000000000000455</v>
      </c>
      <c r="L67" s="60" t="s">
        <v>67</v>
      </c>
      <c r="M67" s="78" t="s">
        <v>239</v>
      </c>
    </row>
    <row r="68" spans="2:13" ht="15.75" x14ac:dyDescent="0.25">
      <c r="B68" s="63">
        <v>45334.510416666664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4.984</v>
      </c>
      <c r="I68" s="60">
        <v>0</v>
      </c>
      <c r="J68" s="61">
        <f t="shared" ref="J68:J73" si="4">F68/H68</f>
        <v>1.0032102728731942</v>
      </c>
      <c r="K68" s="61">
        <f t="shared" ref="K68:K73" si="5">(H68-F68)*100/F68</f>
        <v>-0.32000000000000028</v>
      </c>
      <c r="L68" s="60" t="s">
        <v>67</v>
      </c>
      <c r="M68" s="62" t="s">
        <v>240</v>
      </c>
    </row>
    <row r="69" spans="2:13" ht="15.75" x14ac:dyDescent="0.25">
      <c r="B69" s="63">
        <v>45343.510416666664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4.9909999999999997</v>
      </c>
      <c r="I69" s="60">
        <v>0</v>
      </c>
      <c r="J69" s="61">
        <f t="shared" si="4"/>
        <v>1.0018032458425166</v>
      </c>
      <c r="K69" s="61">
        <f t="shared" si="5"/>
        <v>-0.18000000000000682</v>
      </c>
      <c r="L69" s="60" t="s">
        <v>67</v>
      </c>
      <c r="M69" s="62" t="s">
        <v>240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240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1" t="s">
        <v>28</v>
      </c>
      <c r="E81" s="221"/>
      <c r="F81" s="221"/>
      <c r="G81" s="221"/>
      <c r="H81" s="221"/>
      <c r="I81" s="221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0" t="s">
        <v>24</v>
      </c>
      <c r="H84" s="220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1" t="s">
        <v>29</v>
      </c>
      <c r="E101" s="221"/>
      <c r="F101" s="221"/>
      <c r="G101" s="221"/>
      <c r="H101" s="221"/>
      <c r="I101" s="221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2" t="s">
        <v>4</v>
      </c>
      <c r="H104" s="222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239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240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240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240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1" t="s">
        <v>69</v>
      </c>
      <c r="D119" s="221"/>
      <c r="E119" s="221"/>
      <c r="F119" s="221"/>
      <c r="G119" s="221"/>
      <c r="H119" s="221"/>
      <c r="I119" s="52">
        <f>COUNT(B107:B118)</f>
        <v>0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4" t="s">
        <v>242</v>
      </c>
      <c r="C2" s="224"/>
      <c r="D2" s="225">
        <v>45017</v>
      </c>
      <c r="E2" s="225"/>
    </row>
    <row r="3" spans="1:5" x14ac:dyDescent="0.25">
      <c r="B3" s="224" t="s">
        <v>21</v>
      </c>
      <c r="C3" s="224"/>
      <c r="D3" s="225"/>
      <c r="E3" s="225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6" t="s">
        <v>22</v>
      </c>
      <c r="C44" s="226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7" t="s">
        <v>219</v>
      </c>
      <c r="C2" s="227"/>
      <c r="D2" s="227"/>
      <c r="E2" s="227"/>
      <c r="F2" s="228">
        <v>44713</v>
      </c>
      <c r="G2" s="229"/>
      <c r="H2" s="229"/>
    </row>
    <row r="3" spans="2:24" s="12" customFormat="1" ht="15" customHeight="1" x14ac:dyDescent="0.25">
      <c r="B3" s="227"/>
      <c r="C3" s="227"/>
      <c r="D3" s="227"/>
      <c r="E3" s="227"/>
      <c r="F3" s="229"/>
      <c r="G3" s="229"/>
      <c r="H3" s="229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0" t="s">
        <v>4</v>
      </c>
      <c r="C12" s="232" t="s">
        <v>133</v>
      </c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127"/>
      <c r="U12" s="125"/>
    </row>
    <row r="13" spans="2:24" ht="15" customHeight="1" x14ac:dyDescent="0.25">
      <c r="B13" s="231"/>
      <c r="C13" s="128" t="s">
        <v>78</v>
      </c>
      <c r="D13" s="129" t="s">
        <v>83</v>
      </c>
      <c r="E13" s="129" t="s">
        <v>134</v>
      </c>
      <c r="F13" s="129" t="s">
        <v>216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1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1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1"/>
      <c r="C16" s="195">
        <v>2425504512</v>
      </c>
      <c r="D16" s="195">
        <v>2513962496</v>
      </c>
      <c r="E16" s="60">
        <v>1445.7</v>
      </c>
      <c r="F16" s="60" t="s">
        <v>217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217</v>
      </c>
      <c r="L16" s="60" t="s">
        <v>218</v>
      </c>
      <c r="M16" s="60">
        <v>485</v>
      </c>
      <c r="N16" s="60" t="s">
        <v>218</v>
      </c>
      <c r="O16" s="60">
        <v>30</v>
      </c>
      <c r="P16" s="60">
        <v>49.5</v>
      </c>
      <c r="Q16" s="60">
        <v>50</v>
      </c>
      <c r="R16" s="150" t="s">
        <v>215</v>
      </c>
      <c r="X16" s="11"/>
    </row>
    <row r="17" spans="2:28" ht="15.75" customHeight="1" x14ac:dyDescent="0.25">
      <c r="B17" s="231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1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4" t="s">
        <v>2</v>
      </c>
      <c r="C25" s="236" t="s">
        <v>133</v>
      </c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8"/>
      <c r="S25" s="188"/>
      <c r="T25" s="189"/>
    </row>
    <row r="26" spans="2:28" ht="15" customHeight="1" x14ac:dyDescent="0.3">
      <c r="B26" s="234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4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4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5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2" t="s">
        <v>3</v>
      </c>
      <c r="C36" s="244" t="s">
        <v>133</v>
      </c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5"/>
    </row>
    <row r="37" spans="2:25" ht="15.75" customHeight="1" x14ac:dyDescent="0.25">
      <c r="B37" s="243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3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3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3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6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7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47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7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47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4" t="s">
        <v>184</v>
      </c>
      <c r="C61" s="236" t="s">
        <v>133</v>
      </c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8"/>
      <c r="S61" s="166"/>
      <c r="T61" s="167"/>
    </row>
    <row r="62" spans="2:20" ht="15.75" x14ac:dyDescent="0.3">
      <c r="B62" s="234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48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8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5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4" t="s">
        <v>201</v>
      </c>
      <c r="C69" s="236" t="s">
        <v>133</v>
      </c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8"/>
      <c r="S69" s="166"/>
      <c r="T69" s="167"/>
    </row>
    <row r="70" spans="2:20" ht="15.75" x14ac:dyDescent="0.3">
      <c r="B70" s="234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4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8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5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9" t="s">
        <v>24</v>
      </c>
      <c r="C77" s="238" t="s">
        <v>133</v>
      </c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177"/>
      <c r="S77" s="177"/>
      <c r="T77" s="178"/>
    </row>
    <row r="78" spans="2:20" x14ac:dyDescent="0.25">
      <c r="B78" s="240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0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0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0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0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2024-08-28T13:22:36Z</dcterms:modified>
</cp:coreProperties>
</file>